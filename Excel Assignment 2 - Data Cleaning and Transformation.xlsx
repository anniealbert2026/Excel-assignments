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nie\Downloads\"/>
    </mc:Choice>
  </mc:AlternateContent>
  <xr:revisionPtr revIDLastSave="0" documentId="13_ncr:1_{A3221FC6-A7E2-43CC-896B-63103107696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Dataset!$A$1:$N$35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2" i="2"/>
  <c r="B38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</calcChain>
</file>

<file path=xl/sharedStrings.xml><?xml version="1.0" encoding="utf-8"?>
<sst xmlns="http://schemas.openxmlformats.org/spreadsheetml/2006/main" count="217" uniqueCount="146">
  <si>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</si>
  <si>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</si>
  <si>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</si>
  <si>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</si>
  <si>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</si>
  <si>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</si>
  <si>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</si>
  <si>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</si>
  <si>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</si>
  <si>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</si>
  <si>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</si>
  <si>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</si>
  <si>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</si>
  <si>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</si>
  <si>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</si>
  <si>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</si>
  <si>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</si>
  <si>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</si>
  <si>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</si>
  <si>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</si>
  <si>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</si>
  <si>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</si>
  <si>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</si>
  <si>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</si>
  <si>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</si>
  <si>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</si>
  <si>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</si>
  <si>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</si>
  <si>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</si>
  <si>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</si>
  <si>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</si>
  <si>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</si>
  <si>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</si>
  <si>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</si>
  <si>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</si>
  <si>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</si>
  <si>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</si>
  <si>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</si>
  <si>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</si>
  <si>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</si>
  <si>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</si>
  <si>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</si>
  <si>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</si>
  <si>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</si>
  <si>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</si>
  <si>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</si>
  <si>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</si>
  <si>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</si>
  <si>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</si>
  <si>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</si>
  <si>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</si>
  <si>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</si>
  <si>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</si>
  <si>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</si>
  <si>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</si>
  <si>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</si>
  <si>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</si>
  <si>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</si>
  <si>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</si>
  <si>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</si>
  <si>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</si>
  <si>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</si>
  <si>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</si>
  <si>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</si>
  <si>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</si>
  <si>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</si>
  <si>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</si>
  <si>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</si>
  <si>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</si>
  <si>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</si>
  <si>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</si>
  <si>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</si>
  <si>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</si>
  <si>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</si>
  <si>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</si>
  <si>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</si>
  <si>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</si>
  <si>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</si>
  <si>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</si>
  <si>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</si>
  <si>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</si>
  <si>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</si>
  <si>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</si>
  <si>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</si>
  <si>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</si>
  <si>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</si>
  <si>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</si>
  <si>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</si>
  <si>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</si>
  <si>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</si>
  <si>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</si>
  <si>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</si>
  <si>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</si>
  <si>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</si>
  <si>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</si>
  <si>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</si>
  <si>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</si>
  <si>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</si>
  <si>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</si>
  <si>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</si>
  <si>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</si>
  <si>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</si>
  <si>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</si>
  <si>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</si>
  <si>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</si>
  <si>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</si>
  <si>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</si>
  <si>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</si>
  <si>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</si>
  <si>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</si>
  <si>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</si>
  <si>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</si>
  <si>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</si>
  <si>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Replace</t>
  </si>
  <si>
    <t>3 blank columns</t>
  </si>
  <si>
    <t>replaced with average</t>
  </si>
  <si>
    <t>category impute</t>
  </si>
  <si>
    <t>Replaced with Unknown</t>
  </si>
  <si>
    <t>Manufacturing Date</t>
  </si>
  <si>
    <t>Country Code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</si>
  <si>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</si>
  <si>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</si>
  <si>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</si>
  <si>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</si>
  <si>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</si>
  <si>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</si>
  <si>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</si>
  <si>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</si>
  <si>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</si>
  <si>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</si>
  <si>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</si>
  <si>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</si>
  <si>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</si>
  <si>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</si>
  <si>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</si>
  <si>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</si>
  <si>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</si>
  <si>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</si>
  <si>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</si>
  <si>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</si>
  <si>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</si>
  <si>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</si>
  <si>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</si>
  <si>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</si>
  <si>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</si>
  <si>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Price($)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</si>
</sst>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C09]#,##0.00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4DD0E1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7" fillId="4" borderId="0" xfId="0" applyFont="1" applyFill="1" applyAlignment="1">
      <alignment horizontal="center"/>
    </xf>
    <xf numFmtId="0" fontId="8" fillId="3" borderId="0" xfId="0" applyFont="1" applyFill="1"/>
    <xf numFmtId="0" fontId="9" fillId="0" borderId="0" xfId="0" applyFont="1"/>
    <xf numFmtId="0" fontId="11" fillId="0" borderId="0" xfId="0" applyFont="1"/>
    <xf numFmtId="0" fontId="0" fillId="5" borderId="0" xfId="0" applyFill="1"/>
    <xf numFmtId="0" fontId="10" fillId="5" borderId="0" xfId="0" applyFont="1" applyFill="1"/>
    <xf numFmtId="166" fontId="0" fillId="0" borderId="0" xfId="0" applyNumberFormat="1"/>
    <xf numFmtId="166" fontId="5" fillId="0" borderId="0" xfId="0" applyNumberFormat="1" applyFont="1"/>
    <xf numFmtId="14" fontId="0" fillId="0" borderId="0" xfId="0" applyNumberFormat="1"/>
    <xf numFmtId="15" fontId="0" fillId="0" borderId="0" xfId="0" applyNumberFormat="1"/>
    <xf numFmtId="0" fontId="8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0" workbookViewId="0">
      <selection activeCell="C25" sqref="C2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11" t="s">
        <v>7</v>
      </c>
    </row>
    <row r="11" spans="1:11" ht="15.75" customHeight="1" x14ac:dyDescent="0.3">
      <c r="B11" s="4"/>
    </row>
    <row r="12" spans="1:11" ht="15.75" customHeight="1" x14ac:dyDescent="0.3">
      <c r="B12" s="1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1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11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1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1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11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11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tabSelected="1" zoomScale="70" zoomScaleNormal="70" workbookViewId="0">
      <selection activeCell="F1" sqref="F1:F1048576"/>
    </sheetView>
  </sheetViews>
  <sheetFormatPr defaultColWidth="12.6640625" defaultRowHeight="15" customHeight="1" x14ac:dyDescent="0.25"/>
  <cols>
    <col min="1" max="7" width="12.6640625" customWidth="1"/>
  </cols>
  <sheetData>
    <row r="1" spans="1:15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9" t="s">
        <v>113</v>
      </c>
      <c r="H1" s="9" t="s">
        <v>116</v>
      </c>
      <c r="I1" s="13"/>
      <c r="J1" s="13"/>
      <c r="K1" s="13" t="s">
        <v>119</v>
      </c>
      <c r="L1" s="14" t="s">
        <v>118</v>
      </c>
      <c r="M1" s="14" t="s">
        <v>144</v>
      </c>
      <c r="N1" s="14" t="s">
        <v>145</v>
      </c>
      <c r="O1" s="13" t="s">
        <v>118</v>
      </c>
    </row>
    <row r="2" spans="1:15" ht="15.75" customHeight="1" x14ac:dyDescent="0.25">
      <c r="A2" s="5" t="s">
        <v>25</v>
      </c>
      <c r="B2" s="5" t="s">
        <v>58</v>
      </c>
      <c r="C2" s="5" t="s">
        <v>26</v>
      </c>
      <c r="D2" s="5">
        <v>1000</v>
      </c>
      <c r="E2" s="5">
        <v>30</v>
      </c>
      <c r="F2" s="19" t="s">
        <v>27</v>
      </c>
      <c r="G2" s="5">
        <f>IF(ISBLANK(D2),ROUND(AVERAGE($D$2:$D$35),0),D2)</f>
        <v>1000</v>
      </c>
      <c r="H2" t="str">
        <f>IF(ISBLANK(F2),"UNKNOWN",F2)</f>
        <v>Electronics</v>
      </c>
      <c r="I2">
        <v>28</v>
      </c>
      <c r="J2" t="s">
        <v>120</v>
      </c>
      <c r="K2" t="s">
        <v>121</v>
      </c>
      <c r="L2" s="18" t="str">
        <f>I2&amp; "-" &amp; J2</f>
        <v>28-JAN</v>
      </c>
      <c r="M2" t="str">
        <f>C2&amp;" "&amp;B2</f>
        <v>Dell Laptop</v>
      </c>
      <c r="N2" s="15">
        <v>1000</v>
      </c>
      <c r="O2" s="17">
        <v>46050</v>
      </c>
    </row>
    <row r="3" spans="1:15" ht="15.75" customHeight="1" x14ac:dyDescent="0.25">
      <c r="A3" s="8" t="s">
        <v>28</v>
      </c>
      <c r="B3" s="8" t="s">
        <v>29</v>
      </c>
      <c r="C3" s="8" t="s">
        <v>30</v>
      </c>
      <c r="D3" s="8">
        <v>80</v>
      </c>
      <c r="E3" s="8">
        <v>15</v>
      </c>
      <c r="F3" s="8" t="s">
        <v>31</v>
      </c>
      <c r="G3" s="5">
        <f>IF(ISBLANK(D3),ROUND(AVERAGE($D$2:$D$35),0),D3)</f>
        <v>80</v>
      </c>
      <c r="H3" t="str">
        <f>IF(ISBLANK(F3),"UNKNOWN",F3)</f>
        <v>Fashion</v>
      </c>
      <c r="I3" s="5">
        <v>15</v>
      </c>
      <c r="J3" s="5" t="s">
        <v>122</v>
      </c>
      <c r="K3" s="5" t="s">
        <v>121</v>
      </c>
      <c r="L3" s="18" t="str">
        <f>I3&amp; "-" &amp; J3</f>
        <v>15-FEB</v>
      </c>
      <c r="M3" t="str">
        <f t="shared" ref="M3:M35" si="0">C3&amp;" "&amp;B3</f>
        <v>Nike Sneakers</v>
      </c>
      <c r="N3" s="16">
        <v>80</v>
      </c>
      <c r="O3" s="17">
        <v>46068</v>
      </c>
    </row>
    <row r="4" spans="1:15" ht="15.75" customHeight="1" x14ac:dyDescent="0.3">
      <c r="A4" s="5" t="s">
        <v>32</v>
      </c>
      <c r="B4" s="5" t="s">
        <v>33</v>
      </c>
      <c r="C4" s="5" t="s">
        <v>34</v>
      </c>
      <c r="D4" s="5">
        <v>130</v>
      </c>
      <c r="E4" s="5">
        <v>40</v>
      </c>
      <c r="F4" s="5" t="s">
        <v>35</v>
      </c>
      <c r="G4" s="5">
        <f>IF(ISBLANK(D4),ROUND(AVERAGE($D$2:$D$35),0),D4)</f>
        <v>130</v>
      </c>
      <c r="H4" t="str">
        <f>IF(ISBLANK(F4),"UNKNOWN",F4)</f>
        <v>Kitchen</v>
      </c>
      <c r="I4" s="3">
        <v>3</v>
      </c>
      <c r="J4" s="5" t="s">
        <v>123</v>
      </c>
      <c r="K4" s="5" t="s">
        <v>121</v>
      </c>
      <c r="L4" s="18" t="str">
        <f>I4&amp; "-" &amp; J4</f>
        <v>3-MAR</v>
      </c>
      <c r="M4" t="str">
        <f t="shared" si="0"/>
        <v>Keurig Coffee Maker</v>
      </c>
      <c r="N4" s="16">
        <v>130</v>
      </c>
      <c r="O4" s="17">
        <v>46084</v>
      </c>
    </row>
    <row r="5" spans="1:15" ht="15.75" customHeight="1" x14ac:dyDescent="0.3">
      <c r="A5" s="8" t="s">
        <v>36</v>
      </c>
      <c r="B5" s="8" t="s">
        <v>93</v>
      </c>
      <c r="C5" s="8" t="s">
        <v>37</v>
      </c>
      <c r="D5" s="8">
        <v>900</v>
      </c>
      <c r="E5" s="8">
        <v>25</v>
      </c>
      <c r="F5" s="8" t="s">
        <v>27</v>
      </c>
      <c r="G5" s="5">
        <f>IF(ISBLANK(D5),ROUND(AVERAGE($D$2:$D$35),0),D5)</f>
        <v>900</v>
      </c>
      <c r="H5" t="str">
        <f>IF(ISBLANK(F5),"UNKNOWN",F5)</f>
        <v>Electronics</v>
      </c>
      <c r="I5" s="3">
        <v>11</v>
      </c>
      <c r="J5" s="5" t="s">
        <v>124</v>
      </c>
      <c r="K5" s="5" t="s">
        <v>121</v>
      </c>
      <c r="L5" s="18" t="str">
        <f>I5&amp; "-" &amp; J5</f>
        <v>11-APR</v>
      </c>
      <c r="M5" t="str">
        <f t="shared" si="0"/>
        <v>Samsung Smartphone</v>
      </c>
      <c r="N5" s="16">
        <v>900</v>
      </c>
      <c r="O5" s="17">
        <v>46123</v>
      </c>
    </row>
    <row r="6" spans="1:15" ht="15.75" customHeight="1" x14ac:dyDescent="0.25">
      <c r="A6" s="5" t="s">
        <v>38</v>
      </c>
      <c r="B6" s="5" t="s">
        <v>39</v>
      </c>
      <c r="C6" s="5" t="s">
        <v>40</v>
      </c>
      <c r="D6" s="5">
        <v>70</v>
      </c>
      <c r="E6" s="5">
        <v>20</v>
      </c>
      <c r="F6" s="5"/>
      <c r="G6" s="5">
        <f>IF(ISBLANK(D6),ROUND(AVERAGE($D$2:$D$35),0),D6)</f>
        <v>70</v>
      </c>
      <c r="H6" t="str">
        <f>IF(ISBLANK(F6),"UNKNOWN",F6)</f>
        <v>UNKNOWN</v>
      </c>
      <c r="I6">
        <v>22</v>
      </c>
      <c r="J6" t="s">
        <v>125</v>
      </c>
      <c r="K6" t="s">
        <v>121</v>
      </c>
      <c r="L6" s="18" t="str">
        <f>I6&amp; "-" &amp; J6</f>
        <v>22-MAY</v>
      </c>
      <c r="M6" t="str">
        <f t="shared" si="0"/>
        <v>North Face Backpack</v>
      </c>
      <c r="N6" s="15">
        <v>70</v>
      </c>
      <c r="O6" s="17">
        <v>46164</v>
      </c>
    </row>
    <row r="7" spans="1:15" ht="15.75" customHeight="1" x14ac:dyDescent="0.25">
      <c r="A7" s="8" t="s">
        <v>41</v>
      </c>
      <c r="B7" s="8" t="s">
        <v>42</v>
      </c>
      <c r="C7" s="8" t="s">
        <v>43</v>
      </c>
      <c r="D7" s="8"/>
      <c r="E7" s="8">
        <v>45</v>
      </c>
      <c r="F7" s="8" t="s">
        <v>27</v>
      </c>
      <c r="G7" s="5">
        <f>IF(ISBLANK(D7),ROUND(AVERAGE($D$2:$D$35),0),D7)</f>
        <v>298</v>
      </c>
      <c r="H7" t="str">
        <f>IF(ISBLANK(F7),"UNKNOWN",F7)</f>
        <v>Electronics</v>
      </c>
      <c r="I7">
        <v>7</v>
      </c>
      <c r="J7" t="s">
        <v>126</v>
      </c>
      <c r="K7" t="s">
        <v>127</v>
      </c>
      <c r="L7" s="18" t="str">
        <f>I7&amp; "-" &amp; J7</f>
        <v>7-JUN</v>
      </c>
      <c r="M7" t="str">
        <f t="shared" si="0"/>
        <v>Sony Headphones</v>
      </c>
      <c r="N7" s="15"/>
      <c r="O7" s="17">
        <v>46180</v>
      </c>
    </row>
    <row r="8" spans="1:15" ht="15.75" customHeight="1" x14ac:dyDescent="0.25">
      <c r="A8" s="5" t="s">
        <v>44</v>
      </c>
      <c r="B8" s="5" t="s">
        <v>45</v>
      </c>
      <c r="C8" s="5" t="s">
        <v>46</v>
      </c>
      <c r="D8" s="5">
        <v>30</v>
      </c>
      <c r="E8" s="5">
        <v>5</v>
      </c>
      <c r="F8" s="5" t="s">
        <v>31</v>
      </c>
      <c r="G8" s="5">
        <f>IF(ISBLANK(D8),ROUND(AVERAGE($D$2:$D$35),0),D8)</f>
        <v>30</v>
      </c>
      <c r="H8" t="str">
        <f>IF(ISBLANK(F8),"UNKNOWN",F8)</f>
        <v>Fashion</v>
      </c>
      <c r="I8">
        <v>19</v>
      </c>
      <c r="J8" t="s">
        <v>128</v>
      </c>
      <c r="K8" t="s">
        <v>127</v>
      </c>
      <c r="L8" s="18" t="str">
        <f>I8&amp; "-" &amp; J8</f>
        <v>19-JUL</v>
      </c>
      <c r="M8" t="str">
        <f t="shared" si="0"/>
        <v>Adidas T-shirt</v>
      </c>
      <c r="N8" s="15">
        <v>30</v>
      </c>
      <c r="O8" s="17">
        <v>46222</v>
      </c>
    </row>
    <row r="9" spans="1:15" ht="15.75" customHeight="1" x14ac:dyDescent="0.25">
      <c r="A9" s="8" t="s">
        <v>47</v>
      </c>
      <c r="B9" s="8" t="s">
        <v>48</v>
      </c>
      <c r="C9" s="8" t="s">
        <v>49</v>
      </c>
      <c r="D9" s="8">
        <v>90</v>
      </c>
      <c r="E9" s="8">
        <v>35</v>
      </c>
      <c r="F9" s="8" t="s">
        <v>35</v>
      </c>
      <c r="G9" s="5">
        <f>IF(ISBLANK(D9),ROUND(AVERAGE($D$2:$D$35),0),D9)</f>
        <v>90</v>
      </c>
      <c r="H9" t="str">
        <f>IF(ISBLANK(F9),"UNKNOWN",F9)</f>
        <v>Kitchen</v>
      </c>
      <c r="I9">
        <v>23</v>
      </c>
      <c r="J9" t="s">
        <v>129</v>
      </c>
      <c r="K9" t="s">
        <v>127</v>
      </c>
      <c r="L9" s="18" t="str">
        <f>I9&amp; "-" &amp; J9</f>
        <v>23-AUG</v>
      </c>
      <c r="M9" t="str">
        <f t="shared" si="0"/>
        <v>Ninja Blender</v>
      </c>
      <c r="N9" s="15">
        <v>90</v>
      </c>
      <c r="O9" s="17">
        <v>46257</v>
      </c>
    </row>
    <row r="10" spans="1:15" ht="15.75" customHeight="1" x14ac:dyDescent="0.25">
      <c r="A10" s="5" t="s">
        <v>50</v>
      </c>
      <c r="B10" s="5" t="s">
        <v>51</v>
      </c>
      <c r="C10" s="5" t="s">
        <v>52</v>
      </c>
      <c r="D10" s="5">
        <v>500</v>
      </c>
      <c r="E10" s="5">
        <v>50</v>
      </c>
      <c r="F10" s="5" t="s">
        <v>27</v>
      </c>
      <c r="G10" s="5">
        <f>IF(ISBLANK(D10),ROUND(AVERAGE($D$2:$D$35),0),D10)</f>
        <v>500</v>
      </c>
      <c r="H10" t="str">
        <f>IF(ISBLANK(F10),"UNKNOWN",F10)</f>
        <v>Electronics</v>
      </c>
      <c r="I10">
        <v>5</v>
      </c>
      <c r="J10" t="s">
        <v>130</v>
      </c>
      <c r="K10" t="s">
        <v>127</v>
      </c>
      <c r="L10" s="18" t="str">
        <f>I10&amp; "-" &amp; J10</f>
        <v>5-SEP</v>
      </c>
      <c r="M10" t="str">
        <f t="shared" si="0"/>
        <v>Apple Tablet</v>
      </c>
      <c r="N10" s="15">
        <v>500</v>
      </c>
      <c r="O10" s="17">
        <v>46270</v>
      </c>
    </row>
    <row r="11" spans="1:15" ht="15.75" customHeight="1" x14ac:dyDescent="0.25">
      <c r="A11" s="8" t="s">
        <v>53</v>
      </c>
      <c r="B11" s="8" t="s">
        <v>54</v>
      </c>
      <c r="C11" s="8" t="s">
        <v>55</v>
      </c>
      <c r="D11" s="8">
        <v>130</v>
      </c>
      <c r="E11" s="8">
        <v>10</v>
      </c>
      <c r="F11" s="8" t="s">
        <v>56</v>
      </c>
      <c r="G11" s="5">
        <f>IF(ISBLANK(D11),ROUND(AVERAGE($D$2:$D$35),0),D11)</f>
        <v>130</v>
      </c>
      <c r="H11" t="str">
        <f>IF(ISBLANK(F11),"UNKNOWN",F11)</f>
        <v>Outdoor</v>
      </c>
      <c r="I11">
        <v>14</v>
      </c>
      <c r="J11" t="s">
        <v>131</v>
      </c>
      <c r="K11" t="s">
        <v>127</v>
      </c>
      <c r="L11" s="18" t="str">
        <f>I11&amp; "-" &amp; J11</f>
        <v>14-OCT</v>
      </c>
      <c r="M11" t="str">
        <f t="shared" si="0"/>
        <v>Timberland Hiking Boots</v>
      </c>
      <c r="N11" s="15">
        <v>130</v>
      </c>
      <c r="O11" s="17">
        <v>46309</v>
      </c>
    </row>
    <row r="12" spans="1:15" ht="15.75" customHeight="1" x14ac:dyDescent="0.25">
      <c r="A12" s="5" t="s">
        <v>57</v>
      </c>
      <c r="B12" s="5" t="s">
        <v>58</v>
      </c>
      <c r="C12" s="5" t="s">
        <v>59</v>
      </c>
      <c r="D12" s="5">
        <v>950</v>
      </c>
      <c r="E12" s="5">
        <v>25</v>
      </c>
      <c r="F12" s="5" t="s">
        <v>27</v>
      </c>
      <c r="G12" s="5">
        <f>IF(ISBLANK(D12),ROUND(AVERAGE($D$2:$D$35),0),D12)</f>
        <v>950</v>
      </c>
      <c r="H12" t="str">
        <f>IF(ISBLANK(F12),"UNKNOWN",F12)</f>
        <v>Electronics</v>
      </c>
      <c r="I12">
        <v>17</v>
      </c>
      <c r="J12" t="s">
        <v>126</v>
      </c>
      <c r="K12" t="s">
        <v>132</v>
      </c>
      <c r="L12" s="18" t="str">
        <f>I12&amp; "-" &amp; J12</f>
        <v>17-JUN</v>
      </c>
      <c r="M12" t="str">
        <f t="shared" si="0"/>
        <v>HP Laptop</v>
      </c>
      <c r="N12" s="15">
        <v>950</v>
      </c>
      <c r="O12" s="17">
        <v>46190</v>
      </c>
    </row>
    <row r="13" spans="1:15" ht="15.75" customHeight="1" x14ac:dyDescent="0.25">
      <c r="A13" s="8" t="s">
        <v>60</v>
      </c>
      <c r="B13" s="8" t="s">
        <v>29</v>
      </c>
      <c r="C13" s="8" t="s">
        <v>46</v>
      </c>
      <c r="D13" s="8">
        <v>90</v>
      </c>
      <c r="E13" s="8">
        <v>40</v>
      </c>
      <c r="F13" s="8"/>
      <c r="G13" s="5">
        <f>IF(ISBLANK(D13),ROUND(AVERAGE($D$2:$D$35),0),D13)</f>
        <v>90</v>
      </c>
      <c r="H13" t="str">
        <f>IF(ISBLANK(F13),"UNKNOWN",F13)</f>
        <v>UNKNOWN</v>
      </c>
      <c r="I13">
        <v>25</v>
      </c>
      <c r="J13" t="s">
        <v>133</v>
      </c>
      <c r="K13" t="s">
        <v>134</v>
      </c>
      <c r="L13" s="18" t="str">
        <f>I13&amp; "-" &amp; J13</f>
        <v>25-NOV</v>
      </c>
      <c r="M13" t="str">
        <f t="shared" si="0"/>
        <v>Adidas Sneakers</v>
      </c>
      <c r="N13" s="15">
        <v>90</v>
      </c>
      <c r="O13" s="17">
        <v>46351</v>
      </c>
    </row>
    <row r="14" spans="1:15" ht="15.75" customHeight="1" x14ac:dyDescent="0.25">
      <c r="A14" s="5" t="s">
        <v>61</v>
      </c>
      <c r="B14" s="5" t="s">
        <v>33</v>
      </c>
      <c r="C14" s="5" t="s">
        <v>62</v>
      </c>
      <c r="D14" s="5">
        <v>120</v>
      </c>
      <c r="E14" s="5">
        <v>35</v>
      </c>
      <c r="F14" s="5"/>
      <c r="G14" s="5">
        <f>IF(ISBLANK(D14),ROUND(AVERAGE($D$2:$D$35),0),D14)</f>
        <v>120</v>
      </c>
      <c r="H14" t="str">
        <f>IF(ISBLANK(F14),"UNKNOWN",F14)</f>
        <v>UNKNOWN</v>
      </c>
      <c r="I14">
        <v>8</v>
      </c>
      <c r="J14" t="s">
        <v>135</v>
      </c>
      <c r="K14" t="s">
        <v>136</v>
      </c>
      <c r="L14" s="18" t="str">
        <f>I14&amp; "-" &amp; J14</f>
        <v>8-DEC</v>
      </c>
      <c r="M14" t="str">
        <f t="shared" si="0"/>
        <v>Nespresso Coffee Maker</v>
      </c>
      <c r="N14" s="15">
        <v>120</v>
      </c>
      <c r="O14" s="17">
        <v>46364</v>
      </c>
    </row>
    <row r="15" spans="1:15" ht="15.75" customHeight="1" x14ac:dyDescent="0.25">
      <c r="A15" s="8" t="s">
        <v>63</v>
      </c>
      <c r="B15" s="8" t="s">
        <v>64</v>
      </c>
      <c r="C15" s="8" t="s">
        <v>65</v>
      </c>
      <c r="D15" s="8">
        <v>150</v>
      </c>
      <c r="E15" s="8">
        <v>15</v>
      </c>
      <c r="F15" s="10" t="s">
        <v>27</v>
      </c>
      <c r="G15" s="5">
        <f>IF(ISBLANK(D15),ROUND(AVERAGE($D$2:$D$35),0),D15)</f>
        <v>150</v>
      </c>
      <c r="H15" t="str">
        <f>IF(ISBLANK(F15),"UNKNOWN",F15)</f>
        <v>Electronics</v>
      </c>
      <c r="I15">
        <v>18</v>
      </c>
      <c r="J15" t="s">
        <v>122</v>
      </c>
      <c r="K15" t="s">
        <v>137</v>
      </c>
      <c r="L15" s="18" t="str">
        <f>I15&amp; "-" &amp; J15</f>
        <v>18-FEB</v>
      </c>
      <c r="M15" t="str">
        <f t="shared" si="0"/>
        <v>Fitbit Smartwatch</v>
      </c>
      <c r="N15" s="15">
        <v>150</v>
      </c>
      <c r="O15" s="17">
        <v>46071</v>
      </c>
    </row>
    <row r="16" spans="1:15" ht="15.75" customHeight="1" x14ac:dyDescent="0.25">
      <c r="A16" s="5" t="s">
        <v>66</v>
      </c>
      <c r="B16" s="5" t="s">
        <v>67</v>
      </c>
      <c r="C16" s="5" t="s">
        <v>68</v>
      </c>
      <c r="D16" s="5">
        <v>250</v>
      </c>
      <c r="E16" s="5">
        <v>20</v>
      </c>
      <c r="F16" s="5" t="s">
        <v>27</v>
      </c>
      <c r="G16" s="5">
        <f>IF(ISBLANK(D16),ROUND(AVERAGE($D$2:$D$35),0),D16)</f>
        <v>250</v>
      </c>
      <c r="H16" t="str">
        <f>IF(ISBLANK(F16),"UNKNOWN",F16)</f>
        <v>Electronics</v>
      </c>
      <c r="I16">
        <v>16</v>
      </c>
      <c r="J16" t="s">
        <v>124</v>
      </c>
      <c r="K16" t="s">
        <v>138</v>
      </c>
      <c r="L16" s="18" t="str">
        <f>I16&amp; "-" &amp; J16</f>
        <v>16-APR</v>
      </c>
      <c r="M16" t="str">
        <f t="shared" si="0"/>
        <v>Bose headphones</v>
      </c>
      <c r="N16" s="15">
        <v>250</v>
      </c>
      <c r="O16" s="17">
        <v>46128</v>
      </c>
    </row>
    <row r="17" spans="1:15" ht="15.75" customHeight="1" x14ac:dyDescent="0.25">
      <c r="A17" s="8" t="s">
        <v>69</v>
      </c>
      <c r="B17" s="8" t="s">
        <v>70</v>
      </c>
      <c r="C17" s="8" t="s">
        <v>71</v>
      </c>
      <c r="D17" s="8">
        <v>50</v>
      </c>
      <c r="E17" s="8">
        <v>35</v>
      </c>
      <c r="F17" s="8" t="s">
        <v>72</v>
      </c>
      <c r="G17" s="5">
        <f>IF(ISBLANK(D17),ROUND(AVERAGE($D$2:$D$35),0),D17)</f>
        <v>50</v>
      </c>
      <c r="H17" t="str">
        <f>IF(ISBLANK(F17),"UNKNOWN",F17)</f>
        <v>Accessories</v>
      </c>
      <c r="I17">
        <v>21</v>
      </c>
      <c r="J17" t="s">
        <v>129</v>
      </c>
      <c r="K17" t="s">
        <v>137</v>
      </c>
      <c r="L17" s="18" t="str">
        <f>I17&amp; "-" &amp; J17</f>
        <v>21-AUG</v>
      </c>
      <c r="M17" t="str">
        <f t="shared" si="0"/>
        <v>Samsonite Laptop Bag</v>
      </c>
      <c r="N17" s="15">
        <v>50</v>
      </c>
      <c r="O17" s="17">
        <v>46255</v>
      </c>
    </row>
    <row r="18" spans="1:15" ht="15.75" customHeight="1" x14ac:dyDescent="0.25">
      <c r="A18" s="5" t="s">
        <v>73</v>
      </c>
      <c r="B18" s="5" t="s">
        <v>64</v>
      </c>
      <c r="C18" s="5" t="s">
        <v>74</v>
      </c>
      <c r="D18" s="5">
        <v>160</v>
      </c>
      <c r="E18" s="5">
        <v>15</v>
      </c>
      <c r="F18" s="5" t="s">
        <v>27</v>
      </c>
      <c r="G18" s="5">
        <f>IF(ISBLANK(D18),ROUND(AVERAGE($D$2:$D$35),0),D18)</f>
        <v>160</v>
      </c>
      <c r="H18" t="str">
        <f>IF(ISBLANK(F18),"UNKNOWN",F18)</f>
        <v>Electronics</v>
      </c>
      <c r="I18">
        <v>20</v>
      </c>
      <c r="J18" t="s">
        <v>129</v>
      </c>
      <c r="K18" t="s">
        <v>139</v>
      </c>
      <c r="L18" s="18" t="str">
        <f>I18&amp; "-" &amp; J18</f>
        <v>20-AUG</v>
      </c>
      <c r="M18" t="str">
        <f t="shared" si="0"/>
        <v>Huawei Smartwatch</v>
      </c>
      <c r="N18" s="15">
        <v>160</v>
      </c>
      <c r="O18" s="17">
        <v>46254</v>
      </c>
    </row>
    <row r="19" spans="1:15" ht="15.75" customHeight="1" x14ac:dyDescent="0.25">
      <c r="A19" s="8" t="s">
        <v>75</v>
      </c>
      <c r="B19" s="8" t="s">
        <v>58</v>
      </c>
      <c r="C19" s="8" t="s">
        <v>76</v>
      </c>
      <c r="D19" s="8">
        <v>980</v>
      </c>
      <c r="E19" s="8">
        <v>10</v>
      </c>
      <c r="F19" s="8" t="s">
        <v>27</v>
      </c>
      <c r="G19" s="5">
        <f>IF(ISBLANK(D19),ROUND(AVERAGE($D$2:$D$35),0),D19)</f>
        <v>980</v>
      </c>
      <c r="H19" t="str">
        <f>IF(ISBLANK(F19),"UNKNOWN",F19)</f>
        <v>Electronics</v>
      </c>
      <c r="I19">
        <v>27</v>
      </c>
      <c r="J19" t="s">
        <v>120</v>
      </c>
      <c r="K19" t="s">
        <v>140</v>
      </c>
      <c r="L19" s="18" t="str">
        <f>I19&amp; "-" &amp; J19</f>
        <v>27-JAN</v>
      </c>
      <c r="M19" t="str">
        <f t="shared" si="0"/>
        <v>Asus Laptop</v>
      </c>
      <c r="N19" s="15">
        <v>980</v>
      </c>
      <c r="O19" s="17">
        <v>46049</v>
      </c>
    </row>
    <row r="20" spans="1:15" ht="15.75" customHeight="1" x14ac:dyDescent="0.25">
      <c r="A20" s="5" t="s">
        <v>77</v>
      </c>
      <c r="B20" s="5" t="s">
        <v>78</v>
      </c>
      <c r="C20" s="5" t="s">
        <v>79</v>
      </c>
      <c r="D20" s="5">
        <v>150</v>
      </c>
      <c r="E20" s="5">
        <v>15</v>
      </c>
      <c r="F20" s="5" t="s">
        <v>31</v>
      </c>
      <c r="G20" s="5">
        <f>IF(ISBLANK(D20),ROUND(AVERAGE($D$2:$D$35),0),D20)</f>
        <v>150</v>
      </c>
      <c r="H20" t="str">
        <f>IF(ISBLANK(F20),"UNKNOWN",F20)</f>
        <v>Fashion</v>
      </c>
      <c r="I20">
        <v>1</v>
      </c>
      <c r="J20" t="s">
        <v>123</v>
      </c>
      <c r="K20" t="s">
        <v>127</v>
      </c>
      <c r="L20" s="18" t="str">
        <f>I20&amp; "-" &amp; J20</f>
        <v>1-MAR</v>
      </c>
      <c r="M20" t="str">
        <f t="shared" si="0"/>
        <v>Oakley Sunglasses</v>
      </c>
      <c r="N20" s="15">
        <v>150</v>
      </c>
      <c r="O20" s="17">
        <v>46082</v>
      </c>
    </row>
    <row r="21" spans="1:15" ht="15.75" customHeight="1" x14ac:dyDescent="0.25">
      <c r="A21" s="8" t="s">
        <v>80</v>
      </c>
      <c r="B21" s="8" t="s">
        <v>81</v>
      </c>
      <c r="C21" s="8" t="s">
        <v>82</v>
      </c>
      <c r="D21" s="8"/>
      <c r="E21" s="8">
        <v>10</v>
      </c>
      <c r="F21" s="8" t="s">
        <v>56</v>
      </c>
      <c r="G21" s="5">
        <f>IF(ISBLANK(D21),ROUND(AVERAGE($D$2:$D$35),0),D21)</f>
        <v>298</v>
      </c>
      <c r="H21" t="str">
        <f>IF(ISBLANK(F21),"UNKNOWN",F21)</f>
        <v>Outdoor</v>
      </c>
      <c r="I21">
        <v>14</v>
      </c>
      <c r="J21" t="s">
        <v>129</v>
      </c>
      <c r="K21" t="s">
        <v>121</v>
      </c>
      <c r="L21" s="18" t="str">
        <f>I21&amp; "-" &amp; J21</f>
        <v>14-AUG</v>
      </c>
      <c r="M21" t="str">
        <f t="shared" si="0"/>
        <v>Coleman Camping Tent</v>
      </c>
      <c r="N21" s="15"/>
      <c r="O21" s="17">
        <v>46248</v>
      </c>
    </row>
    <row r="22" spans="1:15" ht="15.75" customHeight="1" x14ac:dyDescent="0.25">
      <c r="A22" s="5" t="s">
        <v>83</v>
      </c>
      <c r="B22" s="5" t="s">
        <v>84</v>
      </c>
      <c r="C22" s="5" t="s">
        <v>85</v>
      </c>
      <c r="D22" s="5">
        <v>700</v>
      </c>
      <c r="E22" s="5">
        <v>50</v>
      </c>
      <c r="F22" s="5" t="s">
        <v>27</v>
      </c>
      <c r="G22" s="5">
        <f>IF(ISBLANK(D22),ROUND(AVERAGE($D$2:$D$35),0),D22)</f>
        <v>700</v>
      </c>
      <c r="H22" t="str">
        <f>IF(ISBLANK(F22),"UNKNOWN",F22)</f>
        <v>Electronics</v>
      </c>
      <c r="I22">
        <v>14</v>
      </c>
      <c r="J22" t="s">
        <v>125</v>
      </c>
      <c r="K22" t="s">
        <v>141</v>
      </c>
      <c r="L22" s="18" t="str">
        <f>I22&amp; "-" &amp; J22</f>
        <v>14-MAY</v>
      </c>
      <c r="M22" t="str">
        <f t="shared" si="0"/>
        <v>Nikon Camera</v>
      </c>
      <c r="N22" s="15">
        <v>700</v>
      </c>
      <c r="O22" s="17">
        <v>46156</v>
      </c>
    </row>
    <row r="23" spans="1:15" ht="15.75" customHeight="1" x14ac:dyDescent="0.25">
      <c r="A23" s="8" t="s">
        <v>86</v>
      </c>
      <c r="B23" s="8" t="s">
        <v>87</v>
      </c>
      <c r="C23" s="8" t="s">
        <v>88</v>
      </c>
      <c r="D23" s="8">
        <v>80</v>
      </c>
      <c r="E23" s="8">
        <v>20</v>
      </c>
      <c r="F23" s="8" t="s">
        <v>35</v>
      </c>
      <c r="G23" s="5">
        <f>IF(ISBLANK(D23),ROUND(AVERAGE($D$2:$D$35),0),D23)</f>
        <v>80</v>
      </c>
      <c r="H23" t="str">
        <f>IF(ISBLANK(F23),"UNKNOWN",F23)</f>
        <v>Kitchen</v>
      </c>
      <c r="I23">
        <v>9</v>
      </c>
      <c r="J23" t="s">
        <v>120</v>
      </c>
      <c r="K23" t="s">
        <v>137</v>
      </c>
      <c r="L23" s="18" t="str">
        <f>I23&amp; "-" &amp; J23</f>
        <v>9-JAN</v>
      </c>
      <c r="M23" t="str">
        <f t="shared" si="0"/>
        <v>Panasonic Microwave</v>
      </c>
      <c r="N23" s="15">
        <v>80</v>
      </c>
      <c r="O23" s="17">
        <v>46031</v>
      </c>
    </row>
    <row r="24" spans="1:15" ht="15.75" customHeight="1" x14ac:dyDescent="0.25">
      <c r="A24" s="5" t="s">
        <v>89</v>
      </c>
      <c r="B24" s="5" t="s">
        <v>90</v>
      </c>
      <c r="C24" s="5" t="s">
        <v>91</v>
      </c>
      <c r="D24" s="5">
        <v>150</v>
      </c>
      <c r="E24" s="5">
        <v>30</v>
      </c>
      <c r="F24" s="5"/>
      <c r="G24" s="5">
        <f>IF(ISBLANK(D24),ROUND(AVERAGE($D$2:$D$35),0),D24)</f>
        <v>150</v>
      </c>
      <c r="H24" t="str">
        <f>IF(ISBLANK(F24),"UNKNOWN",F24)</f>
        <v>UNKNOWN</v>
      </c>
      <c r="I24">
        <v>19</v>
      </c>
      <c r="J24" t="s">
        <v>128</v>
      </c>
      <c r="K24" t="s">
        <v>142</v>
      </c>
      <c r="L24" s="18" t="str">
        <f>I24&amp; "-" &amp; J24</f>
        <v>19-JUL</v>
      </c>
      <c r="M24" t="str">
        <f t="shared" si="0"/>
        <v>Xiaomi Fitness Tracker</v>
      </c>
      <c r="N24" s="15">
        <v>150</v>
      </c>
      <c r="O24" s="17">
        <v>46222</v>
      </c>
    </row>
    <row r="25" spans="1:15" ht="15.75" customHeight="1" x14ac:dyDescent="0.25">
      <c r="A25" s="5" t="s">
        <v>92</v>
      </c>
      <c r="B25" s="5" t="s">
        <v>93</v>
      </c>
      <c r="C25" s="5" t="s">
        <v>94</v>
      </c>
      <c r="D25" s="5">
        <v>800</v>
      </c>
      <c r="E25" s="5">
        <v>45</v>
      </c>
      <c r="F25" s="5" t="s">
        <v>27</v>
      </c>
      <c r="G25" s="5">
        <f>IF(ISBLANK(D25),ROUND(AVERAGE($D$2:$D$35),0),D25)</f>
        <v>800</v>
      </c>
      <c r="H25" t="str">
        <f>IF(ISBLANK(F25),"UNKNOWN",F25)</f>
        <v>Electronics</v>
      </c>
      <c r="I25">
        <v>29</v>
      </c>
      <c r="J25" t="s">
        <v>130</v>
      </c>
      <c r="K25" t="s">
        <v>137</v>
      </c>
      <c r="L25" s="18" t="str">
        <f>I25&amp; "-" &amp; J25</f>
        <v>29-SEP</v>
      </c>
      <c r="M25" t="str">
        <f t="shared" si="0"/>
        <v>Google Smartphone</v>
      </c>
      <c r="N25" s="15">
        <v>800</v>
      </c>
      <c r="O25" s="17">
        <v>46294</v>
      </c>
    </row>
    <row r="26" spans="1:15" ht="15.75" customHeight="1" x14ac:dyDescent="0.25">
      <c r="A26" s="8" t="s">
        <v>95</v>
      </c>
      <c r="B26" s="8" t="s">
        <v>78</v>
      </c>
      <c r="C26" s="8" t="s">
        <v>96</v>
      </c>
      <c r="D26" s="8"/>
      <c r="E26" s="8">
        <v>25</v>
      </c>
      <c r="F26" s="8" t="s">
        <v>31</v>
      </c>
      <c r="G26" s="5">
        <f>IF(ISBLANK(D26),ROUND(AVERAGE($D$2:$D$35),0),D26)</f>
        <v>298</v>
      </c>
      <c r="H26" t="str">
        <f>IF(ISBLANK(F26),"UNKNOWN",F26)</f>
        <v>Fashion</v>
      </c>
      <c r="I26">
        <v>3</v>
      </c>
      <c r="J26" t="s">
        <v>126</v>
      </c>
      <c r="K26" t="s">
        <v>137</v>
      </c>
      <c r="L26" s="18" t="str">
        <f>I26&amp; "-" &amp; J26</f>
        <v>3-JUN</v>
      </c>
      <c r="M26" t="str">
        <f t="shared" si="0"/>
        <v>Ray-Ban Sunglasses</v>
      </c>
      <c r="N26" s="15"/>
      <c r="O26" s="17">
        <v>46176</v>
      </c>
    </row>
    <row r="27" spans="1:15" ht="15.75" customHeight="1" x14ac:dyDescent="0.25">
      <c r="A27" s="5" t="s">
        <v>97</v>
      </c>
      <c r="B27" s="5" t="s">
        <v>48</v>
      </c>
      <c r="C27" s="5" t="s">
        <v>98</v>
      </c>
      <c r="D27" s="5">
        <v>400</v>
      </c>
      <c r="E27" s="5">
        <v>40</v>
      </c>
      <c r="F27" s="5" t="s">
        <v>35</v>
      </c>
      <c r="G27" s="5">
        <f>IF(ISBLANK(D27),ROUND(AVERAGE($D$2:$D$35),0),D27)</f>
        <v>400</v>
      </c>
      <c r="H27" t="str">
        <f>IF(ISBLANK(F27),"UNKNOWN",F27)</f>
        <v>Kitchen</v>
      </c>
      <c r="I27">
        <v>11</v>
      </c>
      <c r="J27" t="s">
        <v>128</v>
      </c>
      <c r="K27" t="s">
        <v>137</v>
      </c>
      <c r="L27" s="18" t="str">
        <f>I27&amp; "-" &amp; J27</f>
        <v>11-JUL</v>
      </c>
      <c r="M27" t="str">
        <f t="shared" si="0"/>
        <v>Vitamix Blender</v>
      </c>
      <c r="N27" s="15">
        <v>400</v>
      </c>
      <c r="O27" s="17">
        <v>46214</v>
      </c>
    </row>
    <row r="28" spans="1:15" ht="15.75" customHeight="1" x14ac:dyDescent="0.25">
      <c r="A28" s="5" t="s">
        <v>99</v>
      </c>
      <c r="B28" s="5" t="s">
        <v>100</v>
      </c>
      <c r="C28" s="5" t="s">
        <v>101</v>
      </c>
      <c r="D28" s="5">
        <v>60</v>
      </c>
      <c r="E28" s="5">
        <v>30</v>
      </c>
      <c r="F28" s="5" t="s">
        <v>31</v>
      </c>
      <c r="G28" s="5">
        <f>IF(ISBLANK(D28),ROUND(AVERAGE($D$2:$D$35),0),D28)</f>
        <v>60</v>
      </c>
      <c r="H28" t="str">
        <f>IF(ISBLANK(F28),"UNKNOWN",F28)</f>
        <v>Fashion</v>
      </c>
      <c r="I28">
        <v>7</v>
      </c>
      <c r="J28" t="s">
        <v>123</v>
      </c>
      <c r="K28" t="s">
        <v>137</v>
      </c>
      <c r="L28" s="18" t="str">
        <f>I28&amp; "-" &amp; J28</f>
        <v>7-MAR</v>
      </c>
      <c r="M28" t="str">
        <f t="shared" si="0"/>
        <v>Zara Dress</v>
      </c>
      <c r="N28" s="15">
        <v>60</v>
      </c>
      <c r="O28" s="17">
        <v>46088</v>
      </c>
    </row>
    <row r="29" spans="1:15" ht="15.75" customHeight="1" x14ac:dyDescent="0.25">
      <c r="A29" s="8" t="s">
        <v>102</v>
      </c>
      <c r="B29" s="8" t="s">
        <v>103</v>
      </c>
      <c r="C29" s="8" t="s">
        <v>104</v>
      </c>
      <c r="D29" s="8">
        <v>40</v>
      </c>
      <c r="E29" s="8">
        <v>10</v>
      </c>
      <c r="F29" s="8" t="s">
        <v>35</v>
      </c>
      <c r="G29" s="5">
        <f>IF(ISBLANK(D29),ROUND(AVERAGE($D$2:$D$35),0),D29)</f>
        <v>40</v>
      </c>
      <c r="H29" t="str">
        <f>IF(ISBLANK(F29),"UNKNOWN",F29)</f>
        <v>Kitchen</v>
      </c>
      <c r="I29">
        <v>13</v>
      </c>
      <c r="J29" t="s">
        <v>124</v>
      </c>
      <c r="K29" t="s">
        <v>137</v>
      </c>
      <c r="L29" s="18" t="str">
        <f>I29&amp; "-" &amp; J29</f>
        <v>13-APR</v>
      </c>
      <c r="M29" t="str">
        <f t="shared" si="0"/>
        <v>Hamilton Toaster</v>
      </c>
      <c r="N29" s="15">
        <v>40</v>
      </c>
      <c r="O29" s="17">
        <v>46125</v>
      </c>
    </row>
    <row r="30" spans="1:15" ht="15.75" customHeight="1" x14ac:dyDescent="0.25">
      <c r="A30" s="5" t="s">
        <v>105</v>
      </c>
      <c r="B30" s="5" t="s">
        <v>90</v>
      </c>
      <c r="C30" s="5" t="s">
        <v>106</v>
      </c>
      <c r="D30" s="5">
        <v>130</v>
      </c>
      <c r="E30" s="5">
        <v>5</v>
      </c>
      <c r="F30" s="5" t="s">
        <v>27</v>
      </c>
      <c r="G30" s="5">
        <f>IF(ISBLANK(D30),ROUND(AVERAGE($D$2:$D$35),0),D30)</f>
        <v>130</v>
      </c>
      <c r="H30" t="str">
        <f>IF(ISBLANK(F30),"UNKNOWN",F30)</f>
        <v>Electronics</v>
      </c>
      <c r="I30">
        <v>24</v>
      </c>
      <c r="J30" t="s">
        <v>125</v>
      </c>
      <c r="K30" t="s">
        <v>137</v>
      </c>
      <c r="L30" s="18" t="str">
        <f>I30&amp; "-" &amp; J30</f>
        <v>24-MAY</v>
      </c>
      <c r="M30" t="str">
        <f t="shared" si="0"/>
        <v>Garmin Fitness Tracker</v>
      </c>
      <c r="N30" s="15">
        <v>130</v>
      </c>
      <c r="O30" s="17">
        <v>46166</v>
      </c>
    </row>
    <row r="31" spans="1:15" ht="15.75" customHeight="1" x14ac:dyDescent="0.25">
      <c r="A31" s="8" t="s">
        <v>107</v>
      </c>
      <c r="B31" s="8" t="s">
        <v>108</v>
      </c>
      <c r="C31" s="8" t="s">
        <v>109</v>
      </c>
      <c r="D31" s="8">
        <v>50</v>
      </c>
      <c r="E31" s="8">
        <v>50</v>
      </c>
      <c r="F31" s="8" t="s">
        <v>31</v>
      </c>
      <c r="G31" s="5">
        <f>IF(ISBLANK(D31),ROUND(AVERAGE($D$2:$D$35),0),D31)</f>
        <v>50</v>
      </c>
      <c r="H31" t="str">
        <f>IF(ISBLANK(F31),"UNKNOWN",F31)</f>
        <v>Fashion</v>
      </c>
      <c r="I31">
        <v>2</v>
      </c>
      <c r="J31" t="s">
        <v>135</v>
      </c>
      <c r="K31" t="s">
        <v>137</v>
      </c>
      <c r="L31" s="18" t="str">
        <f>I31&amp; "-" &amp; J31</f>
        <v>2-DEC</v>
      </c>
      <c r="M31" t="str">
        <f t="shared" si="0"/>
        <v>Levi's Jeans</v>
      </c>
      <c r="N31" s="15">
        <v>50</v>
      </c>
      <c r="O31" s="17">
        <v>46358</v>
      </c>
    </row>
    <row r="32" spans="1:15" ht="15.75" customHeight="1" x14ac:dyDescent="0.25">
      <c r="A32" s="8" t="s">
        <v>110</v>
      </c>
      <c r="B32" s="8" t="s">
        <v>111</v>
      </c>
      <c r="C32" s="8" t="s">
        <v>112</v>
      </c>
      <c r="D32" s="8">
        <v>100</v>
      </c>
      <c r="E32" s="8">
        <v>20</v>
      </c>
      <c r="F32" s="8" t="s">
        <v>72</v>
      </c>
      <c r="G32" s="5">
        <f>IF(ISBLANK(D32),ROUND(AVERAGE($D$2:$D$35),0),D32)</f>
        <v>100</v>
      </c>
      <c r="H32" t="str">
        <f>IF(ISBLANK(F32),"UNKNOWN",F32)</f>
        <v>Accessories</v>
      </c>
      <c r="I32">
        <v>9</v>
      </c>
      <c r="J32" t="s">
        <v>128</v>
      </c>
      <c r="K32" t="s">
        <v>143</v>
      </c>
      <c r="L32" s="18" t="str">
        <f>I32&amp; "-" &amp; J32</f>
        <v>9-JUL</v>
      </c>
      <c r="M32" t="str">
        <f t="shared" si="0"/>
        <v>Casio Watch</v>
      </c>
      <c r="N32" s="15">
        <v>100</v>
      </c>
      <c r="O32" s="17">
        <v>46212</v>
      </c>
    </row>
    <row r="33" spans="1:13" ht="15.75" customHeight="1" x14ac:dyDescent="0.25">
      <c r="M33" t="str">
        <f t="shared" si="0"/>
        <v xml:space="preserve"> </v>
      </c>
    </row>
    <row r="34" spans="1:13" ht="15.75" customHeight="1" x14ac:dyDescent="0.25">
      <c r="M34" t="str">
        <f t="shared" si="0"/>
        <v xml:space="preserve"> </v>
      </c>
    </row>
    <row r="35" spans="1:13" ht="15.75" customHeight="1" x14ac:dyDescent="0.25">
      <c r="M35" t="str">
        <f t="shared" si="0"/>
        <v xml:space="preserve"> </v>
      </c>
    </row>
    <row r="36" spans="1:13" ht="15.75" customHeight="1" x14ac:dyDescent="0.25"/>
    <row r="37" spans="1:13" ht="15.75" customHeight="1" x14ac:dyDescent="0.25"/>
    <row r="38" spans="1:13" ht="15.75" customHeight="1" x14ac:dyDescent="0.25">
      <c r="A38">
        <v>1</v>
      </c>
      <c r="B38">
        <f>COUNTBLANK(D2:D35)</f>
        <v>6</v>
      </c>
      <c r="C38" t="s">
        <v>114</v>
      </c>
    </row>
    <row r="39" spans="1:13" ht="15.75" customHeight="1" x14ac:dyDescent="0.25">
      <c r="B39" t="s">
        <v>115</v>
      </c>
    </row>
    <row r="40" spans="1:13" ht="15.75" customHeight="1" x14ac:dyDescent="0.25">
      <c r="A40">
        <v>2</v>
      </c>
      <c r="B40" t="s">
        <v>117</v>
      </c>
    </row>
    <row r="41" spans="1:13" ht="15.75" customHeight="1" x14ac:dyDescent="0.25"/>
    <row r="42" spans="1:13" ht="15.75" customHeight="1" x14ac:dyDescent="0.25"/>
    <row r="43" spans="1:13" ht="15.75" customHeight="1" x14ac:dyDescent="0.25"/>
    <row r="44" spans="1:13" ht="15.75" customHeight="1" x14ac:dyDescent="0.25"/>
    <row r="45" spans="1:13" ht="15.75" customHeight="1" x14ac:dyDescent="0.25"/>
    <row r="46" spans="1:13" ht="15.75" customHeight="1" x14ac:dyDescent="0.25"/>
    <row r="47" spans="1:13" ht="15.75" customHeight="1" x14ac:dyDescent="0.25"/>
    <row r="48" spans="1:1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N35" xr:uid="{00000000-0001-0000-0100-000000000000}"/>
  <dataConsolidate/>
  <conditionalFormatting sqref="D1:D104857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{121BB526-D826-4552-B0B9-E69F1E0DA51F}</x14:id>
        </ext>
      </extLst>
    </cfRule>
  </conditionalFormatting>
  <conditionalFormatting sqref="F1:F1048576">
    <cfRule type="cellIs" priority="5" operator="equal">
      <formula>"Electronics"</formula>
    </cfRule>
    <cfRule type="containsText" dxfId="0" priority="1" operator="containsText" text="Electronics">
      <formula>NOT(ISERROR(SEARCH("Electronics",F1)))</formula>
    </cfRule>
  </conditionalFormatting>
  <conditionalFormatting sqref="J17">
    <cfRule type="expression" priority="4">
      <formula>$F$2="Electronics"</formula>
    </cfRule>
  </conditionalFormatting>
  <conditionalFormatting sqref="I10">
    <cfRule type="expression" dxfId="4" priority="3">
      <formula>$F:$F="Electronics"</formula>
    </cfRule>
    <cfRule type="cellIs" dxfId="3" priority="2" operator="equal">
      <formula>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1BB526-D826-4552-B0B9-E69F1E0DA5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Annie Ebin</cp:lastModifiedBy>
  <dcterms:modified xsi:type="dcterms:W3CDTF">2026-09-02T18:29:01Z</dcterms:modified>
</cp:coreProperties>
</file>
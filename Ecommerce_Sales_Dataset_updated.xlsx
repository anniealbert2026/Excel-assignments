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nnie\Downloads\"/>
    </mc:Choice>
  </mc:AlternateContent>
  <xr:revisionPtr revIDLastSave="0" documentId="13_ncr:1_{CCE67A9C-440C-4C55-ACFF-214718B90C00}" xr6:coauthVersionLast="47" xr6:coauthVersionMax="47" xr10:uidLastSave="{00000000-0000-0000-0000-000000000000}"/>
  <bookViews>
    <workbookView xWindow="-108" yWindow="-108" windowWidth="23256" windowHeight="12456" firstSheet="2" activeTab="9" xr2:uid="{00000000-000D-0000-FFFF-FFFF00000000}"/>
  </bookViews>
  <sheets>
    <sheet name="Customer_Dim" sheetId="1" r:id="rId1"/>
    <sheet name="Product_Dim" sheetId="2" r:id="rId2"/>
    <sheet name="Store_Dim" sheetId="3" r:id="rId3"/>
    <sheet name="Sheet9" sheetId="13" r:id="rId4"/>
    <sheet name="Sales_Fact" sheetId="4" r:id="rId5"/>
    <sheet name="Sheet11" sheetId="15" r:id="rId6"/>
    <sheet name="Pivot table" sheetId="6" r:id="rId7"/>
    <sheet name="Sheet12" sheetId="16" r:id="rId8"/>
    <sheet name="Charts" sheetId="11" r:id="rId9"/>
    <sheet name="DASH BOARD" sheetId="8" r:id="rId10"/>
  </sheets>
  <definedNames>
    <definedName name="_xlnm._FilterDatabase" localSheetId="0" hidden="1">'Customer_Dim'!$A$1:$M$501</definedName>
    <definedName name="_xlnm._FilterDatabase" localSheetId="1" hidden="1">Product_Dim!$A$1:$H$1</definedName>
    <definedName name="Slicer_Product_category">#N/A</definedName>
    <definedName name="Slicer_Store_ID">#N/A</definedName>
  </definedNames>
  <calcPr calcId="191029"/>
  <pivotCaches>
    <pivotCache cacheId="151" r:id="rId11"/>
    <pivotCache cacheId="165"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4" l="1"/>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 i="4"/>
  <c r="Q2" i="4"/>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O11" i="4"/>
  <c r="O64" i="4"/>
  <c r="O179" i="4"/>
  <c r="O198" i="4"/>
  <c r="O229" i="4"/>
  <c r="O616" i="4"/>
  <c r="O674" i="4"/>
  <c r="O690" i="4"/>
  <c r="O911" i="4"/>
  <c r="O917" i="4"/>
  <c r="O986" i="4"/>
  <c r="O1022" i="4"/>
  <c r="O1047" i="4"/>
  <c r="O1053" i="4"/>
  <c r="O1057" i="4"/>
  <c r="O1145" i="4"/>
  <c r="O1197" i="4"/>
  <c r="O1281" i="4"/>
  <c r="O1461" i="4"/>
  <c r="O1501" i="4"/>
  <c r="O1599" i="4"/>
  <c r="O1687" i="4"/>
  <c r="N36" i="4" l="1"/>
  <c r="N1130" i="4"/>
  <c r="N1142" i="4"/>
  <c r="N1154" i="4"/>
  <c r="N1166" i="4"/>
  <c r="N1178" i="4"/>
  <c r="N1190" i="4"/>
  <c r="N1202" i="4"/>
  <c r="N1214" i="4"/>
  <c r="N1226" i="4"/>
  <c r="N1238" i="4"/>
  <c r="N1250" i="4"/>
  <c r="N1262" i="4"/>
  <c r="N1274" i="4"/>
  <c r="N1286" i="4"/>
  <c r="N1298" i="4"/>
  <c r="N1310" i="4"/>
  <c r="N1322" i="4"/>
  <c r="N1334" i="4"/>
  <c r="N1346" i="4"/>
  <c r="N1358" i="4"/>
  <c r="N1370" i="4"/>
  <c r="N1382" i="4"/>
  <c r="N1394" i="4"/>
  <c r="N1406" i="4"/>
  <c r="N1418" i="4"/>
  <c r="N1430" i="4"/>
  <c r="N1442" i="4"/>
  <c r="N1454" i="4"/>
  <c r="N1466" i="4"/>
  <c r="N1478" i="4"/>
  <c r="N1490" i="4"/>
  <c r="N1502" i="4"/>
  <c r="N1514" i="4"/>
  <c r="N1526" i="4"/>
  <c r="N1538" i="4"/>
  <c r="N1550" i="4"/>
  <c r="N1562" i="4"/>
  <c r="N1574" i="4"/>
  <c r="N1586" i="4"/>
  <c r="N1598" i="4"/>
  <c r="N1610" i="4"/>
  <c r="N1622" i="4"/>
  <c r="N1634" i="4"/>
  <c r="N1646" i="4"/>
  <c r="N1658" i="4"/>
  <c r="N1670" i="4"/>
  <c r="N1682" i="4"/>
  <c r="N1694" i="4"/>
  <c r="N1706" i="4"/>
  <c r="N1718" i="4"/>
  <c r="N1730" i="4"/>
  <c r="N1742" i="4"/>
  <c r="N1754" i="4"/>
  <c r="N1766" i="4"/>
  <c r="N1778" i="4"/>
  <c r="N1790" i="4"/>
  <c r="N1802" i="4"/>
  <c r="N1814" i="4"/>
  <c r="N1826" i="4"/>
  <c r="N1838" i="4"/>
  <c r="N1850" i="4"/>
  <c r="N1862" i="4"/>
  <c r="N1874" i="4"/>
  <c r="N1886" i="4"/>
  <c r="N1898" i="4"/>
  <c r="N1910" i="4"/>
  <c r="N1922" i="4"/>
  <c r="N1934" i="4"/>
  <c r="N1946" i="4"/>
  <c r="N1958" i="4"/>
  <c r="N1970" i="4"/>
  <c r="N1982" i="4"/>
  <c r="N1994" i="4"/>
  <c r="N2" i="4"/>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2" i="2"/>
  <c r="C4" i="1"/>
  <c r="D4" i="1" s="1"/>
  <c r="C5" i="1"/>
  <c r="D5" i="1" s="1"/>
  <c r="C6" i="1"/>
  <c r="D6" i="1" s="1"/>
  <c r="C7" i="1"/>
  <c r="D7" i="1" s="1"/>
  <c r="C8" i="1"/>
  <c r="D8" i="1" s="1"/>
  <c r="C9" i="1"/>
  <c r="D9" i="1" s="1"/>
  <c r="C10" i="1"/>
  <c r="D10" i="1" s="1"/>
  <c r="C11" i="1"/>
  <c r="D11" i="1" s="1"/>
  <c r="C12" i="1"/>
  <c r="D12" i="1" s="1"/>
  <c r="C13" i="1"/>
  <c r="D13" i="1" s="1"/>
  <c r="C14" i="1"/>
  <c r="D14" i="1" s="1"/>
  <c r="C15" i="1"/>
  <c r="D15" i="1" s="1"/>
  <c r="C16" i="1"/>
  <c r="D16" i="1" s="1"/>
  <c r="C17" i="1"/>
  <c r="D17" i="1" s="1"/>
  <c r="C18" i="1"/>
  <c r="D18" i="1" s="1"/>
  <c r="C19" i="1"/>
  <c r="D19" i="1" s="1"/>
  <c r="C20" i="1"/>
  <c r="D20" i="1" s="1"/>
  <c r="C21" i="1"/>
  <c r="D21" i="1" s="1"/>
  <c r="C22" i="1"/>
  <c r="D22" i="1" s="1"/>
  <c r="C23" i="1"/>
  <c r="D23" i="1" s="1"/>
  <c r="C24" i="1"/>
  <c r="D24" i="1" s="1"/>
  <c r="C25" i="1"/>
  <c r="D25" i="1" s="1"/>
  <c r="C26" i="1"/>
  <c r="D26" i="1" s="1"/>
  <c r="C27" i="1"/>
  <c r="D27" i="1" s="1"/>
  <c r="C28" i="1"/>
  <c r="D28" i="1" s="1"/>
  <c r="C29" i="1"/>
  <c r="D29" i="1" s="1"/>
  <c r="C30" i="1"/>
  <c r="D30" i="1" s="1"/>
  <c r="C31" i="1"/>
  <c r="D31" i="1" s="1"/>
  <c r="C32" i="1"/>
  <c r="D32" i="1" s="1"/>
  <c r="C33" i="1"/>
  <c r="D33" i="1" s="1"/>
  <c r="C34" i="1"/>
  <c r="D34" i="1" s="1"/>
  <c r="C35" i="1"/>
  <c r="D35" i="1" s="1"/>
  <c r="C36" i="1"/>
  <c r="D36" i="1" s="1"/>
  <c r="C37" i="1"/>
  <c r="D37" i="1" s="1"/>
  <c r="C38" i="1"/>
  <c r="D38" i="1" s="1"/>
  <c r="C39" i="1"/>
  <c r="D39" i="1" s="1"/>
  <c r="C40" i="1"/>
  <c r="D40" i="1" s="1"/>
  <c r="C41" i="1"/>
  <c r="D41" i="1" s="1"/>
  <c r="C42" i="1"/>
  <c r="D42" i="1" s="1"/>
  <c r="C43" i="1"/>
  <c r="D43" i="1" s="1"/>
  <c r="C44" i="1"/>
  <c r="D44" i="1" s="1"/>
  <c r="C45" i="1"/>
  <c r="D45" i="1" s="1"/>
  <c r="C46" i="1"/>
  <c r="D46" i="1" s="1"/>
  <c r="C47" i="1"/>
  <c r="D47" i="1" s="1"/>
  <c r="C48" i="1"/>
  <c r="D48" i="1" s="1"/>
  <c r="C49" i="1"/>
  <c r="D49" i="1" s="1"/>
  <c r="C50" i="1"/>
  <c r="D50" i="1" s="1"/>
  <c r="C51" i="1"/>
  <c r="D51" i="1" s="1"/>
  <c r="C52" i="1"/>
  <c r="D52" i="1" s="1"/>
  <c r="C53" i="1"/>
  <c r="D53" i="1" s="1"/>
  <c r="C54" i="1"/>
  <c r="D54" i="1" s="1"/>
  <c r="C55" i="1"/>
  <c r="D55" i="1" s="1"/>
  <c r="C56" i="1"/>
  <c r="D56" i="1" s="1"/>
  <c r="C57" i="1"/>
  <c r="D57" i="1" s="1"/>
  <c r="C58" i="1"/>
  <c r="D58" i="1" s="1"/>
  <c r="C59" i="1"/>
  <c r="D59" i="1" s="1"/>
  <c r="C60" i="1"/>
  <c r="D60" i="1" s="1"/>
  <c r="C61" i="1"/>
  <c r="D61" i="1" s="1"/>
  <c r="C62" i="1"/>
  <c r="D62" i="1" s="1"/>
  <c r="C63" i="1"/>
  <c r="D63" i="1" s="1"/>
  <c r="C64" i="1"/>
  <c r="D64" i="1" s="1"/>
  <c r="C65" i="1"/>
  <c r="D65" i="1" s="1"/>
  <c r="C66" i="1"/>
  <c r="D66" i="1" s="1"/>
  <c r="C67" i="1"/>
  <c r="D67" i="1" s="1"/>
  <c r="C68" i="1"/>
  <c r="D68" i="1" s="1"/>
  <c r="C69" i="1"/>
  <c r="D69" i="1" s="1"/>
  <c r="C70" i="1"/>
  <c r="D70" i="1" s="1"/>
  <c r="C71" i="1"/>
  <c r="D71" i="1" s="1"/>
  <c r="C72" i="1"/>
  <c r="D72" i="1" s="1"/>
  <c r="C73" i="1"/>
  <c r="D73" i="1" s="1"/>
  <c r="C74" i="1"/>
  <c r="D74" i="1" s="1"/>
  <c r="C75" i="1"/>
  <c r="D75" i="1" s="1"/>
  <c r="C76" i="1"/>
  <c r="D76" i="1" s="1"/>
  <c r="C77" i="1"/>
  <c r="D77" i="1" s="1"/>
  <c r="C78" i="1"/>
  <c r="D78" i="1" s="1"/>
  <c r="C79" i="1"/>
  <c r="D79" i="1" s="1"/>
  <c r="C80" i="1"/>
  <c r="D80" i="1" s="1"/>
  <c r="C81" i="1"/>
  <c r="D81" i="1" s="1"/>
  <c r="C82" i="1"/>
  <c r="D82" i="1" s="1"/>
  <c r="C83" i="1"/>
  <c r="D83" i="1" s="1"/>
  <c r="C84" i="1"/>
  <c r="D84" i="1" s="1"/>
  <c r="C85" i="1"/>
  <c r="D85" i="1" s="1"/>
  <c r="C86" i="1"/>
  <c r="D86" i="1" s="1"/>
  <c r="C87" i="1"/>
  <c r="D87" i="1" s="1"/>
  <c r="C88" i="1"/>
  <c r="D88" i="1" s="1"/>
  <c r="C89" i="1"/>
  <c r="D89" i="1" s="1"/>
  <c r="C90" i="1"/>
  <c r="D90" i="1" s="1"/>
  <c r="C91" i="1"/>
  <c r="D91" i="1" s="1"/>
  <c r="C92" i="1"/>
  <c r="D92" i="1" s="1"/>
  <c r="C93" i="1"/>
  <c r="D93" i="1" s="1"/>
  <c r="C94" i="1"/>
  <c r="D94" i="1" s="1"/>
  <c r="C95" i="1"/>
  <c r="D95" i="1" s="1"/>
  <c r="C96" i="1"/>
  <c r="D96" i="1" s="1"/>
  <c r="C97" i="1"/>
  <c r="D97" i="1" s="1"/>
  <c r="C98" i="1"/>
  <c r="D98" i="1" s="1"/>
  <c r="C99" i="1"/>
  <c r="D99" i="1" s="1"/>
  <c r="C100" i="1"/>
  <c r="D100" i="1" s="1"/>
  <c r="C101" i="1"/>
  <c r="D101" i="1" s="1"/>
  <c r="C102" i="1"/>
  <c r="D102" i="1" s="1"/>
  <c r="C103" i="1"/>
  <c r="D103" i="1" s="1"/>
  <c r="C104" i="1"/>
  <c r="D104" i="1" s="1"/>
  <c r="C105" i="1"/>
  <c r="D105" i="1" s="1"/>
  <c r="C106" i="1"/>
  <c r="D106" i="1" s="1"/>
  <c r="C107" i="1"/>
  <c r="D107" i="1" s="1"/>
  <c r="C108" i="1"/>
  <c r="D108" i="1" s="1"/>
  <c r="C109" i="1"/>
  <c r="D109" i="1" s="1"/>
  <c r="C110" i="1"/>
  <c r="D110" i="1" s="1"/>
  <c r="C111" i="1"/>
  <c r="D111" i="1" s="1"/>
  <c r="C112" i="1"/>
  <c r="D112" i="1" s="1"/>
  <c r="C113" i="1"/>
  <c r="D113" i="1" s="1"/>
  <c r="C114" i="1"/>
  <c r="D114" i="1" s="1"/>
  <c r="C115" i="1"/>
  <c r="D115" i="1" s="1"/>
  <c r="C116" i="1"/>
  <c r="D116" i="1" s="1"/>
  <c r="C117" i="1"/>
  <c r="D117" i="1" s="1"/>
  <c r="C118" i="1"/>
  <c r="D118" i="1" s="1"/>
  <c r="C119" i="1"/>
  <c r="D119" i="1" s="1"/>
  <c r="C120" i="1"/>
  <c r="D120" i="1" s="1"/>
  <c r="C121" i="1"/>
  <c r="D121" i="1" s="1"/>
  <c r="C122" i="1"/>
  <c r="D122" i="1" s="1"/>
  <c r="C123" i="1"/>
  <c r="D123" i="1" s="1"/>
  <c r="C124" i="1"/>
  <c r="D124" i="1" s="1"/>
  <c r="C125" i="1"/>
  <c r="D125" i="1" s="1"/>
  <c r="C126" i="1"/>
  <c r="D126" i="1" s="1"/>
  <c r="C127" i="1"/>
  <c r="D127" i="1" s="1"/>
  <c r="C128" i="1"/>
  <c r="D128" i="1" s="1"/>
  <c r="C129" i="1"/>
  <c r="D129" i="1" s="1"/>
  <c r="C130" i="1"/>
  <c r="D130" i="1" s="1"/>
  <c r="C131" i="1"/>
  <c r="D131" i="1" s="1"/>
  <c r="C132" i="1"/>
  <c r="D132" i="1" s="1"/>
  <c r="C133" i="1"/>
  <c r="D133" i="1" s="1"/>
  <c r="C134" i="1"/>
  <c r="D134" i="1" s="1"/>
  <c r="C135" i="1"/>
  <c r="D135" i="1" s="1"/>
  <c r="C136" i="1"/>
  <c r="D136" i="1" s="1"/>
  <c r="C137" i="1"/>
  <c r="D137" i="1" s="1"/>
  <c r="C138" i="1"/>
  <c r="D138" i="1" s="1"/>
  <c r="C139" i="1"/>
  <c r="D139" i="1" s="1"/>
  <c r="C140" i="1"/>
  <c r="D140" i="1" s="1"/>
  <c r="C141" i="1"/>
  <c r="D141" i="1" s="1"/>
  <c r="C142" i="1"/>
  <c r="D142" i="1" s="1"/>
  <c r="C143" i="1"/>
  <c r="D143" i="1" s="1"/>
  <c r="C144" i="1"/>
  <c r="D144" i="1" s="1"/>
  <c r="C145" i="1"/>
  <c r="D145" i="1" s="1"/>
  <c r="C146" i="1"/>
  <c r="D146" i="1" s="1"/>
  <c r="C147" i="1"/>
  <c r="D147" i="1" s="1"/>
  <c r="C148" i="1"/>
  <c r="D148" i="1" s="1"/>
  <c r="C149" i="1"/>
  <c r="D149" i="1" s="1"/>
  <c r="C150" i="1"/>
  <c r="D150" i="1" s="1"/>
  <c r="C151" i="1"/>
  <c r="D151" i="1" s="1"/>
  <c r="C152" i="1"/>
  <c r="D152" i="1" s="1"/>
  <c r="C153" i="1"/>
  <c r="D153" i="1" s="1"/>
  <c r="C154" i="1"/>
  <c r="D154" i="1" s="1"/>
  <c r="C155" i="1"/>
  <c r="D155" i="1" s="1"/>
  <c r="C156" i="1"/>
  <c r="D156" i="1" s="1"/>
  <c r="C157" i="1"/>
  <c r="D157" i="1" s="1"/>
  <c r="C158" i="1"/>
  <c r="D158" i="1" s="1"/>
  <c r="C159" i="1"/>
  <c r="D159" i="1" s="1"/>
  <c r="C160" i="1"/>
  <c r="D160" i="1" s="1"/>
  <c r="C161" i="1"/>
  <c r="D161" i="1" s="1"/>
  <c r="C162" i="1"/>
  <c r="D162" i="1" s="1"/>
  <c r="C163" i="1"/>
  <c r="D163" i="1" s="1"/>
  <c r="C164" i="1"/>
  <c r="D164" i="1" s="1"/>
  <c r="C165" i="1"/>
  <c r="D165" i="1" s="1"/>
  <c r="C166" i="1"/>
  <c r="D166" i="1" s="1"/>
  <c r="C167" i="1"/>
  <c r="D167" i="1" s="1"/>
  <c r="C168" i="1"/>
  <c r="D168" i="1" s="1"/>
  <c r="C169" i="1"/>
  <c r="D169" i="1" s="1"/>
  <c r="C170" i="1"/>
  <c r="D170" i="1" s="1"/>
  <c r="C171" i="1"/>
  <c r="D171" i="1" s="1"/>
  <c r="C172" i="1"/>
  <c r="D172" i="1" s="1"/>
  <c r="C173" i="1"/>
  <c r="D173" i="1" s="1"/>
  <c r="C174" i="1"/>
  <c r="D174" i="1" s="1"/>
  <c r="C175" i="1"/>
  <c r="D175" i="1" s="1"/>
  <c r="C176" i="1"/>
  <c r="D176" i="1" s="1"/>
  <c r="C177" i="1"/>
  <c r="D177" i="1" s="1"/>
  <c r="C178" i="1"/>
  <c r="D178" i="1" s="1"/>
  <c r="C179" i="1"/>
  <c r="D179" i="1" s="1"/>
  <c r="C180" i="1"/>
  <c r="D180" i="1" s="1"/>
  <c r="C181" i="1"/>
  <c r="D181" i="1" s="1"/>
  <c r="C182" i="1"/>
  <c r="D182" i="1" s="1"/>
  <c r="C183" i="1"/>
  <c r="D183" i="1" s="1"/>
  <c r="C184" i="1"/>
  <c r="D184" i="1" s="1"/>
  <c r="C185" i="1"/>
  <c r="D185" i="1" s="1"/>
  <c r="C186" i="1"/>
  <c r="D186" i="1" s="1"/>
  <c r="C187" i="1"/>
  <c r="D187" i="1" s="1"/>
  <c r="C188" i="1"/>
  <c r="D188" i="1" s="1"/>
  <c r="C189" i="1"/>
  <c r="D189" i="1" s="1"/>
  <c r="C190" i="1"/>
  <c r="D190" i="1" s="1"/>
  <c r="C191" i="1"/>
  <c r="D191" i="1" s="1"/>
  <c r="C192" i="1"/>
  <c r="D192" i="1" s="1"/>
  <c r="C193" i="1"/>
  <c r="D193" i="1" s="1"/>
  <c r="C194" i="1"/>
  <c r="D194" i="1" s="1"/>
  <c r="C195" i="1"/>
  <c r="D195" i="1" s="1"/>
  <c r="C196" i="1"/>
  <c r="D196" i="1" s="1"/>
  <c r="C197" i="1"/>
  <c r="D197" i="1" s="1"/>
  <c r="C198" i="1"/>
  <c r="D198" i="1" s="1"/>
  <c r="C199" i="1"/>
  <c r="D199" i="1" s="1"/>
  <c r="C200" i="1"/>
  <c r="D200" i="1" s="1"/>
  <c r="C201" i="1"/>
  <c r="D201" i="1" s="1"/>
  <c r="C202" i="1"/>
  <c r="D202" i="1" s="1"/>
  <c r="C203" i="1"/>
  <c r="D203" i="1" s="1"/>
  <c r="C204" i="1"/>
  <c r="D204" i="1" s="1"/>
  <c r="C205" i="1"/>
  <c r="D205" i="1" s="1"/>
  <c r="C206" i="1"/>
  <c r="D206" i="1" s="1"/>
  <c r="C207" i="1"/>
  <c r="D207" i="1" s="1"/>
  <c r="C208" i="1"/>
  <c r="D208" i="1" s="1"/>
  <c r="C209" i="1"/>
  <c r="D209" i="1" s="1"/>
  <c r="C210" i="1"/>
  <c r="D210" i="1" s="1"/>
  <c r="C211" i="1"/>
  <c r="D211" i="1" s="1"/>
  <c r="C212" i="1"/>
  <c r="D212" i="1" s="1"/>
  <c r="C213" i="1"/>
  <c r="D213" i="1" s="1"/>
  <c r="C214" i="1"/>
  <c r="D214" i="1" s="1"/>
  <c r="C215" i="1"/>
  <c r="D215" i="1" s="1"/>
  <c r="C216" i="1"/>
  <c r="D216" i="1" s="1"/>
  <c r="C217" i="1"/>
  <c r="D217" i="1" s="1"/>
  <c r="C218" i="1"/>
  <c r="D218" i="1" s="1"/>
  <c r="C219" i="1"/>
  <c r="D219" i="1" s="1"/>
  <c r="C220" i="1"/>
  <c r="D220" i="1" s="1"/>
  <c r="C221" i="1"/>
  <c r="D221" i="1" s="1"/>
  <c r="C222" i="1"/>
  <c r="D222" i="1" s="1"/>
  <c r="C223" i="1"/>
  <c r="D223" i="1" s="1"/>
  <c r="C224" i="1"/>
  <c r="D224" i="1" s="1"/>
  <c r="C225" i="1"/>
  <c r="D225" i="1" s="1"/>
  <c r="C226" i="1"/>
  <c r="D226" i="1" s="1"/>
  <c r="C227" i="1"/>
  <c r="D227" i="1" s="1"/>
  <c r="C228" i="1"/>
  <c r="D228" i="1" s="1"/>
  <c r="C229" i="1"/>
  <c r="D229" i="1" s="1"/>
  <c r="C230" i="1"/>
  <c r="D230" i="1" s="1"/>
  <c r="C231" i="1"/>
  <c r="D231" i="1" s="1"/>
  <c r="C232" i="1"/>
  <c r="D232" i="1" s="1"/>
  <c r="C233" i="1"/>
  <c r="D233" i="1" s="1"/>
  <c r="C234" i="1"/>
  <c r="D234" i="1" s="1"/>
  <c r="C235" i="1"/>
  <c r="D235" i="1" s="1"/>
  <c r="C236" i="1"/>
  <c r="D236" i="1" s="1"/>
  <c r="C237" i="1"/>
  <c r="D237" i="1" s="1"/>
  <c r="C238" i="1"/>
  <c r="D238" i="1" s="1"/>
  <c r="C239" i="1"/>
  <c r="D239" i="1" s="1"/>
  <c r="C240" i="1"/>
  <c r="D240" i="1" s="1"/>
  <c r="C241" i="1"/>
  <c r="D241" i="1" s="1"/>
  <c r="C242" i="1"/>
  <c r="D242" i="1" s="1"/>
  <c r="C243" i="1"/>
  <c r="D243" i="1" s="1"/>
  <c r="C244" i="1"/>
  <c r="D244" i="1" s="1"/>
  <c r="C245" i="1"/>
  <c r="D245" i="1" s="1"/>
  <c r="C246" i="1"/>
  <c r="D246" i="1" s="1"/>
  <c r="C247" i="1"/>
  <c r="D247" i="1" s="1"/>
  <c r="C248" i="1"/>
  <c r="D248" i="1" s="1"/>
  <c r="C249" i="1"/>
  <c r="D249" i="1" s="1"/>
  <c r="C250" i="1"/>
  <c r="D250" i="1" s="1"/>
  <c r="C251" i="1"/>
  <c r="D251" i="1" s="1"/>
  <c r="C252" i="1"/>
  <c r="D252" i="1" s="1"/>
  <c r="C253" i="1"/>
  <c r="D253" i="1" s="1"/>
  <c r="C254" i="1"/>
  <c r="D254" i="1" s="1"/>
  <c r="C255" i="1"/>
  <c r="D255" i="1" s="1"/>
  <c r="C256" i="1"/>
  <c r="D256" i="1" s="1"/>
  <c r="C257" i="1"/>
  <c r="D257" i="1" s="1"/>
  <c r="C258" i="1"/>
  <c r="D258" i="1" s="1"/>
  <c r="C259" i="1"/>
  <c r="D259" i="1" s="1"/>
  <c r="C260" i="1"/>
  <c r="D260" i="1" s="1"/>
  <c r="C261" i="1"/>
  <c r="D261" i="1" s="1"/>
  <c r="C262" i="1"/>
  <c r="D262" i="1" s="1"/>
  <c r="C263" i="1"/>
  <c r="D263" i="1" s="1"/>
  <c r="C264" i="1"/>
  <c r="D264" i="1" s="1"/>
  <c r="C265" i="1"/>
  <c r="D265" i="1" s="1"/>
  <c r="C266" i="1"/>
  <c r="D266" i="1" s="1"/>
  <c r="C267" i="1"/>
  <c r="D267" i="1" s="1"/>
  <c r="C268" i="1"/>
  <c r="D268" i="1" s="1"/>
  <c r="C269" i="1"/>
  <c r="D269" i="1" s="1"/>
  <c r="C270" i="1"/>
  <c r="D270" i="1" s="1"/>
  <c r="C271" i="1"/>
  <c r="D271" i="1" s="1"/>
  <c r="C272" i="1"/>
  <c r="D272" i="1" s="1"/>
  <c r="C273" i="1"/>
  <c r="D273" i="1" s="1"/>
  <c r="C274" i="1"/>
  <c r="D274" i="1" s="1"/>
  <c r="C275" i="1"/>
  <c r="D275" i="1" s="1"/>
  <c r="C276" i="1"/>
  <c r="D276" i="1" s="1"/>
  <c r="C277" i="1"/>
  <c r="D277" i="1" s="1"/>
  <c r="C278" i="1"/>
  <c r="D278" i="1" s="1"/>
  <c r="C279" i="1"/>
  <c r="D279" i="1" s="1"/>
  <c r="C280" i="1"/>
  <c r="D280" i="1" s="1"/>
  <c r="C281" i="1"/>
  <c r="D281" i="1" s="1"/>
  <c r="C282" i="1"/>
  <c r="D282" i="1" s="1"/>
  <c r="C283" i="1"/>
  <c r="D283" i="1" s="1"/>
  <c r="C284" i="1"/>
  <c r="D284" i="1" s="1"/>
  <c r="C285" i="1"/>
  <c r="D285" i="1" s="1"/>
  <c r="C286" i="1"/>
  <c r="D286" i="1" s="1"/>
  <c r="C287" i="1"/>
  <c r="D287" i="1" s="1"/>
  <c r="C288" i="1"/>
  <c r="D288" i="1" s="1"/>
  <c r="C289" i="1"/>
  <c r="D289" i="1" s="1"/>
  <c r="C290" i="1"/>
  <c r="D290" i="1" s="1"/>
  <c r="C291" i="1"/>
  <c r="D291" i="1" s="1"/>
  <c r="C292" i="1"/>
  <c r="D292" i="1" s="1"/>
  <c r="C293" i="1"/>
  <c r="D293" i="1" s="1"/>
  <c r="C294" i="1"/>
  <c r="D294" i="1" s="1"/>
  <c r="C295" i="1"/>
  <c r="D295" i="1" s="1"/>
  <c r="C296" i="1"/>
  <c r="D296" i="1" s="1"/>
  <c r="C297" i="1"/>
  <c r="D297" i="1" s="1"/>
  <c r="C298" i="1"/>
  <c r="D298" i="1" s="1"/>
  <c r="C299" i="1"/>
  <c r="D299" i="1" s="1"/>
  <c r="C300" i="1"/>
  <c r="D300" i="1" s="1"/>
  <c r="C301" i="1"/>
  <c r="D301" i="1" s="1"/>
  <c r="C302" i="1"/>
  <c r="D302" i="1" s="1"/>
  <c r="C303" i="1"/>
  <c r="D303" i="1" s="1"/>
  <c r="C304" i="1"/>
  <c r="D304" i="1" s="1"/>
  <c r="C305" i="1"/>
  <c r="D305" i="1" s="1"/>
  <c r="C306" i="1"/>
  <c r="D306" i="1" s="1"/>
  <c r="C307" i="1"/>
  <c r="D307" i="1" s="1"/>
  <c r="C308" i="1"/>
  <c r="D308" i="1" s="1"/>
  <c r="C309" i="1"/>
  <c r="D309" i="1" s="1"/>
  <c r="C310" i="1"/>
  <c r="D310" i="1" s="1"/>
  <c r="C311" i="1"/>
  <c r="D311" i="1" s="1"/>
  <c r="C312" i="1"/>
  <c r="D312" i="1" s="1"/>
  <c r="C313" i="1"/>
  <c r="D313" i="1" s="1"/>
  <c r="C314" i="1"/>
  <c r="D314" i="1" s="1"/>
  <c r="C315" i="1"/>
  <c r="D315" i="1" s="1"/>
  <c r="C316" i="1"/>
  <c r="D316" i="1" s="1"/>
  <c r="C317" i="1"/>
  <c r="D317" i="1" s="1"/>
  <c r="C318" i="1"/>
  <c r="D318" i="1" s="1"/>
  <c r="C319" i="1"/>
  <c r="D319" i="1" s="1"/>
  <c r="C320" i="1"/>
  <c r="D320" i="1" s="1"/>
  <c r="C321" i="1"/>
  <c r="D321" i="1" s="1"/>
  <c r="C322" i="1"/>
  <c r="D322" i="1" s="1"/>
  <c r="C323" i="1"/>
  <c r="D323" i="1" s="1"/>
  <c r="C324" i="1"/>
  <c r="D324" i="1" s="1"/>
  <c r="C325" i="1"/>
  <c r="D325" i="1" s="1"/>
  <c r="C326" i="1"/>
  <c r="D326" i="1" s="1"/>
  <c r="C327" i="1"/>
  <c r="D327" i="1" s="1"/>
  <c r="C328" i="1"/>
  <c r="D328" i="1" s="1"/>
  <c r="C329" i="1"/>
  <c r="D329" i="1" s="1"/>
  <c r="C330" i="1"/>
  <c r="D330" i="1" s="1"/>
  <c r="C331" i="1"/>
  <c r="D331" i="1" s="1"/>
  <c r="C332" i="1"/>
  <c r="D332" i="1" s="1"/>
  <c r="C333" i="1"/>
  <c r="D333" i="1" s="1"/>
  <c r="C334" i="1"/>
  <c r="D334" i="1" s="1"/>
  <c r="C335" i="1"/>
  <c r="D335" i="1" s="1"/>
  <c r="C336" i="1"/>
  <c r="D336" i="1" s="1"/>
  <c r="C337" i="1"/>
  <c r="D337" i="1" s="1"/>
  <c r="C338" i="1"/>
  <c r="D338" i="1" s="1"/>
  <c r="C339" i="1"/>
  <c r="D339" i="1" s="1"/>
  <c r="C340" i="1"/>
  <c r="D340" i="1" s="1"/>
  <c r="C341" i="1"/>
  <c r="D341" i="1" s="1"/>
  <c r="C342" i="1"/>
  <c r="D342" i="1" s="1"/>
  <c r="C343" i="1"/>
  <c r="D343" i="1" s="1"/>
  <c r="C344" i="1"/>
  <c r="D344" i="1" s="1"/>
  <c r="C345" i="1"/>
  <c r="D345" i="1" s="1"/>
  <c r="C346" i="1"/>
  <c r="D346" i="1" s="1"/>
  <c r="C347" i="1"/>
  <c r="D347" i="1" s="1"/>
  <c r="C348" i="1"/>
  <c r="D348" i="1" s="1"/>
  <c r="C349" i="1"/>
  <c r="D349" i="1" s="1"/>
  <c r="C350" i="1"/>
  <c r="D350" i="1" s="1"/>
  <c r="C351" i="1"/>
  <c r="D351" i="1" s="1"/>
  <c r="C352" i="1"/>
  <c r="D352" i="1" s="1"/>
  <c r="C353" i="1"/>
  <c r="D353" i="1" s="1"/>
  <c r="C354" i="1"/>
  <c r="D354" i="1" s="1"/>
  <c r="C355" i="1"/>
  <c r="D355" i="1" s="1"/>
  <c r="C356" i="1"/>
  <c r="D356" i="1" s="1"/>
  <c r="C357" i="1"/>
  <c r="D357" i="1" s="1"/>
  <c r="C358" i="1"/>
  <c r="D358" i="1" s="1"/>
  <c r="C359" i="1"/>
  <c r="D359" i="1" s="1"/>
  <c r="C360" i="1"/>
  <c r="D360" i="1" s="1"/>
  <c r="C361" i="1"/>
  <c r="D361" i="1" s="1"/>
  <c r="C362" i="1"/>
  <c r="D362" i="1" s="1"/>
  <c r="C363" i="1"/>
  <c r="D363" i="1" s="1"/>
  <c r="C364" i="1"/>
  <c r="D364" i="1" s="1"/>
  <c r="C365" i="1"/>
  <c r="D365" i="1" s="1"/>
  <c r="C366" i="1"/>
  <c r="D366" i="1" s="1"/>
  <c r="C367" i="1"/>
  <c r="D367" i="1" s="1"/>
  <c r="C368" i="1"/>
  <c r="D368" i="1" s="1"/>
  <c r="C369" i="1"/>
  <c r="D369" i="1" s="1"/>
  <c r="C370" i="1"/>
  <c r="D370" i="1" s="1"/>
  <c r="C371" i="1"/>
  <c r="D371" i="1" s="1"/>
  <c r="C372" i="1"/>
  <c r="D372" i="1" s="1"/>
  <c r="C373" i="1"/>
  <c r="D373" i="1" s="1"/>
  <c r="C374" i="1"/>
  <c r="D374" i="1" s="1"/>
  <c r="C375" i="1"/>
  <c r="D375" i="1" s="1"/>
  <c r="C376" i="1"/>
  <c r="D376" i="1" s="1"/>
  <c r="C377" i="1"/>
  <c r="D377" i="1" s="1"/>
  <c r="C378" i="1"/>
  <c r="D378" i="1" s="1"/>
  <c r="C379" i="1"/>
  <c r="D379" i="1" s="1"/>
  <c r="C380" i="1"/>
  <c r="D380" i="1" s="1"/>
  <c r="C381" i="1"/>
  <c r="D381" i="1" s="1"/>
  <c r="C382" i="1"/>
  <c r="D382" i="1" s="1"/>
  <c r="C383" i="1"/>
  <c r="D383" i="1" s="1"/>
  <c r="C384" i="1"/>
  <c r="D384" i="1" s="1"/>
  <c r="C385" i="1"/>
  <c r="D385" i="1" s="1"/>
  <c r="C386" i="1"/>
  <c r="D386" i="1" s="1"/>
  <c r="C387" i="1"/>
  <c r="D387" i="1" s="1"/>
  <c r="C388" i="1"/>
  <c r="D388" i="1" s="1"/>
  <c r="C389" i="1"/>
  <c r="D389" i="1" s="1"/>
  <c r="C390" i="1"/>
  <c r="D390" i="1" s="1"/>
  <c r="C391" i="1"/>
  <c r="D391" i="1" s="1"/>
  <c r="C392" i="1"/>
  <c r="D392" i="1" s="1"/>
  <c r="C393" i="1"/>
  <c r="D393" i="1" s="1"/>
  <c r="C394" i="1"/>
  <c r="D394" i="1" s="1"/>
  <c r="C395" i="1"/>
  <c r="D395" i="1" s="1"/>
  <c r="C396" i="1"/>
  <c r="D396" i="1" s="1"/>
  <c r="C397" i="1"/>
  <c r="D397" i="1" s="1"/>
  <c r="C398" i="1"/>
  <c r="D398" i="1" s="1"/>
  <c r="C399" i="1"/>
  <c r="D399" i="1" s="1"/>
  <c r="C400" i="1"/>
  <c r="D400" i="1" s="1"/>
  <c r="C401" i="1"/>
  <c r="D401" i="1" s="1"/>
  <c r="C402" i="1"/>
  <c r="D402" i="1" s="1"/>
  <c r="C403" i="1"/>
  <c r="D403" i="1" s="1"/>
  <c r="C404" i="1"/>
  <c r="D404" i="1" s="1"/>
  <c r="C405" i="1"/>
  <c r="D405" i="1" s="1"/>
  <c r="C406" i="1"/>
  <c r="D406" i="1" s="1"/>
  <c r="C407" i="1"/>
  <c r="D407" i="1" s="1"/>
  <c r="C408" i="1"/>
  <c r="D408" i="1" s="1"/>
  <c r="C409" i="1"/>
  <c r="D409" i="1" s="1"/>
  <c r="C410" i="1"/>
  <c r="D410" i="1" s="1"/>
  <c r="C411" i="1"/>
  <c r="D411" i="1" s="1"/>
  <c r="C412" i="1"/>
  <c r="D412" i="1" s="1"/>
  <c r="C413" i="1"/>
  <c r="D413" i="1" s="1"/>
  <c r="C414" i="1"/>
  <c r="D414" i="1" s="1"/>
  <c r="C415" i="1"/>
  <c r="D415" i="1" s="1"/>
  <c r="C416" i="1"/>
  <c r="D416" i="1" s="1"/>
  <c r="C417" i="1"/>
  <c r="D417" i="1" s="1"/>
  <c r="C418" i="1"/>
  <c r="D418" i="1" s="1"/>
  <c r="C419" i="1"/>
  <c r="D419" i="1" s="1"/>
  <c r="C420" i="1"/>
  <c r="D420" i="1" s="1"/>
  <c r="C421" i="1"/>
  <c r="D421" i="1" s="1"/>
  <c r="C422" i="1"/>
  <c r="D422" i="1" s="1"/>
  <c r="C423" i="1"/>
  <c r="D423" i="1" s="1"/>
  <c r="C424" i="1"/>
  <c r="D424" i="1" s="1"/>
  <c r="C425" i="1"/>
  <c r="D425" i="1" s="1"/>
  <c r="C426" i="1"/>
  <c r="D426" i="1" s="1"/>
  <c r="C427" i="1"/>
  <c r="D427" i="1" s="1"/>
  <c r="C428" i="1"/>
  <c r="D428" i="1" s="1"/>
  <c r="C429" i="1"/>
  <c r="D429" i="1" s="1"/>
  <c r="C430" i="1"/>
  <c r="D430" i="1" s="1"/>
  <c r="C431" i="1"/>
  <c r="D431" i="1" s="1"/>
  <c r="C432" i="1"/>
  <c r="D432" i="1" s="1"/>
  <c r="C433" i="1"/>
  <c r="D433" i="1" s="1"/>
  <c r="C434" i="1"/>
  <c r="D434" i="1" s="1"/>
  <c r="C435" i="1"/>
  <c r="D435" i="1" s="1"/>
  <c r="C436" i="1"/>
  <c r="D436" i="1" s="1"/>
  <c r="C437" i="1"/>
  <c r="D437" i="1" s="1"/>
  <c r="C438" i="1"/>
  <c r="D438" i="1" s="1"/>
  <c r="C439" i="1"/>
  <c r="D439" i="1" s="1"/>
  <c r="C440" i="1"/>
  <c r="D440" i="1" s="1"/>
  <c r="C441" i="1"/>
  <c r="D441" i="1" s="1"/>
  <c r="C442" i="1"/>
  <c r="D442" i="1" s="1"/>
  <c r="C443" i="1"/>
  <c r="D443" i="1" s="1"/>
  <c r="C444" i="1"/>
  <c r="D444" i="1" s="1"/>
  <c r="C445" i="1"/>
  <c r="D445" i="1" s="1"/>
  <c r="C446" i="1"/>
  <c r="D446" i="1" s="1"/>
  <c r="C447" i="1"/>
  <c r="D447" i="1" s="1"/>
  <c r="C448" i="1"/>
  <c r="D448" i="1" s="1"/>
  <c r="C449" i="1"/>
  <c r="D449" i="1" s="1"/>
  <c r="C450" i="1"/>
  <c r="D450" i="1" s="1"/>
  <c r="C451" i="1"/>
  <c r="D451" i="1" s="1"/>
  <c r="C452" i="1"/>
  <c r="D452" i="1" s="1"/>
  <c r="C453" i="1"/>
  <c r="D453" i="1" s="1"/>
  <c r="C454" i="1"/>
  <c r="D454" i="1" s="1"/>
  <c r="C455" i="1"/>
  <c r="D455" i="1" s="1"/>
  <c r="C456" i="1"/>
  <c r="D456" i="1" s="1"/>
  <c r="C457" i="1"/>
  <c r="D457" i="1" s="1"/>
  <c r="C458" i="1"/>
  <c r="D458" i="1" s="1"/>
  <c r="C459" i="1"/>
  <c r="D459" i="1" s="1"/>
  <c r="C460" i="1"/>
  <c r="D460" i="1" s="1"/>
  <c r="C461" i="1"/>
  <c r="D461" i="1" s="1"/>
  <c r="C462" i="1"/>
  <c r="D462" i="1" s="1"/>
  <c r="C463" i="1"/>
  <c r="D463" i="1" s="1"/>
  <c r="C464" i="1"/>
  <c r="D464" i="1" s="1"/>
  <c r="C465" i="1"/>
  <c r="D465" i="1" s="1"/>
  <c r="C466" i="1"/>
  <c r="D466" i="1" s="1"/>
  <c r="C467" i="1"/>
  <c r="D467" i="1" s="1"/>
  <c r="C468" i="1"/>
  <c r="D468" i="1" s="1"/>
  <c r="C469" i="1"/>
  <c r="D469" i="1" s="1"/>
  <c r="C470" i="1"/>
  <c r="D470" i="1" s="1"/>
  <c r="C471" i="1"/>
  <c r="D471" i="1" s="1"/>
  <c r="C472" i="1"/>
  <c r="D472" i="1" s="1"/>
  <c r="C473" i="1"/>
  <c r="D473" i="1" s="1"/>
  <c r="C474" i="1"/>
  <c r="D474" i="1" s="1"/>
  <c r="C475" i="1"/>
  <c r="D475" i="1" s="1"/>
  <c r="C476" i="1"/>
  <c r="D476" i="1" s="1"/>
  <c r="C477" i="1"/>
  <c r="D477" i="1" s="1"/>
  <c r="C478" i="1"/>
  <c r="D478" i="1" s="1"/>
  <c r="C479" i="1"/>
  <c r="D479" i="1" s="1"/>
  <c r="C480" i="1"/>
  <c r="D480" i="1" s="1"/>
  <c r="C481" i="1"/>
  <c r="D481" i="1" s="1"/>
  <c r="C482" i="1"/>
  <c r="D482" i="1" s="1"/>
  <c r="C483" i="1"/>
  <c r="D483" i="1" s="1"/>
  <c r="C484" i="1"/>
  <c r="D484" i="1" s="1"/>
  <c r="C485" i="1"/>
  <c r="D485" i="1" s="1"/>
  <c r="C486" i="1"/>
  <c r="D486" i="1" s="1"/>
  <c r="C487" i="1"/>
  <c r="D487" i="1" s="1"/>
  <c r="C488" i="1"/>
  <c r="D488" i="1" s="1"/>
  <c r="C489" i="1"/>
  <c r="D489" i="1" s="1"/>
  <c r="C490" i="1"/>
  <c r="D490" i="1" s="1"/>
  <c r="C491" i="1"/>
  <c r="D491" i="1" s="1"/>
  <c r="C492" i="1"/>
  <c r="D492" i="1" s="1"/>
  <c r="C493" i="1"/>
  <c r="D493" i="1" s="1"/>
  <c r="C494" i="1"/>
  <c r="D494" i="1" s="1"/>
  <c r="C495" i="1"/>
  <c r="D495" i="1" s="1"/>
  <c r="C496" i="1"/>
  <c r="D496" i="1" s="1"/>
  <c r="C497" i="1"/>
  <c r="D497" i="1" s="1"/>
  <c r="C498" i="1"/>
  <c r="D498" i="1" s="1"/>
  <c r="C499" i="1"/>
  <c r="D499" i="1" s="1"/>
  <c r="C500" i="1"/>
  <c r="D500" i="1" s="1"/>
  <c r="C501" i="1"/>
  <c r="D501" i="1" s="1"/>
  <c r="C3" i="1"/>
  <c r="D3" i="1" s="1"/>
  <c r="C2" i="1"/>
  <c r="D2" i="1" s="1"/>
  <c r="O1593" i="4"/>
  <c r="O201" i="4"/>
  <c r="O167" i="4"/>
  <c r="O1621" i="4"/>
  <c r="O19" i="4"/>
  <c r="O38" i="4"/>
  <c r="O1382" i="4"/>
  <c r="O1847" i="4"/>
  <c r="O380" i="4"/>
  <c r="O455" i="4"/>
  <c r="O1649" i="4"/>
  <c r="O343" i="4"/>
  <c r="O121" i="4"/>
  <c r="O1438" i="4"/>
  <c r="O40" i="4"/>
  <c r="O1459" i="4"/>
  <c r="O909" i="4"/>
  <c r="O573" i="4"/>
  <c r="O525" i="4"/>
  <c r="O1723" i="4"/>
  <c r="O168" i="4"/>
  <c r="O323" i="4"/>
  <c r="O43" i="4"/>
  <c r="O511" i="4"/>
  <c r="O1222" i="4"/>
  <c r="O131" i="4"/>
  <c r="O1586" i="4"/>
  <c r="O1498" i="4"/>
  <c r="O1157" i="4"/>
  <c r="O1694" i="4"/>
  <c r="O637" i="4"/>
  <c r="O1080" i="4"/>
  <c r="O1342" i="4"/>
  <c r="O825" i="4"/>
  <c r="O1433" i="4"/>
  <c r="O1987" i="4"/>
  <c r="O1658" i="4"/>
  <c r="O890" i="4"/>
  <c r="N1118" i="4" l="1"/>
  <c r="N1106" i="4"/>
  <c r="N1094" i="4"/>
  <c r="N1082" i="4"/>
  <c r="N1070" i="4"/>
  <c r="N1058" i="4"/>
  <c r="N1046" i="4"/>
  <c r="N1034" i="4"/>
  <c r="N1022" i="4"/>
  <c r="N1010" i="4"/>
  <c r="N998" i="4"/>
  <c r="N986" i="4"/>
  <c r="N974" i="4"/>
  <c r="N962" i="4"/>
  <c r="N950" i="4"/>
  <c r="N938" i="4"/>
  <c r="N926" i="4"/>
  <c r="N914" i="4"/>
  <c r="N902" i="4"/>
  <c r="N890" i="4"/>
  <c r="N878" i="4"/>
  <c r="N866" i="4"/>
  <c r="N854" i="4"/>
  <c r="N842" i="4"/>
  <c r="N830" i="4"/>
  <c r="N818" i="4"/>
  <c r="N806" i="4"/>
  <c r="N794" i="4"/>
  <c r="N782" i="4"/>
  <c r="N770" i="4"/>
  <c r="N758" i="4"/>
  <c r="N746" i="4"/>
  <c r="N734" i="4"/>
  <c r="N722" i="4"/>
  <c r="N710" i="4"/>
  <c r="N698" i="4"/>
  <c r="N686" i="4"/>
  <c r="N674" i="4"/>
  <c r="N662" i="4"/>
  <c r="N650" i="4"/>
  <c r="N638" i="4"/>
  <c r="N626" i="4"/>
  <c r="N614" i="4"/>
  <c r="N602" i="4"/>
  <c r="N590" i="4"/>
  <c r="N578" i="4"/>
  <c r="N566" i="4"/>
  <c r="N554" i="4"/>
  <c r="N542" i="4"/>
  <c r="N530" i="4"/>
  <c r="N518" i="4"/>
  <c r="N506" i="4"/>
  <c r="N494" i="4"/>
  <c r="N482" i="4"/>
  <c r="N470" i="4"/>
  <c r="N458" i="4"/>
  <c r="N446" i="4"/>
  <c r="N434" i="4"/>
  <c r="N422" i="4"/>
  <c r="N410" i="4"/>
  <c r="N398" i="4"/>
  <c r="N386" i="4"/>
  <c r="N374" i="4"/>
  <c r="N362" i="4"/>
  <c r="N350" i="4"/>
  <c r="N338" i="4"/>
  <c r="N326" i="4"/>
  <c r="N314" i="4"/>
  <c r="N302" i="4"/>
  <c r="N290" i="4"/>
  <c r="N278" i="4"/>
  <c r="N266" i="4"/>
  <c r="N242" i="4"/>
  <c r="N230" i="4"/>
  <c r="N218" i="4"/>
  <c r="N206" i="4"/>
  <c r="N194" i="4"/>
  <c r="N182" i="4"/>
  <c r="N170" i="4"/>
  <c r="N158" i="4"/>
  <c r="N146" i="4"/>
  <c r="N134" i="4"/>
  <c r="N122" i="4"/>
  <c r="N110" i="4"/>
  <c r="N98" i="4"/>
  <c r="N1992" i="4"/>
  <c r="N1968" i="4"/>
  <c r="N1932" i="4"/>
  <c r="N1908" i="4"/>
  <c r="N1884" i="4"/>
  <c r="N1860" i="4"/>
  <c r="N1824" i="4"/>
  <c r="N1800" i="4"/>
  <c r="N1752" i="4"/>
  <c r="N1716" i="4"/>
  <c r="N1692" i="4"/>
  <c r="N1980" i="4"/>
  <c r="N1956" i="4"/>
  <c r="N1944" i="4"/>
  <c r="N1920" i="4"/>
  <c r="N1896" i="4"/>
  <c r="N1872" i="4"/>
  <c r="N1848" i="4"/>
  <c r="N1836" i="4"/>
  <c r="N1812" i="4"/>
  <c r="N1788" i="4"/>
  <c r="N1764" i="4"/>
  <c r="N1740" i="4"/>
  <c r="N1728" i="4"/>
  <c r="N1704" i="4"/>
  <c r="N1680" i="4"/>
  <c r="N86" i="4"/>
  <c r="N62" i="4"/>
  <c r="N38" i="4"/>
  <c r="N14" i="4"/>
  <c r="N254" i="4"/>
  <c r="N74" i="4"/>
  <c r="N50" i="4"/>
  <c r="N26" i="4"/>
  <c r="N1993" i="4"/>
  <c r="N1981" i="4"/>
  <c r="N1969" i="4"/>
  <c r="N1957" i="4"/>
  <c r="N1945" i="4"/>
  <c r="N1933" i="4"/>
  <c r="N1921" i="4"/>
  <c r="N1909" i="4"/>
  <c r="N1897" i="4"/>
  <c r="N1885" i="4"/>
  <c r="N1873" i="4"/>
  <c r="N1861" i="4"/>
  <c r="N1849" i="4"/>
  <c r="N1837" i="4"/>
  <c r="N1825" i="4"/>
  <c r="N1813" i="4"/>
  <c r="N1801" i="4"/>
  <c r="N1789" i="4"/>
  <c r="N1777" i="4"/>
  <c r="N1765" i="4"/>
  <c r="N1753" i="4"/>
  <c r="N1741" i="4"/>
  <c r="N1729" i="4"/>
  <c r="N1717" i="4"/>
  <c r="N1705" i="4"/>
  <c r="N1693" i="4"/>
  <c r="N1681" i="4"/>
  <c r="N1668" i="4"/>
  <c r="N1656" i="4"/>
  <c r="N1644" i="4"/>
  <c r="N1632" i="4"/>
  <c r="N1620" i="4"/>
  <c r="N1608" i="4"/>
  <c r="N1596" i="4"/>
  <c r="N1584" i="4"/>
  <c r="N1572" i="4"/>
  <c r="N1560" i="4"/>
  <c r="N1548" i="4"/>
  <c r="N1536" i="4"/>
  <c r="N1524" i="4"/>
  <c r="N1512" i="4"/>
  <c r="N1500" i="4"/>
  <c r="N1488" i="4"/>
  <c r="N1476" i="4"/>
  <c r="N1464" i="4"/>
  <c r="N1452" i="4"/>
  <c r="N1440" i="4"/>
  <c r="N1428" i="4"/>
  <c r="N1416" i="4"/>
  <c r="N1404" i="4"/>
  <c r="N1392" i="4"/>
  <c r="N1380" i="4"/>
  <c r="N1368" i="4"/>
  <c r="N1356" i="4"/>
  <c r="N1344" i="4"/>
  <c r="N1332" i="4"/>
  <c r="N1320" i="4"/>
  <c r="N1308" i="4"/>
  <c r="N1296" i="4"/>
  <c r="N1284" i="4"/>
  <c r="N1272" i="4"/>
  <c r="N1260" i="4"/>
  <c r="N1248" i="4"/>
  <c r="N1236" i="4"/>
  <c r="N1224" i="4"/>
  <c r="N1212" i="4"/>
  <c r="N1200" i="4"/>
  <c r="N1188" i="4"/>
  <c r="N1176" i="4"/>
  <c r="N1164" i="4"/>
  <c r="N1152" i="4"/>
  <c r="N1140" i="4"/>
  <c r="N1128" i="4"/>
  <c r="N1116" i="4"/>
  <c r="N1104" i="4"/>
  <c r="N1092" i="4"/>
  <c r="N1080" i="4"/>
  <c r="N1068" i="4"/>
  <c r="N1056" i="4"/>
  <c r="N1044" i="4"/>
  <c r="N1032" i="4"/>
  <c r="N1020" i="4"/>
  <c r="N1008" i="4"/>
  <c r="N996" i="4"/>
  <c r="N984" i="4"/>
  <c r="N972" i="4"/>
  <c r="N960" i="4"/>
  <c r="N948" i="4"/>
  <c r="N936" i="4"/>
  <c r="N924" i="4"/>
  <c r="N912" i="4"/>
  <c r="N900" i="4"/>
  <c r="N888" i="4"/>
  <c r="N876" i="4"/>
  <c r="N864" i="4"/>
  <c r="N852" i="4"/>
  <c r="N840" i="4"/>
  <c r="N828" i="4"/>
  <c r="N816" i="4"/>
  <c r="N804" i="4"/>
  <c r="N792" i="4"/>
  <c r="N780" i="4"/>
  <c r="N432" i="4"/>
  <c r="N360" i="4"/>
  <c r="O1929" i="4"/>
  <c r="O634" i="4"/>
  <c r="O471" i="4"/>
  <c r="O452" i="4"/>
  <c r="O1460" i="4"/>
  <c r="O447" i="4"/>
  <c r="O1385" i="4"/>
  <c r="O263" i="4"/>
  <c r="O545" i="4"/>
  <c r="O805" i="4"/>
  <c r="O97" i="4"/>
  <c r="O1670" i="4"/>
  <c r="O1284" i="4"/>
  <c r="O1981" i="4"/>
  <c r="O952" i="4"/>
  <c r="O1134" i="4"/>
  <c r="O1016" i="4"/>
  <c r="O702" i="4"/>
  <c r="O1939" i="4"/>
  <c r="O1088" i="4"/>
  <c r="O1576" i="4"/>
  <c r="O76" i="4"/>
  <c r="O457" i="4"/>
  <c r="O1838" i="4"/>
  <c r="O524" i="4"/>
  <c r="O1348" i="4"/>
  <c r="O1944" i="4"/>
  <c r="O978" i="4"/>
  <c r="O1544" i="4"/>
  <c r="O1215" i="4"/>
  <c r="O1627" i="4"/>
  <c r="O14" i="4"/>
  <c r="O577" i="4"/>
  <c r="O1073" i="4"/>
  <c r="O287" i="4"/>
  <c r="O1186" i="4"/>
  <c r="O612" i="4"/>
  <c r="O28" i="4"/>
  <c r="O397" i="4"/>
  <c r="O841" i="4"/>
  <c r="O1569" i="4"/>
  <c r="O1674" i="4"/>
  <c r="O888" i="4"/>
  <c r="O536" i="4"/>
  <c r="O136" i="4"/>
  <c r="O405" i="4"/>
  <c r="O1808" i="4"/>
  <c r="O1846" i="4"/>
  <c r="O756" i="4"/>
  <c r="O679" i="4"/>
  <c r="O789" i="4"/>
  <c r="O723" i="4"/>
  <c r="O1291" i="4"/>
  <c r="O984" i="4"/>
  <c r="O1418" i="4"/>
  <c r="O763" i="4"/>
  <c r="O1216" i="4"/>
  <c r="O359" i="4"/>
  <c r="O218" i="4"/>
  <c r="O1785" i="4"/>
  <c r="O883" i="4"/>
  <c r="O394" i="4"/>
  <c r="O1782" i="4"/>
  <c r="O393" i="4"/>
  <c r="O1125" i="4"/>
  <c r="O267" i="4"/>
  <c r="O1104" i="4"/>
  <c r="O516" i="4"/>
  <c r="O463" i="4"/>
  <c r="O1368" i="4"/>
  <c r="O1031" i="4"/>
  <c r="O622" i="4"/>
  <c r="O1319" i="4"/>
  <c r="O120" i="4"/>
  <c r="O852" i="4"/>
  <c r="O560" i="4"/>
  <c r="O571" i="4"/>
  <c r="O897" i="4"/>
  <c r="O1064" i="4"/>
  <c r="O1034" i="4"/>
  <c r="O1946" i="4"/>
  <c r="O895" i="4"/>
  <c r="O742" i="4"/>
  <c r="O151" i="4"/>
  <c r="O1868" i="4"/>
  <c r="O1245" i="4"/>
  <c r="O181" i="4"/>
  <c r="O1955" i="4"/>
  <c r="O1480" i="4"/>
  <c r="O839" i="4"/>
  <c r="O1212" i="4"/>
  <c r="O943" i="4"/>
  <c r="O772" i="4"/>
  <c r="O227" i="4"/>
  <c r="O920" i="4"/>
  <c r="O1449" i="4"/>
  <c r="O733" i="4"/>
  <c r="O555" i="4"/>
  <c r="O1334" i="4"/>
  <c r="O670" i="4"/>
  <c r="O677" i="4"/>
  <c r="O1708" i="4"/>
  <c r="O1689" i="4"/>
  <c r="O1367" i="4"/>
  <c r="O1078" i="4"/>
  <c r="O1767" i="4"/>
  <c r="O352" i="4"/>
  <c r="O274" i="4"/>
  <c r="O872" i="4"/>
  <c r="O1968" i="4"/>
  <c r="O185" i="4"/>
  <c r="O1885" i="4"/>
  <c r="O1805" i="4"/>
  <c r="O1970" i="4"/>
  <c r="O1665" i="4"/>
  <c r="O1560" i="4"/>
  <c r="O1315" i="4"/>
  <c r="O1061" i="4"/>
  <c r="O1727" i="4"/>
  <c r="O1743" i="4"/>
  <c r="O160" i="4"/>
  <c r="O102" i="4"/>
  <c r="O1110" i="4"/>
  <c r="O1509" i="4"/>
  <c r="O836" i="4"/>
  <c r="O24" i="4"/>
  <c r="O407" i="4"/>
  <c r="O125" i="4"/>
  <c r="O721" i="4"/>
  <c r="O767" i="4"/>
  <c r="O243" i="4"/>
  <c r="O1925" i="4"/>
  <c r="O566" i="4"/>
  <c r="O569" i="4"/>
  <c r="O1452" i="4"/>
  <c r="O1202" i="4"/>
  <c r="O187" i="4"/>
  <c r="O827" i="4"/>
  <c r="O1395" i="4"/>
  <c r="O1842" i="4"/>
  <c r="O60" i="4"/>
  <c r="O666" i="4"/>
  <c r="O454" i="4"/>
  <c r="O1773" i="4"/>
  <c r="O907" i="4"/>
  <c r="O1726" i="4"/>
  <c r="O25" i="4"/>
  <c r="O1026" i="4"/>
  <c r="O510" i="4"/>
  <c r="O1037" i="4"/>
  <c r="O830" i="4"/>
  <c r="O1774" i="4"/>
  <c r="O1561" i="4"/>
  <c r="O36" i="4"/>
  <c r="O248" i="4"/>
  <c r="O174" i="4"/>
  <c r="O531" i="4"/>
  <c r="O1130" i="4"/>
  <c r="O1739" i="4"/>
  <c r="O322" i="4"/>
  <c r="O1199" i="4"/>
  <c r="O1825" i="4"/>
  <c r="O13" i="4"/>
  <c r="O853" i="4"/>
  <c r="O1988" i="4"/>
  <c r="O1644" i="4"/>
  <c r="O768" i="4"/>
  <c r="O404" i="4"/>
  <c r="O1527" i="4"/>
  <c r="O1144" i="4"/>
  <c r="O638" i="4"/>
  <c r="O189" i="4"/>
  <c r="O613" i="4"/>
  <c r="O261" i="4"/>
  <c r="O356" i="4"/>
  <c r="O752" i="4"/>
  <c r="O867" i="4"/>
  <c r="O969" i="4"/>
  <c r="O1017" i="4"/>
  <c r="O734" i="4"/>
  <c r="O295" i="4"/>
  <c r="O509" i="4"/>
  <c r="O1256" i="4"/>
  <c r="O1376" i="4"/>
  <c r="O1673" i="4"/>
  <c r="O476" i="4"/>
  <c r="O246" i="4"/>
  <c r="O29" i="4"/>
  <c r="O1985" i="4"/>
  <c r="O1164" i="4"/>
  <c r="O1862" i="4"/>
  <c r="O562" i="4"/>
  <c r="O1363" i="4"/>
  <c r="O82" i="4"/>
  <c r="O770" i="4"/>
  <c r="O1907" i="4"/>
  <c r="O1259" i="4"/>
  <c r="O629" i="4"/>
  <c r="O134" i="4"/>
  <c r="O448" i="4"/>
  <c r="O1510" i="4"/>
  <c r="O796" i="4"/>
  <c r="O1136" i="4"/>
  <c r="O1350" i="4"/>
  <c r="O527" i="4"/>
  <c r="O9" i="4"/>
  <c r="O1269" i="4"/>
  <c r="O116" i="4"/>
  <c r="O1666" i="4"/>
  <c r="O1422" i="4"/>
  <c r="O948" i="4"/>
  <c r="O1018" i="4"/>
  <c r="O1118" i="4"/>
  <c r="O1980" i="4"/>
  <c r="O317" i="4"/>
  <c r="O1738" i="4"/>
  <c r="O7" i="4"/>
  <c r="O1606" i="4"/>
  <c r="O603" i="4"/>
  <c r="O355" i="4"/>
  <c r="O1636" i="4"/>
  <c r="O1580" i="4"/>
  <c r="O1495" i="4"/>
  <c r="O829" i="4"/>
  <c r="O771" i="4"/>
  <c r="O530" i="4"/>
  <c r="O1036" i="4"/>
  <c r="O1311" i="4"/>
  <c r="O1533" i="4"/>
  <c r="O58" i="4"/>
  <c r="O1357" i="4"/>
  <c r="O633" i="4"/>
  <c r="O1994" i="4"/>
  <c r="O152" i="4"/>
  <c r="O1701" i="4"/>
  <c r="O4" i="4"/>
  <c r="O1183" i="4"/>
  <c r="O663" i="4"/>
  <c r="O1220" i="4"/>
  <c r="O1383" i="4"/>
  <c r="O257" i="4"/>
  <c r="O485" i="4"/>
  <c r="O1485" i="4"/>
  <c r="O1822" i="4"/>
  <c r="O377" i="4"/>
  <c r="O537" i="4"/>
  <c r="O880" i="4"/>
  <c r="O1572" i="4"/>
  <c r="O1657" i="4"/>
  <c r="O162" i="4"/>
  <c r="O1122" i="4"/>
  <c r="O1390" i="4"/>
  <c r="O49" i="4"/>
  <c r="O1916" i="4"/>
  <c r="O237" i="4"/>
  <c r="O1316" i="4"/>
  <c r="O1915" i="4"/>
  <c r="O680" i="4"/>
  <c r="O292" i="4"/>
  <c r="O361" i="4"/>
  <c r="O421" i="4"/>
  <c r="O1698" i="4"/>
  <c r="O1803" i="4"/>
  <c r="O685" i="4"/>
  <c r="O958" i="4"/>
  <c r="O1786" i="4"/>
  <c r="O655" i="4"/>
  <c r="O1585" i="4"/>
  <c r="O57" i="4"/>
  <c r="O1566" i="4"/>
  <c r="O784" i="4"/>
  <c r="O1700" i="4"/>
  <c r="O1570" i="4"/>
  <c r="O863" i="4"/>
  <c r="O716" i="4"/>
  <c r="O1055" i="4"/>
  <c r="O1063" i="4"/>
  <c r="O1089" i="4"/>
  <c r="O286" i="4"/>
  <c r="O730" i="4"/>
  <c r="O1457" i="4"/>
  <c r="O1684" i="4"/>
  <c r="O1935" i="4"/>
  <c r="O678" i="4"/>
  <c r="O178" i="4"/>
  <c r="O1260" i="4"/>
  <c r="O967" i="4"/>
  <c r="O1999" i="4"/>
  <c r="O340" i="4"/>
  <c r="O1398" i="4"/>
  <c r="O790" i="4"/>
  <c r="O606" i="4"/>
  <c r="O247" i="4"/>
  <c r="O1750" i="4"/>
  <c r="O422" i="4"/>
  <c r="O495" i="4"/>
  <c r="O309" i="4"/>
  <c r="O1815" i="4"/>
  <c r="O197" i="4"/>
  <c r="O137" i="4"/>
  <c r="O1265" i="4"/>
  <c r="O858" i="4"/>
  <c r="O169" i="4"/>
  <c r="O1310" i="4"/>
  <c r="O711" i="4"/>
  <c r="O85" i="4"/>
  <c r="O1771" i="4"/>
  <c r="O932" i="4"/>
  <c r="O412" i="4"/>
  <c r="O1693" i="4"/>
  <c r="O1312" i="4"/>
  <c r="O406" i="4"/>
  <c r="O1128" i="4"/>
  <c r="O874" i="4"/>
  <c r="O1555" i="4"/>
  <c r="O61" i="4"/>
  <c r="O1196" i="4"/>
  <c r="O1273" i="4"/>
  <c r="O737" i="4"/>
  <c r="O1545" i="4"/>
  <c r="O1652" i="4"/>
  <c r="O1688" i="4"/>
  <c r="O132" i="4"/>
  <c r="O576" i="4"/>
  <c r="O1910" i="4"/>
  <c r="O1772" i="4"/>
  <c r="O488" i="4"/>
  <c r="O1679" i="4"/>
  <c r="O1172" i="4"/>
  <c r="O1647" i="4"/>
  <c r="O1676" i="4"/>
  <c r="O158" i="4"/>
  <c r="O847" i="4"/>
  <c r="O1123" i="4"/>
  <c r="O993" i="4"/>
  <c r="O1954" i="4"/>
  <c r="O1883" i="4"/>
  <c r="O1557" i="4"/>
  <c r="O480" i="4"/>
  <c r="O157" i="4"/>
  <c r="O1323" i="4"/>
  <c r="O215" i="4"/>
  <c r="O1583" i="4"/>
  <c r="O837" i="4"/>
  <c r="O832" i="4"/>
  <c r="O1175" i="4"/>
  <c r="O1765" i="4"/>
  <c r="O1304" i="4"/>
  <c r="O1179" i="4"/>
  <c r="O1094" i="4"/>
  <c r="O761" i="4"/>
  <c r="O1195" i="4"/>
  <c r="O854" i="4"/>
  <c r="O1102" i="4"/>
  <c r="O1477" i="4"/>
  <c r="O1505" i="4"/>
  <c r="O1487" i="4"/>
  <c r="O773" i="4"/>
  <c r="O1297" i="4"/>
  <c r="O1681" i="4"/>
  <c r="O1924" i="4"/>
  <c r="O542" i="4"/>
  <c r="O801" i="4"/>
  <c r="O1601" i="4"/>
  <c r="O580" i="4"/>
  <c r="O1353" i="4"/>
  <c r="O493" i="4"/>
  <c r="O1711" i="4"/>
  <c r="O1956" i="4"/>
  <c r="O912" i="4"/>
  <c r="O307" i="4"/>
  <c r="O849" i="4"/>
  <c r="O297" i="4"/>
  <c r="O387" i="4"/>
  <c r="O1171" i="4"/>
  <c r="O216" i="4"/>
  <c r="O919" i="4"/>
  <c r="O596" i="4"/>
  <c r="O929" i="4"/>
  <c r="O553" i="4"/>
  <c r="O1112" i="4"/>
  <c r="O328" i="4"/>
  <c r="O959" i="4"/>
  <c r="O1705" i="4"/>
  <c r="O10" i="4"/>
  <c r="O518" i="4"/>
  <c r="O428" i="4"/>
  <c r="O1406" i="4"/>
  <c r="O1470" i="4"/>
  <c r="O173" i="4"/>
  <c r="O465" i="4"/>
  <c r="O507" i="4"/>
  <c r="O692" i="4"/>
  <c r="O503" i="4"/>
  <c r="O1414" i="4"/>
  <c r="O1071" i="4"/>
  <c r="O1632" i="4"/>
  <c r="O707" i="4"/>
  <c r="O1114" i="4"/>
  <c r="O1072" i="4"/>
  <c r="O1308" i="4"/>
  <c r="O699" i="4"/>
  <c r="O81" i="4"/>
  <c r="O1394" i="4"/>
  <c r="O1766" i="4"/>
  <c r="O1448" i="4"/>
  <c r="O1180" i="4"/>
  <c r="O1816" i="4"/>
  <c r="O1339" i="4"/>
  <c r="O547" i="4"/>
  <c r="O1303" i="4"/>
  <c r="O262" i="4"/>
  <c r="O191" i="4"/>
  <c r="O1340" i="4"/>
  <c r="O1349" i="4"/>
  <c r="O119" i="4"/>
  <c r="O811" i="4"/>
  <c r="O947" i="4"/>
  <c r="O1780" i="4"/>
  <c r="O1059" i="4"/>
  <c r="O1618" i="4"/>
  <c r="O1775" i="4"/>
  <c r="O1411" i="4"/>
  <c r="O1603" i="4"/>
  <c r="O939" i="4"/>
  <c r="O660" i="4"/>
  <c r="O1523" i="4"/>
  <c r="O987" i="4"/>
  <c r="O1596" i="4"/>
  <c r="O413" i="4"/>
  <c r="O683" i="4"/>
  <c r="O1359" i="4"/>
  <c r="O242" i="4"/>
  <c r="O1574" i="4"/>
  <c r="O1877" i="4"/>
  <c r="O1386" i="4"/>
  <c r="O1969" i="4"/>
  <c r="O1305" i="4"/>
  <c r="O1912" i="4"/>
  <c r="O1177" i="4"/>
  <c r="O78" i="4"/>
  <c r="O1025" i="4"/>
  <c r="O1174" i="4"/>
  <c r="O1492" i="4"/>
  <c r="O442" i="4"/>
  <c r="O505" i="4"/>
  <c r="O579" i="4"/>
  <c r="O94" i="4"/>
  <c r="O1497" i="4"/>
  <c r="O112" i="4"/>
  <c r="O1230" i="4"/>
  <c r="O962" i="4"/>
  <c r="O1554" i="4"/>
  <c r="O1721" i="4"/>
  <c r="O1540" i="4"/>
  <c r="O79" i="4"/>
  <c r="O1426" i="4"/>
  <c r="O186" i="4"/>
  <c r="O896" i="4"/>
  <c r="O970" i="4"/>
  <c r="O529" i="4"/>
  <c r="O1247" i="4"/>
  <c r="O188" i="4"/>
  <c r="O945" i="4"/>
  <c r="O1388" i="4"/>
  <c r="O35" i="4"/>
  <c r="O1878" i="4"/>
  <c r="O1184" i="4"/>
  <c r="O650" i="4"/>
  <c r="O27" i="4"/>
  <c r="O930" i="4"/>
  <c r="O891" i="4"/>
  <c r="O1793" i="4"/>
  <c r="O802" i="4"/>
  <c r="O1888" i="4"/>
  <c r="O1602" i="4"/>
  <c r="O738" i="4"/>
  <c r="O1206" i="4"/>
  <c r="O1800" i="4"/>
  <c r="O1637" i="4"/>
  <c r="O735" i="4"/>
  <c r="O753" i="4"/>
  <c r="O806" i="4"/>
  <c r="O1425" i="4"/>
  <c r="O1812" i="4"/>
  <c r="O149" i="4"/>
  <c r="O807" i="4"/>
  <c r="O1124" i="4"/>
  <c r="O1520" i="4"/>
  <c r="O864" i="4"/>
  <c r="O1234" i="4"/>
  <c r="O265" i="4"/>
  <c r="O682" i="4"/>
  <c r="O556" i="4"/>
  <c r="O1443" i="4"/>
  <c r="O1556" i="4"/>
  <c r="O600" i="4"/>
  <c r="O1035" i="4"/>
  <c r="O220" i="4"/>
  <c r="O326" i="4"/>
  <c r="O1208" i="4"/>
  <c r="O675" i="4"/>
  <c r="O851" i="4"/>
  <c r="O1479" i="4"/>
  <c r="O341" i="4"/>
  <c r="O810" i="4"/>
  <c r="O1432" i="4"/>
  <c r="O1589" i="4"/>
  <c r="O1331" i="4"/>
  <c r="O360" i="4"/>
  <c r="O1790" i="4"/>
  <c r="O1255" i="4"/>
  <c r="O1819" i="4"/>
  <c r="O1863" i="4"/>
  <c r="O1146" i="4"/>
  <c r="O302" i="4"/>
  <c r="O736" i="4"/>
  <c r="O750" i="4"/>
  <c r="O1009" i="4"/>
  <c r="O1276" i="4"/>
  <c r="O26" i="4"/>
  <c r="O1997" i="4"/>
  <c r="O67" i="4"/>
  <c r="O195" i="4"/>
  <c r="O1133" i="4"/>
  <c r="O193" i="4"/>
  <c r="O592" i="4"/>
  <c r="O923" i="4"/>
  <c r="O1079" i="4"/>
  <c r="O313" i="4"/>
  <c r="O65" i="4"/>
  <c r="O712" i="4"/>
  <c r="O1843" i="4"/>
  <c r="O435" i="4"/>
  <c r="O1484" i="4"/>
  <c r="O1135" i="4"/>
  <c r="O1401" i="4"/>
  <c r="O363" i="4"/>
  <c r="O1685" i="4"/>
  <c r="O857" i="4"/>
  <c r="O1231" i="4"/>
  <c r="O180" i="4"/>
  <c r="O636" i="4"/>
  <c r="O1720" i="4"/>
  <c r="O873" i="4"/>
  <c r="O817" i="4"/>
  <c r="O389" i="4"/>
  <c r="O595" i="4"/>
  <c r="O349" i="4"/>
  <c r="O87" i="4"/>
  <c r="O1764" i="4"/>
  <c r="O1695" i="4"/>
  <c r="O1737" i="4"/>
  <c r="O1211" i="4"/>
  <c r="O1953" i="4"/>
  <c r="O1734" i="4"/>
  <c r="O508" i="4"/>
  <c r="O306" i="4"/>
  <c r="O1749" i="4"/>
  <c r="O1221" i="4"/>
  <c r="O1518" i="4"/>
  <c r="O1581" i="4"/>
  <c r="O1967" i="4"/>
  <c r="O1447" i="4"/>
  <c r="O1682" i="4"/>
  <c r="O1232" i="4"/>
  <c r="O468" i="4"/>
  <c r="O1153" i="4"/>
  <c r="O416" i="4"/>
  <c r="O654" i="4"/>
  <c r="O822" i="4"/>
  <c r="O156" i="4"/>
  <c r="O744" i="4"/>
  <c r="O490" i="4"/>
  <c r="O1379" i="4"/>
  <c r="O467" i="4"/>
  <c r="O766" i="4"/>
  <c r="O1463" i="4"/>
  <c r="O1475" i="4"/>
  <c r="O504" i="4"/>
  <c r="O446" i="4"/>
  <c r="O1087" i="4"/>
  <c r="O127" i="4"/>
  <c r="O1881" i="4"/>
  <c r="O785" i="4"/>
  <c r="O1476" i="4"/>
  <c r="O792" i="4"/>
  <c r="O630" i="4"/>
  <c r="O1374" i="4"/>
  <c r="O1703" i="4"/>
  <c r="O183" i="4"/>
  <c r="O1488" i="4"/>
  <c r="O1402" i="4"/>
  <c r="O1489" i="4"/>
  <c r="O1936" i="4"/>
  <c r="O1258" i="4"/>
  <c r="O325" i="4"/>
  <c r="O1326" i="4"/>
  <c r="O330" i="4"/>
  <c r="O1654" i="4"/>
  <c r="O1010" i="4"/>
  <c r="O975" i="4"/>
  <c r="O870" i="4"/>
  <c r="O651" i="4"/>
  <c r="O1364" i="4"/>
  <c r="O640" i="4"/>
  <c r="O1352" i="4"/>
  <c r="O84" i="4"/>
  <c r="O1286" i="4"/>
  <c r="O604" i="4"/>
  <c r="O548" i="4"/>
  <c r="O1205" i="4"/>
  <c r="O1381" i="4"/>
  <c r="O1807" i="4"/>
  <c r="O713" i="4"/>
  <c r="O469" i="4"/>
  <c r="O664" i="4"/>
  <c r="O1442" i="4"/>
  <c r="O1620" i="4"/>
  <c r="O720" i="4"/>
  <c r="O850" i="4"/>
  <c r="O1096" i="4"/>
  <c r="O1257" i="4"/>
  <c r="O956" i="4"/>
  <c r="O1633" i="4"/>
  <c r="O175" i="4"/>
  <c r="O1445" i="4"/>
  <c r="O253" i="4"/>
  <c r="O1318" i="4"/>
  <c r="O1486" i="4"/>
  <c r="O1542" i="4"/>
  <c r="O1716" i="4"/>
  <c r="O139" i="4"/>
  <c r="O944" i="4"/>
  <c r="O676" i="4"/>
  <c r="O1996" i="4"/>
  <c r="O648" i="4"/>
  <c r="O572" i="4"/>
  <c r="O1337" i="4"/>
  <c r="O1900" i="4"/>
  <c r="O1439" i="4"/>
  <c r="O254" i="4"/>
  <c r="O635" i="4"/>
  <c r="O481" i="4"/>
  <c r="O1332" i="4"/>
  <c r="O1989" i="4"/>
  <c r="O207" i="4"/>
  <c r="O1244" i="4"/>
  <c r="O1709" i="4"/>
  <c r="O769" i="4"/>
  <c r="O1119" i="4"/>
  <c r="O1056" i="4"/>
  <c r="O886" i="4"/>
  <c r="O615" i="4"/>
  <c r="O1950" i="4"/>
  <c r="O1137" i="4"/>
  <c r="O1789" i="4"/>
  <c r="O951" i="4"/>
  <c r="O409" i="4"/>
  <c r="O1117" i="4"/>
  <c r="O145" i="4"/>
  <c r="O1503" i="4"/>
  <c r="O1462" i="4"/>
  <c r="O1272" i="4"/>
  <c r="O561" i="4"/>
  <c r="O1338" i="4"/>
  <c r="O1564" i="4"/>
  <c r="O177" i="4"/>
  <c r="O586" i="4"/>
  <c r="O786" i="4"/>
  <c r="O1288" i="4"/>
  <c r="O515" i="4"/>
  <c r="O1162" i="4"/>
  <c r="O1979" i="4"/>
  <c r="O884" i="4"/>
  <c r="O1668" i="4"/>
  <c r="O623" i="4"/>
  <c r="O1021" i="4"/>
  <c r="O1675" i="4"/>
  <c r="O1866" i="4"/>
  <c r="O725" i="4"/>
  <c r="O996" i="4"/>
  <c r="O135" i="4"/>
  <c r="O1081" i="4"/>
  <c r="O1519" i="4"/>
  <c r="O1028" i="4"/>
  <c r="O610" i="4"/>
  <c r="O1210" i="4"/>
  <c r="O838" i="4"/>
  <c r="O1198" i="4"/>
  <c r="O941" i="4"/>
  <c r="O1254" i="4"/>
  <c r="O1855" i="4"/>
  <c r="O1613" i="4"/>
  <c r="O176" i="4"/>
  <c r="O605" i="4"/>
  <c r="O1744" i="4"/>
  <c r="O684" i="4"/>
  <c r="O1802" i="4"/>
  <c r="O1922" i="4"/>
  <c r="O910" i="4"/>
  <c r="O1163" i="4"/>
  <c r="O108" i="4"/>
  <c r="O224" i="4"/>
  <c r="O68" i="4"/>
  <c r="O450" i="4"/>
  <c r="O1536" i="4"/>
  <c r="O1193" i="4"/>
  <c r="O333" i="4"/>
  <c r="O117" i="4"/>
  <c r="O354" i="4"/>
  <c r="O1050" i="4"/>
  <c r="O1856" i="4"/>
  <c r="O1753" i="4"/>
  <c r="O936" i="4"/>
  <c r="O1431" i="4"/>
  <c r="O1532" i="4"/>
  <c r="O1377" i="4"/>
  <c r="O1573" i="4"/>
  <c r="O1511" i="4"/>
  <c r="O521" i="4"/>
  <c r="O1490" i="4"/>
  <c r="O1127" i="4"/>
  <c r="O672" i="4"/>
  <c r="O344" i="4"/>
  <c r="O704" i="4"/>
  <c r="O80" i="4"/>
  <c r="O1506" i="4"/>
  <c r="O1551" i="4"/>
  <c r="O1065" i="4"/>
  <c r="O1451" i="4"/>
  <c r="O264" i="4"/>
  <c r="O1190" i="4"/>
  <c r="O1562" i="4"/>
  <c r="O1826" i="4"/>
  <c r="O652" i="4"/>
  <c r="O1012" i="4"/>
  <c r="O1608" i="4"/>
  <c r="O474" i="4"/>
  <c r="O1074" i="4"/>
  <c r="O698" i="4"/>
  <c r="O1884" i="4"/>
  <c r="O1612" i="4"/>
  <c r="O209" i="4"/>
  <c r="O415" i="4"/>
  <c r="O1015" i="4"/>
  <c r="O597" i="4"/>
  <c r="O1642" i="4"/>
  <c r="O1756" i="4"/>
  <c r="O1958" i="4"/>
  <c r="O375" i="4"/>
  <c r="O1219" i="4"/>
  <c r="O1095" i="4"/>
  <c r="O1930" i="4"/>
  <c r="O1943" i="4"/>
  <c r="O1998" i="4"/>
  <c r="O567" i="4"/>
  <c r="O653" i="4"/>
  <c r="O645" i="4"/>
  <c r="O1845" i="4"/>
  <c r="O1824" i="4"/>
  <c r="O1820" i="4"/>
  <c r="O1962" i="4"/>
  <c r="O143" i="4"/>
  <c r="O892" i="4"/>
  <c r="O1571" i="4"/>
  <c r="O957" i="4"/>
  <c r="O1481" i="4"/>
  <c r="O272" i="4"/>
  <c r="O765" i="4"/>
  <c r="O1579" i="4"/>
  <c r="O1203" i="4"/>
  <c r="O1748" i="4"/>
  <c r="O1784" i="4"/>
  <c r="O754" i="4"/>
  <c r="O392" i="4"/>
  <c r="O1755" i="4"/>
  <c r="O831" i="4"/>
  <c r="O719" i="4"/>
  <c r="O992" i="4"/>
  <c r="O367" i="4"/>
  <c r="O532" i="4"/>
  <c r="O12" i="4"/>
  <c r="O300" i="4"/>
  <c r="O95" i="4"/>
  <c r="O358" i="4"/>
  <c r="O741" i="4"/>
  <c r="O1839" i="4"/>
  <c r="O1351" i="4"/>
  <c r="O1886" i="4"/>
  <c r="O1049" i="4"/>
  <c r="O1651" i="4"/>
  <c r="O541" i="4"/>
  <c r="O823" i="4"/>
  <c r="O438" i="4"/>
  <c r="O1173" i="4"/>
  <c r="O1046" i="4"/>
  <c r="O110" i="4"/>
  <c r="O423" i="4"/>
  <c r="O877" i="4"/>
  <c r="O1347" i="4"/>
  <c r="O1648" i="4"/>
  <c r="O1373" i="4"/>
  <c r="O619" i="4"/>
  <c r="O106" i="4"/>
  <c r="O922" i="4"/>
  <c r="O608" i="4"/>
  <c r="O708" i="4"/>
  <c r="O293" i="4"/>
  <c r="O583" i="4"/>
  <c r="O1645" i="4"/>
  <c r="O1913" i="4"/>
  <c r="O762" i="4"/>
  <c r="O1248" i="4"/>
  <c r="O1453" i="4"/>
  <c r="O1030" i="4"/>
  <c r="O1371" i="4"/>
  <c r="O1391" i="4"/>
  <c r="O315" i="4"/>
  <c r="O1324" i="4"/>
  <c r="O172" i="4"/>
  <c r="O844" i="4"/>
  <c r="O1320" i="4"/>
  <c r="O384" i="4"/>
  <c r="O1538" i="4"/>
  <c r="O795" i="4"/>
  <c r="O1500" i="4"/>
  <c r="O1861" i="4"/>
  <c r="O1393" i="4"/>
  <c r="O1512" i="4"/>
  <c r="O881" i="4"/>
  <c r="O1225" i="4"/>
  <c r="O517" i="4"/>
  <c r="O1655" i="4"/>
  <c r="O526" i="4"/>
  <c r="O820" i="4"/>
  <c r="O1218" i="4"/>
  <c r="O1011" i="4"/>
  <c r="O798" i="4"/>
  <c r="O1730" i="4"/>
  <c r="O1040" i="4"/>
  <c r="O1003" i="4"/>
  <c r="O1986" i="4"/>
  <c r="O1671" i="4"/>
  <c r="O2000" i="4"/>
  <c r="O1029" i="4"/>
  <c r="O1552" i="4"/>
  <c r="O1937" i="4"/>
  <c r="O1768" i="4"/>
  <c r="O1355" i="4"/>
  <c r="O1207" i="4"/>
  <c r="O1818" i="4"/>
  <c r="O740" i="4"/>
  <c r="O1745" i="4"/>
  <c r="O245" i="4"/>
  <c r="O681" i="4"/>
  <c r="O821" i="4"/>
  <c r="O280" i="4"/>
  <c r="O760" i="4"/>
  <c r="O1741" i="4"/>
  <c r="O1835" i="4"/>
  <c r="O1266" i="4"/>
  <c r="O973" i="4"/>
  <c r="O498" i="4"/>
  <c r="O982" i="4"/>
  <c r="O1296" i="4"/>
  <c r="O1396" i="4"/>
  <c r="O903" i="4"/>
  <c r="O210" i="4"/>
  <c r="O581" i="4"/>
  <c r="O260" i="4"/>
  <c r="O1683" i="4"/>
  <c r="O320" i="4"/>
  <c r="O985" i="4"/>
  <c r="O1380" i="4"/>
  <c r="O1859" i="4"/>
  <c r="O434" i="4"/>
  <c r="O8" i="4"/>
  <c r="O1524" i="4"/>
  <c r="O1446" i="4"/>
  <c r="O1677" i="4"/>
  <c r="O1611" i="4"/>
  <c r="O146" i="4"/>
  <c r="O249" i="4"/>
  <c r="O17" i="4"/>
  <c r="O86" i="4"/>
  <c r="O71" i="4"/>
  <c r="O144" i="4"/>
  <c r="O1718" i="4"/>
  <c r="O1005" i="4"/>
  <c r="O473" i="4"/>
  <c r="O1300" i="4"/>
  <c r="O729" i="4"/>
  <c r="O1105" i="4"/>
  <c r="O1849" i="4"/>
  <c r="O1940" i="4"/>
  <c r="O1663" i="4"/>
  <c r="O1262" i="4"/>
  <c r="O856" i="4"/>
  <c r="O779" i="4"/>
  <c r="O1392" i="4"/>
  <c r="O995" i="4"/>
  <c r="O1076" i="4"/>
  <c r="O1622" i="4"/>
  <c r="O697" i="4"/>
  <c r="O1626" i="4"/>
  <c r="O1280" i="4"/>
  <c r="O1456" i="4"/>
  <c r="O804" i="4"/>
  <c r="O601" i="4"/>
  <c r="O950" i="4"/>
  <c r="O1178" i="4"/>
  <c r="O89" i="4"/>
  <c r="O411" i="4"/>
  <c r="O1993" i="4"/>
  <c r="O1858" i="4"/>
  <c r="O1662" i="4"/>
  <c r="O1667" i="4"/>
  <c r="O977" i="4"/>
  <c r="O88" i="4"/>
  <c r="O1890" i="4"/>
  <c r="O1441" i="4"/>
  <c r="O871" i="4"/>
  <c r="O1275" i="4"/>
  <c r="O954" i="4"/>
  <c r="O602" i="4"/>
  <c r="O1093" i="4"/>
  <c r="O66" i="4"/>
  <c r="O539" i="4"/>
  <c r="O1909" i="4"/>
  <c r="O1763" i="4"/>
  <c r="O1973" i="4"/>
  <c r="O208" i="4"/>
  <c r="O154" i="4"/>
  <c r="O1167" i="4"/>
  <c r="O1403" i="4"/>
  <c r="O1436" i="4"/>
  <c r="O122" i="4"/>
  <c r="O373" i="4"/>
  <c r="O1170" i="4"/>
  <c r="O271" i="4"/>
  <c r="O879" i="4"/>
  <c r="O1563" i="4"/>
  <c r="O1733" i="4"/>
  <c r="O1149" i="4"/>
  <c r="O1650" i="4"/>
  <c r="O1529" i="4"/>
  <c r="O658" i="4"/>
  <c r="O1617" i="4"/>
  <c r="O1472" i="4"/>
  <c r="O1547" i="4"/>
  <c r="O1920" i="4"/>
  <c r="O876" i="4"/>
  <c r="O1358" i="4"/>
  <c r="O1430" i="4"/>
  <c r="O431" i="4"/>
  <c r="O483" i="4"/>
  <c r="O90" i="4"/>
  <c r="O1528" i="4"/>
  <c r="O809" i="4"/>
  <c r="O534" i="4"/>
  <c r="O142" i="4"/>
  <c r="O1664" i="4"/>
  <c r="O1895" i="4"/>
  <c r="O1044" i="4"/>
  <c r="O1521" i="4"/>
  <c r="O1543" i="4"/>
  <c r="O445" i="4"/>
  <c r="O709" i="4"/>
  <c r="O440" i="4"/>
  <c r="O1039" i="4"/>
  <c r="O931" i="4"/>
  <c r="O589" i="4"/>
  <c r="O1823" i="4"/>
  <c r="O1590" i="4"/>
  <c r="O1702" i="4"/>
  <c r="O1302" i="4"/>
  <c r="O1813" i="4"/>
  <c r="O1629" i="4"/>
  <c r="O240" i="4"/>
  <c r="O199" i="4"/>
  <c r="O627" i="4"/>
  <c r="O1410" i="4"/>
  <c r="O1976" i="4"/>
  <c r="O861" i="4"/>
  <c r="O1870" i="4"/>
  <c r="O550" i="4"/>
  <c r="O665" i="4"/>
  <c r="O1306" i="4"/>
  <c r="O1360" i="4"/>
  <c r="O372" i="4"/>
  <c r="O223" i="4"/>
  <c r="O748" i="4"/>
  <c r="O1921" i="4"/>
  <c r="O979" i="4"/>
  <c r="O1830" i="4"/>
  <c r="O1887" i="4"/>
  <c r="O1008" i="4"/>
  <c r="O114" i="4"/>
  <c r="O339" i="4"/>
  <c r="O558" i="4"/>
  <c r="O126" i="4"/>
  <c r="O1268" i="4"/>
  <c r="O1188" i="4"/>
  <c r="O840" i="4"/>
  <c r="O620" i="4"/>
  <c r="O222" i="4"/>
  <c r="O472" i="4"/>
  <c r="O383" i="4"/>
  <c r="O1058" i="4"/>
  <c r="O1742" i="4"/>
  <c r="O1754" i="4"/>
  <c r="O1082" i="4"/>
  <c r="O669" i="4"/>
  <c r="O826" i="4"/>
  <c r="O1148" i="4"/>
  <c r="O1710" i="4"/>
  <c r="O714" i="4"/>
  <c r="O410" i="4"/>
  <c r="O916" i="4"/>
  <c r="O700" i="4"/>
  <c r="O1091" i="4"/>
  <c r="O1493" i="4"/>
  <c r="O1537" i="4"/>
  <c r="O554" i="4"/>
  <c r="O345" i="4"/>
  <c r="O462" i="4"/>
  <c r="O1467" i="4"/>
  <c r="O1588" i="4"/>
  <c r="O398" i="4"/>
  <c r="O824" i="4"/>
  <c r="O1752" i="4"/>
  <c r="O1213" i="4"/>
  <c r="O1356" i="4"/>
  <c r="O1279" i="4"/>
  <c r="O1307" i="4"/>
  <c r="O1833" i="4"/>
  <c r="O1735" i="4"/>
  <c r="O33" i="4"/>
  <c r="O1274" i="4"/>
  <c r="O147" i="4"/>
  <c r="O1191" i="4"/>
  <c r="O1185" i="4"/>
  <c r="O1428" i="4"/>
  <c r="O706" i="4"/>
  <c r="O1746" i="4"/>
  <c r="O1860" i="4"/>
  <c r="O746" i="4"/>
  <c r="O47" i="4"/>
  <c r="O1051" i="4"/>
  <c r="O568" i="4"/>
  <c r="O611" i="4"/>
  <c r="O1455" i="4"/>
  <c r="O1201" i="4"/>
  <c r="O337" i="4"/>
  <c r="O1109" i="4"/>
  <c r="O1896" i="4"/>
  <c r="O710" i="4"/>
  <c r="O1507" i="4"/>
  <c r="O1898" i="4"/>
  <c r="O1926" i="4"/>
  <c r="O453" i="4"/>
  <c r="O739" i="4"/>
  <c r="O1517" i="4"/>
  <c r="O1384" i="4"/>
  <c r="O642" i="4"/>
  <c r="O1592" i="4"/>
  <c r="O420" i="4"/>
  <c r="O34" i="4"/>
  <c r="O631" i="4"/>
  <c r="O520" i="4"/>
  <c r="O774" i="4"/>
  <c r="O1427" i="4"/>
  <c r="O1413" i="4"/>
  <c r="O1594" i="4"/>
  <c r="O109" i="4"/>
  <c r="O124" i="4"/>
  <c r="O1111" i="4"/>
  <c r="O424" i="4"/>
  <c r="O703" i="4"/>
  <c r="O281" i="4"/>
  <c r="O797" i="4"/>
  <c r="O1584" i="4"/>
  <c r="O1787" i="4"/>
  <c r="O538" i="4"/>
  <c r="O893" i="4"/>
  <c r="O155" i="4"/>
  <c r="O859" i="4"/>
  <c r="O599" i="4"/>
  <c r="O557" i="4"/>
  <c r="O1397" i="4"/>
  <c r="O1038" i="4"/>
  <c r="O1914" i="4"/>
  <c r="O228" i="4"/>
  <c r="O482" i="4"/>
  <c r="O219" i="4"/>
  <c r="O1837" i="4"/>
  <c r="O1098" i="4"/>
  <c r="O1289" i="4"/>
  <c r="O1375" i="4"/>
  <c r="O1879" i="4"/>
  <c r="O1165" i="4"/>
  <c r="O582" i="4"/>
  <c r="O814" i="4"/>
  <c r="O1159" i="4"/>
  <c r="O1796" i="4"/>
  <c r="O1757" i="4"/>
  <c r="O37" i="4"/>
  <c r="O1227" i="4"/>
  <c r="O1713" i="4"/>
  <c r="O470" i="4"/>
  <c r="O400" i="4"/>
  <c r="O758" i="4"/>
  <c r="O1690" i="4"/>
  <c r="O1007" i="4"/>
  <c r="O1062" i="4"/>
  <c r="O290" i="4"/>
  <c r="O105" i="4"/>
  <c r="O1628" i="4"/>
  <c r="O563" i="4"/>
  <c r="O639" i="4"/>
  <c r="O202" i="4"/>
  <c r="O1465" i="4"/>
  <c r="O1600" i="4"/>
  <c r="O500" i="4"/>
  <c r="O644" i="4"/>
  <c r="O793" i="4"/>
  <c r="O273" i="4"/>
  <c r="O1239" i="4"/>
  <c r="O1251" i="4"/>
  <c r="O1150" i="4"/>
  <c r="O899" i="4"/>
  <c r="O1020" i="4"/>
  <c r="O749" i="4"/>
  <c r="O882" i="4"/>
  <c r="O1278" i="4"/>
  <c r="O1301" i="4"/>
  <c r="O843" i="4"/>
  <c r="O799" i="4"/>
  <c r="O1440" i="4"/>
  <c r="O818" i="4"/>
  <c r="O1103" i="4"/>
  <c r="O441" i="4"/>
  <c r="O1582" i="4"/>
  <c r="O1515" i="4"/>
  <c r="O668" i="4"/>
  <c r="O559" i="4"/>
  <c r="O1070" i="4"/>
  <c r="O1901" i="4"/>
  <c r="O1719" i="4"/>
  <c r="O408" i="4"/>
  <c r="O1623" i="4"/>
  <c r="O1661" i="4"/>
  <c r="O1616" i="4"/>
  <c r="O564" i="4"/>
  <c r="O989" i="4"/>
  <c r="O1194" i="4"/>
  <c r="O1928" i="4"/>
  <c r="O346" i="4"/>
  <c r="O659" i="4"/>
  <c r="O1042" i="4"/>
  <c r="O107" i="4"/>
  <c r="O691" i="4"/>
  <c r="O743" i="4"/>
  <c r="O259" i="4"/>
  <c r="O949" i="4"/>
  <c r="O812" i="4"/>
  <c r="O673" i="4"/>
  <c r="O327" i="4"/>
  <c r="O1761" i="4"/>
  <c r="O1804" i="4"/>
  <c r="O432" i="4"/>
  <c r="O764" i="4"/>
  <c r="O695" i="4"/>
  <c r="O1934" i="4"/>
  <c r="O133" i="4"/>
  <c r="O782" i="4"/>
  <c r="O1923" i="4"/>
  <c r="O1473" i="4"/>
  <c r="O1725" i="4"/>
  <c r="O924" i="4"/>
  <c r="O395" i="4"/>
  <c r="O1995" i="4"/>
  <c r="O205" i="4"/>
  <c r="O371" i="4"/>
  <c r="O200" i="4"/>
  <c r="O194" i="4"/>
  <c r="O1933" i="4"/>
  <c r="O540" i="4"/>
  <c r="O998" i="4"/>
  <c r="O594" i="4"/>
  <c r="O727" i="4"/>
  <c r="O1429" i="4"/>
  <c r="O925" i="4"/>
  <c r="O1567" i="4"/>
  <c r="O656" i="4"/>
  <c r="O1948" i="4"/>
  <c r="O513" i="4"/>
  <c r="O1209" i="4"/>
  <c r="O1889" i="4"/>
  <c r="O981" i="4"/>
  <c r="O570" i="4"/>
  <c r="O1778" i="4"/>
  <c r="O1777" i="4"/>
  <c r="O788" i="4"/>
  <c r="O1023" i="4"/>
  <c r="O1731" i="4"/>
  <c r="O1902" i="4"/>
  <c r="O98" i="4"/>
  <c r="O1226" i="4"/>
  <c r="O1132" i="4"/>
  <c r="O705" i="4"/>
  <c r="O755" i="4"/>
  <c r="O234" i="4"/>
  <c r="O30" i="4"/>
  <c r="O436" i="4"/>
  <c r="O54" i="4"/>
  <c r="O1869" i="4"/>
  <c r="O693" i="4"/>
  <c r="O1876" i="4"/>
  <c r="O1728" i="4"/>
  <c r="O1032" i="4"/>
  <c r="O165" i="4"/>
  <c r="O1270" i="4"/>
  <c r="O1792" i="4"/>
  <c r="O1420" i="4"/>
  <c r="O1714" i="4"/>
  <c r="O1760" i="4"/>
  <c r="O32" i="4"/>
  <c r="O303" i="4"/>
  <c r="O1309" i="4"/>
  <c r="O1139" i="4"/>
  <c r="O1013" i="4"/>
  <c r="O990" i="4"/>
  <c r="O1333" i="4"/>
  <c r="O1865" i="4"/>
  <c r="O1797" i="4"/>
  <c r="O370" i="4"/>
  <c r="O258" i="4"/>
  <c r="O848" i="4"/>
  <c r="O1597" i="4"/>
  <c r="O1166" i="4"/>
  <c r="O621" i="4"/>
  <c r="O239" i="4"/>
  <c r="O1214" i="4"/>
  <c r="O1168" i="4"/>
  <c r="O878" i="4"/>
  <c r="O479" i="4"/>
  <c r="O955" i="4"/>
  <c r="O376" i="4"/>
  <c r="O868" i="4"/>
  <c r="O1609" i="4"/>
  <c r="O813" i="4"/>
  <c r="O1508" i="4"/>
  <c r="O276" i="4"/>
  <c r="O1696" i="4"/>
  <c r="O268" i="4"/>
  <c r="O1575" i="4"/>
  <c r="O1717" i="4"/>
  <c r="O1834" i="4"/>
  <c r="O1233" i="4"/>
  <c r="O2" i="4"/>
  <c r="O74" i="4"/>
  <c r="O921" i="4"/>
  <c r="O1317" i="4"/>
  <c r="O1469" i="4"/>
  <c r="O523" i="4"/>
  <c r="O171" i="4"/>
  <c r="O1535" i="4"/>
  <c r="O1751" i="4"/>
  <c r="O1781" i="4"/>
  <c r="O1131" i="4"/>
  <c r="O1143" i="4"/>
  <c r="O1077" i="4"/>
  <c r="O1482" i="4"/>
  <c r="O1084" i="4"/>
  <c r="O464" i="4"/>
  <c r="O688" i="4"/>
  <c r="O459" i="4"/>
  <c r="O1496" i="4"/>
  <c r="O587" i="4"/>
  <c r="O1949" i="4"/>
  <c r="O914" i="4"/>
  <c r="O1908" i="4"/>
  <c r="O1240" i="4"/>
  <c r="O551" i="4"/>
  <c r="O1405" i="4"/>
  <c r="O348" i="4"/>
  <c r="O972" i="4"/>
  <c r="O1906" i="4"/>
  <c r="O780" i="4"/>
  <c r="O374" i="4"/>
  <c r="O401" i="4"/>
  <c r="O426" i="4"/>
  <c r="O75" i="4"/>
  <c r="O1699" i="4"/>
  <c r="O1646" i="4"/>
  <c r="O543" i="4"/>
  <c r="O39" i="4"/>
  <c r="O834" i="4"/>
  <c r="O1283" i="4"/>
  <c r="O940" i="4"/>
  <c r="O1892" i="4"/>
  <c r="O1154" i="4"/>
  <c r="O1867" i="4"/>
  <c r="O304" i="4"/>
  <c r="O794" i="4"/>
  <c r="O1237" i="4"/>
  <c r="O1624" i="4"/>
  <c r="O1546" i="4"/>
  <c r="O1715" i="4"/>
  <c r="O1101" i="4"/>
  <c r="O687" i="4"/>
  <c r="O1959" i="4"/>
  <c r="O1322" i="4"/>
  <c r="O1335" i="4"/>
  <c r="O976" i="4"/>
  <c r="O1313" i="4"/>
  <c r="O1722" i="4"/>
  <c r="O1147" i="4"/>
  <c r="O1152" i="4"/>
  <c r="O51" i="4"/>
  <c r="O632" i="4"/>
  <c r="O388" i="4"/>
  <c r="O1724" i="4"/>
  <c r="O1187" i="4"/>
  <c r="O1614" i="4"/>
  <c r="O1871" i="4"/>
  <c r="O62" i="4"/>
  <c r="O776" i="4"/>
  <c r="O1229" i="4"/>
  <c r="O184" i="4"/>
  <c r="O628" i="4"/>
  <c r="O23" i="4"/>
  <c r="O1516" i="4"/>
  <c r="O475" i="4"/>
  <c r="O1106" i="4"/>
  <c r="O1236" i="4"/>
  <c r="O1341" i="4"/>
  <c r="O1653" i="4"/>
  <c r="O963" i="4"/>
  <c r="O350" i="4"/>
  <c r="O70" i="4"/>
  <c r="O277" i="4"/>
  <c r="O901" i="4"/>
  <c r="O364" i="4"/>
  <c r="O1836" i="4"/>
  <c r="O1927" i="4"/>
  <c r="O16" i="4"/>
  <c r="O31" i="4"/>
  <c r="O489" i="4"/>
  <c r="O403" i="4"/>
  <c r="O1844" i="4"/>
  <c r="O1758" i="4"/>
  <c r="O866" i="4"/>
  <c r="O641" i="4"/>
  <c r="O1525" i="4"/>
  <c r="O1568" i="4"/>
  <c r="O1298" i="4"/>
  <c r="O55" i="4"/>
  <c r="O497" i="4"/>
  <c r="O351" i="4"/>
  <c r="O1155" i="4"/>
  <c r="O1559" i="4"/>
  <c r="O1669" i="4"/>
  <c r="O1267" i="4"/>
  <c r="O275" i="4"/>
  <c r="O1006" i="4"/>
  <c r="O466" i="4"/>
  <c r="O1832" i="4"/>
  <c r="O1932" i="4"/>
  <c r="O1977" i="4"/>
  <c r="O696" i="4"/>
  <c r="O437" i="4"/>
  <c r="O1747" i="4"/>
  <c r="O18" i="4"/>
  <c r="O1182" i="4"/>
  <c r="O166" i="4"/>
  <c r="O1271" i="4"/>
  <c r="O588" i="4"/>
  <c r="O1048" i="4"/>
  <c r="O905" i="4"/>
  <c r="O1204" i="4"/>
  <c r="O123" i="4"/>
  <c r="O1983" i="4"/>
  <c r="O1874" i="4"/>
  <c r="O1769" i="4"/>
  <c r="O1961" i="4"/>
  <c r="O255" i="4"/>
  <c r="O496" i="4"/>
  <c r="O1641" i="4"/>
  <c r="O694" i="4"/>
  <c r="O528" i="4"/>
  <c r="O617" i="4"/>
  <c r="O301" i="4"/>
  <c r="O366" i="4"/>
  <c r="O241" i="4"/>
  <c r="O607" i="4"/>
  <c r="O759" i="4"/>
  <c r="O1615" i="4"/>
  <c r="O1798" i="4"/>
  <c r="O544" i="4"/>
  <c r="O1817" i="4"/>
  <c r="O747" i="4"/>
  <c r="O686" i="4"/>
  <c r="O1978" i="4"/>
  <c r="O662" i="4"/>
  <c r="O835" i="4"/>
  <c r="O399" i="4"/>
  <c r="O73" i="4"/>
  <c r="O777" i="4"/>
  <c r="O512" i="4"/>
  <c r="O1321" i="4"/>
  <c r="O1779" i="4"/>
  <c r="O1181" i="4"/>
  <c r="O1108" i="4"/>
  <c r="O1292" i="4"/>
  <c r="O494" i="4"/>
  <c r="O1444" i="4"/>
  <c r="O731" i="4"/>
  <c r="O1408" i="4"/>
  <c r="O1941" i="4"/>
  <c r="O1829" i="4"/>
  <c r="O1762" i="4"/>
  <c r="O22" i="4"/>
  <c r="O618" i="4"/>
  <c r="O1412" i="4"/>
  <c r="O203" i="4"/>
  <c r="O1242" i="4"/>
  <c r="O378" i="4"/>
  <c r="O1052" i="4"/>
  <c r="O1372" i="4"/>
  <c r="O1635" i="4"/>
  <c r="O204" i="4"/>
  <c r="O170" i="4"/>
  <c r="O362" i="4"/>
  <c r="O1550" i="4"/>
  <c r="O902" i="4"/>
  <c r="O842" i="4"/>
  <c r="O1880" i="4"/>
  <c r="O1293" i="4"/>
  <c r="O1514" i="4"/>
  <c r="O382" i="4"/>
  <c r="O226" i="4"/>
  <c r="O1938" i="4"/>
  <c r="O456" i="4"/>
  <c r="O430" i="4"/>
  <c r="O103" i="4"/>
  <c r="O519" i="4"/>
  <c r="O1799" i="4"/>
  <c r="O1918" i="4"/>
  <c r="O45" i="4"/>
  <c r="O1241" i="4"/>
  <c r="O625" i="4"/>
  <c r="O1014" i="4"/>
  <c r="O1692" i="4"/>
  <c r="O42" i="4"/>
  <c r="O1960" i="4"/>
  <c r="O1541" i="4"/>
  <c r="O935" i="4"/>
  <c r="O1027" i="4"/>
  <c r="O1169" i="4"/>
  <c r="O667" i="4"/>
  <c r="O1638" i="4"/>
  <c r="O624" i="4"/>
  <c r="O1370" i="4"/>
  <c r="O1252" i="4"/>
  <c r="O1875" i="4"/>
  <c r="O1891" i="4"/>
  <c r="O1435" i="4"/>
  <c r="O715" i="4"/>
  <c r="O1140" i="4"/>
  <c r="O1897" i="4"/>
  <c r="O1759" i="4"/>
  <c r="O1361" i="4"/>
  <c r="O1362" i="4"/>
  <c r="O833" i="4"/>
  <c r="O1686" i="4"/>
  <c r="O213" i="4"/>
  <c r="O994" i="4"/>
  <c r="O904" i="4"/>
  <c r="O390" i="4"/>
  <c r="O225" i="4"/>
  <c r="O887" i="4"/>
  <c r="O783" i="4"/>
  <c r="O150" i="4"/>
  <c r="O6" i="4"/>
  <c r="O1942" i="4"/>
  <c r="O1770" i="4"/>
  <c r="O1558" i="4"/>
  <c r="O934" i="4"/>
  <c r="O1893" i="4"/>
  <c r="O1024" i="4"/>
  <c r="O846" i="4"/>
  <c r="O1783" i="4"/>
  <c r="O1068" i="4"/>
  <c r="O1001" i="4"/>
  <c r="O1264" i="4"/>
  <c r="O1899" i="4"/>
  <c r="O732" i="4"/>
  <c r="O1246" i="4"/>
  <c r="O1085" i="4"/>
  <c r="O1126" i="4"/>
  <c r="O1964" i="4"/>
  <c r="O1344" i="4"/>
  <c r="O889" i="4"/>
  <c r="O141" i="4"/>
  <c r="O1075" i="4"/>
  <c r="O1577" i="4"/>
  <c r="O244" i="4"/>
  <c r="O1287" i="4"/>
  <c r="O1404" i="4"/>
  <c r="O591" i="4"/>
  <c r="O1092" i="4"/>
  <c r="O535" i="4"/>
  <c r="O751" i="4"/>
  <c r="O101" i="4"/>
  <c r="O129" i="4"/>
  <c r="O1982" i="4"/>
  <c r="O1235" i="4"/>
  <c r="O296" i="4"/>
  <c r="O718" i="4"/>
  <c r="O1712" i="4"/>
  <c r="O778" i="4"/>
  <c r="O724" i="4"/>
  <c r="O1992" i="4"/>
  <c r="O1299" i="4"/>
  <c r="O357" i="4"/>
  <c r="O1806" i="4"/>
  <c r="O1549" i="4"/>
  <c r="O1704" i="4"/>
  <c r="O429" i="4"/>
  <c r="O913" i="4"/>
  <c r="O1282" i="4"/>
  <c r="O926" i="4"/>
  <c r="O1604" i="4"/>
  <c r="O238" i="4"/>
  <c r="O649" i="4"/>
  <c r="O425" i="4"/>
  <c r="O965" i="4"/>
  <c r="O1417" i="4"/>
  <c r="O1809" i="4"/>
  <c r="O1329" i="4"/>
  <c r="O906" i="4"/>
  <c r="O1478" i="4"/>
  <c r="O334" i="4"/>
  <c r="O1400" i="4"/>
  <c r="O1947" i="4"/>
  <c r="O1882" i="4"/>
  <c r="O1605" i="4"/>
  <c r="O869" i="4"/>
  <c r="O1454" i="4"/>
  <c r="O966" i="4"/>
  <c r="O1004" i="4"/>
  <c r="O908" i="4"/>
  <c r="O915" i="4"/>
  <c r="O104" i="4"/>
  <c r="O159" i="4"/>
  <c r="O305" i="4"/>
  <c r="O1200" i="4"/>
  <c r="O800" i="4"/>
  <c r="O1336" i="4"/>
  <c r="O232" i="4"/>
  <c r="O775" i="4"/>
  <c r="O787" i="4"/>
  <c r="O414" i="4"/>
  <c r="O657" i="4"/>
  <c r="O310" i="4"/>
  <c r="O486" i="4"/>
  <c r="O647" i="4"/>
  <c r="O461" i="4"/>
  <c r="O115" i="4"/>
  <c r="O3" i="4"/>
  <c r="O59" i="4"/>
  <c r="O379" i="4"/>
  <c r="O1634" i="4"/>
  <c r="O875" i="4"/>
  <c r="O1121" i="4"/>
  <c r="O1904" i="4"/>
  <c r="O15" i="4"/>
  <c r="O217" i="4"/>
  <c r="O148" i="4"/>
  <c r="O991" i="4"/>
  <c r="O1192" i="4"/>
  <c r="O1437" i="4"/>
  <c r="O1343" i="4"/>
  <c r="O41" i="4"/>
  <c r="O1903" i="4"/>
  <c r="O898" i="4"/>
  <c r="O484" i="4"/>
  <c r="O118" i="4"/>
  <c r="O855" i="4"/>
  <c r="O1000" i="4"/>
  <c r="O1610" i="4"/>
  <c r="O419" i="4"/>
  <c r="O1107" i="4"/>
  <c r="O1434" i="4"/>
  <c r="O938" i="4"/>
  <c r="O946" i="4"/>
  <c r="O1250" i="4"/>
  <c r="O1466" i="4"/>
  <c r="O211" i="4"/>
  <c r="O1189" i="4"/>
  <c r="O1848" i="4"/>
  <c r="O1416" i="4"/>
  <c r="O1423" i="4"/>
  <c r="O1328" i="4"/>
  <c r="O1854" i="4"/>
  <c r="O1138" i="4"/>
  <c r="O1471" i="4"/>
  <c r="O1841" i="4"/>
  <c r="O1399" i="4"/>
  <c r="O1086" i="4"/>
  <c r="O418" i="4"/>
  <c r="O803" i="4"/>
  <c r="O391" i="4"/>
  <c r="O1795" i="4"/>
  <c r="O44" i="4"/>
  <c r="O1464" i="4"/>
  <c r="O236" i="4"/>
  <c r="O289" i="4"/>
  <c r="O933" i="4"/>
  <c r="O757" i="4"/>
  <c r="O196" i="4"/>
  <c r="O1917" i="4"/>
  <c r="O971" i="4"/>
  <c r="O1990" i="4"/>
  <c r="O1228" i="4"/>
  <c r="O1539" i="4"/>
  <c r="O1851" i="4"/>
  <c r="O1369" i="4"/>
  <c r="O1872" i="4"/>
  <c r="O816" i="4"/>
  <c r="O828" i="4"/>
  <c r="O578" i="4"/>
  <c r="O347" i="4"/>
  <c r="O99" i="4"/>
  <c r="O491" i="4"/>
  <c r="O233" i="4"/>
  <c r="O1295" i="4"/>
  <c r="O808" i="4"/>
  <c r="O1945" i="4"/>
  <c r="O291" i="4"/>
  <c r="O1474" i="4"/>
  <c r="O332" i="4"/>
  <c r="O1097" i="4"/>
  <c r="O726" i="4"/>
  <c r="O1090" i="4"/>
  <c r="O1678" i="4"/>
  <c r="O1253" i="4"/>
  <c r="O1325" i="4"/>
  <c r="O63" i="4"/>
  <c r="O381" i="4"/>
  <c r="O1238" i="4"/>
  <c r="O781" i="4"/>
  <c r="O894" i="4"/>
  <c r="O21" i="4"/>
  <c r="O1387" i="4"/>
  <c r="O1801" i="4"/>
  <c r="O458" i="4"/>
  <c r="O928" i="4"/>
  <c r="O396" i="4"/>
  <c r="O50" i="4"/>
  <c r="O46" i="4"/>
  <c r="O221" i="4"/>
  <c r="O865" i="4"/>
  <c r="O689" i="4"/>
  <c r="O646" i="4"/>
  <c r="O299" i="4"/>
  <c r="O499" i="4"/>
  <c r="O1740" i="4"/>
  <c r="O1366" i="4"/>
  <c r="O1458" i="4"/>
  <c r="O1788" i="4"/>
  <c r="O1142" i="4"/>
  <c r="O506" i="4"/>
  <c r="O1905" i="4"/>
  <c r="O1041" i="4"/>
  <c r="O1534" i="4"/>
  <c r="O1263" i="4"/>
  <c r="O1975" i="4"/>
  <c r="O91" i="4"/>
  <c r="O1595" i="4"/>
  <c r="O643" i="4"/>
  <c r="O252" i="4"/>
  <c r="O128" i="4"/>
  <c r="O1151" i="4"/>
  <c r="O100" i="4"/>
  <c r="O845" i="4"/>
  <c r="O113" i="4"/>
  <c r="O294" i="4"/>
  <c r="O282" i="4"/>
  <c r="O1864" i="4"/>
  <c r="O937" i="4"/>
  <c r="O1450" i="4"/>
  <c r="O885" i="4"/>
  <c r="O1659" i="4"/>
  <c r="O230" i="4"/>
  <c r="O1045" i="4"/>
  <c r="O1853" i="4"/>
  <c r="O1639" i="4"/>
  <c r="O324" i="4"/>
  <c r="O964" i="4"/>
  <c r="O1598" i="4"/>
  <c r="O1706" i="4"/>
  <c r="O402" i="4"/>
  <c r="O1811" i="4"/>
  <c r="O56" i="4"/>
  <c r="O1548" i="4"/>
  <c r="O250" i="4"/>
  <c r="O1697" i="4"/>
  <c r="O451" i="4"/>
  <c r="O1099" i="4"/>
  <c r="O1630" i="4"/>
  <c r="O626" i="4"/>
  <c r="O1814" i="4"/>
  <c r="O701" i="4"/>
  <c r="O1419" i="4"/>
  <c r="O862" i="4"/>
  <c r="O1894" i="4"/>
  <c r="O312" i="4"/>
  <c r="O487" i="4"/>
  <c r="O417" i="4"/>
  <c r="O661" i="4"/>
  <c r="O342" i="4"/>
  <c r="O1565" i="4"/>
  <c r="O1160" i="4"/>
  <c r="O77" i="4"/>
  <c r="O443" i="4"/>
  <c r="O1660" i="4"/>
  <c r="O1810" i="4"/>
  <c r="O314" i="4"/>
  <c r="O1067" i="4"/>
  <c r="O1483" i="4"/>
  <c r="O251" i="4"/>
  <c r="O1158" i="4"/>
  <c r="O2001" i="4"/>
  <c r="O1729" i="4"/>
  <c r="O584" i="4"/>
  <c r="O565" i="4"/>
  <c r="O501" i="4"/>
  <c r="O1957" i="4"/>
  <c r="O279" i="4"/>
  <c r="O1607" i="4"/>
  <c r="O1656" i="4"/>
  <c r="O311" i="4"/>
  <c r="O1277" i="4"/>
  <c r="O1494" i="4"/>
  <c r="O1409" i="4"/>
  <c r="O1378" i="4"/>
  <c r="O1821" i="4"/>
  <c r="O745" i="4"/>
  <c r="O1791" i="4"/>
  <c r="O1502" i="4"/>
  <c r="O1294" i="4"/>
  <c r="O1852" i="4"/>
  <c r="O1421" i="4"/>
  <c r="O574" i="4"/>
  <c r="O386" i="4"/>
  <c r="O1129" i="4"/>
  <c r="O69" i="4"/>
  <c r="O988" i="4"/>
  <c r="O1972" i="4"/>
  <c r="O614" i="4"/>
  <c r="O308" i="4"/>
  <c r="O1100" i="4"/>
  <c r="O942" i="4"/>
  <c r="O983" i="4"/>
  <c r="O502" i="4"/>
  <c r="O1249" i="4"/>
  <c r="O1911" i="4"/>
  <c r="O130" i="4"/>
  <c r="O1424" i="4"/>
  <c r="O336" i="4"/>
  <c r="O552" i="4"/>
  <c r="O278" i="4"/>
  <c r="O1069" i="4"/>
  <c r="O1327" i="4"/>
  <c r="O138" i="4"/>
  <c r="O522" i="4"/>
  <c r="O83" i="4"/>
  <c r="O1707" i="4"/>
  <c r="O439" i="4"/>
  <c r="O449" i="4"/>
  <c r="O460" i="4"/>
  <c r="O1120" i="4"/>
  <c r="O1984" i="4"/>
  <c r="O335" i="4"/>
  <c r="O369" i="4"/>
  <c r="O283" i="4"/>
  <c r="O1553" i="4"/>
  <c r="O1776" i="4"/>
  <c r="O182" i="4"/>
  <c r="O266" i="4"/>
  <c r="O427" i="4"/>
  <c r="O1732" i="4"/>
  <c r="O1491" i="4"/>
  <c r="O1578" i="4"/>
  <c r="O1672" i="4"/>
  <c r="O288" i="4"/>
  <c r="O900" i="4"/>
  <c r="O1176" i="4"/>
  <c r="O1116" i="4"/>
  <c r="O1354" i="4"/>
  <c r="O927" i="4"/>
  <c r="O1919" i="4"/>
  <c r="O1060" i="4"/>
  <c r="O214" i="4"/>
  <c r="O1965" i="4"/>
  <c r="O1019" i="4"/>
  <c r="O960" i="4"/>
  <c r="O609" i="4"/>
  <c r="O492" i="4"/>
  <c r="O1083" i="4"/>
  <c r="O1415" i="4"/>
  <c r="O1407" i="4"/>
  <c r="O270" i="4"/>
  <c r="O93" i="4"/>
  <c r="O974" i="4"/>
  <c r="O1345" i="4"/>
  <c r="O161" i="4"/>
  <c r="O997" i="4"/>
  <c r="O1625" i="4"/>
  <c r="O1974" i="4"/>
  <c r="O190" i="4"/>
  <c r="O575" i="4"/>
  <c r="O961" i="4"/>
  <c r="O1631" i="4"/>
  <c r="O1966" i="4"/>
  <c r="O722" i="4"/>
  <c r="O1054" i="4"/>
  <c r="O791" i="4"/>
  <c r="O368" i="4"/>
  <c r="O1066" i="4"/>
  <c r="O1840" i="4"/>
  <c r="O321" i="4"/>
  <c r="O860" i="4"/>
  <c r="O319" i="4"/>
  <c r="O1314" i="4"/>
  <c r="O5" i="4"/>
  <c r="O1217" i="4"/>
  <c r="O1873" i="4"/>
  <c r="O1161" i="4"/>
  <c r="O192" i="4"/>
  <c r="O444" i="4"/>
  <c r="O365" i="4"/>
  <c r="O385" i="4"/>
  <c r="O329" i="4"/>
  <c r="O815" i="4"/>
  <c r="O1330" i="4"/>
  <c r="O1831" i="4"/>
  <c r="O331" i="4"/>
  <c r="O1587" i="4"/>
  <c r="O1261" i="4"/>
  <c r="O1043" i="4"/>
  <c r="O1857" i="4"/>
  <c r="O1499" i="4"/>
  <c r="O1931" i="4"/>
  <c r="O96" i="4"/>
  <c r="O1346" i="4"/>
  <c r="O980" i="4"/>
  <c r="O164" i="4"/>
  <c r="O514" i="4"/>
  <c r="O1033" i="4"/>
  <c r="O717" i="4"/>
  <c r="O1113" i="4"/>
  <c r="O318" i="4"/>
  <c r="O284" i="4"/>
  <c r="O1513" i="4"/>
  <c r="O1643" i="4"/>
  <c r="O1850" i="4"/>
  <c r="O1951" i="4"/>
  <c r="O1468" i="4"/>
  <c r="O590" i="4"/>
  <c r="O1794" i="4"/>
  <c r="O353" i="4"/>
  <c r="O111" i="4"/>
  <c r="O1526" i="4"/>
  <c r="O1736" i="4"/>
  <c r="O598" i="4"/>
  <c r="O999" i="4"/>
  <c r="O819" i="4"/>
  <c r="O1002" i="4"/>
  <c r="O1619" i="4"/>
  <c r="O140" i="4"/>
  <c r="O533" i="4"/>
  <c r="O1827" i="4"/>
  <c r="O477" i="4"/>
  <c r="O546" i="4"/>
  <c r="O968" i="4"/>
  <c r="O1365" i="4"/>
  <c r="O953" i="4"/>
  <c r="O585" i="4"/>
  <c r="O53" i="4"/>
  <c r="O231" i="4"/>
  <c r="O1389" i="4"/>
  <c r="O1971" i="4"/>
  <c r="O918" i="4"/>
  <c r="O728" i="4"/>
  <c r="O478" i="4"/>
  <c r="O316" i="4"/>
  <c r="O269" i="4"/>
  <c r="O1828" i="4"/>
  <c r="O1522" i="4"/>
  <c r="O1680" i="4"/>
  <c r="O1963" i="4"/>
  <c r="O20" i="4"/>
  <c r="O212" i="4"/>
  <c r="O1115" i="4"/>
  <c r="O671" i="4"/>
  <c r="O433" i="4"/>
  <c r="O1952" i="4"/>
  <c r="O256" i="4"/>
  <c r="O1530" i="4"/>
  <c r="O1224" i="4"/>
  <c r="O1991" i="4"/>
  <c r="O298" i="4"/>
  <c r="O48" i="4"/>
  <c r="O52" i="4"/>
  <c r="O1243" i="4"/>
  <c r="O1290" i="4"/>
  <c r="O1640" i="4"/>
  <c r="O72" i="4"/>
  <c r="O163" i="4"/>
  <c r="O593" i="4"/>
  <c r="O1285" i="4"/>
  <c r="O549" i="4"/>
  <c r="O1504" i="4"/>
  <c r="O338" i="4"/>
  <c r="O1531" i="4"/>
  <c r="O1691" i="4"/>
  <c r="O1591" i="4"/>
  <c r="O206" i="4"/>
  <c r="O1141" i="4"/>
  <c r="O285" i="4"/>
  <c r="O153" i="4"/>
  <c r="O1156" i="4"/>
  <c r="O235" i="4"/>
  <c r="O92" i="4"/>
  <c r="O1223" i="4"/>
  <c r="N1776" i="4"/>
  <c r="N83" i="4"/>
  <c r="N1051" i="4"/>
  <c r="N1471" i="4"/>
  <c r="N1447" i="4"/>
  <c r="N1435" i="4"/>
  <c r="N1423" i="4"/>
  <c r="N1399" i="4"/>
  <c r="N1387" i="4"/>
  <c r="N1375" i="4"/>
  <c r="N1351" i="4"/>
  <c r="N1339" i="4"/>
  <c r="N1327" i="4"/>
  <c r="N162" i="4"/>
  <c r="N1996" i="4"/>
  <c r="N1960" i="4"/>
  <c r="N1924" i="4"/>
  <c r="N1900" i="4"/>
  <c r="N1888" i="4"/>
  <c r="N1876" i="4"/>
  <c r="N1864" i="4"/>
  <c r="N1852" i="4"/>
  <c r="N1840" i="4"/>
  <c r="N1828" i="4"/>
  <c r="N1816" i="4"/>
  <c r="N1804" i="4"/>
  <c r="N1792" i="4"/>
  <c r="N1768" i="4"/>
  <c r="N1756" i="4"/>
  <c r="N1744" i="4"/>
  <c r="N1732" i="4"/>
  <c r="N1720" i="4"/>
  <c r="N1708" i="4"/>
  <c r="N1696" i="4"/>
  <c r="N1684" i="4"/>
  <c r="N1672" i="4"/>
  <c r="N1660" i="4"/>
  <c r="N1648" i="4"/>
  <c r="N1636" i="4"/>
  <c r="N1624" i="4"/>
  <c r="N1612" i="4"/>
  <c r="N1600" i="4"/>
  <c r="N1984" i="4"/>
  <c r="N1972" i="4"/>
  <c r="N1948" i="4"/>
  <c r="N1936" i="4"/>
  <c r="N1912" i="4"/>
  <c r="N1780" i="4"/>
  <c r="N1995" i="4"/>
  <c r="N1983" i="4"/>
  <c r="N1971" i="4"/>
  <c r="N1959" i="4"/>
  <c r="N1947" i="4"/>
  <c r="N1935" i="4"/>
  <c r="N1923" i="4"/>
  <c r="N1911" i="4"/>
  <c r="N1899" i="4"/>
  <c r="N1887" i="4"/>
  <c r="N1875" i="4"/>
  <c r="N1863" i="4"/>
  <c r="N1851" i="4"/>
  <c r="N1839" i="4"/>
  <c r="N1827" i="4"/>
  <c r="N1815" i="4"/>
  <c r="N1803" i="4"/>
  <c r="N1791" i="4"/>
  <c r="N1779" i="4"/>
  <c r="N1767" i="4"/>
  <c r="N1755" i="4"/>
  <c r="N1743" i="4"/>
  <c r="N1731" i="4"/>
  <c r="N1719" i="4"/>
  <c r="N1707" i="4"/>
  <c r="N1695" i="4"/>
  <c r="N1683" i="4"/>
  <c r="N1671" i="4"/>
  <c r="N1659" i="4"/>
  <c r="N1647" i="4"/>
  <c r="N1635" i="4"/>
  <c r="N1623" i="4"/>
  <c r="N1611" i="4"/>
  <c r="N1599" i="4"/>
  <c r="N1587" i="4"/>
  <c r="N1588" i="4"/>
  <c r="N1576" i="4"/>
  <c r="N1564" i="4"/>
  <c r="N1552" i="4"/>
  <c r="N1540" i="4"/>
  <c r="N1528" i="4"/>
  <c r="N1516" i="4"/>
  <c r="N1504" i="4"/>
  <c r="N1492" i="4"/>
  <c r="N1480" i="4"/>
  <c r="N1468" i="4"/>
  <c r="N1456" i="4"/>
  <c r="N1444" i="4"/>
  <c r="N1432" i="4"/>
  <c r="N1420" i="4"/>
  <c r="N1408" i="4"/>
  <c r="N1396" i="4"/>
  <c r="N1384" i="4"/>
  <c r="N1372" i="4"/>
  <c r="N1360" i="4"/>
  <c r="N1348" i="4"/>
  <c r="N1336" i="4"/>
  <c r="N1324" i="4"/>
  <c r="N1312" i="4"/>
  <c r="N1300" i="4"/>
  <c r="N1288" i="4"/>
  <c r="N1276" i="4"/>
  <c r="N1264" i="4"/>
  <c r="N1252" i="4"/>
  <c r="N1240" i="4"/>
  <c r="N1228" i="4"/>
  <c r="N1216" i="4"/>
  <c r="N1204" i="4"/>
  <c r="N1192" i="4"/>
  <c r="N1180" i="4"/>
  <c r="N1168" i="4"/>
  <c r="N1156" i="4"/>
  <c r="N1575" i="4"/>
  <c r="N1563" i="4"/>
  <c r="N1551" i="4"/>
  <c r="N1539" i="4"/>
  <c r="N1527" i="4"/>
  <c r="N1515" i="4"/>
  <c r="N1503" i="4"/>
  <c r="N1491" i="4"/>
  <c r="N1479" i="4"/>
  <c r="N1467" i="4"/>
  <c r="N1455" i="4"/>
  <c r="N1443" i="4"/>
  <c r="N1431" i="4"/>
  <c r="N1419" i="4"/>
  <c r="N1407" i="4"/>
  <c r="N1395" i="4"/>
  <c r="N1383" i="4"/>
  <c r="N1371" i="4"/>
  <c r="N1359" i="4"/>
  <c r="N1347" i="4"/>
  <c r="N1335" i="4"/>
  <c r="N1323" i="4"/>
  <c r="N1311" i="4"/>
  <c r="N1299" i="4"/>
  <c r="N1287" i="4"/>
  <c r="N1275" i="4"/>
  <c r="N1263" i="4"/>
  <c r="N1251" i="4"/>
  <c r="N1239" i="4"/>
  <c r="N1227" i="4"/>
  <c r="N1215" i="4"/>
  <c r="N1203" i="4"/>
  <c r="N1191" i="4"/>
  <c r="N1179" i="4"/>
  <c r="N1167" i="4"/>
  <c r="N1155" i="4"/>
  <c r="N1143" i="4"/>
  <c r="N1131" i="4"/>
  <c r="N1119" i="4"/>
  <c r="N1107" i="4"/>
  <c r="N1095" i="4"/>
  <c r="N1083" i="4"/>
  <c r="N1071" i="4"/>
  <c r="N1059" i="4"/>
  <c r="N1047" i="4"/>
  <c r="N1035" i="4"/>
  <c r="N1023" i="4"/>
  <c r="N1011" i="4"/>
  <c r="N999" i="4"/>
  <c r="N987" i="4"/>
  <c r="N975" i="4"/>
  <c r="N963" i="4"/>
  <c r="N951" i="4"/>
  <c r="N939" i="4"/>
  <c r="N927" i="4"/>
  <c r="N915" i="4"/>
  <c r="N903" i="4"/>
  <c r="N891" i="4"/>
  <c r="N879" i="4"/>
  <c r="N867" i="4"/>
  <c r="N855" i="4"/>
  <c r="N843" i="4"/>
  <c r="N831" i="4"/>
  <c r="N819" i="4"/>
  <c r="N807" i="4"/>
  <c r="N795" i="4"/>
  <c r="N783" i="4"/>
  <c r="N771" i="4"/>
  <c r="N759" i="4"/>
  <c r="N747" i="4"/>
  <c r="N735" i="4"/>
  <c r="N723" i="4"/>
  <c r="N711" i="4"/>
  <c r="N699" i="4"/>
  <c r="N687" i="4"/>
  <c r="N675" i="4"/>
  <c r="N663" i="4"/>
  <c r="N651" i="4"/>
  <c r="N639" i="4"/>
  <c r="N627" i="4"/>
  <c r="N615" i="4"/>
  <c r="N603" i="4"/>
  <c r="N591" i="4"/>
  <c r="N579" i="4"/>
  <c r="N567" i="4"/>
  <c r="N1144" i="4"/>
  <c r="N1132" i="4"/>
  <c r="N1120" i="4"/>
  <c r="N1108" i="4"/>
  <c r="N1096" i="4"/>
  <c r="N1084" i="4"/>
  <c r="N1072" i="4"/>
  <c r="N1060" i="4"/>
  <c r="N1048" i="4"/>
  <c r="N1036" i="4"/>
  <c r="N1024" i="4"/>
  <c r="N1012" i="4"/>
  <c r="N1000" i="4"/>
  <c r="N988" i="4"/>
  <c r="N555" i="4"/>
  <c r="N543" i="4"/>
  <c r="N531" i="4"/>
  <c r="N519" i="4"/>
  <c r="N507" i="4"/>
  <c r="N495" i="4"/>
  <c r="N483" i="4"/>
  <c r="N471" i="4"/>
  <c r="N459" i="4"/>
  <c r="N447" i="4"/>
  <c r="N435" i="4"/>
  <c r="N423" i="4"/>
  <c r="N411" i="4"/>
  <c r="N399" i="4"/>
  <c r="N387" i="4"/>
  <c r="N375" i="4"/>
  <c r="N363" i="4"/>
  <c r="N351" i="4"/>
  <c r="N339" i="4"/>
  <c r="N327" i="4"/>
  <c r="N315" i="4"/>
  <c r="N303" i="4"/>
  <c r="N1818" i="4"/>
  <c r="N1578" i="4"/>
  <c r="N1482" i="4"/>
  <c r="N1338" i="4"/>
  <c r="N1326" i="4"/>
  <c r="N1290" i="4"/>
  <c r="N1266" i="4"/>
  <c r="N1050" i="4"/>
  <c r="N1002" i="4"/>
  <c r="N438" i="4"/>
  <c r="N1669" i="4"/>
  <c r="N1657" i="4"/>
  <c r="N1645" i="4"/>
  <c r="N1633" i="4"/>
  <c r="N1621" i="4"/>
  <c r="N1609" i="4"/>
  <c r="N1597" i="4"/>
  <c r="N1585" i="4"/>
  <c r="N1573" i="4"/>
  <c r="N1561" i="4"/>
  <c r="N1549" i="4"/>
  <c r="N1537" i="4"/>
  <c r="N1525" i="4"/>
  <c r="N1513" i="4"/>
  <c r="N1501" i="4"/>
  <c r="N1489" i="4"/>
  <c r="N1477" i="4"/>
  <c r="N1465" i="4"/>
  <c r="N1453" i="4"/>
  <c r="N1441" i="4"/>
  <c r="N1429" i="4"/>
  <c r="N1417" i="4"/>
  <c r="N1405" i="4"/>
  <c r="N1393" i="4"/>
  <c r="N1381" i="4"/>
  <c r="N1369" i="4"/>
  <c r="N1357" i="4"/>
  <c r="N1345" i="4"/>
  <c r="N1333" i="4"/>
  <c r="N1321" i="4"/>
  <c r="N1309" i="4"/>
  <c r="N1297" i="4"/>
  <c r="N1285" i="4"/>
  <c r="N1273" i="4"/>
  <c r="N1261" i="4"/>
  <c r="N1249" i="4"/>
  <c r="N1237" i="4"/>
  <c r="N1225" i="4"/>
  <c r="N1213" i="4"/>
  <c r="N1201" i="4"/>
  <c r="N1189" i="4"/>
  <c r="N1177" i="4"/>
  <c r="N1165" i="4"/>
  <c r="N1153" i="4"/>
  <c r="N1141" i="4"/>
  <c r="N1129" i="4"/>
  <c r="N1117" i="4"/>
  <c r="N1105" i="4"/>
  <c r="N1093" i="4"/>
  <c r="N1081" i="4"/>
  <c r="N1069" i="4"/>
  <c r="N1057" i="4"/>
  <c r="N1045" i="4"/>
  <c r="N1033" i="4"/>
  <c r="N1021" i="4"/>
  <c r="N1009" i="4"/>
  <c r="N997" i="4"/>
  <c r="N985" i="4"/>
  <c r="N973" i="4"/>
  <c r="N961" i="4"/>
  <c r="N949" i="4"/>
  <c r="N937" i="4"/>
  <c r="N925" i="4"/>
  <c r="N913" i="4"/>
  <c r="N901" i="4"/>
  <c r="N889" i="4"/>
  <c r="N877" i="4"/>
  <c r="N865" i="4"/>
  <c r="N853" i="4"/>
  <c r="N841" i="4"/>
  <c r="N829" i="4"/>
  <c r="N817" i="4"/>
  <c r="N805" i="4"/>
  <c r="N793" i="4"/>
  <c r="N781" i="4"/>
  <c r="N769" i="4"/>
  <c r="N757" i="4"/>
  <c r="N745" i="4"/>
  <c r="N733" i="4"/>
  <c r="N721" i="4"/>
  <c r="N709" i="4"/>
  <c r="N697" i="4"/>
  <c r="N685" i="4"/>
  <c r="N673" i="4"/>
  <c r="N661" i="4"/>
  <c r="N976" i="4"/>
  <c r="N964" i="4"/>
  <c r="N952" i="4"/>
  <c r="N940" i="4"/>
  <c r="N928" i="4"/>
  <c r="N916" i="4"/>
  <c r="N904" i="4"/>
  <c r="N892" i="4"/>
  <c r="N880" i="4"/>
  <c r="N868" i="4"/>
  <c r="N856" i="4"/>
  <c r="N844" i="4"/>
  <c r="N832" i="4"/>
  <c r="N820" i="4"/>
  <c r="N808" i="4"/>
  <c r="N796" i="4"/>
  <c r="N784" i="4"/>
  <c r="N772" i="4"/>
  <c r="N760" i="4"/>
  <c r="N748" i="4"/>
  <c r="N736" i="4"/>
  <c r="N724" i="4"/>
  <c r="N712" i="4"/>
  <c r="N700" i="4"/>
  <c r="N688" i="4"/>
  <c r="N676" i="4"/>
  <c r="N664" i="4"/>
  <c r="N652" i="4"/>
  <c r="N640" i="4"/>
  <c r="N628" i="4"/>
  <c r="N616" i="4"/>
  <c r="N604" i="4"/>
  <c r="N592" i="4"/>
  <c r="N580" i="4"/>
  <c r="N568" i="4"/>
  <c r="N556" i="4"/>
  <c r="N544" i="4"/>
  <c r="N532" i="4"/>
  <c r="N520" i="4"/>
  <c r="N508" i="4"/>
  <c r="N496" i="4"/>
  <c r="N484" i="4"/>
  <c r="N472" i="4"/>
  <c r="N460" i="4"/>
  <c r="N448" i="4"/>
  <c r="N436" i="4"/>
  <c r="N424" i="4"/>
  <c r="N412" i="4"/>
  <c r="N400" i="4"/>
  <c r="N388" i="4"/>
  <c r="N376" i="4"/>
  <c r="N364" i="4"/>
  <c r="N352" i="4"/>
  <c r="N340" i="4"/>
  <c r="N328" i="4"/>
  <c r="N316" i="4"/>
  <c r="N304" i="4"/>
  <c r="N292" i="4"/>
  <c r="N280" i="4"/>
  <c r="N268" i="4"/>
  <c r="N256" i="4"/>
  <c r="N244" i="4"/>
  <c r="N232" i="4"/>
  <c r="N220" i="4"/>
  <c r="N208" i="4"/>
  <c r="N196" i="4"/>
  <c r="N184" i="4"/>
  <c r="N172" i="4"/>
  <c r="N160" i="4"/>
  <c r="N148" i="4"/>
  <c r="N136" i="4"/>
  <c r="N124" i="4"/>
  <c r="N112" i="4"/>
  <c r="N100" i="4"/>
  <c r="N88" i="4"/>
  <c r="N76" i="4"/>
  <c r="N64" i="4"/>
  <c r="N52" i="4"/>
  <c r="N40" i="4"/>
  <c r="N28" i="4"/>
  <c r="N16" i="4"/>
  <c r="N4" i="4"/>
  <c r="N611" i="4"/>
  <c r="N191" i="4"/>
  <c r="N11" i="4"/>
  <c r="N291" i="4"/>
  <c r="N279" i="4"/>
  <c r="N267" i="4"/>
  <c r="N255" i="4"/>
  <c r="N243" i="4"/>
  <c r="N231" i="4"/>
  <c r="N219" i="4"/>
  <c r="N207" i="4"/>
  <c r="N195" i="4"/>
  <c r="N183" i="4"/>
  <c r="N171" i="4"/>
  <c r="N159" i="4"/>
  <c r="N147" i="4"/>
  <c r="N135" i="4"/>
  <c r="N123" i="4"/>
  <c r="N111" i="4"/>
  <c r="N99" i="4"/>
  <c r="N87" i="4"/>
  <c r="N75" i="4"/>
  <c r="N63" i="4"/>
  <c r="N51" i="4"/>
  <c r="N39" i="4"/>
  <c r="N27" i="4"/>
  <c r="N15" i="4"/>
  <c r="N3" i="4"/>
  <c r="N1966" i="4"/>
  <c r="N1906" i="4"/>
  <c r="N1774" i="4"/>
  <c r="N1750" i="4"/>
  <c r="N1714" i="4"/>
  <c r="N1642" i="4"/>
  <c r="N1618" i="4"/>
  <c r="N1606" i="4"/>
  <c r="N1414" i="4"/>
  <c r="N1402" i="4"/>
  <c r="N1318" i="4"/>
  <c r="N1294" i="4"/>
  <c r="N1102" i="4"/>
  <c r="N649" i="4"/>
  <c r="N637" i="4"/>
  <c r="N625" i="4"/>
  <c r="N613" i="4"/>
  <c r="N601" i="4"/>
  <c r="N589" i="4"/>
  <c r="N577" i="4"/>
  <c r="N565" i="4"/>
  <c r="N553" i="4"/>
  <c r="N541" i="4"/>
  <c r="N529" i="4"/>
  <c r="N517" i="4"/>
  <c r="N505" i="4"/>
  <c r="N493" i="4"/>
  <c r="N481" i="4"/>
  <c r="N469" i="4"/>
  <c r="N457" i="4"/>
  <c r="N445" i="4"/>
  <c r="N433" i="4"/>
  <c r="N421" i="4"/>
  <c r="N409" i="4"/>
  <c r="N397" i="4"/>
  <c r="N385" i="4"/>
  <c r="N373" i="4"/>
  <c r="N361" i="4"/>
  <c r="N349" i="4"/>
  <c r="N337" i="4"/>
  <c r="N325" i="4"/>
  <c r="N313" i="4"/>
  <c r="N301" i="4"/>
  <c r="N289" i="4"/>
  <c r="N277" i="4"/>
  <c r="N265" i="4"/>
  <c r="N253" i="4"/>
  <c r="N241" i="4"/>
  <c r="N229" i="4"/>
  <c r="N217" i="4"/>
  <c r="N205" i="4"/>
  <c r="N193" i="4"/>
  <c r="N181" i="4"/>
  <c r="N169" i="4"/>
  <c r="N157" i="4"/>
  <c r="N145" i="4"/>
  <c r="N133" i="4"/>
  <c r="N121" i="4"/>
  <c r="N109" i="4"/>
  <c r="N97" i="4"/>
  <c r="N85" i="4"/>
  <c r="N73" i="4"/>
  <c r="N61" i="4"/>
  <c r="N49" i="4"/>
  <c r="N37" i="4"/>
  <c r="N25" i="4"/>
  <c r="N13" i="4"/>
  <c r="N1987" i="4"/>
  <c r="N1939" i="4"/>
  <c r="N1903" i="4"/>
  <c r="N1795" i="4"/>
  <c r="N1735" i="4"/>
  <c r="N1687" i="4"/>
  <c r="N1627" i="4"/>
  <c r="N1483" i="4"/>
  <c r="N189" i="4"/>
  <c r="N1975" i="4"/>
  <c r="N1915" i="4"/>
  <c r="N1831" i="4"/>
  <c r="N1663" i="4"/>
  <c r="N1531" i="4"/>
  <c r="N1495" i="4"/>
  <c r="N1963" i="4"/>
  <c r="N1867" i="4"/>
  <c r="N1819" i="4"/>
  <c r="N1759" i="4"/>
  <c r="N1699" i="4"/>
  <c r="N1651" i="4"/>
  <c r="N1615" i="4"/>
  <c r="N1519" i="4"/>
  <c r="N707" i="4"/>
  <c r="N1686" i="4"/>
  <c r="N1951" i="4"/>
  <c r="N1891" i="4"/>
  <c r="N1723" i="4"/>
  <c r="N1675" i="4"/>
  <c r="N1603" i="4"/>
  <c r="N1543" i="4"/>
  <c r="N1997" i="4"/>
  <c r="N1985" i="4"/>
  <c r="N1973" i="4"/>
  <c r="N1961" i="4"/>
  <c r="N1949" i="4"/>
  <c r="N1937" i="4"/>
  <c r="N1925" i="4"/>
  <c r="N1913" i="4"/>
  <c r="N1901" i="4"/>
  <c r="N1889" i="4"/>
  <c r="N1877" i="4"/>
  <c r="N1865" i="4"/>
  <c r="N1853" i="4"/>
  <c r="N1841" i="4"/>
  <c r="N1829" i="4"/>
  <c r="N1817" i="4"/>
  <c r="N1805" i="4"/>
  <c r="N1793" i="4"/>
  <c r="N1781" i="4"/>
  <c r="N1769" i="4"/>
  <c r="N1446" i="4"/>
  <c r="N1398" i="4"/>
  <c r="N1170" i="4"/>
  <c r="N402" i="4"/>
  <c r="N1579" i="4"/>
  <c r="N1147" i="4"/>
  <c r="N1974" i="4"/>
  <c r="N1374" i="4"/>
  <c r="N1182" i="4"/>
  <c r="N1146" i="4"/>
  <c r="N726" i="4"/>
  <c r="N642" i="4"/>
  <c r="N330" i="4"/>
  <c r="N1757" i="4"/>
  <c r="N1745" i="4"/>
  <c r="N1733" i="4"/>
  <c r="N1721" i="4"/>
  <c r="N1709" i="4"/>
  <c r="N1697" i="4"/>
  <c r="N1685" i="4"/>
  <c r="N1673" i="4"/>
  <c r="N1661" i="4"/>
  <c r="N1649" i="4"/>
  <c r="N1637" i="4"/>
  <c r="N1625" i="4"/>
  <c r="N1613" i="4"/>
  <c r="N1601" i="4"/>
  <c r="N1589" i="4"/>
  <c r="N1577" i="4"/>
  <c r="N1565" i="4"/>
  <c r="N1553" i="4"/>
  <c r="N1541" i="4"/>
  <c r="N1529" i="4"/>
  <c r="N1517" i="4"/>
  <c r="N1505" i="4"/>
  <c r="N1493" i="4"/>
  <c r="N1481" i="4"/>
  <c r="N1469" i="4"/>
  <c r="N1457" i="4"/>
  <c r="N1445" i="4"/>
  <c r="N1433" i="4"/>
  <c r="N1421" i="4"/>
  <c r="N1409" i="4"/>
  <c r="N1397" i="4"/>
  <c r="N1385" i="4"/>
  <c r="N1373" i="4"/>
  <c r="N1361" i="4"/>
  <c r="N1349" i="4"/>
  <c r="N1337" i="4"/>
  <c r="N1325" i="4"/>
  <c r="N1313" i="4"/>
  <c r="N1301" i="4"/>
  <c r="N1289" i="4"/>
  <c r="N1277" i="4"/>
  <c r="N1265" i="4"/>
  <c r="N1253" i="4"/>
  <c r="N1241" i="4"/>
  <c r="N1229" i="4"/>
  <c r="N1217" i="4"/>
  <c r="N1205" i="4"/>
  <c r="N1193" i="4"/>
  <c r="N1181" i="4"/>
  <c r="N1169" i="4"/>
  <c r="N1157" i="4"/>
  <c r="N1145" i="4"/>
  <c r="N1133" i="4"/>
  <c r="N1121" i="4"/>
  <c r="N1109" i="4"/>
  <c r="N1097" i="4"/>
  <c r="N1085" i="4"/>
  <c r="N1073" i="4"/>
  <c r="N1061" i="4"/>
  <c r="N1049" i="4"/>
  <c r="N1037" i="4"/>
  <c r="N1025" i="4"/>
  <c r="N1013" i="4"/>
  <c r="N1001" i="4"/>
  <c r="N989" i="4"/>
  <c r="N977" i="4"/>
  <c r="N965" i="4"/>
  <c r="N953" i="4"/>
  <c r="N941" i="4"/>
  <c r="N929" i="4"/>
  <c r="N917" i="4"/>
  <c r="N905" i="4"/>
  <c r="N893" i="4"/>
  <c r="N881" i="4"/>
  <c r="N869" i="4"/>
  <c r="N857" i="4"/>
  <c r="N845" i="4"/>
  <c r="N833" i="4"/>
  <c r="N821" i="4"/>
  <c r="N809" i="4"/>
  <c r="N797" i="4"/>
  <c r="N785" i="4"/>
  <c r="N329" i="4"/>
  <c r="N1916" i="4"/>
  <c r="N1676" i="4"/>
  <c r="N1291" i="4"/>
  <c r="N1267" i="4"/>
  <c r="N1171" i="4"/>
  <c r="N1063" i="4"/>
  <c r="N1039" i="4"/>
  <c r="N907" i="4"/>
  <c r="N835" i="4"/>
  <c r="N763" i="4"/>
  <c r="N727" i="4"/>
  <c r="N619" i="4"/>
  <c r="N1962" i="4"/>
  <c r="N1878" i="4"/>
  <c r="N1806" i="4"/>
  <c r="N1746" i="4"/>
  <c r="N1674" i="4"/>
  <c r="N1614" i="4"/>
  <c r="N1542" i="4"/>
  <c r="N1434" i="4"/>
  <c r="N1386" i="4"/>
  <c r="N1242" i="4"/>
  <c r="N1026" i="4"/>
  <c r="N270" i="4"/>
  <c r="N222" i="4"/>
  <c r="N114" i="4"/>
  <c r="N78" i="4"/>
  <c r="N225" i="4"/>
  <c r="N1303" i="4"/>
  <c r="N1255" i="4"/>
  <c r="N1183" i="4"/>
  <c r="N1111" i="4"/>
  <c r="N1027" i="4"/>
  <c r="N979" i="4"/>
  <c r="N883" i="4"/>
  <c r="N811" i="4"/>
  <c r="N655" i="4"/>
  <c r="N1938" i="4"/>
  <c r="N1890" i="4"/>
  <c r="N1830" i="4"/>
  <c r="N1734" i="4"/>
  <c r="N1662" i="4"/>
  <c r="N1590" i="4"/>
  <c r="N1518" i="4"/>
  <c r="N1470" i="4"/>
  <c r="N1350" i="4"/>
  <c r="N1302" i="4"/>
  <c r="N1134" i="4"/>
  <c r="N1098" i="4"/>
  <c r="N954" i="4"/>
  <c r="N918" i="4"/>
  <c r="N906" i="4"/>
  <c r="N882" i="4"/>
  <c r="N846" i="4"/>
  <c r="N810" i="4"/>
  <c r="N786" i="4"/>
  <c r="N750" i="4"/>
  <c r="N714" i="4"/>
  <c r="N678" i="4"/>
  <c r="N666" i="4"/>
  <c r="N546" i="4"/>
  <c r="N510" i="4"/>
  <c r="N486" i="4"/>
  <c r="N378" i="4"/>
  <c r="N294" i="4"/>
  <c r="N186" i="4"/>
  <c r="N6" i="4"/>
  <c r="N1950" i="4"/>
  <c r="N1902" i="4"/>
  <c r="N1866" i="4"/>
  <c r="N1794" i="4"/>
  <c r="N1758" i="4"/>
  <c r="N1722" i="4"/>
  <c r="N1650" i="4"/>
  <c r="N1602" i="4"/>
  <c r="N1530" i="4"/>
  <c r="N1494" i="4"/>
  <c r="N1422" i="4"/>
  <c r="N1278" i="4"/>
  <c r="N1254" i="4"/>
  <c r="N1110" i="4"/>
  <c r="N1038" i="4"/>
  <c r="N978" i="4"/>
  <c r="N870" i="4"/>
  <c r="N54" i="4"/>
  <c r="N773" i="4"/>
  <c r="N761" i="4"/>
  <c r="N749" i="4"/>
  <c r="N737" i="4"/>
  <c r="N725" i="4"/>
  <c r="N713" i="4"/>
  <c r="N701" i="4"/>
  <c r="N689" i="4"/>
  <c r="N677" i="4"/>
  <c r="N665" i="4"/>
  <c r="N653" i="4"/>
  <c r="N641" i="4"/>
  <c r="N629" i="4"/>
  <c r="N617" i="4"/>
  <c r="N605" i="4"/>
  <c r="N593" i="4"/>
  <c r="N581" i="4"/>
  <c r="N569" i="4"/>
  <c r="N557" i="4"/>
  <c r="N545" i="4"/>
  <c r="N533" i="4"/>
  <c r="N521" i="4"/>
  <c r="N509" i="4"/>
  <c r="N497" i="4"/>
  <c r="N485" i="4"/>
  <c r="N473" i="4"/>
  <c r="N461" i="4"/>
  <c r="N449" i="4"/>
  <c r="N437" i="4"/>
  <c r="N425" i="4"/>
  <c r="N413" i="4"/>
  <c r="N401" i="4"/>
  <c r="N389" i="4"/>
  <c r="N377" i="4"/>
  <c r="N365" i="4"/>
  <c r="N353" i="4"/>
  <c r="N341" i="4"/>
  <c r="N317" i="4"/>
  <c r="N305" i="4"/>
  <c r="N293" i="4"/>
  <c r="N281" i="4"/>
  <c r="N269" i="4"/>
  <c r="N257" i="4"/>
  <c r="N245" i="4"/>
  <c r="N233" i="4"/>
  <c r="N221" i="4"/>
  <c r="N209" i="4"/>
  <c r="N197" i="4"/>
  <c r="N185" i="4"/>
  <c r="N173" i="4"/>
  <c r="N161" i="4"/>
  <c r="N149" i="4"/>
  <c r="N137" i="4"/>
  <c r="N125" i="4"/>
  <c r="N113" i="4"/>
  <c r="N101" i="4"/>
  <c r="N89" i="4"/>
  <c r="N77" i="4"/>
  <c r="N65" i="4"/>
  <c r="N53" i="4"/>
  <c r="N41" i="4"/>
  <c r="N29" i="4"/>
  <c r="N17" i="4"/>
  <c r="N5" i="4"/>
  <c r="N1917" i="4"/>
  <c r="N1905" i="4"/>
  <c r="N1809" i="4"/>
  <c r="N1773" i="4"/>
  <c r="N1677" i="4"/>
  <c r="N1641" i="4"/>
  <c r="N1605" i="4"/>
  <c r="N1545" i="4"/>
  <c r="N1509" i="4"/>
  <c r="N1413" i="4"/>
  <c r="N1305" i="4"/>
  <c r="N1293" i="4"/>
  <c r="N1221" i="4"/>
  <c r="N909" i="4"/>
  <c r="N657" i="4"/>
  <c r="N1965" i="4"/>
  <c r="N1833" i="4"/>
  <c r="N1665" i="4"/>
  <c r="N1353" i="4"/>
  <c r="N1317" i="4"/>
  <c r="N885" i="4"/>
  <c r="N765" i="4"/>
  <c r="N1808" i="4"/>
  <c r="N1544" i="4"/>
  <c r="N1508" i="4"/>
  <c r="N1484" i="4"/>
  <c r="N1436" i="4"/>
  <c r="N1400" i="4"/>
  <c r="N1064" i="4"/>
  <c r="N1988" i="4"/>
  <c r="N1964" i="4"/>
  <c r="N1952" i="4"/>
  <c r="N1832" i="4"/>
  <c r="N1820" i="4"/>
  <c r="N1772" i="4"/>
  <c r="N1760" i="4"/>
  <c r="N1736" i="4"/>
  <c r="N1700" i="4"/>
  <c r="N1664" i="4"/>
  <c r="N1628" i="4"/>
  <c r="N1460" i="4"/>
  <c r="N1352" i="4"/>
  <c r="N1316" i="4"/>
  <c r="N1292" i="4"/>
  <c r="N1220" i="4"/>
  <c r="N1172" i="4"/>
  <c r="N1148" i="4"/>
  <c r="N1040" i="4"/>
  <c r="N1028" i="4"/>
  <c r="N756" i="4"/>
  <c r="N732" i="4"/>
  <c r="N696" i="4"/>
  <c r="N660" i="4"/>
  <c r="N612" i="4"/>
  <c r="N576" i="4"/>
  <c r="N528" i="4"/>
  <c r="N504" i="4"/>
  <c r="N480" i="4"/>
  <c r="N456" i="4"/>
  <c r="N408" i="4"/>
  <c r="N384" i="4"/>
  <c r="N336" i="4"/>
  <c r="N312" i="4"/>
  <c r="N288" i="4"/>
  <c r="N252" i="4"/>
  <c r="N228" i="4"/>
  <c r="N204" i="4"/>
  <c r="N180" i="4"/>
  <c r="N156" i="4"/>
  <c r="N132" i="4"/>
  <c r="N108" i="4"/>
  <c r="N84" i="4"/>
  <c r="N60" i="4"/>
  <c r="N12" i="4"/>
  <c r="N1991" i="4"/>
  <c r="N1979" i="4"/>
  <c r="N1967" i="4"/>
  <c r="N1919" i="4"/>
  <c r="N1907" i="4"/>
  <c r="N887" i="4"/>
  <c r="N839" i="4"/>
  <c r="N815" i="4"/>
  <c r="N743" i="4"/>
  <c r="N635" i="4"/>
  <c r="N515" i="4"/>
  <c r="N479" i="4"/>
  <c r="N443" i="4"/>
  <c r="N299" i="4"/>
  <c r="N227" i="4"/>
  <c r="N155" i="4"/>
  <c r="N47" i="4"/>
  <c r="N1990" i="4"/>
  <c r="N1930" i="4"/>
  <c r="N1894" i="4"/>
  <c r="N1858" i="4"/>
  <c r="N1762" i="4"/>
  <c r="N1702" i="4"/>
  <c r="N1678" i="4"/>
  <c r="N1570" i="4"/>
  <c r="N1510" i="4"/>
  <c r="N1498" i="4"/>
  <c r="N1486" i="4"/>
  <c r="N1390" i="4"/>
  <c r="N1306" i="4"/>
  <c r="N1198" i="4"/>
  <c r="N1078" i="4"/>
  <c r="N744" i="4"/>
  <c r="N708" i="4"/>
  <c r="N684" i="4"/>
  <c r="N648" i="4"/>
  <c r="N624" i="4"/>
  <c r="N588" i="4"/>
  <c r="N564" i="4"/>
  <c r="N540" i="4"/>
  <c r="N516" i="4"/>
  <c r="N468" i="4"/>
  <c r="N444" i="4"/>
  <c r="N396" i="4"/>
  <c r="N372" i="4"/>
  <c r="N348" i="4"/>
  <c r="N324" i="4"/>
  <c r="N300" i="4"/>
  <c r="N276" i="4"/>
  <c r="N240" i="4"/>
  <c r="N216" i="4"/>
  <c r="N192" i="4"/>
  <c r="N168" i="4"/>
  <c r="N144" i="4"/>
  <c r="N120" i="4"/>
  <c r="N96" i="4"/>
  <c r="N72" i="4"/>
  <c r="N48" i="4"/>
  <c r="N24" i="4"/>
  <c r="N1955" i="4"/>
  <c r="N1953" i="4"/>
  <c r="N1929" i="4"/>
  <c r="N1893" i="4"/>
  <c r="N1857" i="4"/>
  <c r="N1761" i="4"/>
  <c r="N1629" i="4"/>
  <c r="N1617" i="4"/>
  <c r="N1569" i="4"/>
  <c r="N1497" i="4"/>
  <c r="N1485" i="4"/>
  <c r="N1461" i="4"/>
  <c r="N1437" i="4"/>
  <c r="N1401" i="4"/>
  <c r="N1389" i="4"/>
  <c r="N1197" i="4"/>
  <c r="N1149" i="4"/>
  <c r="N1077" i="4"/>
  <c r="N1065" i="4"/>
  <c r="N813" i="4"/>
  <c r="N585" i="4"/>
  <c r="N441" i="4"/>
  <c r="N333" i="4"/>
  <c r="N297" i="4"/>
  <c r="N1931" i="4"/>
  <c r="N768" i="4"/>
  <c r="N720" i="4"/>
  <c r="N672" i="4"/>
  <c r="N636" i="4"/>
  <c r="N600" i="4"/>
  <c r="N552" i="4"/>
  <c r="N492" i="4"/>
  <c r="N420" i="4"/>
  <c r="N264" i="4"/>
  <c r="N1943" i="4"/>
  <c r="N1871" i="4"/>
  <c r="N1823" i="4"/>
  <c r="N1787" i="4"/>
  <c r="N1739" i="4"/>
  <c r="N1691" i="4"/>
  <c r="N1655" i="4"/>
  <c r="N1595" i="4"/>
  <c r="N1559" i="4"/>
  <c r="N1499" i="4"/>
  <c r="N1451" i="4"/>
  <c r="N1403" i="4"/>
  <c r="N1343" i="4"/>
  <c r="N1295" i="4"/>
  <c r="N1247" i="4"/>
  <c r="N1199" i="4"/>
  <c r="N1151" i="4"/>
  <c r="N1103" i="4"/>
  <c r="N1055" i="4"/>
  <c r="N1007" i="4"/>
  <c r="N959" i="4"/>
  <c r="N911" i="4"/>
  <c r="N863" i="4"/>
  <c r="N803" i="4"/>
  <c r="N755" i="4"/>
  <c r="N695" i="4"/>
  <c r="N647" i="4"/>
  <c r="N563" i="4"/>
  <c r="N503" i="4"/>
  <c r="N455" i="4"/>
  <c r="N407" i="4"/>
  <c r="N359" i="4"/>
  <c r="N311" i="4"/>
  <c r="N263" i="4"/>
  <c r="N167" i="4"/>
  <c r="N119" i="4"/>
  <c r="N71" i="4"/>
  <c r="N10" i="4"/>
  <c r="N1977" i="4"/>
  <c r="N1845" i="4"/>
  <c r="N1725" i="4"/>
  <c r="N1581" i="4"/>
  <c r="N1533" i="4"/>
  <c r="N1365" i="4"/>
  <c r="N1329" i="4"/>
  <c r="N1269" i="4"/>
  <c r="N1245" i="4"/>
  <c r="N1185" i="4"/>
  <c r="N1137" i="4"/>
  <c r="N1101" i="4"/>
  <c r="N1041" i="4"/>
  <c r="N1005" i="4"/>
  <c r="N969" i="4"/>
  <c r="N957" i="4"/>
  <c r="N933" i="4"/>
  <c r="N921" i="4"/>
  <c r="N897" i="4"/>
  <c r="N873" i="4"/>
  <c r="N861" i="4"/>
  <c r="N849" i="4"/>
  <c r="N837" i="4"/>
  <c r="N825" i="4"/>
  <c r="N801" i="4"/>
  <c r="N789" i="4"/>
  <c r="N777" i="4"/>
  <c r="N741" i="4"/>
  <c r="N729" i="4"/>
  <c r="N717" i="4"/>
  <c r="N705" i="4"/>
  <c r="N693" i="4"/>
  <c r="N681" i="4"/>
  <c r="N669" i="4"/>
  <c r="N645" i="4"/>
  <c r="N633" i="4"/>
  <c r="N621" i="4"/>
  <c r="N609" i="4"/>
  <c r="N597" i="4"/>
  <c r="N573" i="4"/>
  <c r="N561" i="4"/>
  <c r="N549" i="4"/>
  <c r="N537" i="4"/>
  <c r="N525" i="4"/>
  <c r="N513" i="4"/>
  <c r="N501" i="4"/>
  <c r="N489" i="4"/>
  <c r="N477" i="4"/>
  <c r="N465" i="4"/>
  <c r="N453" i="4"/>
  <c r="N429" i="4"/>
  <c r="N417" i="4"/>
  <c r="N405" i="4"/>
  <c r="N393" i="4"/>
  <c r="N381" i="4"/>
  <c r="N369" i="4"/>
  <c r="N357" i="4"/>
  <c r="N345" i="4"/>
  <c r="N321" i="4"/>
  <c r="N309" i="4"/>
  <c r="N285" i="4"/>
  <c r="N273" i="4"/>
  <c r="N261" i="4"/>
  <c r="N249" i="4"/>
  <c r="N237" i="4"/>
  <c r="N213" i="4"/>
  <c r="N201" i="4"/>
  <c r="N177" i="4"/>
  <c r="N117" i="4"/>
  <c r="N81" i="4"/>
  <c r="N45" i="4"/>
  <c r="N1883" i="4"/>
  <c r="N1835" i="4"/>
  <c r="N1775" i="4"/>
  <c r="N1715" i="4"/>
  <c r="N1667" i="4"/>
  <c r="N1619" i="4"/>
  <c r="N1571" i="4"/>
  <c r="N1523" i="4"/>
  <c r="N1475" i="4"/>
  <c r="N1427" i="4"/>
  <c r="N1379" i="4"/>
  <c r="N1331" i="4"/>
  <c r="N1283" i="4"/>
  <c r="N1235" i="4"/>
  <c r="N1187" i="4"/>
  <c r="N1139" i="4"/>
  <c r="N1091" i="4"/>
  <c r="N1031" i="4"/>
  <c r="N983" i="4"/>
  <c r="N935" i="4"/>
  <c r="N875" i="4"/>
  <c r="N791" i="4"/>
  <c r="N683" i="4"/>
  <c r="N623" i="4"/>
  <c r="N575" i="4"/>
  <c r="N527" i="4"/>
  <c r="N467" i="4"/>
  <c r="N419" i="4"/>
  <c r="N371" i="4"/>
  <c r="N323" i="4"/>
  <c r="N275" i="4"/>
  <c r="N215" i="4"/>
  <c r="N107" i="4"/>
  <c r="N23" i="4"/>
  <c r="N1954" i="4"/>
  <c r="N1846" i="4"/>
  <c r="N1810" i="4"/>
  <c r="N1666" i="4"/>
  <c r="N1594" i="4"/>
  <c r="N1558" i="4"/>
  <c r="N1522" i="4"/>
  <c r="N1474" i="4"/>
  <c r="N1438" i="4"/>
  <c r="N1366" i="4"/>
  <c r="N1330" i="4"/>
  <c r="N1258" i="4"/>
  <c r="N1222" i="4"/>
  <c r="N1162" i="4"/>
  <c r="N1126" i="4"/>
  <c r="N1090" i="4"/>
  <c r="N1054" i="4"/>
  <c r="N1018" i="4"/>
  <c r="N982" i="4"/>
  <c r="N934" i="4"/>
  <c r="N898" i="4"/>
  <c r="N862" i="4"/>
  <c r="N826" i="4"/>
  <c r="N790" i="4"/>
  <c r="N754" i="4"/>
  <c r="N718" i="4"/>
  <c r="N682" i="4"/>
  <c r="N646" i="4"/>
  <c r="N610" i="4"/>
  <c r="N574" i="4"/>
  <c r="N538" i="4"/>
  <c r="N502" i="4"/>
  <c r="N466" i="4"/>
  <c r="N430" i="4"/>
  <c r="N394" i="4"/>
  <c r="N358" i="4"/>
  <c r="N310" i="4"/>
  <c r="N274" i="4"/>
  <c r="N238" i="4"/>
  <c r="N202" i="4"/>
  <c r="N166" i="4"/>
  <c r="N130" i="4"/>
  <c r="N94" i="4"/>
  <c r="N46" i="4"/>
  <c r="N2001" i="4"/>
  <c r="N1941" i="4"/>
  <c r="N1797" i="4"/>
  <c r="N1713" i="4"/>
  <c r="N1653" i="4"/>
  <c r="N1593" i="4"/>
  <c r="N1449" i="4"/>
  <c r="N1844" i="4"/>
  <c r="N1748" i="4"/>
  <c r="N1592" i="4"/>
  <c r="N1556" i="4"/>
  <c r="N1532" i="4"/>
  <c r="N1496" i="4"/>
  <c r="N1448" i="4"/>
  <c r="N1412" i="4"/>
  <c r="N1388" i="4"/>
  <c r="N1364" i="4"/>
  <c r="N1340" i="4"/>
  <c r="N1304" i="4"/>
  <c r="N1268" i="4"/>
  <c r="N1208" i="4"/>
  <c r="N1184" i="4"/>
  <c r="N1136" i="4"/>
  <c r="N1076" i="4"/>
  <c r="N1895" i="4"/>
  <c r="N1847" i="4"/>
  <c r="N1799" i="4"/>
  <c r="N1751" i="4"/>
  <c r="N1703" i="4"/>
  <c r="N1643" i="4"/>
  <c r="N1607" i="4"/>
  <c r="N1547" i="4"/>
  <c r="N1511" i="4"/>
  <c r="N1463" i="4"/>
  <c r="N1415" i="4"/>
  <c r="N1367" i="4"/>
  <c r="N1319" i="4"/>
  <c r="N1271" i="4"/>
  <c r="N1223" i="4"/>
  <c r="N1175" i="4"/>
  <c r="N1127" i="4"/>
  <c r="N1067" i="4"/>
  <c r="N1019" i="4"/>
  <c r="N971" i="4"/>
  <c r="N923" i="4"/>
  <c r="N827" i="4"/>
  <c r="N779" i="4"/>
  <c r="N719" i="4"/>
  <c r="N671" i="4"/>
  <c r="N587" i="4"/>
  <c r="N539" i="4"/>
  <c r="N491" i="4"/>
  <c r="N431" i="4"/>
  <c r="N395" i="4"/>
  <c r="N347" i="4"/>
  <c r="N251" i="4"/>
  <c r="N203" i="4"/>
  <c r="N143" i="4"/>
  <c r="N95" i="4"/>
  <c r="N59" i="4"/>
  <c r="N1942" i="4"/>
  <c r="N1870" i="4"/>
  <c r="N1834" i="4"/>
  <c r="N1798" i="4"/>
  <c r="N1726" i="4"/>
  <c r="N1654" i="4"/>
  <c r="N1582" i="4"/>
  <c r="N1546" i="4"/>
  <c r="N1462" i="4"/>
  <c r="N1426" i="4"/>
  <c r="N1378" i="4"/>
  <c r="N1342" i="4"/>
  <c r="N1282" i="4"/>
  <c r="N1234" i="4"/>
  <c r="N1186" i="4"/>
  <c r="N1150" i="4"/>
  <c r="N1114" i="4"/>
  <c r="N1066" i="4"/>
  <c r="N1030" i="4"/>
  <c r="N994" i="4"/>
  <c r="N958" i="4"/>
  <c r="N922" i="4"/>
  <c r="N886" i="4"/>
  <c r="N850" i="4"/>
  <c r="N814" i="4"/>
  <c r="N778" i="4"/>
  <c r="N730" i="4"/>
  <c r="N694" i="4"/>
  <c r="N658" i="4"/>
  <c r="N622" i="4"/>
  <c r="N586" i="4"/>
  <c r="N550" i="4"/>
  <c r="N514" i="4"/>
  <c r="N478" i="4"/>
  <c r="N442" i="4"/>
  <c r="N406" i="4"/>
  <c r="N370" i="4"/>
  <c r="N334" i="4"/>
  <c r="N298" i="4"/>
  <c r="N262" i="4"/>
  <c r="N226" i="4"/>
  <c r="N190" i="4"/>
  <c r="N154" i="4"/>
  <c r="N106" i="4"/>
  <c r="N70" i="4"/>
  <c r="N34" i="4"/>
  <c r="N1881" i="4"/>
  <c r="N1821" i="4"/>
  <c r="N1749" i="4"/>
  <c r="N1701" i="4"/>
  <c r="N1521" i="4"/>
  <c r="N1473" i="4"/>
  <c r="N1377" i="4"/>
  <c r="N1257" i="4"/>
  <c r="N1209" i="4"/>
  <c r="N1173" i="4"/>
  <c r="N1125" i="4"/>
  <c r="N1089" i="4"/>
  <c r="N1053" i="4"/>
  <c r="N1017" i="4"/>
  <c r="N993" i="4"/>
  <c r="N945" i="4"/>
  <c r="N753" i="4"/>
  <c r="N1904" i="4"/>
  <c r="N1880" i="4"/>
  <c r="N1688" i="4"/>
  <c r="N1604" i="4"/>
  <c r="N1879" i="4"/>
  <c r="N1843" i="4"/>
  <c r="N1807" i="4"/>
  <c r="N1771" i="4"/>
  <c r="N1747" i="4"/>
  <c r="N1591" i="4"/>
  <c r="N1555" i="4"/>
  <c r="N1207" i="4"/>
  <c r="N1135" i="4"/>
  <c r="N955" i="4"/>
  <c r="N751" i="4"/>
  <c r="N1859" i="4"/>
  <c r="N1811" i="4"/>
  <c r="N1763" i="4"/>
  <c r="N1727" i="4"/>
  <c r="N1679" i="4"/>
  <c r="N1631" i="4"/>
  <c r="N1583" i="4"/>
  <c r="N1535" i="4"/>
  <c r="N1487" i="4"/>
  <c r="N1439" i="4"/>
  <c r="N1391" i="4"/>
  <c r="N1355" i="4"/>
  <c r="N1307" i="4"/>
  <c r="N1259" i="4"/>
  <c r="N1211" i="4"/>
  <c r="N1163" i="4"/>
  <c r="N1115" i="4"/>
  <c r="N1079" i="4"/>
  <c r="N1043" i="4"/>
  <c r="N995" i="4"/>
  <c r="N947" i="4"/>
  <c r="N899" i="4"/>
  <c r="N851" i="4"/>
  <c r="N767" i="4"/>
  <c r="N731" i="4"/>
  <c r="N659" i="4"/>
  <c r="N599" i="4"/>
  <c r="N551" i="4"/>
  <c r="N383" i="4"/>
  <c r="N335" i="4"/>
  <c r="N287" i="4"/>
  <c r="N239" i="4"/>
  <c r="N179" i="4"/>
  <c r="N131" i="4"/>
  <c r="N35" i="4"/>
  <c r="N1978" i="4"/>
  <c r="N1918" i="4"/>
  <c r="N1882" i="4"/>
  <c r="N1822" i="4"/>
  <c r="N1786" i="4"/>
  <c r="N1738" i="4"/>
  <c r="N1690" i="4"/>
  <c r="N1630" i="4"/>
  <c r="N1534" i="4"/>
  <c r="N1450" i="4"/>
  <c r="N1354" i="4"/>
  <c r="N1270" i="4"/>
  <c r="N1246" i="4"/>
  <c r="N1210" i="4"/>
  <c r="N1174" i="4"/>
  <c r="N1138" i="4"/>
  <c r="N1042" i="4"/>
  <c r="N1006" i="4"/>
  <c r="N970" i="4"/>
  <c r="N946" i="4"/>
  <c r="N910" i="4"/>
  <c r="N874" i="4"/>
  <c r="N838" i="4"/>
  <c r="N802" i="4"/>
  <c r="N766" i="4"/>
  <c r="N742" i="4"/>
  <c r="N706" i="4"/>
  <c r="N670" i="4"/>
  <c r="N634" i="4"/>
  <c r="N598" i="4"/>
  <c r="N562" i="4"/>
  <c r="N526" i="4"/>
  <c r="N490" i="4"/>
  <c r="N454" i="4"/>
  <c r="N418" i="4"/>
  <c r="N382" i="4"/>
  <c r="N346" i="4"/>
  <c r="N322" i="4"/>
  <c r="N286" i="4"/>
  <c r="N250" i="4"/>
  <c r="N214" i="4"/>
  <c r="N178" i="4"/>
  <c r="N142" i="4"/>
  <c r="N118" i="4"/>
  <c r="N82" i="4"/>
  <c r="N58" i="4"/>
  <c r="N22" i="4"/>
  <c r="N1989" i="4"/>
  <c r="N1869" i="4"/>
  <c r="N1785" i="4"/>
  <c r="N1737" i="4"/>
  <c r="N1689" i="4"/>
  <c r="N1557" i="4"/>
  <c r="N1425" i="4"/>
  <c r="N1341" i="4"/>
  <c r="N1281" i="4"/>
  <c r="N1233" i="4"/>
  <c r="N1161" i="4"/>
  <c r="N1113" i="4"/>
  <c r="N1029" i="4"/>
  <c r="N981" i="4"/>
  <c r="N1976" i="4"/>
  <c r="N1892" i="4"/>
  <c r="N1616" i="4"/>
  <c r="N33" i="4"/>
  <c r="N21" i="4"/>
  <c r="N9" i="4"/>
  <c r="N1868" i="4"/>
  <c r="N1784" i="4"/>
  <c r="N1652" i="4"/>
  <c r="N1580" i="4"/>
  <c r="N1424" i="4"/>
  <c r="N1256" i="4"/>
  <c r="N1160" i="4"/>
  <c r="N1100" i="4"/>
  <c r="N1004" i="4"/>
  <c r="N968" i="4"/>
  <c r="N932" i="4"/>
  <c r="N896" i="4"/>
  <c r="N860" i="4"/>
  <c r="N824" i="4"/>
  <c r="N788" i="4"/>
  <c r="N752" i="4"/>
  <c r="N716" i="4"/>
  <c r="N680" i="4"/>
  <c r="N644" i="4"/>
  <c r="N608" i="4"/>
  <c r="N572" i="4"/>
  <c r="N536" i="4"/>
  <c r="N500" i="4"/>
  <c r="N464" i="4"/>
  <c r="N428" i="4"/>
  <c r="N392" i="4"/>
  <c r="N356" i="4"/>
  <c r="N320" i="4"/>
  <c r="N284" i="4"/>
  <c r="N248" i="4"/>
  <c r="N212" i="4"/>
  <c r="N176" i="4"/>
  <c r="N140" i="4"/>
  <c r="N104" i="4"/>
  <c r="N68" i="4"/>
  <c r="N32" i="4"/>
  <c r="N153" i="4"/>
  <c r="N129" i="4"/>
  <c r="N105" i="4"/>
  <c r="N69" i="4"/>
  <c r="N1940" i="4"/>
  <c r="N1856" i="4"/>
  <c r="N1712" i="4"/>
  <c r="N1280" i="4"/>
  <c r="N1244" i="4"/>
  <c r="N1196" i="4"/>
  <c r="N1112" i="4"/>
  <c r="N1052" i="4"/>
  <c r="N980" i="4"/>
  <c r="N956" i="4"/>
  <c r="N908" i="4"/>
  <c r="N884" i="4"/>
  <c r="N836" i="4"/>
  <c r="N812" i="4"/>
  <c r="N776" i="4"/>
  <c r="N740" i="4"/>
  <c r="N692" i="4"/>
  <c r="N668" i="4"/>
  <c r="N632" i="4"/>
  <c r="N584" i="4"/>
  <c r="N548" i="4"/>
  <c r="N524" i="4"/>
  <c r="N488" i="4"/>
  <c r="N452" i="4"/>
  <c r="N404" i="4"/>
  <c r="N368" i="4"/>
  <c r="N344" i="4"/>
  <c r="N308" i="4"/>
  <c r="N272" i="4"/>
  <c r="N224" i="4"/>
  <c r="N188" i="4"/>
  <c r="N164" i="4"/>
  <c r="N128" i="4"/>
  <c r="N92" i="4"/>
  <c r="N56" i="4"/>
  <c r="N8" i="4"/>
  <c r="N1999" i="4"/>
  <c r="N1711" i="4"/>
  <c r="N1639" i="4"/>
  <c r="N1567" i="4"/>
  <c r="N1507" i="4"/>
  <c r="N1363" i="4"/>
  <c r="N1315" i="4"/>
  <c r="N1231" i="4"/>
  <c r="N1195" i="4"/>
  <c r="N1159" i="4"/>
  <c r="N1099" i="4"/>
  <c r="N1075" i="4"/>
  <c r="N1015" i="4"/>
  <c r="N991" i="4"/>
  <c r="N943" i="4"/>
  <c r="N919" i="4"/>
  <c r="N859" i="4"/>
  <c r="N799" i="4"/>
  <c r="N775" i="4"/>
  <c r="N715" i="4"/>
  <c r="N691" i="4"/>
  <c r="N667" i="4"/>
  <c r="N631" i="4"/>
  <c r="N595" i="4"/>
  <c r="N571" i="4"/>
  <c r="N547" i="4"/>
  <c r="N523" i="4"/>
  <c r="N499" i="4"/>
  <c r="N475" i="4"/>
  <c r="N463" i="4"/>
  <c r="N451" i="4"/>
  <c r="N439" i="4"/>
  <c r="N427" i="4"/>
  <c r="N403" i="4"/>
  <c r="N391" i="4"/>
  <c r="N379" i="4"/>
  <c r="N367" i="4"/>
  <c r="N355" i="4"/>
  <c r="N343" i="4"/>
  <c r="N31" i="4"/>
  <c r="N165" i="4"/>
  <c r="N141" i="4"/>
  <c r="N93" i="4"/>
  <c r="N57" i="4"/>
  <c r="N2000" i="4"/>
  <c r="N1928" i="4"/>
  <c r="N1796" i="4"/>
  <c r="N1724" i="4"/>
  <c r="N1640" i="4"/>
  <c r="N1568" i="4"/>
  <c r="N1520" i="4"/>
  <c r="N1472" i="4"/>
  <c r="N1376" i="4"/>
  <c r="N1328" i="4"/>
  <c r="N1232" i="4"/>
  <c r="N1124" i="4"/>
  <c r="N1088" i="4"/>
  <c r="N1016" i="4"/>
  <c r="N992" i="4"/>
  <c r="N944" i="4"/>
  <c r="N920" i="4"/>
  <c r="N872" i="4"/>
  <c r="N848" i="4"/>
  <c r="N800" i="4"/>
  <c r="N764" i="4"/>
  <c r="N728" i="4"/>
  <c r="N704" i="4"/>
  <c r="N656" i="4"/>
  <c r="N620" i="4"/>
  <c r="N596" i="4"/>
  <c r="N560" i="4"/>
  <c r="N512" i="4"/>
  <c r="N476" i="4"/>
  <c r="N440" i="4"/>
  <c r="N416" i="4"/>
  <c r="N380" i="4"/>
  <c r="N332" i="4"/>
  <c r="N296" i="4"/>
  <c r="N260" i="4"/>
  <c r="N236" i="4"/>
  <c r="N200" i="4"/>
  <c r="N152" i="4"/>
  <c r="N116" i="4"/>
  <c r="N80" i="4"/>
  <c r="N44" i="4"/>
  <c r="N20" i="4"/>
  <c r="N1927" i="4"/>
  <c r="N1855" i="4"/>
  <c r="N1783" i="4"/>
  <c r="N1459" i="4"/>
  <c r="N1411" i="4"/>
  <c r="N1279" i="4"/>
  <c r="N1243" i="4"/>
  <c r="N1219" i="4"/>
  <c r="N1123" i="4"/>
  <c r="N1087" i="4"/>
  <c r="N1003" i="4"/>
  <c r="N967" i="4"/>
  <c r="N931" i="4"/>
  <c r="N895" i="4"/>
  <c r="N871" i="4"/>
  <c r="N847" i="4"/>
  <c r="N823" i="4"/>
  <c r="N787" i="4"/>
  <c r="N739" i="4"/>
  <c r="N703" i="4"/>
  <c r="N679" i="4"/>
  <c r="N643" i="4"/>
  <c r="N607" i="4"/>
  <c r="N583" i="4"/>
  <c r="N559" i="4"/>
  <c r="N535" i="4"/>
  <c r="N511" i="4"/>
  <c r="N487" i="4"/>
  <c r="N415" i="4"/>
  <c r="N1998" i="4"/>
  <c r="N1986" i="4"/>
  <c r="N1926" i="4"/>
  <c r="N1914" i="4"/>
  <c r="N1854" i="4"/>
  <c r="N1842" i="4"/>
  <c r="N1782" i="4"/>
  <c r="N1770" i="4"/>
  <c r="N1710" i="4"/>
  <c r="N1698" i="4"/>
  <c r="N1638" i="4"/>
  <c r="N1626" i="4"/>
  <c r="N1566" i="4"/>
  <c r="N1554" i="4"/>
  <c r="N1506" i="4"/>
  <c r="N1458" i="4"/>
  <c r="N1410" i="4"/>
  <c r="N1362" i="4"/>
  <c r="N1314" i="4"/>
  <c r="N1194" i="4"/>
  <c r="N1158" i="4"/>
  <c r="N1122" i="4"/>
  <c r="N990" i="4"/>
  <c r="N942" i="4"/>
  <c r="N738" i="4"/>
  <c r="N654" i="4"/>
  <c r="N594" i="4"/>
  <c r="N522" i="4"/>
  <c r="N414" i="4"/>
  <c r="N306" i="4"/>
  <c r="N198" i="4"/>
  <c r="N90" i="4"/>
  <c r="N19" i="4"/>
  <c r="N7" i="4"/>
  <c r="N331" i="4"/>
  <c r="N319" i="4"/>
  <c r="N307" i="4"/>
  <c r="N295" i="4"/>
  <c r="N283" i="4"/>
  <c r="N271" i="4"/>
  <c r="N259" i="4"/>
  <c r="N247" i="4"/>
  <c r="N235" i="4"/>
  <c r="N223" i="4"/>
  <c r="N211" i="4"/>
  <c r="N199" i="4"/>
  <c r="N187" i="4"/>
  <c r="N175" i="4"/>
  <c r="N163" i="4"/>
  <c r="N151" i="4"/>
  <c r="N139" i="4"/>
  <c r="N127" i="4"/>
  <c r="N115" i="4"/>
  <c r="N103" i="4"/>
  <c r="N91" i="4"/>
  <c r="N79" i="4"/>
  <c r="N67" i="4"/>
  <c r="N55" i="4"/>
  <c r="N43" i="4"/>
  <c r="N1230" i="4"/>
  <c r="N1218" i="4"/>
  <c r="N1206" i="4"/>
  <c r="N1086" i="4"/>
  <c r="N1074" i="4"/>
  <c r="N1062" i="4"/>
  <c r="N1014" i="4"/>
  <c r="N966" i="4"/>
  <c r="N930" i="4"/>
  <c r="N894" i="4"/>
  <c r="N858" i="4"/>
  <c r="N834" i="4"/>
  <c r="N822" i="4"/>
  <c r="N798" i="4"/>
  <c r="N774" i="4"/>
  <c r="N762" i="4"/>
  <c r="N702" i="4"/>
  <c r="N690" i="4"/>
  <c r="N630" i="4"/>
  <c r="N618" i="4"/>
  <c r="N606" i="4"/>
  <c r="N582" i="4"/>
  <c r="N570" i="4"/>
  <c r="N558" i="4"/>
  <c r="N534" i="4"/>
  <c r="N498" i="4"/>
  <c r="N474" i="4"/>
  <c r="N462" i="4"/>
  <c r="N450" i="4"/>
  <c r="N426" i="4"/>
  <c r="N390" i="4"/>
  <c r="N366" i="4"/>
  <c r="N354" i="4"/>
  <c r="N342" i="4"/>
  <c r="N318" i="4"/>
  <c r="N282" i="4"/>
  <c r="N258" i="4"/>
  <c r="N246" i="4"/>
  <c r="N234" i="4"/>
  <c r="N210" i="4"/>
  <c r="N174" i="4"/>
  <c r="N150" i="4"/>
  <c r="N138" i="4"/>
  <c r="N126" i="4"/>
  <c r="N102" i="4"/>
  <c r="N66" i="4"/>
  <c r="N42" i="4"/>
  <c r="N30" i="4"/>
  <c r="N18" i="4"/>
  <c r="E557" i="4"/>
  <c r="E139" i="4"/>
  <c r="E44" i="4"/>
  <c r="E1473" i="4"/>
  <c r="E242" i="4"/>
  <c r="E1096" i="4"/>
  <c r="E1035" i="4"/>
  <c r="E1783" i="4"/>
  <c r="E1699" i="4"/>
  <c r="E92" i="4"/>
  <c r="E599" i="4"/>
  <c r="E162" i="4"/>
  <c r="E99" i="4"/>
  <c r="E866" i="4"/>
  <c r="E1750" i="4"/>
  <c r="E692" i="4"/>
  <c r="E431" i="4"/>
  <c r="E52" i="4"/>
  <c r="E478" i="4"/>
  <c r="E538" i="4"/>
  <c r="E1271" i="4"/>
  <c r="E1092" i="4"/>
  <c r="E1854" i="4"/>
  <c r="E396" i="4"/>
  <c r="E637" i="4"/>
  <c r="E1520" i="4"/>
  <c r="E1046" i="4"/>
  <c r="E425" i="4"/>
  <c r="E1704" i="4"/>
  <c r="E646" i="4"/>
  <c r="E1161" i="4"/>
  <c r="E1801" i="4"/>
  <c r="E739" i="4"/>
  <c r="E1296" i="4"/>
  <c r="E1935" i="4"/>
  <c r="E1125" i="4"/>
  <c r="E1988" i="4"/>
  <c r="E1523" i="4"/>
  <c r="E889" i="4"/>
  <c r="E1955" i="4"/>
  <c r="E470" i="4"/>
  <c r="E636" i="4"/>
  <c r="E1294" i="4"/>
  <c r="E1153" i="4"/>
  <c r="E1293" i="4"/>
  <c r="E1676" i="4"/>
  <c r="E1598" i="4"/>
  <c r="E89" i="4"/>
  <c r="E1678" i="4"/>
  <c r="E1601" i="4"/>
  <c r="E1317" i="4"/>
  <c r="E1279" i="4"/>
  <c r="E18" i="4"/>
  <c r="E1267" i="4"/>
  <c r="E1970" i="4"/>
  <c r="E1461" i="4"/>
  <c r="E947" i="4"/>
  <c r="E392" i="4"/>
  <c r="E152" i="4"/>
  <c r="E1212" i="4"/>
  <c r="E104" i="4"/>
  <c r="E514" i="4"/>
  <c r="E1378" i="4"/>
  <c r="E854" i="4"/>
  <c r="E33" i="4"/>
  <c r="E1595" i="4"/>
  <c r="E1687" i="4"/>
  <c r="E1960" i="4"/>
  <c r="E1059" i="4"/>
  <c r="E317" i="4"/>
  <c r="E239" i="4"/>
  <c r="E681" i="4"/>
  <c r="E1169" i="4"/>
  <c r="E1597" i="4"/>
  <c r="E644" i="4"/>
  <c r="E1242" i="4"/>
  <c r="E1369" i="4"/>
  <c r="E231" i="4"/>
  <c r="E380" i="4"/>
  <c r="E1898" i="4"/>
  <c r="E1658" i="4"/>
  <c r="E21" i="4"/>
  <c r="E1135" i="4"/>
  <c r="E1810" i="4"/>
  <c r="E1173" i="4"/>
  <c r="E1835" i="4"/>
  <c r="E1625" i="4"/>
  <c r="E1332" i="4"/>
  <c r="E325" i="4"/>
  <c r="E556" i="4"/>
  <c r="E298" i="4"/>
  <c r="E1788" i="4"/>
  <c r="E1775" i="4"/>
  <c r="E471" i="4"/>
  <c r="E1555" i="4"/>
  <c r="E1067" i="4"/>
  <c r="E694" i="4"/>
  <c r="E1338" i="4"/>
  <c r="E420" i="4"/>
  <c r="E492" i="4"/>
  <c r="E962" i="4"/>
  <c r="E260" i="4"/>
  <c r="E1770" i="4"/>
  <c r="E1845" i="4"/>
  <c r="E434" i="4"/>
  <c r="E1116" i="4"/>
  <c r="E448" i="4"/>
  <c r="E1009" i="4"/>
  <c r="E1178" i="4"/>
  <c r="E713" i="4"/>
  <c r="E1780" i="4"/>
  <c r="E1762" i="4"/>
  <c r="E1418" i="4"/>
  <c r="E424" i="4"/>
  <c r="E1577" i="4"/>
  <c r="E219" i="4"/>
  <c r="E623" i="4"/>
  <c r="E1826" i="4"/>
  <c r="E969" i="4"/>
  <c r="E1931" i="4"/>
  <c r="E641" i="4"/>
  <c r="E675" i="4"/>
  <c r="E51" i="4"/>
  <c r="E625" i="4"/>
  <c r="E535" i="4"/>
  <c r="E437" i="4"/>
  <c r="E9" i="4"/>
  <c r="E611" i="4"/>
  <c r="E610" i="4"/>
  <c r="E123" i="4"/>
  <c r="E1032" i="4"/>
  <c r="E1201" i="4"/>
  <c r="E917" i="4"/>
  <c r="E1932" i="4"/>
  <c r="E830" i="4"/>
  <c r="E36" i="4"/>
  <c r="E475" i="4"/>
  <c r="E650" i="4"/>
  <c r="E1743" i="4"/>
  <c r="E550" i="4"/>
  <c r="E1753" i="4"/>
  <c r="E1142" i="4"/>
  <c r="E1126" i="4"/>
  <c r="E1377" i="4"/>
  <c r="E304" i="4"/>
  <c r="E920" i="4"/>
  <c r="E1647" i="4"/>
  <c r="E447" i="4"/>
  <c r="E961" i="4"/>
  <c r="E789" i="4"/>
  <c r="E1072" i="4"/>
  <c r="E1121" i="4"/>
  <c r="E689" i="4"/>
  <c r="E723" i="4"/>
  <c r="E1166" i="4"/>
  <c r="E950" i="4"/>
  <c r="E1218" i="4"/>
  <c r="E924" i="4"/>
  <c r="E312" i="4"/>
  <c r="E170" i="4"/>
  <c r="E911" i="4"/>
  <c r="E640" i="4"/>
  <c r="E85" i="4"/>
  <c r="E1622" i="4"/>
  <c r="E27" i="4"/>
  <c r="E1316" i="4"/>
  <c r="E1222" i="4"/>
  <c r="E896" i="4"/>
  <c r="E1993" i="4"/>
  <c r="E586" i="4"/>
  <c r="E1508" i="4"/>
  <c r="E1834" i="4"/>
  <c r="E1513" i="4"/>
  <c r="E1403" i="4"/>
  <c r="E249" i="4"/>
  <c r="E1994" i="4"/>
  <c r="E628" i="4"/>
  <c r="E588" i="4"/>
  <c r="E1983" i="4"/>
  <c r="E1557" i="4"/>
  <c r="E591" i="4"/>
  <c r="E1885" i="4"/>
  <c r="E567" i="4"/>
  <c r="E1702" i="4"/>
  <c r="E817" i="4"/>
  <c r="E1230" i="4"/>
  <c r="E1197" i="4"/>
  <c r="E537" i="4"/>
  <c r="E1908" i="4"/>
  <c r="E1916" i="4"/>
  <c r="E882" i="4"/>
  <c r="E1691" i="4"/>
  <c r="E687" i="4"/>
  <c r="E1206" i="4"/>
  <c r="E1215" i="4"/>
  <c r="E278" i="4"/>
  <c r="E1033" i="4"/>
  <c r="E1938" i="4"/>
  <c r="E984" i="4"/>
  <c r="E1510" i="4"/>
  <c r="E1946" i="4"/>
  <c r="E197" i="4"/>
  <c r="E388" i="4"/>
  <c r="E1254" i="4"/>
  <c r="E337" i="4"/>
  <c r="E485" i="4"/>
  <c r="E1112" i="4"/>
  <c r="E1844" i="4"/>
  <c r="E1191" i="4"/>
  <c r="E489" i="4"/>
  <c r="E406" i="4"/>
  <c r="E1710" i="4"/>
  <c r="E737" i="4"/>
  <c r="E1287" i="4"/>
  <c r="E1349" i="4"/>
  <c r="E1659" i="4"/>
  <c r="E1460" i="4"/>
  <c r="E1094" i="4"/>
  <c r="E422" i="4"/>
  <c r="E1690" i="4"/>
  <c r="E539" i="4"/>
  <c r="E1751" i="4"/>
  <c r="E80" i="4"/>
  <c r="E1044" i="4"/>
  <c r="E1392" i="4"/>
  <c r="E706" i="4"/>
  <c r="E1526" i="4"/>
  <c r="E393" i="4"/>
  <c r="E1656" i="4"/>
  <c r="E665" i="4"/>
  <c r="E1519" i="4"/>
  <c r="E542" i="4"/>
  <c r="E1915" i="4"/>
  <c r="E1462" i="4"/>
  <c r="E369" i="4"/>
  <c r="E252" i="4"/>
  <c r="E1869" i="4"/>
  <c r="E1187" i="4"/>
  <c r="E936" i="4"/>
  <c r="E194" i="4"/>
  <c r="E709" i="4"/>
  <c r="E504" i="4"/>
  <c r="E1195" i="4"/>
  <c r="E1888" i="4"/>
  <c r="E1571" i="4"/>
  <c r="E1424" i="4"/>
  <c r="E580" i="4"/>
  <c r="E1563" i="4"/>
  <c r="E594" i="4"/>
  <c r="E890" i="4"/>
  <c r="E235" i="4"/>
  <c r="E347" i="4"/>
  <c r="E1395" i="4"/>
  <c r="E595" i="4"/>
  <c r="E142" i="4"/>
  <c r="E1855" i="4"/>
  <c r="E564" i="4"/>
  <c r="E1866" i="4"/>
  <c r="E218" i="4"/>
  <c r="E1217" i="4"/>
  <c r="E192" i="4"/>
  <c r="E1565" i="4"/>
  <c r="E1697" i="4"/>
  <c r="E82" i="4"/>
  <c r="E16" i="4"/>
  <c r="E1976" i="4"/>
  <c r="E1419" i="4"/>
  <c r="E1616" i="4"/>
  <c r="E643" i="4"/>
  <c r="E284" i="4"/>
  <c r="E1605" i="4"/>
  <c r="E509" i="4"/>
  <c r="E753" i="4"/>
  <c r="E647" i="4"/>
  <c r="E1031" i="4"/>
  <c r="E516" i="4"/>
  <c r="E371" i="4"/>
  <c r="E715" i="4"/>
  <c r="E1080" i="4"/>
  <c r="E852" i="4"/>
  <c r="E360" i="4"/>
  <c r="E1069" i="4"/>
  <c r="E1441" i="4"/>
  <c r="E121" i="4"/>
  <c r="E541" i="4"/>
  <c r="E1488" i="4"/>
  <c r="E498" i="4"/>
  <c r="E501" i="4"/>
  <c r="E581" i="4"/>
  <c r="E1224" i="4"/>
  <c r="E345" i="4"/>
  <c r="E1626" i="4"/>
  <c r="E193" i="4"/>
  <c r="E1422" i="4"/>
  <c r="E511" i="4"/>
  <c r="E1018" i="4"/>
  <c r="E413" i="4"/>
  <c r="E1551" i="4"/>
  <c r="E1243" i="4"/>
  <c r="E814" i="4"/>
  <c r="E147" i="4"/>
  <c r="E126" i="4"/>
  <c r="E190" i="4"/>
  <c r="E791" i="4"/>
  <c r="E382" i="4"/>
  <c r="E616" i="4"/>
  <c r="E1958" i="4"/>
  <c r="E1364" i="4"/>
  <c r="E546" i="4"/>
  <c r="E765" i="4"/>
  <c r="E1666" i="4"/>
  <c r="E180" i="4"/>
  <c r="E645" i="4"/>
  <c r="E1567" i="4"/>
  <c r="E1847" i="4"/>
  <c r="E1842" i="4"/>
  <c r="E965" i="4"/>
  <c r="E151" i="4"/>
  <c r="E1006" i="4"/>
  <c r="E1860" i="4"/>
  <c r="E880" i="4"/>
  <c r="E37" i="4"/>
  <c r="E1414" i="4"/>
  <c r="E1591" i="4"/>
  <c r="E639" i="4"/>
  <c r="E1734" i="4"/>
  <c r="E1900" i="4"/>
  <c r="E1739" i="4"/>
  <c r="E1627" i="4"/>
  <c r="E455" i="4"/>
  <c r="E980" i="4"/>
  <c r="E1399" i="4"/>
  <c r="E265" i="4"/>
  <c r="E40" i="4"/>
  <c r="E1156" i="4"/>
  <c r="E851" i="4"/>
  <c r="E1047" i="4"/>
  <c r="E1522" i="4"/>
  <c r="E1404" i="4"/>
  <c r="E678" i="4"/>
  <c r="E106" i="4"/>
  <c r="E1277" i="4"/>
  <c r="E857" i="4"/>
  <c r="E1207" i="4"/>
  <c r="E1003" i="4"/>
  <c r="E1042" i="4"/>
  <c r="E251" i="4"/>
  <c r="E1732" i="4"/>
  <c r="E1772" i="4"/>
  <c r="E373" i="4"/>
  <c r="E250" i="4"/>
  <c r="E1747" i="4"/>
  <c r="E34" i="4"/>
  <c r="E931" i="4"/>
  <c r="E691" i="4"/>
  <c r="E1909" i="4"/>
  <c r="E23" i="4"/>
  <c r="E1807" i="4"/>
  <c r="E887" i="4"/>
  <c r="E1208" i="4"/>
  <c r="E521" i="4"/>
  <c r="E710" i="4"/>
  <c r="E1455" i="4"/>
  <c r="E374" i="4"/>
  <c r="E248" i="4"/>
  <c r="E1529" i="4"/>
  <c r="E1541" i="4"/>
  <c r="E1802" i="4"/>
  <c r="E800" i="4"/>
  <c r="E423" i="4"/>
  <c r="E477" i="4"/>
  <c r="E1578" i="4"/>
  <c r="E1114" i="4"/>
  <c r="E79" i="4"/>
  <c r="E1022" i="4"/>
  <c r="E1017" i="4"/>
  <c r="E96" i="4"/>
  <c r="E774" i="4"/>
  <c r="E844" i="4"/>
  <c r="E274" i="4"/>
  <c r="E1875" i="4"/>
  <c r="E343" i="4"/>
  <c r="E319" i="4"/>
  <c r="E94" i="4"/>
  <c r="E1037" i="4"/>
  <c r="E153" i="4"/>
  <c r="E169" i="4"/>
  <c r="E55" i="4"/>
  <c r="E760" i="4"/>
  <c r="E1735" i="4"/>
  <c r="E1982" i="4"/>
  <c r="E768" i="4"/>
  <c r="E1085" i="4"/>
  <c r="E845" i="4"/>
  <c r="E1113" i="4"/>
  <c r="E183" i="4"/>
  <c r="E1057" i="4"/>
  <c r="E1284" i="4"/>
  <c r="E87" i="4"/>
  <c r="E277" i="4"/>
  <c r="E1077" i="4"/>
  <c r="E1939" i="4"/>
  <c r="E587" i="4"/>
  <c r="E1621" i="4"/>
  <c r="E825" i="4"/>
  <c r="E820" i="4"/>
  <c r="E174" i="4"/>
  <c r="E364" i="4"/>
  <c r="E943" i="4"/>
  <c r="E952" i="4"/>
  <c r="E122" i="4"/>
  <c r="E583" i="4"/>
  <c r="E223" i="4"/>
  <c r="E1011" i="4"/>
  <c r="E858" i="4"/>
  <c r="E1985" i="4"/>
  <c r="E391" i="4"/>
  <c r="E1821" i="4"/>
  <c r="E1701" i="4"/>
  <c r="E1335" i="4"/>
  <c r="E954" i="4"/>
  <c r="E1140" i="4"/>
  <c r="E350" i="4"/>
  <c r="E365" i="4"/>
  <c r="E1832" i="4"/>
  <c r="E1280" i="4"/>
  <c r="E1981" i="4"/>
  <c r="E125" i="4"/>
  <c r="E1592" i="4"/>
  <c r="E1495" i="4"/>
  <c r="E1536" i="4"/>
  <c r="E1255" i="4"/>
  <c r="E1991" i="4"/>
  <c r="E847" i="4"/>
  <c r="E1175" i="4"/>
  <c r="E1730" i="4"/>
  <c r="E663" i="4"/>
  <c r="E71" i="4"/>
  <c r="E1870" i="4"/>
  <c r="E1984" i="4"/>
  <c r="E1190" i="4"/>
  <c r="E1831" i="4"/>
  <c r="E323" i="4"/>
  <c r="E860" i="4"/>
  <c r="E1329" i="4"/>
  <c r="E1247" i="4"/>
  <c r="E906" i="4"/>
  <c r="E958" i="4"/>
  <c r="E833" i="4"/>
  <c r="E1998" i="4"/>
  <c r="E974" i="4"/>
  <c r="E904" i="4"/>
  <c r="E416" i="4"/>
  <c r="E1927" i="4"/>
  <c r="E1070" i="4"/>
  <c r="E1413" i="4"/>
  <c r="E1882" i="4"/>
  <c r="E354" i="4"/>
  <c r="E515" i="4"/>
  <c r="E68" i="4"/>
  <c r="E1319" i="4"/>
  <c r="E480" i="4"/>
  <c r="E237" i="4"/>
  <c r="E1516" i="4"/>
  <c r="E548" i="4"/>
  <c r="E1930" i="4"/>
  <c r="E677" i="4"/>
  <c r="E759" i="4"/>
  <c r="E874" i="4"/>
  <c r="E1435" i="4"/>
  <c r="E976" i="4"/>
  <c r="E1738" i="4"/>
  <c r="E468" i="4"/>
  <c r="E1020" i="4"/>
  <c r="E1199" i="4"/>
  <c r="E1857" i="4"/>
  <c r="E1637" i="4"/>
  <c r="E459" i="4"/>
  <c r="E1971" i="4"/>
  <c r="E1408" i="4"/>
  <c r="E1331" i="4"/>
  <c r="E1856" i="4"/>
  <c r="E196" i="4"/>
  <c r="E878" i="4"/>
  <c r="E215" i="4"/>
  <c r="E1859" i="4"/>
  <c r="E1936" i="4"/>
  <c r="E1223" i="4"/>
  <c r="E977" i="4"/>
  <c r="E1231" i="4"/>
  <c r="E1786" i="4"/>
  <c r="E520" i="4"/>
  <c r="E214" i="4"/>
  <c r="E76" i="4"/>
  <c r="E615" i="4"/>
  <c r="E769" i="4"/>
  <c r="E1596" i="4"/>
  <c r="E1945" i="4"/>
  <c r="E118" i="4"/>
  <c r="E58" i="4"/>
  <c r="E1574" i="4"/>
  <c r="E1322" i="4"/>
  <c r="E1695" i="4"/>
  <c r="E1562" i="4"/>
  <c r="E771" i="4"/>
  <c r="E1796" i="4"/>
  <c r="E1196" i="4"/>
  <c r="E903" i="4"/>
  <c r="E86" i="4"/>
  <c r="E1497" i="4"/>
  <c r="E1439" i="4"/>
  <c r="E1904" i="4"/>
  <c r="E1731" i="4"/>
  <c r="E1822" i="4"/>
  <c r="E340" i="4"/>
  <c r="E805" i="4"/>
  <c r="E300" i="4"/>
  <c r="E1179" i="4"/>
  <c r="E1934" i="4"/>
  <c r="E922" i="4"/>
  <c r="E809" i="4"/>
  <c r="E1642" i="4"/>
  <c r="E1721" i="4"/>
  <c r="E232" i="4"/>
  <c r="E993" i="4"/>
  <c r="E892" i="4"/>
  <c r="E627" i="4"/>
  <c r="E1056" i="4"/>
  <c r="E261" i="4"/>
  <c r="E926" i="4"/>
  <c r="E1177" i="4"/>
  <c r="E1920" i="4"/>
  <c r="E1362" i="4"/>
  <c r="E482" i="4"/>
  <c r="E179" i="4"/>
  <c r="E17" i="4"/>
  <c r="E1677" i="4"/>
  <c r="E1436" i="4"/>
  <c r="E1065" i="4"/>
  <c r="E1907" i="4"/>
  <c r="E1049" i="4"/>
  <c r="E579" i="4"/>
  <c r="E362" i="4"/>
  <c r="E366" i="4"/>
  <c r="E47" i="4"/>
  <c r="E1337" i="4"/>
  <c r="E398" i="4"/>
  <c r="E60" i="4"/>
  <c r="E1098" i="4"/>
  <c r="E2001" i="4"/>
  <c r="E551" i="4"/>
  <c r="E1163" i="4"/>
  <c r="E966" i="4"/>
  <c r="E490" i="4"/>
  <c r="E1749" i="4"/>
  <c r="E74" i="4"/>
  <c r="E279" i="4"/>
  <c r="E306" i="4"/>
  <c r="E1815" i="4"/>
  <c r="E661" i="4"/>
  <c r="E1398" i="4"/>
  <c r="E1748" i="4"/>
  <c r="E543" i="4"/>
  <c r="E941" i="4"/>
  <c r="E254" i="4"/>
  <c r="E1952" i="4"/>
  <c r="E326" i="4"/>
  <c r="E827" i="4"/>
  <c r="E864" i="4"/>
  <c r="E493" i="4"/>
  <c r="E127" i="4"/>
  <c r="E869" i="4"/>
  <c r="E25" i="4"/>
  <c r="E910" i="4"/>
  <c r="E1443" i="4"/>
  <c r="E1544" i="4"/>
  <c r="E751" i="4"/>
  <c r="E522" i="4"/>
  <c r="E1910" i="4"/>
  <c r="E939" i="4"/>
  <c r="E161" i="4"/>
  <c r="E1632" i="4"/>
  <c r="E1963" i="4"/>
  <c r="E299" i="4"/>
  <c r="E246" i="4"/>
  <c r="E1662" i="4"/>
  <c r="E1341" i="4"/>
  <c r="E748" i="4"/>
  <c r="E1103" i="4"/>
  <c r="E73" i="4"/>
  <c r="E410" i="4"/>
  <c r="E1370" i="4"/>
  <c r="E1723" i="4"/>
  <c r="E746" i="4"/>
  <c r="E384" i="4"/>
  <c r="E569" i="4"/>
  <c r="E1614" i="4"/>
  <c r="E418" i="4"/>
  <c r="E133" i="4"/>
  <c r="E960" i="4"/>
  <c r="E1214" i="4"/>
  <c r="E38" i="4"/>
  <c r="E1613" i="4"/>
  <c r="E690" i="4"/>
  <c r="E1372" i="4"/>
  <c r="E758" i="4"/>
  <c r="E1089" i="4"/>
  <c r="E1617" i="4"/>
  <c r="E813" i="4"/>
  <c r="E1518" i="4"/>
  <c r="E443" i="4"/>
  <c r="E129" i="4"/>
  <c r="E1155" i="4"/>
  <c r="E1576" i="4"/>
  <c r="E1714" i="4"/>
  <c r="E1123" i="4"/>
  <c r="E1355" i="4"/>
  <c r="E1393" i="4"/>
  <c r="E1954" i="4"/>
  <c r="E1569" i="4"/>
  <c r="E1771" i="4"/>
  <c r="E782" i="4"/>
  <c r="E1111" i="4"/>
  <c r="E606" i="4"/>
  <c r="E1456" i="4"/>
  <c r="E2" i="4"/>
  <c r="E1535" i="4"/>
  <c r="E1051" i="4"/>
  <c r="E1219" i="4"/>
  <c r="E1012" i="4"/>
  <c r="E601" i="4"/>
  <c r="E1073" i="4"/>
  <c r="E1036" i="4"/>
  <c r="E946" i="4"/>
  <c r="E1494" i="4"/>
  <c r="E20" i="4"/>
  <c r="E1405" i="4"/>
  <c r="E29" i="4"/>
  <c r="E211" i="4"/>
  <c r="E530" i="4"/>
  <c r="E935" i="4"/>
  <c r="E1929" i="4"/>
  <c r="E1476" i="4"/>
  <c r="E1244" i="4"/>
  <c r="E1680" i="4"/>
  <c r="E185" i="4"/>
  <c r="E378" i="4"/>
  <c r="E1480" i="4"/>
  <c r="E160" i="4"/>
  <c r="E1273" i="4"/>
  <c r="E1045" i="4"/>
  <c r="E294" i="4"/>
  <c r="E1246" i="4"/>
  <c r="E182" i="4"/>
  <c r="E158" i="4"/>
  <c r="E1509" i="4"/>
  <c r="E1427" i="4"/>
  <c r="E1087" i="4"/>
  <c r="E1410" i="4"/>
  <c r="E1298" i="4"/>
  <c r="E812" i="4"/>
  <c r="E1942" i="4"/>
  <c r="E212" i="4"/>
  <c r="E893" i="4"/>
  <c r="E1674" i="4"/>
  <c r="E942" i="4"/>
  <c r="E670" i="4"/>
  <c r="E1252" i="4"/>
  <c r="E1129" i="4"/>
  <c r="E1110" i="4"/>
  <c r="E1686" i="4"/>
  <c r="E1924" i="4"/>
  <c r="E1961" i="4"/>
  <c r="E553" i="4"/>
  <c r="E370" i="4"/>
  <c r="E338" i="4"/>
  <c r="E1947" i="4"/>
  <c r="E1068" i="4"/>
  <c r="E78" i="4"/>
  <c r="E1120" i="4"/>
  <c r="E1090" i="4"/>
  <c r="E1014" i="4"/>
  <c r="E1429" i="4"/>
  <c r="E574" i="4"/>
  <c r="E951" i="4"/>
  <c r="E181" i="4"/>
  <c r="E5" i="4"/>
  <c r="E578" i="4"/>
  <c r="E735" i="4"/>
  <c r="E1829" i="4"/>
  <c r="E1997" i="4"/>
  <c r="E1655" i="4"/>
  <c r="E1824" i="4"/>
  <c r="E778" i="4"/>
  <c r="E435" i="4"/>
  <c r="E729" i="4"/>
  <c r="E61" i="4"/>
  <c r="E933" i="4"/>
  <c r="E755" i="4"/>
  <c r="E528" i="4"/>
  <c r="E649" i="4"/>
  <c r="E618" i="4"/>
  <c r="E1663" i="4"/>
  <c r="E544" i="4"/>
  <c r="E700" i="4"/>
  <c r="E1132" i="4"/>
  <c r="E1901" i="4"/>
  <c r="E473" i="4"/>
  <c r="E895" i="4"/>
  <c r="E1504" i="4"/>
  <c r="E1830" i="4"/>
  <c r="E1357" i="4"/>
  <c r="E1356" i="4"/>
  <c r="E1793" i="4"/>
  <c r="E1384" i="4"/>
  <c r="E1100" i="4"/>
  <c r="E1081" i="4"/>
  <c r="E146" i="4"/>
  <c r="E1007" i="4"/>
  <c r="E982" i="4"/>
  <c r="E1062" i="4"/>
  <c r="E1431" i="4"/>
  <c r="E1668" i="4"/>
  <c r="E1558" i="4"/>
  <c r="E1467" i="4"/>
  <c r="E870" i="4"/>
  <c r="E1205" i="4"/>
  <c r="E1863" i="4"/>
  <c r="E1425" i="4"/>
  <c r="E1989" i="4"/>
  <c r="E307" i="4"/>
  <c r="E1285" i="4"/>
  <c r="E1265" i="4"/>
  <c r="E745" i="4"/>
  <c r="E1054" i="4"/>
  <c r="E1545" i="4"/>
  <c r="E1575" i="4"/>
  <c r="E1607" i="4"/>
  <c r="E1784" i="4"/>
  <c r="E112" i="4"/>
  <c r="E148" i="4"/>
  <c r="E1795" i="4"/>
  <c r="E1367" i="4"/>
  <c r="E934" i="4"/>
  <c r="E916" i="4"/>
  <c r="E1203" i="4"/>
  <c r="E1876" i="4"/>
  <c r="E1382" i="4"/>
  <c r="E1911" i="4"/>
  <c r="E1817" i="4"/>
  <c r="E189" i="4"/>
  <c r="E224" i="4"/>
  <c r="E1733" i="4"/>
  <c r="E411" i="4"/>
  <c r="E1147" i="4"/>
  <c r="E1554" i="4"/>
  <c r="E427" i="4"/>
  <c r="E1638" i="4"/>
  <c r="E1773" i="4"/>
  <c r="E997" i="4"/>
  <c r="E744" i="4"/>
  <c r="E165" i="4"/>
  <c r="E199" i="4"/>
  <c r="E1071" i="4"/>
  <c r="E743" i="4"/>
  <c r="E1604" i="4"/>
  <c r="E1965" i="4"/>
  <c r="E144" i="4"/>
  <c r="E419" i="4"/>
  <c r="E1019" i="4"/>
  <c r="E1376" i="4"/>
  <c r="E1312" i="4"/>
  <c r="E1445" i="4"/>
  <c r="E909" i="4"/>
  <c r="E1619" i="4"/>
  <c r="E1144" i="4"/>
  <c r="E629" i="4"/>
  <c r="E1974" i="4"/>
  <c r="E1374" i="4"/>
  <c r="E1291" i="4"/>
  <c r="E1276" i="4"/>
  <c r="E329" i="4"/>
  <c r="E1258" i="4"/>
  <c r="E1269" i="4"/>
  <c r="E1320" i="4"/>
  <c r="E1660" i="4"/>
  <c r="E1471" i="4"/>
  <c r="E1594" i="4"/>
  <c r="E22" i="4"/>
  <c r="E900" i="4"/>
  <c r="E996" i="4"/>
  <c r="E1669" i="4"/>
  <c r="E120" i="4"/>
  <c r="E868" i="4"/>
  <c r="E732" i="4"/>
  <c r="E1610" i="4"/>
  <c r="E1941" i="4"/>
  <c r="E1086" i="4"/>
  <c r="E570" i="4"/>
  <c r="E970" i="4"/>
  <c r="E1652" i="4"/>
  <c r="E1587" i="4"/>
  <c r="E65" i="4"/>
  <c r="E1538" i="4"/>
  <c r="E1491" i="4"/>
  <c r="E1919" i="4"/>
  <c r="E281" i="4"/>
  <c r="E1879" i="4"/>
  <c r="E988" i="4"/>
  <c r="E1041" i="4"/>
  <c r="E24" i="4"/>
  <c r="E1327" i="4"/>
  <c r="E560" i="4"/>
  <c r="E241" i="4"/>
  <c r="E1078" i="4"/>
  <c r="E290" i="4"/>
  <c r="E115" i="4"/>
  <c r="E46" i="4"/>
  <c r="E322" i="4"/>
  <c r="E848" i="4"/>
  <c r="E1358" i="4"/>
  <c r="E716" i="4"/>
  <c r="E105" i="4"/>
  <c r="E1620" i="4"/>
  <c r="E1437" i="4"/>
  <c r="E1434" i="4"/>
  <c r="E91" i="4"/>
  <c r="E1170" i="4"/>
  <c r="E1021" i="4"/>
  <c r="E797" i="4"/>
  <c r="E1706" i="4"/>
  <c r="E1892" i="4"/>
  <c r="E885" i="4"/>
  <c r="E1709" i="4"/>
  <c r="E1415" i="4"/>
  <c r="E1340" i="4"/>
  <c r="E111" i="4"/>
  <c r="E1168" i="4"/>
  <c r="E155" i="4"/>
  <c r="E134" i="4"/>
  <c r="E838" i="4"/>
  <c r="E1281" i="4"/>
  <c r="E1933" i="4"/>
  <c r="E1608" i="4"/>
  <c r="E1693" i="4"/>
  <c r="E282" i="4"/>
  <c r="E1466" i="4"/>
  <c r="E1794" i="4"/>
  <c r="E790" i="4"/>
  <c r="E1552" i="4"/>
  <c r="E928" i="4"/>
  <c r="E834" i="4"/>
  <c r="E1873" i="4"/>
  <c r="E318" i="4"/>
  <c r="E1966" i="4"/>
  <c r="E642" i="4"/>
  <c r="E925" i="4"/>
  <c r="E1816" i="4"/>
  <c r="E348" i="4"/>
  <c r="E717" i="4"/>
  <c r="E1867" i="4"/>
  <c r="E1718" i="4"/>
  <c r="E3" i="4"/>
  <c r="E508" i="4"/>
  <c r="E145" i="4"/>
  <c r="E1584" i="4"/>
  <c r="E1692" i="4"/>
  <c r="E986" i="4"/>
  <c r="E657" i="4"/>
  <c r="E377" i="4"/>
  <c r="E1333" i="4"/>
  <c r="E1379" i="4"/>
  <c r="E901" i="4"/>
  <c r="E1665" i="4"/>
  <c r="E1124" i="4"/>
  <c r="E566" i="4"/>
  <c r="E1549" i="4"/>
  <c r="E159" i="4"/>
  <c r="E1274" i="4"/>
  <c r="E1648" i="4"/>
  <c r="E173" i="4"/>
  <c r="E527" i="4"/>
  <c r="E1980" i="4"/>
  <c r="E335" i="4"/>
  <c r="E39" i="4"/>
  <c r="E940" i="4"/>
  <c r="E1157" i="4"/>
  <c r="E1650" i="4"/>
  <c r="E1038" i="4"/>
  <c r="E1713" i="4"/>
  <c r="E1880" i="4"/>
  <c r="E1746" i="4"/>
  <c r="E632" i="4"/>
  <c r="E1972" i="4"/>
  <c r="E1375" i="4"/>
  <c r="E1010" i="4"/>
  <c r="E301" i="4"/>
  <c r="E720" i="4"/>
  <c r="E305" i="4"/>
  <c r="E42" i="4"/>
  <c r="E899" i="4"/>
  <c r="E693" i="4"/>
  <c r="E397" i="4"/>
  <c r="E198" i="4"/>
  <c r="E143" i="4"/>
  <c r="E376" i="4"/>
  <c r="E1828" i="4"/>
  <c r="E1259" i="4"/>
  <c r="E444" i="4"/>
  <c r="E730" i="4"/>
  <c r="E766" i="4"/>
  <c r="E1263" i="4"/>
  <c r="E1290" i="4"/>
  <c r="E1442" i="4"/>
  <c r="E945" i="4"/>
  <c r="E253" i="4"/>
  <c r="E621" i="4"/>
  <c r="E245" i="4"/>
  <c r="E612" i="4"/>
  <c r="E1763" i="4"/>
  <c r="E138" i="4"/>
  <c r="E990" i="4"/>
  <c r="E626" i="4"/>
  <c r="E648" i="4"/>
  <c r="E1922" i="4"/>
  <c r="E114" i="4"/>
  <c r="E1841" i="4"/>
  <c r="E264" i="4"/>
  <c r="E1400" i="4"/>
  <c r="E1325" i="4"/>
  <c r="E407" i="4"/>
  <c r="E1446" i="4"/>
  <c r="E702" i="4"/>
  <c r="E804" i="4"/>
  <c r="E1789" i="4"/>
  <c r="E902" i="4"/>
  <c r="E540" i="4"/>
  <c r="E1348" i="4"/>
  <c r="E1474" i="4"/>
  <c r="E613" i="4"/>
  <c r="E1005" i="4"/>
  <c r="E333" i="4"/>
  <c r="E775" i="4"/>
  <c r="E722" i="4"/>
  <c r="E43" i="4"/>
  <c r="E1076" i="4"/>
  <c r="E1514" i="4"/>
  <c r="E1589" i="4"/>
  <c r="E381" i="4"/>
  <c r="E1848" i="4"/>
  <c r="E273" i="4"/>
  <c r="E1225" i="4"/>
  <c r="E841" i="4"/>
  <c r="E1013" i="4"/>
  <c r="E1959" i="4"/>
  <c r="E234" i="4"/>
  <c r="E963" i="4"/>
  <c r="E685" i="4"/>
  <c r="E1209" i="4"/>
  <c r="E853" i="4"/>
  <c r="E1503" i="4"/>
  <c r="E1309" i="4"/>
  <c r="E875" i="4"/>
  <c r="E1484" i="4"/>
  <c r="E1769" i="4"/>
  <c r="E839" i="4"/>
  <c r="E1716" i="4"/>
  <c r="E1644" i="4"/>
  <c r="E1381" i="4"/>
  <c r="E1805" i="4"/>
  <c r="E1823" i="4"/>
  <c r="E921" i="4"/>
  <c r="E1511" i="4"/>
  <c r="E375" i="4"/>
  <c r="E1342" i="4"/>
  <c r="E1388" i="4"/>
  <c r="E667" i="4"/>
  <c r="E1202" i="4"/>
  <c r="E552" i="4"/>
  <c r="E1251" i="4"/>
  <c r="E1171" i="4"/>
  <c r="E688" i="4"/>
  <c r="E602" i="4"/>
  <c r="E798" i="4"/>
  <c r="E236" i="4"/>
  <c r="E1560" i="4"/>
  <c r="E1992" i="4"/>
  <c r="E959" i="4"/>
  <c r="E1127" i="4"/>
  <c r="E1250" i="4"/>
  <c r="E201" i="4"/>
  <c r="E441" i="4"/>
  <c r="E563" i="4"/>
  <c r="E756" i="4"/>
  <c r="E1353" i="4"/>
  <c r="E1923" i="4"/>
  <c r="E228" i="4"/>
  <c r="E140" i="4"/>
  <c r="E2000" i="4"/>
  <c r="E1664" i="4"/>
  <c r="E1295" i="4"/>
  <c r="E499" i="4"/>
  <c r="E1776" i="4"/>
  <c r="E1186" i="4"/>
  <c r="E1899" i="4"/>
  <c r="E727" i="4"/>
  <c r="E93" i="4"/>
  <c r="E794" i="4"/>
  <c r="E1672" i="4"/>
  <c r="E1152" i="4"/>
  <c r="E1457" i="4"/>
  <c r="E532" i="4"/>
  <c r="E1566" i="4"/>
  <c r="E1417" i="4"/>
  <c r="E1957" i="4"/>
  <c r="E1603" i="4"/>
  <c r="E1093" i="4"/>
  <c r="E1782" i="4"/>
  <c r="E1517" i="4"/>
  <c r="E154" i="4"/>
  <c r="E705" i="4"/>
  <c r="E1643" i="4"/>
  <c r="E699" i="4"/>
  <c r="E102" i="4"/>
  <c r="E802" i="4"/>
  <c r="E1537" i="4"/>
  <c r="E506" i="4"/>
  <c r="E734" i="4"/>
  <c r="E1630" i="4"/>
  <c r="E1286" i="4"/>
  <c r="E1967" i="4"/>
  <c r="E801" i="4"/>
  <c r="E445" i="4"/>
  <c r="E247" i="4"/>
  <c r="E1200" i="4"/>
  <c r="E108" i="4"/>
  <c r="E736" i="4"/>
  <c r="E208" i="4"/>
  <c r="E84" i="4"/>
  <c r="E534" i="4"/>
  <c r="E31" i="4"/>
  <c r="E872" i="4"/>
  <c r="E403" i="4"/>
  <c r="E1897" i="4"/>
  <c r="E486" i="4"/>
  <c r="E948" i="4"/>
  <c r="E989" i="4"/>
  <c r="E714" i="4"/>
  <c r="E1478" i="4"/>
  <c r="E1363" i="4"/>
  <c r="E295" i="4"/>
  <c r="E1921" i="4"/>
  <c r="E1760" i="4"/>
  <c r="E356" i="4"/>
  <c r="E666" i="4"/>
  <c r="E1479" i="4"/>
  <c r="E747" i="4"/>
  <c r="E130" i="4"/>
  <c r="E1345" i="4"/>
  <c r="E701" i="4"/>
  <c r="E620" i="4"/>
  <c r="E1999" i="4"/>
  <c r="E1846" i="4"/>
  <c r="E1334" i="4"/>
  <c r="E1996" i="4"/>
  <c r="E186" i="4"/>
  <c r="E465" i="4"/>
  <c r="E1117" i="4"/>
  <c r="E1884" i="4"/>
  <c r="E624" i="4"/>
  <c r="E1628" i="4"/>
  <c r="E1278" i="4"/>
  <c r="E683" i="4"/>
  <c r="E513" i="4"/>
  <c r="E458" i="4"/>
  <c r="E1104" i="4"/>
  <c r="E1451" i="4"/>
  <c r="E967" i="4"/>
  <c r="E944" i="4"/>
  <c r="E1433" i="4"/>
  <c r="E764" i="4"/>
  <c r="E1725" i="4"/>
  <c r="E1301" i="4"/>
  <c r="E1764" i="4"/>
  <c r="E1653" i="4"/>
  <c r="E464" i="4"/>
  <c r="E1308" i="4"/>
  <c r="E203" i="4"/>
  <c r="E1240" i="4"/>
  <c r="E313" i="4"/>
  <c r="E210" i="4"/>
  <c r="E1858" i="4"/>
  <c r="E339" i="4"/>
  <c r="E1394" i="4"/>
  <c r="E682" i="4"/>
  <c r="E1754" i="4"/>
  <c r="E871" i="4"/>
  <c r="E915" i="4"/>
  <c r="E519" i="4"/>
  <c r="E1099" i="4"/>
  <c r="E13" i="4"/>
  <c r="E754" i="4"/>
  <c r="E846" i="4"/>
  <c r="E19" i="4"/>
  <c r="E1167" i="4"/>
  <c r="E1757" i="4"/>
  <c r="E1226" i="4"/>
  <c r="E630" i="4"/>
  <c r="E733" i="4"/>
  <c r="E1101" i="4"/>
  <c r="E559" i="4"/>
  <c r="E483" i="4"/>
  <c r="E421" i="4"/>
  <c r="E603" i="4"/>
  <c r="E1034" i="4"/>
  <c r="E1318" i="4"/>
  <c r="E1705" i="4"/>
  <c r="E1887" i="4"/>
  <c r="E1264" i="4"/>
  <c r="E728" i="4"/>
  <c r="E1401" i="4"/>
  <c r="E1336" i="4"/>
  <c r="E502" i="4"/>
  <c r="E596" i="4"/>
  <c r="E1489" i="4"/>
  <c r="E912" i="4"/>
  <c r="E438" i="4"/>
  <c r="E1681" i="4"/>
  <c r="E1486" i="4"/>
  <c r="E1611" i="4"/>
  <c r="E1266" i="4"/>
  <c r="E1599" i="4"/>
  <c r="E1119" i="4"/>
  <c r="E1606" i="4"/>
  <c r="E1138" i="4"/>
  <c r="E786" i="4"/>
  <c r="E1634" i="4"/>
  <c r="E1766" i="4"/>
  <c r="E1906" i="4"/>
  <c r="E1756" i="4"/>
  <c r="E981" i="4"/>
  <c r="E1387" i="4"/>
  <c r="E204" i="4"/>
  <c r="E1420" i="4"/>
  <c r="E1447" i="4"/>
  <c r="E938" i="4"/>
  <c r="E1838" i="4"/>
  <c r="E1064" i="4"/>
  <c r="E877" i="4"/>
  <c r="E1371" i="4"/>
  <c r="E1107" i="4"/>
  <c r="E1836" i="4"/>
  <c r="E1257" i="4"/>
  <c r="E64" i="4"/>
  <c r="E1962" i="4"/>
  <c r="E549" i="4"/>
  <c r="E1324" i="4"/>
  <c r="E1311" i="4"/>
  <c r="E1590" i="4"/>
  <c r="E1864" i="4"/>
  <c r="E1146" i="4"/>
  <c r="E855" i="4"/>
  <c r="E1722" i="4"/>
  <c r="E1095" i="4"/>
  <c r="E507" i="4"/>
  <c r="E1128" i="4"/>
  <c r="E452" i="4"/>
  <c r="E1463" i="4"/>
  <c r="E517" i="4"/>
  <c r="E1000" i="4"/>
  <c r="E1180" i="4"/>
  <c r="E1953" i="4"/>
  <c r="E1052" i="4"/>
  <c r="E1159" i="4"/>
  <c r="E1368" i="4"/>
  <c r="E843" i="4"/>
  <c r="E1840" i="4"/>
  <c r="E1837" i="4"/>
  <c r="E95" i="4"/>
  <c r="E351" i="4"/>
  <c r="E463" i="4"/>
  <c r="E88" i="4"/>
  <c r="E850" i="4"/>
  <c r="E327" i="4"/>
  <c r="E172" i="4"/>
  <c r="E837" i="4"/>
  <c r="E276" i="4"/>
  <c r="E1883" i="4"/>
  <c r="E1390" i="4"/>
  <c r="E1790" i="4"/>
  <c r="E188" i="4"/>
  <c r="E244" i="4"/>
  <c r="E297" i="4"/>
  <c r="E1889" i="4"/>
  <c r="E1289" i="4"/>
  <c r="E1975" i="4"/>
  <c r="E69" i="4"/>
  <c r="E1359" i="4"/>
  <c r="E1661" i="4"/>
  <c r="E1272" i="4"/>
  <c r="E1288" i="4"/>
  <c r="E873" i="4"/>
  <c r="E1800" i="4"/>
  <c r="E1391" i="4"/>
  <c r="E1430" i="4"/>
  <c r="E342" i="4"/>
  <c r="E70" i="4"/>
  <c r="E1351" i="4"/>
  <c r="E302" i="4"/>
  <c r="E451" i="4"/>
  <c r="E815" i="4"/>
  <c r="E1797" i="4"/>
  <c r="E1204" i="4"/>
  <c r="E971" i="4"/>
  <c r="E1792" i="4"/>
  <c r="E150" i="4"/>
  <c r="E1130" i="4"/>
  <c r="E315" i="4"/>
  <c r="E803" i="4"/>
  <c r="E456" i="4"/>
  <c r="E590" i="4"/>
  <c r="E395" i="4"/>
  <c r="E1943" i="4"/>
  <c r="E999" i="4"/>
  <c r="E1726" i="4"/>
  <c r="E1683" i="4"/>
  <c r="E863" i="4"/>
  <c r="E321" i="4"/>
  <c r="E1235" i="4"/>
  <c r="E288" i="4"/>
  <c r="E555" i="4"/>
  <c r="E1654" i="4"/>
  <c r="E1956" i="4"/>
  <c r="E1649" i="4"/>
  <c r="E994" i="4"/>
  <c r="E505" i="4"/>
  <c r="E109" i="4"/>
  <c r="E1737" i="4"/>
  <c r="E819" i="4"/>
  <c r="E113" i="4"/>
  <c r="E1586" i="4"/>
  <c r="E1260" i="4"/>
  <c r="E4" i="4"/>
  <c r="E1131" i="4"/>
  <c r="E656" i="4"/>
  <c r="E1326" i="4"/>
  <c r="E1182" i="4"/>
  <c r="E472" i="4"/>
  <c r="E1396" i="4"/>
  <c r="E1568" i="4"/>
  <c r="E1902" i="4"/>
  <c r="E334" i="4"/>
  <c r="E289" i="4"/>
  <c r="E330" i="4"/>
  <c r="E1615" i="4"/>
  <c r="E932" i="4"/>
  <c r="E907" i="4"/>
  <c r="E222" i="4"/>
  <c r="E389" i="4"/>
  <c r="E200" i="4"/>
  <c r="E1148" i="4"/>
  <c r="E1530" i="4"/>
  <c r="E1987" i="4"/>
  <c r="E103" i="4"/>
  <c r="E1684" i="4"/>
  <c r="E72" i="4"/>
  <c r="E1639" i="4"/>
  <c r="E908" i="4"/>
  <c r="E1550" i="4"/>
  <c r="E26" i="4"/>
  <c r="E526" i="4"/>
  <c r="E415" i="4"/>
  <c r="E1221" i="4"/>
  <c r="E1585" i="4"/>
  <c r="E195" i="4"/>
  <c r="E1079" i="4"/>
  <c r="E14" i="4"/>
  <c r="E238" i="4"/>
  <c r="E1237" i="4"/>
  <c r="E617" i="4"/>
  <c r="E177" i="4"/>
  <c r="E955" i="4"/>
  <c r="E1492" i="4"/>
  <c r="E1058" i="4"/>
  <c r="E1755" i="4"/>
  <c r="E1105" i="4"/>
  <c r="E171" i="4"/>
  <c r="E1865" i="4"/>
  <c r="E1969" i="4"/>
  <c r="E572" i="4"/>
  <c r="E100" i="4"/>
  <c r="E385" i="4"/>
  <c r="E390" i="4"/>
  <c r="E780" i="4"/>
  <c r="E1060" i="4"/>
  <c r="E1539" i="4"/>
  <c r="E1914" i="4"/>
  <c r="E1635" i="4"/>
  <c r="E1612" i="4"/>
  <c r="E1808" i="4"/>
  <c r="E829" i="4"/>
  <c r="E585" i="4"/>
  <c r="E1160" i="4"/>
  <c r="E1275" i="4"/>
  <c r="E275" i="4"/>
  <c r="E565" i="4"/>
  <c r="E314" i="4"/>
  <c r="E1633" i="4"/>
  <c r="E1707" i="4"/>
  <c r="E1150" i="4"/>
  <c r="E1397" i="4"/>
  <c r="E991" i="4"/>
  <c r="E303" i="4"/>
  <c r="E280" i="4"/>
  <c r="E1820" i="4"/>
  <c r="E1321" i="4"/>
  <c r="E1881" i="4"/>
  <c r="E635" i="4"/>
  <c r="E1561" i="4"/>
  <c r="E1745" i="4"/>
  <c r="E964" i="4"/>
  <c r="E1573" i="4"/>
  <c r="E1039" i="4"/>
  <c r="E383" i="4"/>
  <c r="E631" i="4"/>
  <c r="E1304" i="4"/>
  <c r="E1083" i="4"/>
  <c r="E1184" i="4"/>
  <c r="E1903" i="4"/>
  <c r="E1402" i="4"/>
  <c r="E137" i="4"/>
  <c r="E1646" i="4"/>
  <c r="E1256" i="4"/>
  <c r="E131" i="4"/>
  <c r="E1314" i="4"/>
  <c r="E1631" i="4"/>
  <c r="E1636" i="4"/>
  <c r="E426" i="4"/>
  <c r="E808" i="4"/>
  <c r="E1640" i="4"/>
  <c r="E1742" i="4"/>
  <c r="E1803" i="4"/>
  <c r="E1928" i="4"/>
  <c r="E1570" i="4"/>
  <c r="E1004" i="4"/>
  <c r="E894" i="4"/>
  <c r="E286" i="4"/>
  <c r="E796" i="4"/>
  <c r="E1670" i="4"/>
  <c r="E267" i="4"/>
  <c r="E1809" i="4"/>
  <c r="E593" i="4"/>
  <c r="E1339" i="4"/>
  <c r="E1682" i="4"/>
  <c r="E1618" i="4"/>
  <c r="E436" i="4"/>
  <c r="E1165" i="4"/>
  <c r="E1470" i="4"/>
  <c r="E1233" i="4"/>
  <c r="E985" i="4"/>
  <c r="E1798" i="4"/>
  <c r="E554" i="4"/>
  <c r="E271" i="4"/>
  <c r="E1715" i="4"/>
  <c r="E240" i="4"/>
  <c r="E1727" i="4"/>
  <c r="E978" i="4"/>
  <c r="E763" i="4"/>
  <c r="E1572" i="4"/>
  <c r="E1580" i="4"/>
  <c r="E1689" i="4"/>
  <c r="E1365" i="4"/>
  <c r="E1300" i="4"/>
  <c r="E54" i="4"/>
  <c r="E124" i="4"/>
  <c r="E1475" i="4"/>
  <c r="E187" i="4"/>
  <c r="E408" i="4"/>
  <c r="E1310" i="4"/>
  <c r="E1833" i="4"/>
  <c r="E45" i="4"/>
  <c r="E1893" i="4"/>
  <c r="E49" i="4"/>
  <c r="E269" i="4"/>
  <c r="E937" i="4"/>
  <c r="E166" i="4"/>
  <c r="E1228" i="4"/>
  <c r="E1383" i="4"/>
  <c r="E914" i="4"/>
  <c r="E1464" i="4"/>
  <c r="E1717" i="4"/>
  <c r="E828" i="4"/>
  <c r="E1002" i="4"/>
  <c r="E708" i="4"/>
  <c r="E995" i="4"/>
  <c r="E404" i="4"/>
  <c r="E929" i="4"/>
  <c r="E367" i="4"/>
  <c r="E1886" i="4"/>
  <c r="E1239" i="4"/>
  <c r="E1482" i="4"/>
  <c r="E1878" i="4"/>
  <c r="E1894" i="4"/>
  <c r="E1115" i="4"/>
  <c r="E1118" i="4"/>
  <c r="E1502" i="4"/>
  <c r="E167" i="4"/>
  <c r="E1694" i="4"/>
  <c r="E1183" i="4"/>
  <c r="E1164" i="4"/>
  <c r="E1973" i="4"/>
  <c r="E998" i="4"/>
  <c r="E1307" i="4"/>
  <c r="E1852" i="4"/>
  <c r="E741" i="4"/>
  <c r="E597" i="4"/>
  <c r="E1515" i="4"/>
  <c r="E1449" i="4"/>
  <c r="E1030" i="4"/>
  <c r="E711" i="4"/>
  <c r="E562" i="4"/>
  <c r="E157" i="4"/>
  <c r="E1752" i="4"/>
  <c r="E525" i="4"/>
  <c r="E220" i="4"/>
  <c r="E163" i="4"/>
  <c r="E429" i="4"/>
  <c r="E1804" i="4"/>
  <c r="E913" i="4"/>
  <c r="E879" i="4"/>
  <c r="E561" i="4"/>
  <c r="E653" i="4"/>
  <c r="E1149" i="4"/>
  <c r="E1657" i="4"/>
  <c r="E1505" i="4"/>
  <c r="E1806" i="4"/>
  <c r="E1468" i="4"/>
  <c r="E1851" i="4"/>
  <c r="E1827" i="4"/>
  <c r="E975" i="4"/>
  <c r="E357" i="4"/>
  <c r="E957" i="4"/>
  <c r="E400" i="4"/>
  <c r="E652" i="4"/>
  <c r="E1912" i="4"/>
  <c r="E1386" i="4"/>
  <c r="E1890" i="4"/>
  <c r="E344" i="4"/>
  <c r="E1813" i="4"/>
  <c r="E1698" i="4"/>
  <c r="E1872" i="4"/>
  <c r="E346" i="4"/>
  <c r="E221" i="4"/>
  <c r="E75" i="4"/>
  <c r="E1040" i="4"/>
  <c r="E770" i="4"/>
  <c r="E1950" i="4"/>
  <c r="E1366" i="4"/>
  <c r="E1282" i="4"/>
  <c r="E582" i="4"/>
  <c r="E1609" i="4"/>
  <c r="E311" i="4"/>
  <c r="E664" i="4"/>
  <c r="E1588" i="4"/>
  <c r="E255" i="4"/>
  <c r="E529" i="4"/>
  <c r="E440" i="4"/>
  <c r="E1194" i="4"/>
  <c r="E1553" i="4"/>
  <c r="E500" i="4"/>
  <c r="E257" i="4"/>
  <c r="E1024" i="4"/>
  <c r="E217" i="4"/>
  <c r="E707" i="4"/>
  <c r="E1825" i="4"/>
  <c r="E1531" i="4"/>
  <c r="E1593" i="4"/>
  <c r="E1432" i="4"/>
  <c r="E823" i="4"/>
  <c r="E1448" i="4"/>
  <c r="E1061" i="4"/>
  <c r="E673" i="4"/>
  <c r="E822" i="4"/>
  <c r="E545" i="4"/>
  <c r="E721" i="4"/>
  <c r="E1097" i="4"/>
  <c r="E256" i="4"/>
  <c r="E1066" i="4"/>
  <c r="E811" i="4"/>
  <c r="E1720" i="4"/>
  <c r="E1344" i="4"/>
  <c r="E1091" i="4"/>
  <c r="E496" i="4"/>
  <c r="E679" i="4"/>
  <c r="E1724" i="4"/>
  <c r="E865" i="4"/>
  <c r="E387" i="4"/>
  <c r="E1547" i="4"/>
  <c r="E1700" i="4"/>
  <c r="E686" i="4"/>
  <c r="E831" i="4"/>
  <c r="E674" i="4"/>
  <c r="E1305" i="4"/>
  <c r="E1708" i="4"/>
  <c r="E1063" i="4"/>
  <c r="E1292" i="4"/>
  <c r="E1498" i="4"/>
  <c r="E1493" i="4"/>
  <c r="E738" i="4"/>
  <c r="E724" i="4"/>
  <c r="E450" i="4"/>
  <c r="E1811" i="4"/>
  <c r="E1556" i="4"/>
  <c r="E608" i="4"/>
  <c r="E402" i="4"/>
  <c r="E987" i="4"/>
  <c r="E651" i="4"/>
  <c r="E840" i="4"/>
  <c r="E1968" i="4"/>
  <c r="E1354" i="4"/>
  <c r="E35" i="4"/>
  <c r="E696" i="4"/>
  <c r="E1978" i="4"/>
  <c r="E1582" i="4"/>
  <c r="E90" i="4"/>
  <c r="E1527" i="4"/>
  <c r="E484" i="4"/>
  <c r="E1328" i="4"/>
  <c r="E1268" i="4"/>
  <c r="E1133" i="4"/>
  <c r="E30" i="4"/>
  <c r="E1926" i="4"/>
  <c r="E135" i="4"/>
  <c r="E1158" i="4"/>
  <c r="E776" i="4"/>
  <c r="E1137" i="4"/>
  <c r="E479" i="4"/>
  <c r="E795" i="4"/>
  <c r="E1623" i="4"/>
  <c r="E270" i="4"/>
  <c r="E1465" i="4"/>
  <c r="E792" i="4"/>
  <c r="E1181" i="4"/>
  <c r="E888" i="4"/>
  <c r="E1861" i="4"/>
  <c r="E1428" i="4"/>
  <c r="E1330" i="4"/>
  <c r="E719" i="4"/>
  <c r="E1220" i="4"/>
  <c r="E695" i="4"/>
  <c r="E66" i="4"/>
  <c r="E97" i="4"/>
  <c r="E849" i="4"/>
  <c r="E1979" i="4"/>
  <c r="E292" i="4"/>
  <c r="E1025" i="4"/>
  <c r="E358" i="4"/>
  <c r="E206" i="4"/>
  <c r="E230" i="4"/>
  <c r="E1084" i="4"/>
  <c r="E1234" i="4"/>
  <c r="E856" i="4"/>
  <c r="E1023" i="4"/>
  <c r="E1512" i="4"/>
  <c r="E697" i="4"/>
  <c r="E1501" i="4"/>
  <c r="E659" i="4"/>
  <c r="E227" i="4"/>
  <c r="E266" i="4"/>
  <c r="E341" i="4"/>
  <c r="E1213" i="4"/>
  <c r="E1172" i="4"/>
  <c r="E1421" i="4"/>
  <c r="E467" i="4"/>
  <c r="E1546" i="4"/>
  <c r="E372" i="4"/>
  <c r="E1053" i="4"/>
  <c r="E671" i="4"/>
  <c r="E749" i="4"/>
  <c r="E353" i="4"/>
  <c r="E1581" i="4"/>
  <c r="E263" i="4"/>
  <c r="E1896" i="4"/>
  <c r="E1232" i="4"/>
  <c r="E787" i="4"/>
  <c r="E1877" i="4"/>
  <c r="E1778" i="4"/>
  <c r="E568" i="4"/>
  <c r="E1990" i="4"/>
  <c r="E1193" i="4"/>
  <c r="E1253" i="4"/>
  <c r="E1542" i="4"/>
  <c r="E466" i="4"/>
  <c r="E897" i="4"/>
  <c r="E62" i="4"/>
  <c r="E368" i="4"/>
  <c r="E731" i="4"/>
  <c r="E1211" i="4"/>
  <c r="E461" i="4"/>
  <c r="E927" i="4"/>
  <c r="E491" i="4"/>
  <c r="E992" i="4"/>
  <c r="E918" i="4"/>
  <c r="E101" i="4"/>
  <c r="E1189" i="4"/>
  <c r="E361" i="4"/>
  <c r="E359" i="4"/>
  <c r="E634" i="4"/>
  <c r="E1412" i="4"/>
  <c r="E1454" i="4"/>
  <c r="E842" i="4"/>
  <c r="E575" i="4"/>
  <c r="E293" i="4"/>
  <c r="E512" i="4"/>
  <c r="E176" i="4"/>
  <c r="E862" i="4"/>
  <c r="E116" i="4"/>
  <c r="E752" i="4"/>
  <c r="E497" i="4"/>
  <c r="E968" i="4"/>
  <c r="E191" i="4"/>
  <c r="E296" i="4"/>
  <c r="E836" i="4"/>
  <c r="E1905" i="4"/>
  <c r="E740" i="4"/>
  <c r="E1143" i="4"/>
  <c r="E1761" i="4"/>
  <c r="E454" i="4"/>
  <c r="E905" i="4"/>
  <c r="E1696" i="4"/>
  <c r="E1712" i="4"/>
  <c r="E1918" i="4"/>
  <c r="E1711" i="4"/>
  <c r="E1380" i="4"/>
  <c r="E1667" i="4"/>
  <c r="E8" i="4"/>
  <c r="E979" i="4"/>
  <c r="E1871" i="4"/>
  <c r="E1360" i="4"/>
  <c r="E1891" i="4"/>
  <c r="E175" i="4"/>
  <c r="E1043" i="4"/>
  <c r="E1528" i="4"/>
  <c r="E973" i="4"/>
  <c r="E1297" i="4"/>
  <c r="E57" i="4"/>
  <c r="E684" i="4"/>
  <c r="E1736" i="4"/>
  <c r="E399" i="4"/>
  <c r="E476" i="4"/>
  <c r="E1849" i="4"/>
  <c r="E1758" i="4"/>
  <c r="E1048" i="4"/>
  <c r="E1343" i="4"/>
  <c r="E331" i="4"/>
  <c r="E1895" i="4"/>
  <c r="E1055" i="4"/>
  <c r="E600" i="4"/>
  <c r="E233" i="4"/>
  <c r="E386" i="4"/>
  <c r="E859" i="4"/>
  <c r="E149" i="4"/>
  <c r="E1913" i="4"/>
  <c r="E1270" i="4"/>
  <c r="E783" i="4"/>
  <c r="E1768" i="4"/>
  <c r="E414" i="4"/>
  <c r="E1781" i="4"/>
  <c r="E772" i="4"/>
  <c r="E1624" i="4"/>
  <c r="E1302" i="4"/>
  <c r="E1641" i="4"/>
  <c r="E1472" i="4"/>
  <c r="E1450" i="4"/>
  <c r="E1948" i="4"/>
  <c r="E655" i="4"/>
  <c r="E547" i="4"/>
  <c r="E1645" i="4"/>
  <c r="E742" i="4"/>
  <c r="E449" i="4"/>
  <c r="E807" i="4"/>
  <c r="E1029" i="4"/>
  <c r="E1779" i="4"/>
  <c r="E1136" i="4"/>
  <c r="E1303" i="4"/>
  <c r="E225" i="4"/>
  <c r="E67" i="4"/>
  <c r="E430" i="4"/>
  <c r="E1525" i="4"/>
  <c r="E523" i="4"/>
  <c r="E1874" i="4"/>
  <c r="E1313" i="4"/>
  <c r="E1075" i="4"/>
  <c r="E262" i="4"/>
  <c r="E835" i="4"/>
  <c r="E442" i="4"/>
  <c r="E1426" i="4"/>
  <c r="E1951" i="4"/>
  <c r="E793" i="4"/>
  <c r="E1602" i="4"/>
  <c r="E1458" i="4"/>
  <c r="E1540" i="4"/>
  <c r="E1185" i="4"/>
  <c r="E268" i="4"/>
  <c r="E336" i="4"/>
  <c r="E494" i="4"/>
  <c r="E1496" i="4"/>
  <c r="E258" i="4"/>
  <c r="E1481" i="4"/>
  <c r="E487" i="4"/>
  <c r="E1729" i="4"/>
  <c r="E826" i="4"/>
  <c r="E1600" i="4"/>
  <c r="E1409" i="4"/>
  <c r="E205" i="4"/>
  <c r="E469" i="4"/>
  <c r="E773" i="4"/>
  <c r="E209" i="4"/>
  <c r="E226" i="4"/>
  <c r="E1818" i="4"/>
  <c r="E799" i="4"/>
  <c r="E1050" i="4"/>
  <c r="E589" i="4"/>
  <c r="E510" i="4"/>
  <c r="E1074" i="4"/>
  <c r="E1944" i="4"/>
  <c r="E953" i="4"/>
  <c r="E669" i="4"/>
  <c r="E1299" i="4"/>
  <c r="E1106" i="4"/>
  <c r="E308" i="4"/>
  <c r="E1774" i="4"/>
  <c r="E767" i="4"/>
  <c r="E619" i="4"/>
  <c r="E1839" i="4"/>
  <c r="E1238" i="4"/>
  <c r="E718" i="4"/>
  <c r="E481" i="4"/>
  <c r="E1671" i="4"/>
  <c r="E1162" i="4"/>
  <c r="E328" i="4"/>
  <c r="E1440" i="4"/>
  <c r="E1986" i="4"/>
  <c r="E1438" i="4"/>
  <c r="E573" i="4"/>
  <c r="E638" i="4"/>
  <c r="E1853" i="4"/>
  <c r="E1108" i="4"/>
  <c r="E1741" i="4"/>
  <c r="E10" i="4"/>
  <c r="E401" i="4"/>
  <c r="E1306" i="4"/>
  <c r="E1759" i="4"/>
  <c r="E867" i="4"/>
  <c r="E668" i="4"/>
  <c r="E1154" i="4"/>
  <c r="E821" i="4"/>
  <c r="E604" i="4"/>
  <c r="E577" i="4"/>
  <c r="E1459" i="4"/>
  <c r="E1477" i="4"/>
  <c r="E59" i="4"/>
  <c r="E213" i="4"/>
  <c r="E761" i="4"/>
  <c r="E784" i="4"/>
  <c r="E428" i="4"/>
  <c r="E886" i="4"/>
  <c r="E474" i="4"/>
  <c r="E1532" i="4"/>
  <c r="E536" i="4"/>
  <c r="E83" i="4"/>
  <c r="E320" i="4"/>
  <c r="E533" i="4"/>
  <c r="E898" i="4"/>
  <c r="E1543" i="4"/>
  <c r="E1685" i="4"/>
  <c r="E324" i="4"/>
  <c r="E1122" i="4"/>
  <c r="E1868" i="4"/>
  <c r="E1453" i="4"/>
  <c r="E462" i="4"/>
  <c r="E1134" i="4"/>
  <c r="E1564" i="4"/>
  <c r="E272" i="4"/>
  <c r="E1862" i="4"/>
  <c r="E1102" i="4"/>
  <c r="E884" i="4"/>
  <c r="E355" i="4"/>
  <c r="E598" i="4"/>
  <c r="E861" i="4"/>
  <c r="E1151" i="4"/>
  <c r="E1579" i="4"/>
  <c r="E1765" i="4"/>
  <c r="E1145" i="4"/>
  <c r="E379" i="4"/>
  <c r="E919" i="4"/>
  <c r="E1483" i="4"/>
  <c r="E571" i="4"/>
  <c r="E1499" i="4"/>
  <c r="E1082" i="4"/>
  <c r="E283" i="4"/>
  <c r="E1703" i="4"/>
  <c r="E15" i="4"/>
  <c r="E1227" i="4"/>
  <c r="E1015" i="4"/>
  <c r="E1791" i="4"/>
  <c r="E1744" i="4"/>
  <c r="E818" i="4"/>
  <c r="E1850" i="4"/>
  <c r="E1361" i="4"/>
  <c r="E662" i="4"/>
  <c r="E1229" i="4"/>
  <c r="E1139" i="4"/>
  <c r="E1675" i="4"/>
  <c r="E48" i="4"/>
  <c r="E363" i="4"/>
  <c r="E433" i="4"/>
  <c r="E1964" i="4"/>
  <c r="E779" i="4"/>
  <c r="E50" i="4"/>
  <c r="E1629" i="4"/>
  <c r="E316" i="4"/>
  <c r="E672" i="4"/>
  <c r="E1673" i="4"/>
  <c r="E1416" i="4"/>
  <c r="E726" i="4"/>
  <c r="E1937" i="4"/>
  <c r="E810" i="4"/>
  <c r="E439" i="4"/>
  <c r="E1198" i="4"/>
  <c r="E446" i="4"/>
  <c r="E1444" i="4"/>
  <c r="E56" i="4"/>
  <c r="E110" i="4"/>
  <c r="E1346" i="4"/>
  <c r="E1261" i="4"/>
  <c r="E394" i="4"/>
  <c r="E876" i="4"/>
  <c r="E816" i="4"/>
  <c r="E291" i="4"/>
  <c r="E824" i="4"/>
  <c r="E1249" i="4"/>
  <c r="E930" i="4"/>
  <c r="E524" i="4"/>
  <c r="E136" i="4"/>
  <c r="E1812" i="4"/>
  <c r="E1651" i="4"/>
  <c r="E1192" i="4"/>
  <c r="E676" i="4"/>
  <c r="E1411" i="4"/>
  <c r="E1977" i="4"/>
  <c r="E28" i="4"/>
  <c r="E352" i="4"/>
  <c r="E614" i="4"/>
  <c r="E680" i="4"/>
  <c r="E156" i="4"/>
  <c r="E309" i="4"/>
  <c r="E1940" i="4"/>
  <c r="E107" i="4"/>
  <c r="E949" i="4"/>
  <c r="E1559" i="4"/>
  <c r="E1452" i="4"/>
  <c r="E1740" i="4"/>
  <c r="E806" i="4"/>
  <c r="E558" i="4"/>
  <c r="E409" i="4"/>
  <c r="E891" i="4"/>
  <c r="E788" i="4"/>
  <c r="E32" i="4"/>
  <c r="E1407" i="4"/>
  <c r="E207" i="4"/>
  <c r="E119" i="4"/>
  <c r="E1487" i="4"/>
  <c r="E1088" i="4"/>
  <c r="E712" i="4"/>
  <c r="E216" i="4"/>
  <c r="E1001" i="4"/>
  <c r="E1507" i="4"/>
  <c r="E1008" i="4"/>
  <c r="E332" i="4"/>
  <c r="E457" i="4"/>
  <c r="E1917" i="4"/>
  <c r="E785" i="4"/>
  <c r="E1188" i="4"/>
  <c r="E63" i="4"/>
  <c r="E607" i="4"/>
  <c r="E703" i="4"/>
  <c r="E1688" i="4"/>
  <c r="E1283" i="4"/>
  <c r="E1236" i="4"/>
  <c r="E1485" i="4"/>
  <c r="E1534" i="4"/>
  <c r="E777" i="4"/>
  <c r="E287" i="4"/>
  <c r="E956" i="4"/>
  <c r="E7" i="4"/>
  <c r="E1248" i="4"/>
  <c r="E1389" i="4"/>
  <c r="E1210" i="4"/>
  <c r="E1679" i="4"/>
  <c r="E660" i="4"/>
  <c r="E1141" i="4"/>
  <c r="E11" i="4"/>
  <c r="E1500" i="4"/>
  <c r="E609" i="4"/>
  <c r="E704" i="4"/>
  <c r="E128" i="4"/>
  <c r="E781" i="4"/>
  <c r="E417" i="4"/>
  <c r="E168" i="4"/>
  <c r="E132" i="4"/>
  <c r="E41" i="4"/>
  <c r="E750" i="4"/>
  <c r="E1728" i="4"/>
  <c r="E1949" i="4"/>
  <c r="E518" i="4"/>
  <c r="E81" i="4"/>
  <c r="E1245" i="4"/>
  <c r="E1385" i="4"/>
  <c r="E432" i="4"/>
  <c r="E1995" i="4"/>
  <c r="E1925" i="4"/>
  <c r="E178" i="4"/>
  <c r="E1719" i="4"/>
  <c r="E1323" i="4"/>
  <c r="E1583" i="4"/>
  <c r="E310" i="4"/>
  <c r="E1026" i="4"/>
  <c r="E576" i="4"/>
  <c r="E259" i="4"/>
  <c r="E1819" i="4"/>
  <c r="E584" i="4"/>
  <c r="E98" i="4"/>
  <c r="E495" i="4"/>
  <c r="E1785" i="4"/>
  <c r="E77" i="4"/>
  <c r="E1262" i="4"/>
  <c r="E725" i="4"/>
  <c r="E202" i="4"/>
  <c r="E1373" i="4"/>
  <c r="E923" i="4"/>
  <c r="E141" i="4"/>
  <c r="E349" i="4"/>
  <c r="E503" i="4"/>
  <c r="E1241" i="4"/>
  <c r="E881" i="4"/>
  <c r="E757" i="4"/>
  <c r="E1016" i="4"/>
  <c r="E117" i="4"/>
  <c r="E1787" i="4"/>
  <c r="E1315" i="4"/>
  <c r="E1352" i="4"/>
  <c r="E1767" i="4"/>
  <c r="E1347" i="4"/>
  <c r="E883" i="4"/>
  <c r="E12" i="4"/>
  <c r="E1028" i="4"/>
  <c r="E1109" i="4"/>
  <c r="E531" i="4"/>
  <c r="E1216" i="4"/>
  <c r="E1350" i="4"/>
  <c r="E972" i="4"/>
  <c r="E983" i="4"/>
  <c r="E1469" i="4"/>
  <c r="E1406" i="4"/>
  <c r="E1506" i="4"/>
  <c r="E832" i="4"/>
  <c r="E488" i="4"/>
  <c r="E1524" i="4"/>
  <c r="E460" i="4"/>
  <c r="E229" i="4"/>
  <c r="E1423" i="4"/>
  <c r="E184" i="4"/>
  <c r="E654" i="4"/>
  <c r="E762" i="4"/>
  <c r="E1548" i="4"/>
  <c r="E405" i="4"/>
  <c r="E1843" i="4"/>
  <c r="E6" i="4"/>
  <c r="E1027" i="4"/>
  <c r="E164" i="4"/>
  <c r="E453" i="4"/>
  <c r="E1533" i="4"/>
  <c r="E1521" i="4"/>
  <c r="E1176" i="4"/>
  <c r="E622" i="4"/>
  <c r="E633" i="4"/>
  <c r="E53" i="4"/>
  <c r="E1799" i="4"/>
  <c r="E285" i="4"/>
  <c r="E1777" i="4"/>
  <c r="E1814" i="4"/>
  <c r="E658" i="4"/>
  <c r="E412" i="4"/>
  <c r="E1490" i="4"/>
  <c r="E243" i="4"/>
  <c r="E592" i="4"/>
  <c r="E698" i="4"/>
  <c r="E1174" i="4"/>
  <c r="E605" i="4"/>
</calcChain>
</file>

<file path=xl/sharedStrings.xml><?xml version="1.0" encoding="utf-8"?>
<sst xmlns="http://schemas.openxmlformats.org/spreadsheetml/2006/main" count="12243" uniqueCount="4001">
  <si>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</si>
  <si>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</si>
  <si>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</si>
  <si>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</si>
  <si>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</si>
  <si>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</si>
  <si>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</si>
  <si>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</si>
  <si>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</si>
  <si>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</si>
  <si>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</si>
  <si>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</si>
  <si>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</si>
  <si>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</si>
  <si>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</si>
  <si>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</si>
  <si>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</si>
  <si>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</si>
  <si>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</si>
  <si>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</si>
  <si>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</si>
  <si>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</si>
  <si>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</si>
  <si>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</si>
  <si>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</si>
  <si>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</si>
  <si>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</si>
  <si>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</si>
  <si>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</si>
  <si>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</si>
  <si>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</si>
  <si>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</si>
  <si>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</si>
  <si>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</si>
  <si>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</si>
  <si>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</si>
  <si>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</si>
  <si>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</si>
  <si>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</si>
  <si>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</si>
  <si>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</si>
  <si>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</si>
  <si>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</si>
  <si>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</si>
  <si>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</si>
  <si>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</si>
  <si>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</si>
  <si>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</si>
  <si>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</si>
  <si>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</si>
  <si>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</si>
  <si>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</si>
  <si>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</si>
  <si>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</si>
  <si>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</si>
  <si>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</si>
  <si>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</si>
  <si>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</si>
  <si>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</si>
  <si>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</si>
  <si>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</si>
  <si>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</si>
  <si>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</si>
  <si>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</si>
  <si>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</si>
  <si>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</si>
  <si>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</si>
  <si>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</si>
  <si>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</si>
  <si>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</si>
  <si>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</si>
  <si>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</si>
  <si>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</si>
  <si>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</si>
  <si>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</si>
  <si>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</si>
  <si>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</si>
  <si>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</si>
  <si>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</si>
  <si>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</si>
  <si>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</si>
  <si>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</si>
  <si>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</si>
  <si>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</si>
  <si>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</si>
  <si>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</si>
  <si>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</si>
  <si>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</si>
  <si>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</si>
  <si>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</si>
  <si>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</si>
  <si>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</si>
  <si>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</si>
  <si>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</si>
  <si>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</si>
  <si>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</si>
  <si>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</si>
  <si>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</si>
  <si>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</si>
  <si>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</si>
  <si>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</si>
  <si>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</si>
  <si>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</si>
  <si>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</si>
  <si>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</si>
  <si>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</si>
  <si>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</si>
  <si>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</si>
  <si>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</si>
  <si>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</si>
  <si>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</si>
  <si>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</si>
  <si>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</si>
  <si>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</si>
  <si>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</si>
  <si>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</si>
  <si>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</si>
  <si>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</si>
  <si>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</si>
  <si>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</si>
  <si>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</si>
  <si>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</si>
  <si>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</si>
  <si>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</si>
  <si>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</si>
  <si>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</si>
  <si>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</si>
  <si>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</si>
  <si>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</si>
  <si>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</si>
  <si>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</si>
  <si>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</si>
  <si>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</si>
  <si>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</si>
  <si>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</si>
  <si>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</si>
  <si>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</si>
  <si>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</si>
  <si>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</si>
  <si>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</si>
  <si>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</si>
  <si>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</si>
  <si>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</si>
  <si>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</si>
  <si>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</si>
  <si>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</si>
  <si>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</si>
  <si>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</si>
  <si>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</si>
  <si>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</si>
  <si>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</si>
  <si>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</si>
  <si>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</si>
  <si>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</si>
  <si>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</si>
  <si>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</si>
  <si>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</si>
  <si>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</si>
  <si>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</si>
  <si>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</si>
  <si>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</si>
  <si>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</si>
  <si>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</si>
  <si>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</si>
  <si>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</si>
  <si>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</si>
  <si>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</si>
  <si>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</si>
  <si>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</si>
  <si>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</si>
  <si>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</si>
  <si>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</si>
  <si>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</si>
  <si>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</si>
  <si>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</si>
  <si>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</si>
  <si>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</si>
  <si>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</si>
  <si>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</si>
  <si>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</si>
  <si>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</si>
  <si>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</si>
  <si>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</si>
  <si>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</si>
  <si>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</si>
  <si>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</si>
  <si>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</si>
  <si>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</si>
  <si>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</si>
  <si>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</si>
  <si>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</si>
  <si>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</si>
  <si>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</si>
  <si>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</si>
  <si>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</si>
  <si>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</si>
  <si>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</si>
  <si>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</si>
  <si>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</si>
  <si>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</si>
  <si>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</si>
  <si>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</si>
  <si>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</si>
  <si>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</si>
  <si>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</si>
  <si>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</si>
  <si>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</si>
  <si>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</si>
  <si>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</si>
  <si>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</si>
  <si>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</si>
  <si>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</si>
  <si>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</si>
  <si>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</si>
  <si>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</si>
  <si>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</si>
  <si>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</si>
  <si>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</si>
  <si>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</si>
  <si>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</si>
  <si>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</si>
  <si>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</si>
  <si>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</si>
  <si>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</si>
  <si>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</si>
  <si>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</si>
  <si>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</si>
  <si>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</si>
  <si>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</si>
  <si>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</si>
  <si>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</si>
  <si>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</si>
  <si>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</si>
  <si>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</si>
  <si>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</si>
  <si>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</si>
  <si>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</si>
  <si>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</si>
  <si>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</si>
  <si>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</si>
  <si>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</si>
  <si>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</si>
  <si>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</si>
  <si>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</si>
  <si>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</si>
  <si>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</si>
  <si>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</si>
  <si>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</si>
  <si>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</si>
  <si>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</si>
  <si>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</si>
  <si>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</si>
  <si>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</si>
  <si>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</si>
  <si>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</si>
  <si>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</si>
  <si>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</si>
  <si>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</si>
  <si>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</si>
  <si>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</si>
  <si>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</si>
  <si>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</si>
  <si>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</si>
  <si>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</si>
  <si>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</si>
  <si>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</si>
  <si>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</si>
  <si>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</si>
  <si>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</si>
  <si>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</si>
  <si>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</si>
  <si>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</si>
  <si>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</si>
  <si>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</si>
  <si>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</si>
  <si>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</si>
  <si>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</si>
  <si>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</si>
  <si>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</si>
  <si>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</si>
  <si>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</si>
  <si>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</si>
  <si>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</si>
  <si>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</si>
  <si>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</si>
  <si>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</si>
  <si>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</si>
  <si>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</si>
  <si>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</si>
  <si>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</si>
  <si>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</si>
  <si>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</si>
  <si>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</si>
  <si>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</si>
  <si>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</si>
  <si>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</si>
  <si>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</si>
  <si>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</si>
  <si>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</si>
  <si>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</si>
  <si>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</si>
  <si>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</si>
  <si>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</si>
  <si>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</si>
  <si>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</si>
  <si>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</si>
  <si>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</si>
  <si>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</si>
  <si>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</si>
  <si>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</si>
  <si>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</si>
  <si>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</si>
  <si>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</si>
  <si>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</si>
  <si>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</si>
  <si>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</si>
  <si>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</si>
  <si>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</si>
  <si>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</si>
  <si>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</si>
  <si>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</si>
  <si>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</si>
  <si>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</si>
  <si>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</si>
  <si>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</si>
  <si>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</si>
  <si>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</si>
  <si>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</si>
  <si>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</si>
  <si>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</si>
  <si>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</si>
  <si>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</si>
  <si>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</si>
  <si>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</si>
  <si>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</si>
  <si>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</si>
  <si>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</si>
  <si>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</si>
  <si>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</si>
  <si>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</si>
  <si>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</si>
  <si>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</si>
  <si>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</si>
  <si>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</si>
  <si>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</si>
  <si>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</si>
  <si>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</si>
  <si>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</si>
  <si>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</si>
  <si>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</si>
  <si>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</si>
  <si>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</si>
  <si>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</si>
  <si>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</si>
  <si>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</si>
  <si>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</si>
  <si>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</si>
  <si>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</si>
  <si>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</si>
  <si>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</si>
  <si>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</si>
  <si>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</si>
  <si>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</si>
  <si>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</si>
  <si>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</si>
  <si>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</si>
  <si>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</si>
  <si>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</si>
  <si>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</si>
  <si>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</si>
  <si>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</si>
  <si>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</si>
  <si>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</si>
  <si>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</si>
  <si>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</si>
  <si>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</si>
  <si>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</si>
  <si>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</si>
  <si>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</si>
  <si>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</si>
  <si>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</si>
  <si>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</si>
  <si>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</si>
  <si>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</si>
  <si>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</si>
  <si>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</si>
  <si>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</si>
  <si>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</si>
  <si>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</si>
  <si>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</si>
  <si>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</si>
  <si>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</si>
  <si>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</si>
  <si>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</si>
  <si>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</si>
  <si>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</si>
  <si>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</si>
  <si>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</si>
  <si>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</si>
  <si>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</si>
  <si>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</si>
  <si>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</si>
  <si>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</si>
  <si>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</si>
  <si>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</si>
  <si>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</si>
  <si>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</si>
  <si>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</si>
  <si>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</si>
  <si>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</si>
  <si>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</si>
  <si>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</si>
  <si>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</si>
  <si>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</si>
  <si>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</si>
  <si>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</si>
  <si>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</si>
  <si>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</si>
  <si>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</si>
  <si>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</si>
  <si>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</si>
  <si>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</si>
  <si>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</si>
  <si>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</si>
  <si>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</si>
  <si>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</si>
  <si>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</si>
  <si>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</si>
  <si>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</si>
  <si>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</si>
  <si>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</si>
  <si>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</si>
  <si>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</si>
  <si>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</si>
  <si>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</si>
  <si>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</si>
  <si>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</si>
  <si>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</si>
  <si>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</si>
  <si>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</si>
  <si>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</si>
  <si>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</si>
  <si>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</si>
  <si>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</si>
  <si>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</si>
  <si>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</si>
  <si>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</si>
  <si>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</si>
  <si>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</si>
  <si>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</si>
  <si>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</si>
  <si>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</si>
  <si>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</si>
  <si>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</si>
  <si>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</si>
  <si>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</si>
  <si>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</si>
  <si>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</si>
  <si>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</si>
  <si>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</si>
  <si>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</si>
  <si>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</si>
  <si>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</si>
  <si>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</si>
  <si>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</si>
  <si>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</si>
  <si>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</si>
  <si>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</si>
  <si>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</si>
  <si>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</si>
  <si>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</si>
  <si>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</si>
  <si>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</si>
  <si>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</si>
  <si>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</si>
  <si>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</si>
  <si>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</si>
  <si>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</si>
  <si>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</si>
  <si>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</si>
  <si>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</si>
  <si>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</si>
  <si>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</si>
  <si>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</si>
  <si>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</si>
  <si>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</si>
  <si>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</si>
  <si>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</si>
  <si>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</si>
  <si>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</si>
  <si>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</si>
  <si>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</si>
  <si>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</si>
  <si>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</si>
  <si>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</si>
  <si>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</si>
  <si>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</si>
  <si>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</si>
  <si>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</si>
  <si>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</si>
  <si>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</si>
  <si>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</si>
  <si>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</si>
  <si>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</si>
  <si>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</si>
  <si>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</si>
  <si>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</si>
  <si>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</si>
  <si>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</si>
  <si>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</si>
  <si>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</si>
  <si>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</si>
  <si>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</si>
  <si>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</si>
  <si>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</si>
  <si>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</si>
  <si>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</si>
  <si>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</si>
  <si>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</si>
  <si>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</si>
  <si>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</si>
  <si>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</si>
  <si>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</si>
  <si>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</si>
  <si>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</si>
  <si>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</si>
  <si>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</si>
  <si>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</si>
  <si>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</si>
  <si>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</si>
  <si>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</si>
  <si>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</si>
  <si>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</si>
  <si>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</si>
  <si>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</si>
  <si>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</si>
  <si>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</si>
  <si>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</si>
  <si>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</si>
  <si>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</si>
  <si>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</si>
  <si>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</si>
  <si>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</si>
  <si>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</si>
  <si>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</si>
  <si>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</si>
  <si>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</si>
  <si>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</si>
  <si>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</si>
  <si>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</si>
  <si>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</si>
  <si>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</si>
  <si>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</si>
  <si>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</si>
  <si>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</si>
  <si>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</si>
  <si>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</si>
  <si>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</si>
  <si>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</si>
  <si>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</si>
  <si>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</si>
  <si>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</si>
  <si>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</si>
  <si>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</si>
  <si>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</si>
  <si>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</si>
  <si>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</si>
  <si>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</si>
  <si>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</si>
  <si>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</si>
  <si>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</si>
  <si>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</si>
  <si>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</si>
  <si>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</si>
  <si>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</si>
  <si>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</si>
  <si>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</si>
  <si>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</si>
  <si>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</si>
  <si>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</si>
  <si>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</si>
  <si>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</si>
  <si>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</si>
  <si>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</si>
  <si>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</si>
  <si>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</si>
  <si>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</si>
  <si>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</si>
  <si>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</si>
  <si>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</si>
  <si>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</si>
  <si>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</si>
  <si>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</si>
  <si>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</si>
  <si>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</si>
  <si>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</si>
  <si>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</si>
  <si>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</si>
  <si>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</si>
  <si>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</si>
  <si>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</si>
  <si>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</si>
  <si>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</si>
  <si>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</si>
  <si>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</si>
  <si>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</si>
  <si>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</si>
  <si>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</si>
  <si>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</si>
  <si>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</si>
  <si>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</si>
  <si>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</si>
  <si>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</si>
  <si>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</si>
  <si>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</si>
  <si>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</si>
  <si>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</si>
  <si>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</si>
  <si>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</si>
  <si>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</si>
  <si>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</si>
  <si>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</si>
  <si>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</si>
  <si>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</si>
  <si>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</si>
  <si>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</si>
  <si>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</si>
  <si>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</si>
  <si>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</si>
  <si>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</si>
  <si>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</si>
  <si>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</si>
  <si>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</si>
  <si>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</si>
  <si>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</si>
  <si>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</si>
  <si>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</si>
  <si>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</si>
  <si>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</si>
  <si>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</si>
  <si>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</si>
  <si>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</si>
  <si>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</si>
  <si>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</si>
  <si>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</si>
  <si>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</si>
  <si>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</si>
  <si>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</si>
  <si>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</si>
  <si>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</si>
  <si>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</si>
  <si>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</si>
  <si>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</si>
  <si>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</si>
  <si>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</si>
  <si>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</si>
  <si>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</si>
  <si>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</si>
  <si>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</si>
  <si>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</si>
  <si>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</si>
  <si>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</si>
  <si>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</si>
  <si>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</si>
  <si>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</si>
  <si>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</si>
  <si>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</si>
  <si>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</si>
  <si>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</si>
  <si>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</si>
  <si>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</si>
  <si>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</si>
  <si>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</si>
  <si>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</si>
  <si>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</si>
  <si>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</si>
  <si>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</si>
  <si>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</si>
  <si>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</si>
  <si>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</si>
  <si>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</si>
  <si>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</si>
  <si>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</si>
  <si>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</si>
  <si>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</si>
  <si>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</si>
  <si>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</si>
  <si>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</si>
  <si>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</si>
  <si>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</si>
  <si>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</si>
  <si>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</si>
  <si>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</si>
  <si>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</si>
  <si>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</si>
  <si>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</si>
  <si>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</si>
  <si>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</si>
  <si>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</si>
  <si>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</si>
  <si>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</si>
  <si>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</si>
  <si>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</si>
  <si>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</si>
  <si>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</si>
  <si>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</si>
  <si>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</si>
  <si>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</si>
  <si>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</si>
  <si>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</si>
  <si>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</si>
  <si>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</si>
  <si>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</si>
  <si>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</si>
  <si>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</si>
  <si>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</si>
  <si>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</si>
  <si>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</si>
  <si>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</si>
  <si>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</si>
  <si>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</si>
  <si>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</si>
  <si>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</si>
  <si>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</si>
  <si>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</si>
  <si>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</si>
  <si>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</si>
  <si>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</si>
  <si>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</si>
  <si>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</si>
  <si>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</si>
  <si>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</si>
  <si>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</si>
  <si>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</si>
  <si>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</si>
  <si>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</si>
  <si>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</si>
  <si>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</si>
  <si>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</si>
  <si>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</si>
  <si>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</si>
  <si>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</si>
  <si>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</si>
  <si>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</si>
  <si>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</si>
  <si>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</si>
  <si>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</si>
  <si>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</si>
  <si>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</si>
  <si>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</si>
  <si>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</si>
  <si>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</si>
  <si>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</si>
  <si>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</si>
  <si>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</si>
  <si>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</si>
  <si>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</si>
  <si>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</si>
  <si>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</si>
  <si>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</si>
  <si>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</si>
  <si>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</si>
  <si>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</si>
  <si>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</si>
  <si>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</si>
  <si>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</si>
  <si>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</si>
  <si>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</si>
  <si>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</si>
  <si>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</si>
  <si>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</si>
  <si>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</si>
  <si>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</si>
  <si>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</si>
  <si>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</si>
  <si>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</si>
  <si>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</si>
  <si>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</si>
  <si>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</si>
  <si>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</si>
  <si>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</si>
  <si>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</si>
  <si>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</si>
  <si>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</si>
  <si>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</si>
  <si>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</si>
  <si>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</si>
  <si>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</si>
  <si>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</si>
  <si>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</si>
  <si>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</si>
  <si>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</si>
  <si>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</si>
  <si>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</si>
  <si>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</si>
  <si>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</si>
  <si>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</si>
  <si>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</si>
  <si>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</si>
  <si>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</si>
  <si>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</si>
  <si>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</si>
  <si>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</si>
  <si>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</si>
  <si>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</si>
  <si>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</si>
  <si>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</si>
  <si>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</si>
  <si>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</si>
  <si>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</si>
  <si>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</si>
  <si>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</si>
  <si>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</si>
  <si>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</si>
  <si>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</si>
  <si>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</si>
  <si>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</si>
  <si>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</si>
  <si>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</si>
  <si>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</si>
  <si>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</si>
  <si>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</si>
  <si>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</si>
  <si>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</si>
  <si>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</si>
  <si>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</si>
  <si>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</si>
  <si>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</si>
  <si>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</si>
  <si>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</si>
  <si>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</si>
  <si>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</si>
  <si>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</si>
  <si>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</si>
  <si>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</si>
  <si>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</si>
  <si>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</si>
  <si>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</si>
  <si>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</si>
  <si>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</si>
  <si>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</si>
  <si>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</si>
  <si>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</si>
  <si>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</si>
  <si>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</si>
  <si>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</si>
  <si>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</si>
  <si>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</si>
  <si>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</si>
  <si>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</si>
  <si>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</si>
  <si>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</si>
  <si>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</si>
  <si>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</si>
  <si>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</si>
  <si>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</si>
  <si>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</si>
  <si>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</si>
  <si>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</si>
  <si>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</si>
  <si>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</si>
  <si>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</si>
  <si>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</si>
  <si>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</si>
  <si>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</si>
  <si>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</si>
  <si>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</si>
  <si>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</si>
  <si>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</si>
  <si>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</si>
  <si>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</si>
  <si>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</si>
  <si>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</si>
  <si>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</si>
  <si>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</si>
  <si>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</si>
  <si>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</si>
  <si>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</si>
  <si>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</si>
  <si>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</si>
  <si>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</si>
  <si>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</si>
  <si>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</si>
  <si>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</si>
  <si>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</si>
  <si>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</si>
  <si>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</si>
  <si>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</si>
  <si>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</si>
  <si>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</si>
  <si>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</si>
  <si>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</si>
  <si>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</si>
  <si>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</si>
  <si>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</si>
  <si>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</si>
  <si>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</si>
  <si>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</si>
  <si>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</si>
  <si>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</si>
  <si>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</si>
  <si>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</si>
  <si>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</si>
  <si>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</si>
  <si>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</si>
  <si>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</si>
  <si>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</si>
  <si>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</si>
  <si>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</si>
  <si>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</si>
  <si>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</si>
  <si>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</si>
  <si>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</si>
  <si>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</si>
  <si>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</si>
  <si>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</si>
  <si>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</si>
  <si>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</si>
  <si>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</si>
  <si>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</si>
  <si>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</si>
  <si>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</si>
  <si>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</si>
  <si>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</si>
  <si>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</si>
  <si>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</si>
  <si>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</si>
  <si>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</si>
  <si>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</si>
  <si>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</si>
  <si>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</si>
  <si>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</si>
  <si>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</si>
  <si>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</si>
  <si>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</si>
  <si>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</si>
  <si>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</si>
  <si>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</si>
  <si>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</si>
  <si>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</si>
  <si>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</si>
  <si>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</si>
  <si>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</si>
  <si>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</si>
  <si>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</si>
  <si>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</si>
  <si>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</si>
  <si>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</si>
  <si>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</si>
  <si>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</si>
  <si>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</si>
  <si>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</si>
  <si>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</si>
  <si>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</si>
  <si>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</si>
  <si>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</si>
  <si>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</si>
  <si>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</si>
  <si>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</si>
  <si>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</si>
  <si>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</si>
  <si>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</si>
  <si>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</si>
  <si>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</si>
  <si>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</si>
  <si>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</si>
  <si>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</si>
  <si>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</si>
  <si>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</si>
  <si>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</si>
  <si>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</si>
  <si>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</si>
  <si>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</si>
  <si>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</si>
  <si>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</si>
  <si>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</si>
  <si>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</si>
  <si>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</si>
  <si>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</si>
  <si>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</si>
  <si>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</si>
  <si>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</si>
  <si>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</si>
  <si>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</si>
  <si>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</si>
  <si>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</si>
  <si>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</si>
  <si>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</si>
  <si>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</si>
  <si>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</si>
  <si>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</si>
  <si>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</si>
  <si>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</si>
  <si>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</si>
  <si>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</si>
  <si>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</si>
  <si>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</si>
  <si>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</si>
  <si>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</si>
  <si>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</si>
  <si>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</si>
  <si>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</si>
  <si>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</si>
  <si>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</si>
  <si>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</si>
  <si>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</si>
  <si>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</si>
  <si>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</si>
  <si>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</si>
  <si>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</si>
  <si>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</si>
  <si>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</si>
  <si>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</si>
  <si>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</si>
  <si>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</si>
  <si>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</si>
  <si>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</si>
  <si>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</si>
  <si>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</si>
  <si>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</si>
  <si>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</si>
  <si>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</si>
  <si>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</si>
  <si>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</si>
  <si>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</si>
  <si>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</si>
  <si>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</si>
  <si>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</si>
  <si>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</si>
  <si>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</si>
  <si>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</si>
  <si>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</si>
  <si>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</si>
  <si>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</si>
  <si>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</si>
  <si>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</si>
  <si>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</si>
  <si>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</si>
  <si>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</si>
  <si>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</si>
  <si>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</si>
  <si>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</si>
  <si>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</si>
  <si>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</si>
  <si>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</si>
  <si>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</si>
  <si>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</si>
  <si>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</si>
  <si>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</si>
  <si>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</si>
  <si>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</si>
  <si>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</si>
  <si>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</si>
  <si>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</si>
  <si>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</si>
  <si>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</si>
  <si>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</si>
  <si>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</si>
  <si>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</si>
  <si>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</si>
  <si>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</si>
  <si>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</si>
  <si>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</si>
  <si>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</si>
  <si>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</si>
  <si>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</si>
  <si>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</si>
  <si>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</si>
  <si>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</si>
  <si>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</si>
  <si>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</si>
  <si>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</si>
  <si>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</si>
  <si>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</si>
  <si>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</si>
  <si>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</si>
  <si>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</si>
  <si>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</si>
  <si>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</si>
  <si>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</si>
  <si>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</si>
  <si>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</si>
  <si>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</si>
  <si>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</si>
  <si>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</si>
  <si>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</si>
  <si>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</si>
  <si>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</si>
  <si>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</si>
  <si>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</si>
  <si>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</si>
  <si>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</si>
  <si>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</si>
  <si>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</si>
  <si>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</si>
  <si>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</si>
  <si>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</si>
  <si>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</si>
  <si>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</si>
  <si>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</si>
  <si>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</si>
  <si>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</si>
  <si>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</si>
  <si>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</si>
  <si>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</si>
  <si>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</si>
  <si>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</si>
  <si>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</si>
  <si>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</si>
  <si>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</si>
  <si>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</si>
  <si>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</si>
  <si>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</si>
  <si>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</si>
  <si>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</si>
  <si>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</si>
  <si>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</si>
  <si>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</si>
  <si>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</si>
  <si>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</si>
  <si>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</si>
  <si>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</si>
  <si>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</si>
  <si>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</si>
  <si>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</si>
  <si>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</si>
  <si>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</si>
  <si>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</si>
  <si>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</si>
  <si>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</si>
  <si>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</si>
  <si>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</si>
  <si>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</si>
  <si>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</si>
  <si>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</si>
  <si>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</si>
  <si>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</si>
  <si>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</si>
  <si>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</si>
  <si>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</si>
  <si>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</si>
  <si>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</si>
  <si>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</si>
  <si>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</si>
  <si>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</si>
  <si>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</si>
  <si>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</si>
  <si>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</si>
  <si>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</si>
  <si>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</si>
  <si>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</si>
  <si>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</si>
  <si>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</si>
  <si>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</si>
  <si>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</si>
  <si>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</si>
  <si>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</si>
  <si>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</si>
  <si>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</si>
  <si>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</si>
  <si>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</si>
  <si>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</si>
  <si>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</si>
  <si>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</si>
  <si>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</si>
  <si>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</si>
  <si>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</si>
  <si>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</si>
  <si>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</si>
  <si>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</si>
  <si>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</si>
  <si>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</si>
  <si>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</si>
  <si>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</si>
  <si>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</si>
  <si>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</si>
  <si>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</si>
  <si>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</si>
  <si>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</si>
  <si>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</si>
  <si>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</si>
  <si>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</si>
  <si>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</si>
  <si>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</si>
  <si>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</si>
  <si>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</si>
  <si>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</si>
  <si>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</si>
  <si>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</si>
  <si>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</si>
  <si>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</si>
  <si>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</si>
  <si>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</si>
  <si>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</si>
  <si>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</si>
  <si>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</si>
  <si>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</si>
  <si>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</si>
  <si>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</si>
  <si>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</si>
  <si>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</si>
  <si>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</si>
  <si>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</si>
  <si>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</si>
  <si>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</si>
  <si>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</si>
  <si>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</si>
  <si>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</si>
  <si>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</si>
  <si>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</si>
  <si>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</si>
  <si>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</si>
  <si>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</si>
  <si>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</si>
  <si>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</si>
  <si>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</si>
  <si>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</si>
  <si>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</si>
  <si>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</si>
  <si>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</si>
  <si>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</si>
  <si>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</si>
  <si>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</si>
  <si>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</si>
  <si>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</si>
  <si>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</si>
  <si>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</si>
  <si>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</si>
  <si>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</si>
  <si>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</si>
  <si>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</si>
  <si>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</si>
  <si>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</si>
  <si>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</si>
  <si>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</si>
  <si>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</si>
  <si>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</si>
  <si>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</si>
  <si>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</si>
  <si>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</si>
  <si>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</si>
  <si>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</si>
  <si>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</si>
  <si>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</si>
  <si>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</si>
  <si>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</si>
  <si>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</si>
  <si>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</si>
  <si>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</si>
  <si>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</si>
  <si>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</si>
  <si>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</si>
  <si>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</si>
  <si>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</si>
  <si>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</si>
  <si>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</si>
  <si>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</si>
  <si>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</si>
  <si>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</si>
  <si>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</si>
  <si>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</si>
  <si>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</si>
  <si>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</si>
  <si>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</si>
  <si>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</si>
  <si>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</si>
  <si>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</si>
  <si>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</si>
  <si>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</si>
  <si>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</si>
  <si>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</si>
  <si>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</si>
  <si>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</si>
  <si>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</si>
  <si>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</si>
  <si>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</si>
  <si>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</si>
  <si>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</si>
  <si>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</si>
  <si>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</si>
  <si>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</si>
  <si>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</si>
  <si>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</si>
  <si>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</si>
  <si>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</si>
  <si>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</si>
  <si>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</si>
  <si>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</si>
  <si>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</si>
  <si>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</si>
  <si>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</si>
  <si>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</si>
  <si>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</si>
  <si>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</si>
  <si>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</si>
  <si>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</si>
  <si>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</si>
  <si>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</si>
  <si>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</si>
  <si>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</si>
  <si>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</si>
  <si>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</si>
  <si>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</si>
  <si>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</si>
  <si>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</si>
  <si>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</si>
  <si>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</si>
  <si>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</si>
  <si>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</si>
  <si>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</si>
  <si>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</si>
  <si>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</si>
  <si>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</si>
  <si>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</si>
  <si>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</si>
  <si>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</si>
  <si>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</si>
  <si>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</si>
  <si>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</si>
  <si>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</si>
  <si>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</si>
  <si>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</si>
  <si>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</si>
  <si>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</si>
  <si>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</si>
  <si>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</si>
  <si>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</si>
  <si>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</si>
  <si>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</si>
  <si>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</si>
  <si>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</si>
  <si>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</si>
  <si>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</si>
  <si>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</si>
  <si>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</si>
  <si>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</si>
  <si>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</si>
  <si>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</si>
  <si>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</si>
  <si>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</si>
  <si>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</si>
  <si>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</si>
  <si>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</si>
  <si>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</si>
  <si>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</si>
  <si>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</si>
  <si>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</si>
  <si>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</si>
  <si>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</si>
  <si>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</si>
  <si>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</si>
  <si>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</si>
  <si>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</si>
  <si>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</si>
  <si>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</si>
  <si>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</si>
  <si>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</si>
  <si>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</si>
  <si>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</si>
  <si>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</si>
  <si>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</si>
  <si>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</si>
  <si>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</si>
  <si>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</si>
  <si>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</si>
  <si>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</si>
  <si>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</si>
  <si>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</si>
  <si>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</si>
  <si>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</si>
  <si>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</si>
  <si>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</si>
  <si>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</si>
  <si>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</si>
  <si>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</si>
  <si>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</si>
  <si>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</si>
  <si>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</si>
  <si>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</si>
  <si>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</si>
  <si>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</si>
  <si>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</si>
  <si>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</si>
  <si>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</si>
  <si>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</si>
  <si>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</si>
  <si>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</si>
  <si>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</si>
  <si>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</si>
  <si>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</si>
  <si>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</si>
  <si>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</si>
  <si>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</si>
  <si>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</si>
  <si>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</si>
  <si>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</si>
  <si>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</si>
  <si>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</si>
  <si>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</si>
  <si>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</si>
  <si>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</si>
  <si>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</si>
  <si>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</si>
  <si>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</si>
  <si>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</si>
  <si>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</si>
  <si>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</si>
  <si>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</si>
  <si>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</si>
  <si>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</si>
  <si>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</si>
  <si>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</si>
  <si>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</si>
  <si>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</si>
  <si>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</si>
  <si>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</si>
  <si>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</si>
  <si>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</si>
  <si>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</si>
  <si>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</si>
  <si>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</si>
  <si>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</si>
  <si>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</si>
  <si>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</si>
  <si>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</si>
  <si>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</si>
  <si>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</si>
  <si>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</si>
  <si>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</si>
  <si>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</si>
  <si>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</si>
  <si>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</si>
  <si>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</si>
  <si>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</si>
  <si>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</si>
  <si>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</si>
  <si>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</si>
  <si>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</si>
  <si>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</si>
  <si>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</si>
  <si>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</si>
  <si>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</si>
  <si>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</si>
  <si>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</si>
  <si>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</si>
  <si>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</si>
  <si>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</si>
  <si>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</si>
  <si>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</si>
  <si>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</si>
  <si>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</si>
  <si>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</si>
  <si>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</si>
  <si>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</si>
  <si>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</si>
  <si>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</si>
  <si>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</si>
  <si>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</si>
  <si>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</si>
  <si>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</si>
  <si>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</si>
  <si>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</si>
  <si>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</si>
  <si>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</si>
  <si>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</si>
  <si>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</si>
  <si>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</si>
  <si>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</si>
  <si>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</si>
  <si>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</si>
  <si>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</si>
  <si>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</si>
  <si>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</si>
  <si>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</si>
  <si>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</si>
  <si>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</si>
  <si>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</si>
  <si>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</si>
  <si>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</si>
  <si>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</si>
  <si>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</si>
  <si>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</si>
  <si>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</si>
  <si>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</si>
  <si>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</si>
  <si>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</si>
  <si>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</si>
  <si>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</si>
  <si>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</si>
  <si>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</si>
  <si>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</si>
  <si>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</si>
  <si>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</si>
  <si>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</si>
  <si>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</si>
  <si>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</si>
  <si>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</si>
  <si>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</si>
  <si>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</si>
  <si>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</si>
  <si>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</si>
  <si>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</si>
  <si>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</si>
  <si>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</si>
  <si>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</si>
  <si>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</si>
  <si>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</si>
  <si>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</si>
  <si>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</si>
  <si>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</si>
  <si>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</si>
  <si>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</si>
  <si>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</si>
  <si>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</si>
  <si>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</si>
  <si>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</si>
  <si>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</si>
  <si>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</si>
  <si>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</si>
  <si>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</si>
  <si>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</si>
  <si>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</si>
  <si>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</si>
  <si>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</si>
  <si>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</si>
  <si>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</si>
  <si>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</si>
  <si>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</si>
  <si>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</si>
  <si>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</si>
  <si>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</si>
  <si>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</si>
  <si>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</si>
  <si>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</si>
  <si>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</si>
  <si>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</si>
  <si>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</si>
  <si>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</si>
  <si>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</si>
  <si>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</si>
  <si>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</si>
  <si>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</si>
  <si>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</si>
  <si>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</si>
  <si>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</si>
  <si>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</si>
  <si>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</si>
  <si>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</si>
  <si>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</si>
  <si>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</si>
  <si>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</si>
  <si>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</si>
  <si>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</si>
  <si>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</si>
  <si>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</si>
  <si>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</si>
  <si>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</si>
  <si>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</si>
  <si>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</si>
  <si>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</si>
  <si>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</si>
  <si>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</si>
  <si>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</si>
  <si>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</si>
  <si>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</si>
  <si>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</si>
  <si>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</si>
  <si>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</si>
  <si>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</si>
  <si>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</si>
  <si>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</si>
  <si>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</si>
  <si>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</si>
  <si>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</si>
  <si>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</si>
  <si>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</si>
  <si>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</si>
  <si>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</si>
  <si>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</si>
  <si>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</si>
  <si>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</si>
  <si>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</si>
  <si>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</si>
  <si>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</si>
  <si>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</si>
  <si>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</si>
  <si>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</si>
  <si>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</si>
  <si>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</si>
  <si>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</si>
  <si>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</si>
  <si>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</si>
  <si>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</si>
  <si>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</si>
  <si>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</si>
  <si>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</si>
  <si>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</si>
  <si>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</si>
  <si>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</si>
  <si>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</si>
  <si>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</si>
  <si>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</si>
  <si>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</si>
  <si>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</si>
  <si>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</si>
  <si>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</si>
  <si>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</si>
  <si>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</si>
  <si>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</si>
  <si>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</si>
  <si>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</si>
  <si>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</si>
  <si>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</si>
  <si>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</si>
  <si>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</si>
  <si>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</si>
  <si>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</si>
  <si>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</si>
  <si>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</si>
  <si>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</si>
  <si>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</si>
  <si>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</si>
  <si>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</si>
  <si>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</si>
  <si>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</si>
  <si>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</si>
  <si>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</si>
  <si>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</si>
  <si>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</si>
  <si>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</si>
  <si>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</si>
  <si>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</si>
  <si>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</si>
  <si>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</si>
  <si>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</si>
  <si>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</si>
  <si>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</si>
  <si>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</si>
  <si>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</si>
  <si>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</si>
  <si>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</si>
  <si>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</si>
  <si>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</si>
  <si>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</si>
  <si>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</si>
  <si>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</si>
  <si>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</si>
  <si>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</si>
  <si>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</si>
  <si>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</si>
  <si>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</si>
  <si>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</si>
  <si>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</si>
  <si>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</si>
  <si>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</si>
  <si>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</si>
  <si>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</si>
  <si>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</si>
  <si>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</si>
  <si>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</si>
  <si>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</si>
  <si>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</si>
  <si>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</si>
  <si>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</si>
  <si>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</si>
  <si>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</si>
  <si>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</si>
  <si>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</si>
  <si>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</si>
  <si>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</si>
  <si>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</si>
  <si>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</si>
  <si>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</si>
  <si>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</si>
  <si>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</si>
  <si>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</si>
  <si>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</si>
  <si>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</si>
  <si>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</si>
  <si>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</si>
  <si>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</si>
  <si>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</si>
  <si>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</si>
  <si>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</si>
  <si>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</si>
  <si>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</si>
  <si>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</si>
  <si>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</si>
  <si>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</si>
  <si>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</si>
  <si>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</si>
  <si>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</si>
  <si>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</si>
  <si>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</si>
  <si>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</si>
  <si>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</si>
  <si>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</si>
  <si>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</si>
  <si>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</si>
  <si>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</si>
  <si>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</si>
  <si>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</si>
  <si>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</si>
  <si>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</si>
  <si>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</si>
  <si>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</si>
  <si>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</si>
  <si>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</si>
  <si>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</si>
  <si>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</si>
  <si>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</si>
  <si>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</si>
  <si>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</si>
  <si>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</si>
  <si>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</si>
  <si>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</si>
  <si>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</si>
  <si>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</si>
  <si>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</si>
  <si>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</si>
  <si>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</si>
  <si>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</si>
  <si>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</si>
  <si>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</si>
  <si>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</si>
  <si>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</si>
  <si>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</si>
  <si>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</si>
  <si>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</si>
  <si>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</si>
  <si>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</si>
  <si>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</si>
  <si>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</si>
  <si>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</si>
  <si>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</si>
  <si>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</si>
  <si>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</si>
  <si>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</si>
  <si>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</si>
  <si>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</si>
  <si>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</si>
  <si>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</si>
  <si>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</si>
  <si>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</si>
  <si>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</si>
  <si>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</si>
  <si>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</si>
  <si>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</si>
  <si>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</si>
  <si>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</si>
  <si>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</si>
  <si>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</si>
  <si>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</si>
  <si>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</si>
  <si>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</si>
  <si>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</si>
  <si>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</si>
  <si>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</si>
  <si>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</si>
  <si>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</si>
  <si>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</si>
  <si>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</si>
  <si>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</si>
  <si>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</si>
  <si>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</si>
  <si>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</si>
  <si>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</si>
  <si>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</si>
  <si>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</si>
  <si>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</si>
  <si>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</si>
  <si>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</si>
  <si>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</si>
  <si>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</si>
  <si>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</si>
  <si>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</si>
  <si>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</si>
  <si>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</si>
  <si>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</si>
  <si>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</si>
  <si>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</si>
  <si>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</si>
  <si>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</si>
  <si>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</si>
  <si>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</si>
  <si>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</si>
  <si>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</si>
  <si>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</si>
  <si>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</si>
  <si>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</si>
  <si>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</si>
  <si>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</si>
  <si>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</si>
  <si>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</si>
  <si>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</si>
  <si>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</si>
  <si>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</si>
  <si>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</si>
  <si>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</si>
  <si>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</si>
  <si>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</si>
  <si>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</si>
  <si>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</si>
  <si>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</si>
  <si>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</si>
  <si>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</si>
  <si>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</si>
  <si>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</si>
  <si>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</si>
  <si>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</si>
  <si>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</si>
  <si>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</si>
  <si>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</si>
  <si>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</si>
  <si>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</si>
  <si>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</si>
  <si>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</si>
  <si>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</si>
  <si>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</si>
  <si>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</si>
  <si>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</si>
  <si>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</si>
  <si>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</si>
  <si>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</si>
  <si>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</si>
  <si>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</si>
  <si>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</si>
  <si>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</si>
  <si>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</si>
  <si>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</si>
  <si>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</si>
  <si>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</si>
  <si>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</si>
  <si>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</si>
  <si>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</si>
  <si>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</si>
  <si>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</si>
  <si>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</si>
  <si>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</si>
  <si>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</si>
  <si>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</si>
  <si>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</si>
  <si>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</si>
  <si>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</si>
  <si>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</si>
  <si>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</si>
  <si>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</si>
  <si>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</si>
  <si>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</si>
  <si>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</si>
  <si>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</si>
  <si>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</si>
  <si>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</si>
  <si>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</si>
  <si>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</si>
  <si>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</si>
  <si>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</si>
  <si>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</si>
  <si>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</si>
  <si>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</si>
  <si>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</si>
  <si>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</si>
  <si>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</si>
  <si>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</si>
  <si>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</si>
  <si>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</si>
  <si>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</si>
  <si>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</si>
  <si>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</si>
  <si>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</si>
  <si>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</si>
  <si>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</si>
  <si>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</si>
  <si>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</si>
  <si>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</si>
  <si>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</si>
  <si>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</si>
  <si>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</si>
  <si>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</si>
  <si>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</si>
  <si>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</si>
  <si>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</si>
  <si>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</si>
  <si>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</si>
  <si>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</si>
  <si>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</si>
  <si>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</si>
  <si>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</si>
  <si>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</si>
  <si>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</si>
  <si>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</si>
  <si>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</si>
  <si>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</si>
  <si>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</si>
  <si>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</si>
  <si>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</si>
  <si>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</si>
  <si>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</si>
  <si>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</si>
  <si>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</si>
  <si>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</si>
  <si>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</si>
  <si>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</si>
  <si>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</si>
  <si>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</si>
  <si>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</si>
  <si>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</si>
  <si>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</si>
  <si>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</si>
  <si>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</si>
  <si>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</si>
  <si>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</si>
  <si>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</si>
  <si>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</si>
  <si>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</si>
  <si>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</si>
  <si>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</si>
  <si>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</si>
  <si>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</si>
  <si>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</si>
  <si>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</si>
  <si>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</si>
  <si>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</si>
  <si>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</si>
  <si>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</si>
  <si>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</si>
  <si>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</si>
  <si>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</si>
  <si>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</si>
  <si>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</si>
  <si>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</si>
  <si>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</si>
  <si>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</si>
  <si>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</si>
  <si>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</si>
  <si>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</si>
  <si>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</si>
  <si>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</si>
  <si>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</si>
  <si>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</si>
  <si>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</si>
  <si>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</si>
  <si>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</si>
  <si>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</si>
  <si>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</si>
  <si>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</si>
  <si>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</si>
  <si>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</si>
  <si>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</si>
  <si>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</si>
  <si>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</si>
  <si>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</si>
  <si>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</si>
  <si>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</si>
  <si>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</si>
  <si>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</si>
  <si>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</si>
  <si>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</si>
  <si>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</si>
  <si>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</si>
  <si>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</si>
  <si>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</si>
  <si>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</si>
  <si>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</si>
  <si>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</si>
  <si>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</si>
  <si>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</si>
  <si>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</si>
  <si>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</si>
  <si>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</si>
  <si>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</si>
  <si>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</si>
  <si>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</si>
  <si>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</si>
  <si>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</si>
  <si>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</si>
  <si>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</si>
  <si>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</si>
  <si>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</si>
  <si>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</si>
  <si>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</si>
  <si>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</si>
  <si>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</si>
  <si>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</si>
  <si>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</si>
  <si>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</si>
  <si>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</si>
  <si>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</si>
  <si>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</si>
  <si>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</si>
  <si>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</si>
  <si>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</si>
  <si>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</si>
  <si>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</si>
  <si>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</si>
  <si>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</si>
  <si>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</si>
  <si>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</si>
  <si>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</si>
  <si>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</si>
  <si>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</si>
  <si>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</si>
  <si>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</si>
  <si>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</si>
  <si>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</si>
  <si>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</si>
  <si>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</si>
  <si>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</si>
  <si>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</si>
  <si>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</si>
  <si>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</si>
  <si>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</si>
  <si>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</si>
  <si>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</si>
  <si>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</si>
  <si>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</si>
  <si>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</si>
  <si>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</si>
  <si>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</si>
  <si>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</si>
  <si>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</si>
  <si>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</si>
  <si>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</si>
  <si>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</si>
  <si>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</si>
  <si>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</si>
  <si>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</si>
  <si>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</si>
  <si>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</si>
  <si>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</si>
  <si>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</si>
  <si>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</si>
  <si>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</si>
  <si>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</si>
  <si>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</si>
  <si>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</si>
  <si>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</si>
  <si>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</si>
  <si>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</si>
  <si>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</si>
  <si>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</si>
  <si>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</si>
  <si>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</si>
  <si>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</si>
  <si>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</si>
  <si>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</si>
  <si>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</si>
  <si>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</si>
  <si>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</si>
  <si>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</si>
  <si>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</si>
  <si>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</si>
  <si>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</si>
  <si>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</si>
  <si>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</si>
  <si>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</si>
  <si>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</si>
  <si>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</si>
  <si>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</si>
  <si>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</si>
  <si>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</si>
  <si>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</si>
  <si>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</si>
  <si>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</si>
  <si>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</si>
  <si>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</si>
  <si>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</si>
  <si>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</si>
  <si>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</si>
  <si>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</si>
  <si>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</si>
  <si>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</si>
  <si>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</si>
  <si>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</si>
  <si>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</si>
  <si>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</si>
  <si>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</si>
  <si>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</si>
  <si>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</si>
  <si>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</si>
  <si>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</si>
  <si>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</si>
  <si>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</si>
  <si>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</si>
  <si>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</si>
  <si>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</si>
  <si>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</si>
  <si>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</si>
  <si>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</si>
  <si>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</si>
  <si>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</si>
  <si>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</si>
  <si>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</si>
  <si>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</si>
  <si>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</si>
  <si>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</si>
  <si>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</si>
  <si>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</si>
  <si>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</si>
  <si>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</si>
  <si>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</si>
  <si>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</si>
  <si>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</si>
  <si>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</si>
  <si>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</si>
  <si>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</si>
  <si>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</si>
  <si>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</si>
  <si>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</si>
  <si>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</si>
  <si>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</si>
  <si>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</si>
  <si>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</si>
  <si>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</si>
  <si>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</si>
  <si>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</si>
  <si>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</si>
  <si>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</si>
  <si>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</si>
  <si>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</si>
  <si>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</si>
  <si>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</si>
  <si>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</si>
  <si>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</si>
  <si>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</si>
  <si>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</si>
  <si>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</si>
  <si>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</si>
  <si>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</si>
  <si>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</si>
  <si>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</si>
  <si>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</si>
  <si>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</si>
  <si>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</si>
  <si>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</si>
  <si>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</si>
  <si>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</si>
  <si>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</si>
  <si>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</si>
  <si>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</si>
  <si>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</si>
  <si>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</si>
  <si>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</si>
  <si>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</si>
  <si>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</si>
  <si>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</si>
  <si>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</si>
  <si>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</si>
  <si>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</si>
  <si>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</si>
  <si>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</si>
  <si>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</si>
  <si>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</si>
  <si>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</si>
  <si>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</si>
  <si>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</si>
  <si>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</si>
  <si>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</si>
  <si>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</si>
  <si>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</si>
  <si>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</si>
  <si>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</si>
  <si>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</si>
  <si>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</si>
  <si>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</si>
  <si>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</si>
  <si>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</si>
  <si>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</si>
  <si>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</si>
  <si>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</si>
  <si>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</si>
  <si>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</si>
  <si>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</si>
  <si>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</si>
  <si>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</si>
  <si>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</si>
  <si>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</si>
  <si>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</si>
  <si>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</si>
  <si>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</si>
  <si>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</si>
  <si>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</si>
  <si>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</si>
  <si>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</si>
  <si>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</si>
  <si>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</si>
  <si>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</si>
  <si>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</si>
  <si>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</si>
  <si>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</si>
  <si>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</si>
  <si>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</si>
  <si>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</si>
  <si>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</si>
  <si>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</si>
  <si>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</si>
  <si>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</si>
  <si>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</si>
  <si>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</si>
  <si>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</si>
  <si>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</si>
  <si>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</si>
  <si>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</si>
  <si>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</si>
  <si>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</si>
  <si>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</si>
  <si>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</si>
  <si>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</si>
  <si>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</si>
  <si>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</si>
  <si>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</si>
  <si>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</si>
  <si>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</si>
  <si>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</si>
  <si>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</si>
  <si>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</si>
  <si>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</si>
  <si>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</si>
  <si>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</si>
  <si>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</si>
  <si>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</si>
  <si>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</si>
  <si>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</si>
  <si>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</si>
  <si>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</si>
  <si>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</si>
  <si>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</si>
  <si>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</si>
  <si>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</si>
  <si>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</si>
  <si>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</si>
  <si>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</si>
  <si>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</si>
  <si>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</si>
  <si>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</si>
  <si>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</si>
  <si>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</si>
  <si>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</si>
  <si>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</si>
  <si>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</si>
  <si>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</si>
  <si>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</si>
  <si>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</si>
  <si>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</si>
  <si>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</si>
  <si>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</si>
  <si>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</si>
  <si>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</si>
  <si>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</si>
  <si>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</si>
  <si>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</si>
  <si>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</si>
  <si>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</si>
  <si>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</si>
  <si>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</si>
  <si>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</si>
  <si>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</si>
  <si>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</si>
  <si>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</si>
  <si>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</si>
  <si>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</si>
  <si>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</si>
  <si>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</si>
  <si>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</si>
  <si>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</si>
  <si>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</si>
  <si>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</si>
  <si>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</si>
  <si>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</si>
  <si>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</si>
  <si>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</si>
  <si>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</si>
  <si>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</si>
  <si>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</si>
  <si>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</si>
  <si>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</si>
  <si>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</si>
  <si>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</si>
  <si>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</si>
  <si>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</si>
  <si>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</si>
  <si>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</si>
  <si>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</si>
  <si>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</si>
  <si>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</si>
  <si>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</si>
  <si>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</si>
  <si>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</si>
  <si>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</si>
  <si>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</si>
  <si>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</si>
  <si>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</si>
  <si>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</si>
  <si>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</si>
  <si>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</si>
  <si>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</si>
  <si>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</si>
  <si>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</si>
  <si>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</si>
  <si>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</si>
  <si>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</si>
  <si>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</si>
  <si>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</si>
  <si>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</si>
  <si>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</si>
  <si>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</si>
  <si>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</si>
  <si>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</si>
  <si>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</si>
  <si>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</si>
  <si>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</si>
  <si>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</si>
  <si>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</si>
  <si>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</si>
  <si>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</si>
  <si>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</si>
  <si>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</si>
  <si>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</si>
  <si>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</si>
  <si>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</si>
  <si>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</si>
  <si>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</si>
  <si>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</si>
  <si>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</si>
  <si>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</si>
  <si>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</si>
  <si>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</si>
  <si>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</si>
  <si>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</si>
  <si>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</si>
  <si>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</si>
  <si>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</si>
  <si>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</si>
  <si>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</si>
  <si>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</si>
  <si>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</si>
  <si>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</si>
  <si>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</si>
  <si>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</si>
  <si>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</si>
  <si>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</si>
  <si>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</si>
  <si>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</si>
  <si>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</si>
  <si>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</si>
  <si>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</si>
  <si>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</si>
  <si>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</si>
  <si>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</si>
  <si>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</si>
  <si>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</si>
  <si>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</si>
  <si>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</si>
  <si>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</si>
  <si>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</si>
  <si>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</si>
  <si>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</si>
  <si>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</si>
  <si>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</si>
  <si>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</si>
  <si>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</si>
  <si>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</si>
  <si>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</si>
  <si>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</si>
  <si>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</si>
  <si>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</si>
  <si>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</si>
  <si>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</si>
  <si>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</si>
  <si>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</si>
  <si>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</si>
  <si>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</si>
  <si>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</si>
  <si>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</si>
  <si>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</si>
  <si>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</si>
  <si>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</si>
  <si>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</si>
  <si>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</si>
  <si>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</si>
  <si>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</si>
  <si>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</si>
  <si>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</si>
  <si>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</si>
  <si>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</si>
  <si>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</si>
  <si>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</si>
  <si>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</si>
  <si>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</si>
  <si>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</si>
  <si>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</si>
  <si>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</si>
  <si>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</si>
  <si>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</si>
  <si>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</si>
  <si>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</si>
  <si>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</si>
  <si>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</si>
  <si>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</si>
  <si>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</si>
  <si>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</si>
  <si>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</si>
  <si>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</si>
  <si>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</si>
  <si>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</si>
  <si>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</si>
  <si>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</si>
  <si>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</si>
  <si>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</si>
  <si>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</si>
  <si>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</si>
  <si>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</si>
  <si>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</si>
  <si>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</si>
  <si>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</si>
  <si>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</si>
  <si>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</si>
  <si>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</si>
  <si>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</si>
  <si>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</si>
  <si>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</si>
  <si>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</si>
  <si>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</si>
  <si>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</si>
  <si>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</si>
  <si>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</si>
  <si>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</si>
  <si>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</si>
  <si>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</si>
  <si>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</si>
  <si>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</si>
  <si>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</si>
  <si>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</si>
  <si>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</si>
  <si>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</si>
  <si>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</si>
  <si>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</si>
  <si>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</si>
  <si>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</si>
  <si>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</si>
  <si>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</si>
  <si>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</si>
  <si>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</si>
  <si>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</si>
  <si>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</si>
  <si>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</si>
  <si>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</si>
  <si>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</si>
  <si>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</si>
  <si>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</si>
  <si>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</si>
  <si>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</si>
  <si>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</si>
  <si>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</si>
  <si>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</si>
  <si>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</si>
  <si>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</si>
  <si>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</si>
  <si>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</si>
  <si>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</si>
  <si>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</si>
  <si>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</si>
  <si>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</si>
  <si>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</si>
  <si>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</si>
  <si>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</si>
  <si>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</si>
  <si>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</si>
  <si>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</si>
  <si>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</si>
  <si>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</si>
  <si>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</si>
  <si>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</si>
  <si>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</si>
  <si>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</si>
  <si>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</si>
  <si>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</si>
  <si>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</si>
  <si>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</si>
  <si>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</si>
  <si>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</si>
  <si>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</si>
  <si>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</si>
  <si>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</si>
  <si>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</si>
  <si>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</si>
  <si>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</si>
  <si>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</si>
  <si>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</si>
  <si>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</si>
  <si>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</si>
  <si>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</si>
  <si>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</si>
  <si>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</si>
  <si>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</si>
  <si>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</si>
  <si>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</si>
  <si>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</si>
  <si>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</si>
  <si>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</si>
  <si>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</si>
  <si>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</si>
  <si>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</si>
  <si>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</si>
  <si>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</si>
  <si>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</si>
  <si>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</si>
  <si>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</si>
  <si>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</si>
  <si>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</si>
  <si>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</si>
  <si>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</si>
  <si>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</si>
  <si>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</si>
  <si>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</si>
  <si>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</si>
  <si>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</si>
  <si>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</si>
  <si>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</si>
  <si>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</si>
  <si>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</si>
  <si>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</si>
  <si>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</si>
  <si>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</si>
  <si>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</si>
  <si>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</si>
  <si>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</si>
  <si>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</si>
  <si>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</si>
  <si>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</si>
  <si>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</si>
  <si>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</si>
  <si>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</si>
  <si>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</si>
  <si>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</si>
  <si>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</si>
  <si>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</si>
  <si>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</si>
  <si>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</si>
  <si>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</si>
  <si>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</si>
  <si>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</si>
  <si>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</si>
  <si>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</si>
  <si>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</si>
  <si>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</si>
  <si>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</si>
  <si>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</si>
  <si>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</si>
  <si>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</si>
  <si>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</si>
  <si>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</si>
  <si>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</si>
  <si>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</si>
  <si>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</si>
  <si>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</si>
  <si>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</si>
  <si>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</si>
  <si>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</si>
  <si>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</si>
  <si>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</si>
  <si>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</si>
  <si>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</si>
  <si>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</si>
  <si>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</si>
  <si>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</si>
  <si>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</si>
  <si>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</si>
  <si>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</si>
  <si>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</si>
  <si>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</si>
  <si>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</si>
  <si>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</si>
  <si>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</si>
  <si>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</si>
  <si>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</si>
  <si>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</si>
  <si>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</si>
  <si>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</si>
  <si>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</si>
  <si>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</si>
  <si>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</si>
  <si>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</si>
  <si>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</si>
  <si>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</si>
  <si>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</si>
  <si>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</si>
  <si>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</si>
  <si>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</si>
  <si>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</si>
  <si>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</si>
  <si>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</si>
  <si>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</si>
  <si>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</si>
  <si>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</si>
  <si>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</si>
  <si>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</si>
  <si>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</si>
  <si>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</si>
  <si>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</si>
  <si>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</si>
  <si>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</si>
  <si>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</si>
  <si>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</si>
  <si>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</si>
  <si>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</si>
  <si>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</si>
  <si>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</si>
  <si>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</si>
  <si>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</si>
  <si>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</si>
  <si>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</si>
  <si>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</si>
  <si>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</si>
  <si>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</si>
  <si>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</si>
  <si>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</si>
  <si>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</si>
  <si>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</si>
  <si>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</si>
  <si>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</si>
  <si>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</si>
  <si>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</si>
  <si>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</si>
  <si>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</si>
  <si>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</si>
  <si>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</si>
  <si>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</si>
  <si>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</si>
  <si>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</si>
  <si>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</si>
  <si>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</si>
  <si>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</si>
  <si>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</si>
  <si>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</si>
  <si>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</si>
  <si>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</si>
  <si>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</si>
  <si>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</si>
  <si>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</si>
  <si>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</si>
  <si>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</si>
  <si>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</si>
  <si>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</si>
  <si>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</si>
  <si>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</si>
  <si>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</si>
  <si>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</si>
  <si>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</si>
  <si>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</si>
  <si>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</si>
  <si>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</si>
  <si>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</si>
  <si>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</si>
  <si>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</si>
  <si>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</si>
  <si>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</si>
  <si>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</si>
  <si>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</si>
  <si>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</si>
  <si>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</si>
  <si>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</si>
  <si>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</si>
  <si>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</si>
  <si>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</si>
  <si>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</si>
  <si>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</si>
  <si>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</si>
  <si>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</si>
  <si>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</si>
  <si>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</si>
  <si>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</si>
  <si>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</si>
  <si>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</si>
  <si>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</si>
  <si>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</si>
  <si>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</si>
  <si>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</si>
  <si>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</si>
  <si>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</si>
  <si>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</si>
  <si>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</si>
  <si>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</si>
  <si>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</si>
  <si>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</si>
  <si>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</si>
  <si>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</si>
  <si>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</si>
  <si>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</si>
  <si>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</si>
  <si>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</si>
  <si>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</si>
  <si>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</si>
  <si>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</si>
  <si>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</si>
  <si>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</si>
  <si>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</si>
  <si>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</si>
  <si>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</si>
  <si>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</si>
  <si>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</si>
  <si>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</si>
  <si>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</si>
  <si>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</si>
  <si>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</si>
  <si>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</si>
  <si>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</si>
  <si>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</si>
  <si>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</si>
  <si>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</si>
  <si>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</si>
  <si>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</si>
  <si>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</si>
  <si>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</si>
  <si>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</si>
  <si>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</si>
  <si>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</si>
  <si>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</si>
  <si>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</si>
  <si>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</si>
  <si>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</si>
  <si>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</si>
  <si>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</si>
  <si>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</si>
  <si>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</si>
  <si>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</si>
  <si>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</si>
  <si>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</si>
  <si>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</si>
  <si>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</si>
  <si>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</si>
  <si>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</si>
  <si>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</si>
  <si>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</si>
  <si>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</si>
  <si>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</si>
  <si>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</si>
  <si>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</si>
  <si>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</si>
  <si>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</si>
  <si>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</si>
  <si>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</si>
  <si>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</si>
  <si>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</si>
  <si>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</si>
  <si>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</si>
  <si>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</si>
  <si>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</si>
  <si>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</si>
  <si>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</si>
  <si>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</si>
  <si>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</si>
  <si>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</si>
  <si>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</si>
  <si>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</si>
  <si>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</si>
  <si>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</si>
  <si>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</si>
  <si>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</si>
  <si>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</si>
  <si>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</si>
  <si>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</si>
  <si>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</si>
  <si>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</si>
  <si>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</si>
  <si>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</si>
  <si>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</si>
  <si>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</si>
  <si>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</si>
  <si>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</si>
  <si>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</si>
  <si>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</si>
  <si>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</si>
  <si>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</si>
  <si>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</si>
  <si>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</si>
  <si>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</si>
  <si>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</si>
  <si>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</si>
  <si>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</si>
  <si>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</si>
  <si>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</si>
  <si>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</si>
  <si>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</si>
  <si>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</si>
  <si>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</si>
  <si>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</si>
  <si>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</si>
  <si>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</si>
  <si>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</si>
  <si>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</si>
  <si>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</si>
  <si>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</si>
  <si>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</si>
  <si>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</si>
  <si>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</si>
  <si>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</si>
  <si>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</si>
  <si>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</si>
  <si>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</si>
  <si>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</si>
  <si>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</si>
  <si>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</si>
  <si>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</si>
  <si>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</si>
  <si>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</si>
  <si>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</si>
  <si>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</si>
  <si>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</si>
  <si>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</si>
  <si>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</si>
  <si>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</si>
  <si>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</si>
  <si>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</si>
  <si>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</si>
  <si>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</si>
  <si>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</si>
  <si>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</si>
  <si>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</si>
  <si>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</si>
  <si>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</si>
  <si>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</si>
  <si>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</si>
  <si>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</si>
  <si>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</si>
  <si>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</si>
  <si>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</si>
  <si>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</si>
  <si>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</si>
  <si>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</si>
  <si>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</si>
  <si>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</si>
  <si>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</si>
  <si>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</si>
  <si>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</si>
  <si>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</si>
  <si>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</si>
  <si>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</si>
  <si>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</si>
  <si>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</si>
  <si>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</si>
  <si>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</si>
  <si>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</si>
  <si>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</si>
  <si>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</si>
  <si>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</si>
  <si>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</si>
  <si>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</si>
  <si>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</si>
  <si>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</si>
  <si>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</si>
  <si>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</si>
  <si>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</si>
  <si>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</si>
  <si>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</si>
  <si>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</si>
  <si>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</si>
  <si>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</si>
  <si>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</si>
  <si>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</si>
  <si>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</si>
  <si>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</si>
  <si>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</si>
  <si>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</si>
  <si>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</si>
  <si>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</si>
  <si>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</si>
  <si>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</si>
  <si>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</si>
  <si>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</si>
  <si>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</si>
  <si>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</si>
  <si>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</si>
  <si>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</si>
  <si>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</si>
  <si>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</si>
  <si>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</si>
  <si>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</si>
  <si>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</si>
  <si>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</si>
  <si>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</si>
  <si>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</si>
  <si>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</si>
  <si>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</si>
  <si>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</si>
  <si>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</si>
  <si>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</si>
  <si>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</si>
  <si>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</si>
  <si>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</si>
  <si>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</si>
  <si>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</si>
  <si>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</si>
  <si>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</si>
  <si>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</si>
  <si>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</si>
  <si>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</si>
  <si>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</si>
  <si>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</si>
  <si>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</si>
  <si>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</si>
  <si>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</si>
  <si>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</si>
  <si>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</si>
  <si>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</si>
  <si>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</si>
  <si>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</si>
  <si>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</si>
  <si>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</si>
  <si>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</si>
  <si>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</si>
  <si>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</si>
  <si>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</si>
  <si>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</si>
  <si>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</si>
  <si>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</si>
  <si>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</si>
  <si>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</si>
  <si>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</si>
  <si>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</si>
  <si>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</si>
  <si>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</si>
  <si>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</si>
  <si>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</si>
  <si>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</si>
  <si>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</si>
  <si>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</si>
  <si>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</si>
  <si>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</si>
  <si>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</si>
  <si>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</si>
  <si>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</si>
  <si>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</si>
  <si>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</si>
  <si>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</si>
  <si>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</si>
  <si>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</si>
  <si>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</si>
  <si>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</si>
  <si>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</si>
  <si>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</si>
  <si>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</si>
  <si>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</si>
  <si>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</si>
  <si>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</si>
  <si>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</si>
  <si>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</si>
  <si>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</si>
  <si>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</si>
  <si>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</si>
  <si>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</si>
  <si>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</si>
  <si>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</si>
  <si>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</si>
  <si>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</si>
  <si>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</si>
  <si>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</si>
  <si>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</si>
  <si>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</si>
  <si>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</si>
  <si>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</si>
  <si>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</si>
  <si>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</si>
  <si>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</si>
  <si>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</si>
  <si>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</si>
  <si>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</si>
  <si>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</si>
  <si>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</si>
  <si>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</si>
  <si>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</si>
  <si>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</si>
  <si>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</si>
  <si>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</si>
  <si>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</si>
  <si>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</si>
  <si>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</si>
  <si>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</si>
  <si>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</si>
  <si>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</si>
  <si>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</si>
  <si>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</si>
  <si>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</si>
  <si>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</si>
  <si>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</si>
  <si>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</si>
  <si>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</si>
  <si>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</si>
  <si>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</si>
  <si>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</si>
  <si>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</si>
  <si>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</si>
  <si>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</si>
  <si>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</si>
  <si>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</si>
  <si>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</si>
  <si>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</si>
  <si>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</si>
  <si>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</si>
  <si>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</si>
  <si>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</si>
  <si>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</si>
  <si>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</si>
  <si>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</si>
  <si>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</si>
  <si>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</si>
  <si>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</si>
  <si>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</si>
  <si>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</si>
  <si>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</si>
  <si>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</si>
  <si>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</si>
  <si>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</si>
  <si>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</si>
  <si>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</si>
  <si>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</si>
  <si>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</si>
  <si>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</si>
  <si>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</si>
  <si>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</si>
  <si>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</si>
  <si>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</si>
  <si>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</si>
  <si>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</si>
  <si>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</si>
  <si>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</si>
  <si>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</si>
  <si>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</si>
  <si>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</si>
  <si>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</si>
  <si>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</si>
  <si>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</si>
  <si>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</si>
  <si>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</si>
  <si>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</si>
  <si>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</si>
  <si>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</si>
  <si>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</si>
  <si>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</si>
  <si>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</si>
  <si>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</si>
  <si>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</si>
  <si>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</si>
  <si>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</si>
  <si>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</si>
  <si>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</si>
  <si>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</si>
  <si>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</si>
  <si>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</si>
  <si>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</si>
  <si>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</si>
  <si>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</si>
  <si>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</si>
  <si>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</si>
  <si>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</si>
  <si>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</si>
  <si>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</si>
  <si>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</si>
  <si>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</si>
  <si>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</si>
  <si>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</si>
  <si>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</si>
  <si>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</si>
  <si>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</si>
  <si>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</si>
  <si>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</si>
  <si>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</si>
  <si>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</si>
  <si>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</si>
  <si>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</si>
  <si>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</si>
  <si>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</si>
  <si>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</si>
  <si>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</si>
  <si>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</si>
  <si>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</si>
  <si>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</si>
  <si>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</si>
  <si>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</si>
  <si>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</si>
  <si>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</si>
  <si>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</si>
  <si>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</si>
  <si>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</si>
  <si>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</si>
  <si>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</si>
  <si>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</si>
  <si>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</si>
  <si>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</si>
  <si>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</si>
  <si>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</si>
  <si>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</si>
  <si>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</si>
  <si>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</si>
  <si>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</si>
  <si>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</si>
  <si>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</si>
  <si>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</si>
  <si>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</si>
  <si>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</si>
  <si>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</si>
  <si>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</si>
  <si>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</si>
  <si>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</si>
  <si>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</si>
  <si>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</si>
  <si>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</si>
  <si>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</si>
  <si>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</si>
  <si>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</si>
  <si>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</si>
  <si>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</si>
  <si>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</si>
  <si>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</si>
  <si>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</si>
  <si>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</si>
  <si>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</si>
  <si>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</si>
  <si>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</si>
  <si>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</si>
  <si>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</si>
  <si>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</si>
  <si>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</si>
  <si>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</si>
  <si>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</si>
  <si>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</si>
  <si>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</si>
  <si>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</si>
  <si>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</si>
  <si>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</si>
  <si>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</si>
  <si>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</si>
  <si>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</si>
  <si>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</si>
  <si>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</si>
  <si>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</si>
  <si>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</si>
  <si>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</si>
  <si>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</si>
  <si>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</si>
  <si>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</si>
  <si>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</si>
  <si>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</si>
  <si>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</si>
  <si>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</si>
  <si>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</si>
  <si>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</si>
  <si>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</si>
  <si>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</si>
  <si>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</si>
  <si>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</si>
  <si>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</si>
  <si>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</si>
  <si>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</si>
  <si>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</si>
  <si>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</si>
  <si>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</si>
  <si>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</si>
  <si>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</si>
  <si>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</si>
  <si>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</si>
  <si>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</si>
  <si>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</si>
  <si>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</si>
  <si>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</si>
  <si>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</si>
  <si>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</si>
  <si>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</si>
  <si>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</si>
  <si>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</si>
  <si>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</si>
  <si>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</si>
  <si>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</si>
  <si>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</si>
  <si>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</si>
  <si>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</si>
  <si>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</si>
  <si>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</si>
  <si>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</si>
  <si>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</si>
  <si>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</si>
  <si>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</si>
  <si>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</si>
  <si>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</si>
  <si>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</si>
  <si>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</si>
  <si>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</si>
  <si>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</si>
  <si>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</si>
  <si>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</si>
  <si>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</si>
  <si>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</si>
  <si>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</si>
  <si>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</si>
  <si>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</si>
  <si>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</si>
  <si>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</si>
  <si>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</si>
  <si>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</si>
  <si>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</si>
  <si>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</si>
  <si>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</si>
  <si>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</si>
  <si>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</si>
  <si>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</si>
  <si>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</si>
  <si>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</si>
  <si>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</si>
  <si>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</si>
  <si>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</si>
  <si>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</si>
  <si>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</si>
  <si>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</si>
  <si>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</si>
  <si>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</si>
  <si>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</si>
  <si>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</si>
  <si>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</si>
  <si>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</si>
  <si>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</si>
  <si>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</si>
  <si>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</si>
  <si>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</si>
  <si>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</si>
  <si>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</si>
  <si>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</si>
  <si>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</si>
  <si>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</si>
  <si>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</si>
  <si>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</si>
  <si>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</si>
  <si>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</si>
  <si>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</si>
  <si>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</si>
  <si>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</si>
  <si>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</si>
  <si>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</si>
  <si>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</si>
  <si>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</si>
  <si>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</si>
  <si>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</si>
  <si>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</si>
  <si>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</si>
  <si>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</si>
  <si>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</si>
  <si>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</si>
  <si>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</si>
  <si>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</si>
  <si>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</si>
  <si>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</si>
  <si>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</si>
  <si>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</si>
  <si>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</si>
  <si>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</si>
  <si>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</si>
  <si>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</si>
  <si>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</si>
  <si>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</si>
  <si>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</si>
  <si>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</si>
  <si>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</si>
  <si>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</si>
  <si>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</si>
  <si>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</si>
  <si>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</si>
  <si>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</si>
  <si>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</si>
  <si>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</si>
  <si>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</si>
  <si>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</si>
  <si>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</si>
  <si>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</si>
  <si>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</si>
  <si>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</si>
  <si>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</si>
  <si>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</si>
  <si>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</si>
  <si>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</si>
  <si>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</si>
  <si>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</si>
  <si>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</si>
  <si>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</si>
  <si>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</si>
  <si>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</si>
  <si>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</si>
  <si>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</si>
  <si>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</si>
  <si>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</si>
  <si>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</si>
  <si>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</si>
  <si>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</si>
  <si>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</si>
  <si>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</si>
  <si>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</si>
  <si>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</si>
  <si>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</si>
  <si>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</si>
  <si>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</si>
  <si>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</si>
  <si>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</si>
  <si>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</si>
  <si>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</si>
  <si>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</si>
  <si>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</si>
  <si>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</si>
  <si>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</si>
  <si>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</si>
  <si>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</si>
  <si>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</si>
  <si>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</si>
  <si>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</si>
  <si>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</si>
  <si>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</si>
  <si>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</si>
  <si>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</si>
  <si>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</si>
  <si>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</si>
  <si>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</si>
  <si>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</si>
  <si>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</si>
  <si>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</si>
  <si>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</si>
  <si>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</si>
  <si>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</si>
  <si>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</si>
  <si>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</si>
  <si>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</si>
  <si>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</si>
  <si>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</si>
  <si>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</si>
  <si>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</si>
  <si>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</si>
  <si>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</si>
  <si>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</si>
  <si>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</si>
  <si>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</si>
  <si>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</si>
  <si>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</si>
  <si>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</si>
  <si>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</si>
  <si>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</si>
  <si>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</si>
  <si>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</si>
  <si>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</si>
  <si>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</si>
  <si>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</si>
  <si>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</si>
  <si>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</si>
  <si>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</si>
  <si>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</si>
  <si>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</si>
  <si>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</si>
  <si>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</si>
  <si>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</si>
  <si>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</si>
  <si>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</si>
  <si>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</si>
  <si>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</si>
  <si>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</si>
  <si>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</si>
  <si>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</si>
  <si>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</si>
  <si>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</si>
  <si>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</si>
  <si>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</si>
  <si>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</si>
  <si>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</si>
  <si>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</si>
  <si>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</si>
  <si>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</si>
  <si>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</si>
  <si>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</si>
  <si>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</si>
  <si>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</si>
  <si>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</si>
  <si>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</si>
  <si>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</si>
  <si>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</si>
  <si>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</si>
  <si>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</si>
  <si>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</si>
  <si>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</si>
  <si>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</si>
  <si>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</si>
  <si>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</si>
  <si>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</si>
  <si>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</si>
  <si>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</si>
  <si>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</si>
  <si>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</si>
  <si>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</si>
  <si>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</si>
  <si>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</si>
  <si>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</si>
  <si>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</si>
  <si>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</si>
  <si>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</si>
  <si>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</si>
  <si>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</si>
  <si>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</si>
  <si>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</si>
  <si>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</si>
  <si>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</si>
  <si>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</si>
  <si>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</si>
  <si>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</si>
  <si>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</si>
  <si>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</si>
  <si>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</si>
  <si>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</si>
  <si>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</si>
  <si>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</si>
  <si>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</si>
  <si>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</si>
  <si>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</si>
  <si>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</si>
  <si>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</si>
  <si>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</si>
  <si>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</si>
  <si>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</si>
  <si>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</si>
  <si>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</si>
  <si>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</si>
  <si>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</si>
  <si>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</si>
  <si>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</si>
  <si>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</si>
  <si>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</si>
  <si>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</si>
  <si>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</si>
  <si>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</si>
  <si>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</si>
  <si>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</si>
  <si>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</si>
  <si>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</si>
  <si>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</si>
  <si>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</si>
  <si>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</si>
  <si>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</si>
  <si>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</si>
  <si>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</si>
  <si>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</si>
  <si>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</si>
  <si>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</si>
  <si>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</si>
  <si>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</si>
  <si>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</si>
  <si>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</si>
  <si>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</si>
  <si>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</si>
  <si>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</si>
  <si>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</si>
  <si>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</si>
  <si>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</si>
  <si>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</si>
  <si>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</si>
  <si>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</si>
  <si>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</si>
  <si>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</si>
  <si>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</si>
  <si>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</si>
  <si>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</si>
  <si>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</si>
  <si>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</si>
  <si>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</si>
  <si>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</si>
  <si>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</si>
  <si>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</si>
  <si>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</si>
  <si>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</si>
  <si>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</si>
  <si>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</si>
  <si>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</si>
  <si>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</si>
  <si>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</si>
  <si>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</si>
  <si>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</si>
  <si>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</si>
  <si>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</si>
  <si>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</si>
  <si>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</si>
  <si>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</si>
  <si>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</si>
  <si>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</si>
  <si>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</si>
  <si>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</si>
  <si>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</si>
  <si>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</si>
  <si>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</si>
  <si>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</si>
  <si>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</si>
  <si>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</si>
  <si>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</si>
  <si>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</si>
  <si>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</si>
  <si>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</si>
  <si>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</si>
  <si>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</si>
  <si>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</si>
  <si>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</si>
  <si>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</si>
  <si>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</si>
  <si>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</si>
  <si>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</si>
  <si>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</si>
  <si>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</si>
  <si>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</si>
  <si>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</si>
  <si>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</si>
  <si>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</si>
  <si>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</si>
  <si>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</si>
  <si>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</si>
  <si>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</si>
  <si>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</si>
  <si>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</si>
  <si>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</si>
  <si>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</si>
  <si>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</si>
  <si>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</si>
  <si>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</si>
  <si>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</si>
  <si>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</si>
  <si>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</si>
  <si>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</si>
  <si>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</si>
  <si>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</si>
  <si>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</si>
  <si>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</si>
  <si>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</si>
  <si>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</si>
  <si>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</si>
  <si>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</si>
  <si>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</si>
  <si>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</si>
  <si>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</si>
  <si>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</si>
  <si>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</si>
  <si>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</si>
  <si>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</si>
  <si>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</si>
  <si>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</si>
  <si>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</si>
  <si>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</si>
  <si>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</si>
  <si>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</si>
  <si>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</si>
  <si>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</si>
  <si>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</si>
  <si>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</si>
  <si>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</si>
  <si>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</si>
  <si>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</si>
  <si>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</si>
  <si>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</si>
  <si>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</si>
  <si>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</si>
  <si>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</si>
  <si>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</si>
  <si>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</si>
  <si>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</si>
  <si>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</si>
  <si>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</si>
  <si>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</si>
  <si>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</si>
  <si>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</si>
  <si>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</si>
  <si>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</si>
  <si>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</si>
  <si>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</si>
  <si>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</si>
  <si>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</si>
  <si>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</si>
  <si>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</si>
  <si>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</si>
  <si>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</si>
  <si>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</si>
  <si>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</si>
  <si>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</si>
  <si>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</si>
  <si>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</si>
  <si>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</si>
  <si>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</si>
  <si>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</si>
  <si>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</si>
  <si>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</si>
  <si>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</si>
  <si>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</si>
  <si>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</si>
  <si>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</si>
  <si>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</si>
  <si>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</si>
  <si>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</si>
  <si>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</si>
  <si>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</si>
  <si>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</si>
  <si>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</si>
  <si>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</si>
  <si>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</si>
  <si>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</si>
  <si>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</si>
  <si>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</si>
  <si>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</si>
  <si>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</si>
  <si>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</si>
  <si>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</si>
  <si>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</si>
  <si>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</si>
  <si>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</si>
  <si>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</si>
  <si>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</si>
  <si>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</si>
  <si>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</si>
  <si>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</si>
  <si>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</si>
  <si>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</si>
  <si>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</si>
  <si>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</si>
  <si>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</si>
  <si>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</si>
  <si>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</si>
  <si>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</si>
  <si>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</si>
  <si>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</si>
  <si>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</si>
  <si>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</si>
  <si>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</si>
  <si>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</si>
  <si>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</si>
  <si>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</si>
  <si>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</si>
  <si>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</si>
  <si>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</si>
  <si>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</si>
  <si>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</si>
  <si>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</si>
  <si>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</si>
  <si>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</si>
  <si>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</si>
  <si>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</si>
  <si>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</si>
  <si>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</si>
  <si>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</si>
  <si>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</si>
  <si>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</si>
  <si>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</si>
  <si>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</si>
  <si>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</si>
  <si>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</si>
  <si>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</si>
  <si>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</si>
  <si>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</si>
  <si>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</si>
  <si>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</si>
  <si>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</si>
  <si>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</si>
  <si>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</si>
  <si>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</si>
  <si>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</si>
  <si>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</si>
  <si>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</si>
  <si>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</si>
  <si>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</si>
  <si>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</si>
  <si>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</si>
  <si>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</si>
  <si>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</si>
  <si>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</si>
  <si>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</si>
  <si>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</si>
  <si>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</si>
  <si>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</si>
  <si>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</si>
  <si>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</si>
  <si>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</si>
  <si>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</si>
  <si>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</si>
  <si>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</si>
  <si>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</si>
  <si>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</si>
  <si>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</si>
  <si>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</si>
  <si>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</si>
  <si>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</si>
  <si>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</si>
  <si>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</si>
  <si>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</si>
  <si>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</si>
  <si>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</si>
  <si>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</si>
  <si>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</si>
  <si>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</si>
  <si>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</si>
  <si>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</si>
  <si>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</si>
  <si>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</si>
  <si>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</si>
  <si>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</si>
  <si>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</si>
  <si>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</si>
  <si>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</si>
  <si>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</si>
  <si>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</si>
  <si>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</si>
  <si>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</si>
  <si>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</si>
  <si>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</si>
  <si>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</si>
  <si>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</si>
  <si>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</si>
  <si>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</si>
  <si>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</si>
  <si>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</si>
  <si>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</si>
  <si>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</si>
  <si>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</si>
  <si>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</si>
  <si>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</si>
  <si>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</si>
  <si>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</si>
  <si>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</si>
  <si>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</si>
  <si>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</si>
  <si>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</si>
  <si>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</si>
  <si>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</si>
  <si>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</si>
  <si>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</si>
  <si>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</si>
  <si>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</si>
  <si>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</si>
  <si>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</si>
  <si>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</si>
  <si>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</si>
  <si>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</si>
  <si>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</si>
  <si>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</si>
  <si>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</si>
  <si>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</si>
  <si>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</si>
  <si>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</si>
  <si>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</si>
  <si>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</si>
  <si>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</si>
  <si>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</si>
  <si>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</si>
  <si>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</si>
  <si>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</si>
  <si>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</si>
  <si>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</si>
  <si>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</si>
  <si>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</si>
  <si>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</si>
  <si>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</si>
  <si>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</si>
  <si>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</si>
  <si>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</si>
  <si>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</si>
  <si>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</si>
  <si>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</si>
  <si>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</si>
  <si>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</si>
  <si>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</si>
  <si>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</si>
  <si>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</si>
  <si>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</si>
  <si>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</si>
  <si>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</si>
  <si>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</si>
  <si>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</si>
  <si>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</si>
  <si>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</si>
  <si>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</si>
  <si>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</si>
  <si>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</si>
  <si>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</si>
  <si>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</si>
  <si>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</si>
  <si>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</si>
  <si>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</si>
  <si>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</si>
  <si>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</si>
  <si>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</si>
  <si>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</si>
  <si>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</si>
  <si>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</si>
  <si>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</si>
  <si>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</si>
  <si>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</si>
  <si>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</si>
  <si>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</si>
  <si>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</si>
  <si>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</si>
  <si>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</si>
  <si>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</si>
  <si>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</si>
  <si>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</si>
  <si>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</si>
  <si>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</si>
  <si>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</si>
  <si>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</si>
  <si>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</si>
  <si>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</si>
  <si>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</si>
  <si>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</si>
  <si>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</si>
  <si>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</si>
  <si>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</si>
  <si>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</si>
  <si>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</si>
  <si>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</si>
  <si>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</si>
  <si>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</si>
  <si>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</si>
  <si>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</si>
  <si>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</si>
  <si>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</si>
  <si>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</si>
  <si>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</si>
  <si>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</si>
  <si>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</si>
  <si>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</si>
  <si>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</si>
  <si>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</si>
  <si>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</si>
  <si>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</si>
  <si>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</si>
  <si>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</si>
  <si>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</si>
  <si>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</si>
  <si>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</si>
  <si>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</si>
  <si>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</si>
  <si>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</si>
  <si>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</si>
  <si>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</si>
  <si>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</si>
  <si>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</si>
  <si>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</si>
  <si>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</si>
  <si>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</si>
  <si>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</si>
  <si>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</si>
  <si>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</si>
  <si>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</si>
  <si>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</si>
  <si>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</si>
  <si>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</si>
  <si>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</si>
  <si>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</si>
  <si>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</si>
  <si>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</si>
  <si>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</si>
  <si>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</si>
  <si>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</si>
  <si>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</si>
  <si>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</si>
  <si>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</si>
  <si>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</si>
  <si>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</si>
  <si>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</si>
  <si>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</si>
  <si>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</si>
  <si>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</si>
  <si>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</si>
  <si>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</si>
  <si>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</si>
  <si>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</si>
  <si>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</si>
  <si>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</si>
  <si>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</si>
  <si>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</si>
  <si>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</si>
  <si>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</si>
  <si>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</si>
  <si>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</si>
  <si>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</si>
  <si>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</si>
  <si>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</si>
  <si>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</si>
  <si>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</si>
  <si>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</si>
  <si>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</si>
  <si>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</si>
  <si>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</si>
  <si>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</si>
  <si>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</si>
  <si>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</si>
  <si>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</si>
  <si>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</si>
  <si>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</si>
  <si>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</si>
  <si>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</si>
  <si>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</si>
  <si>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</si>
  <si>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</si>
  <si>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</si>
  <si>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</si>
  <si>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</si>
  <si>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</si>
  <si>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</si>
  <si>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</si>
  <si>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</si>
  <si>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</si>
  <si>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</si>
  <si>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</si>
  <si>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</si>
  <si>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</si>
  <si>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</si>
  <si>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</si>
  <si>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</si>
  <si>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</si>
  <si>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</si>
  <si>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</si>
  <si>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</si>
  <si>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</si>
  <si>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</si>
  <si>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</si>
  <si>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</si>
  <si>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</si>
  <si>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</si>
  <si>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</si>
  <si>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</si>
  <si>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</si>
  <si>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</si>
  <si>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</si>
  <si>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</si>
  <si>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</si>
  <si>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</si>
  <si>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</si>
  <si>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</si>
  <si>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</si>
  <si>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</si>
  <si>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</si>
  <si>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</si>
  <si>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</si>
  <si>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</si>
  <si>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</si>
  <si>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</si>
  <si>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</si>
  <si>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</si>
  <si>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</si>
  <si>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</si>
  <si>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</si>
  <si>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</si>
  <si>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</si>
  <si>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</si>
  <si>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</si>
  <si>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</si>
  <si>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</si>
  <si>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</si>
  <si>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</si>
  <si>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</si>
  <si>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</si>
  <si>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</si>
  <si>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</si>
  <si>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</si>
  <si>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</si>
  <si>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</si>
  <si>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</si>
  <si>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</si>
  <si>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</si>
  <si>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</si>
  <si>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</si>
  <si>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</si>
  <si>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</si>
  <si>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NAME 2</t>
  </si>
  <si>
    <t>Quantity1</t>
  </si>
  <si>
    <t>UNIT Price</t>
  </si>
  <si>
    <t>Total Amount</t>
  </si>
  <si>
    <t>Column1</t>
  </si>
  <si>
    <t>Mean</t>
  </si>
  <si>
    <t>Standard Error</t>
  </si>
  <si>
    <t>Median</t>
  </si>
  <si>
    <t>Mode</t>
  </si>
  <si>
    <t>Standard Deviation</t>
  </si>
  <si>
    <t>Sample Variance</t>
  </si>
  <si>
    <t>Kurtosis</t>
  </si>
  <si>
    <t>Skewness</t>
  </si>
  <si>
    <t>Range</t>
  </si>
  <si>
    <t>Minimum</t>
  </si>
  <si>
    <t>Maximum</t>
  </si>
  <si>
    <t>Sum</t>
  </si>
  <si>
    <t>Count</t>
  </si>
  <si>
    <t>Name2</t>
  </si>
  <si>
    <t>Loyalty_Level3</t>
  </si>
  <si>
    <t>COST2</t>
  </si>
  <si>
    <t>Stock3</t>
  </si>
  <si>
    <t>Discount2</t>
  </si>
  <si>
    <t>Loyalty Level</t>
  </si>
  <si>
    <t>Age Category</t>
  </si>
  <si>
    <t>Row Labels</t>
  </si>
  <si>
    <t>Grand Total</t>
  </si>
  <si>
    <t>Sum of Total Amount</t>
  </si>
  <si>
    <t>Loyalty</t>
  </si>
  <si>
    <t>Not Found</t>
  </si>
  <si>
    <t>UNKNOWN</t>
  </si>
  <si>
    <t>#N/A</t>
  </si>
  <si>
    <t>Product category</t>
  </si>
  <si>
    <t>OTHERS</t>
  </si>
  <si>
    <t>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</si>
</sst>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6" x14ac:knownFonts="1">
    <font>
      <sz val="11"/>
      <color theme="1"/>
      <name val="Calibri"/>
      <family val="2"/>
      <scheme val="minor"/>
    </font>
    <font>
      <b/>
      <sz val="11"/>
      <name val="Calibri"/>
    </font>
    <font>
      <i/>
      <sz val="11"/>
      <color theme="1"/>
      <name val="Calibri"/>
      <family val="2"/>
      <scheme val="minor"/>
    </font>
    <font>
      <b/>
      <sz val="11"/>
      <name val="Calibri"/>
      <family val="2"/>
    </font>
    <font>
      <sz val="8"/>
      <name val="Calibri"/>
      <family val="2"/>
      <scheme val="minor"/>
    </font>
    <font>
      <sz val="36"/>
      <color rgb="FFFFFF00"/>
      <name val="Cooper Black"/>
      <family val="1"/>
    </font>
  </fonts>
  <fills count="4">
    <fill>
      <patternFill patternType="none"/>
    </fill>
    <fill>
      <patternFill patternType="gray125"/>
    </fill>
    <fill>
      <patternFill patternType="solid">
        <fgColor rgb="FFFFFF00"/>
        <bgColor indexed="64"/>
      </patternFill>
    </fill>
    <fill>
      <patternFill patternType="solid">
        <fgColor theme="1" tint="0.34998626667073579"/>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1" fillId="2" borderId="1" xfId="0" applyFont="1" applyFill="1" applyBorder="1" applyAlignment="1">
      <alignment horizontal="center" vertical="top"/>
    </xf>
    <xf numFmtId="0" fontId="1" fillId="2" borderId="3" xfId="0" applyFont="1" applyFill="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xf numFmtId="0" fontId="0" fillId="0" borderId="0" xfId="0" applyFill="1" applyBorder="1" applyAlignment="1"/>
    <xf numFmtId="0" fontId="0" fillId="0" borderId="4" xfId="0" applyFill="1" applyBorder="1" applyAlignment="1"/>
    <xf numFmtId="0" fontId="2" fillId="0" borderId="5" xfId="0" applyFont="1" applyFill="1" applyBorder="1" applyAlignment="1">
      <alignment horizontal="centerContinuous"/>
    </xf>
    <xf numFmtId="0" fontId="1" fillId="0" borderId="6" xfId="0" applyFont="1" applyBorder="1" applyAlignment="1">
      <alignment horizontal="center" vertical="top"/>
    </xf>
    <xf numFmtId="0" fontId="3" fillId="2" borderId="3" xfId="0" applyFont="1" applyFill="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0" fillId="3" borderId="0" xfId="0" applyFill="1" applyAlignment="1"/>
    <xf numFmtId="0" fontId="0" fillId="3" borderId="0" xfId="0" applyFill="1"/>
    <xf numFmtId="0" fontId="5" fillId="3" borderId="0" xfId="0" applyFont="1" applyFill="1" applyAlignment="1">
      <alignment horizontal="center"/>
    </xf>
  </cellXfs>
  <cellStyles count="1">
    <cellStyle name="Normal" xfId="0" builtinId="0"/>
  </cellStyles>
  <dxfs count="14">
    <dxf>
      <fill>
        <patternFill>
          <bgColor theme="0" tint="-0.24994659260841701"/>
        </patternFill>
      </fill>
    </dxf>
    <dxf>
      <numFmt numFmtId="0" formatCode="General"/>
    </dxf>
    <dxf>
      <numFmt numFmtId="0" formatCode="General"/>
    </dxf>
    <dxf>
      <numFmt numFmtId="0" formatCode="General"/>
    </dxf>
    <dxf>
      <numFmt numFmtId="0" formatCode="General"/>
    </dxf>
    <dxf>
      <numFmt numFmtId="0" formatCode="General"/>
    </dxf>
    <dxf>
      <numFmt numFmtId="1" formatCode="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Slicer Style 1" pivot="0" table="0" count="1" xr9:uid="{0EE4325E-0B3D-4734-B32D-99133383EE2D}">
      <tableStyleElement type="wholeTable" dxfId="0"/>
    </tableStyle>
  </tableStyles>
  <colors>
    <mruColors>
      <color rgb="FF7CE2F6"/>
      <color rgb="FF3333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Loyalty</a:t>
            </a:r>
            <a:r>
              <a:rPr lang="en-IN" baseline="0"/>
              <a:t> Wise Sale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c:f>
              <c:strCache>
                <c:ptCount val="1"/>
                <c:pt idx="0">
                  <c:v>Total</c:v>
                </c:pt>
              </c:strCache>
            </c:strRef>
          </c:tx>
          <c:spPr>
            <a:ln w="28575" cap="rnd">
              <a:solidFill>
                <a:schemeClr val="accent1"/>
              </a:solidFill>
              <a:round/>
            </a:ln>
            <a:effectLst/>
          </c:spPr>
          <c:marker>
            <c:symbol val="none"/>
          </c:marker>
          <c:cat>
            <c:strRef>
              <c:f>'Pivot table'!$D$3:$D$9</c:f>
              <c:strCache>
                <c:ptCount val="6"/>
                <c:pt idx="0">
                  <c:v>Bronze</c:v>
                </c:pt>
                <c:pt idx="1">
                  <c:v>Gold</c:v>
                </c:pt>
                <c:pt idx="2">
                  <c:v>Not Found</c:v>
                </c:pt>
                <c:pt idx="3">
                  <c:v>Platinum</c:v>
                </c:pt>
                <c:pt idx="4">
                  <c:v>Silver</c:v>
                </c:pt>
                <c:pt idx="5">
                  <c:v>UNKNOWN</c:v>
                </c:pt>
              </c:strCache>
            </c:strRef>
          </c:cat>
          <c:val>
            <c:numRef>
              <c:f>'Pivot table'!$E$3:$E$9</c:f>
              <c:numCache>
                <c:formatCode>General</c:formatCode>
                <c:ptCount val="6"/>
                <c:pt idx="0">
                  <c:v>516065.73458482703</c:v>
                </c:pt>
                <c:pt idx="1">
                  <c:v>514204.37545748614</c:v>
                </c:pt>
                <c:pt idx="2">
                  <c:v>26259.668600000001</c:v>
                </c:pt>
                <c:pt idx="3">
                  <c:v>640304.87312508724</c:v>
                </c:pt>
                <c:pt idx="4">
                  <c:v>459016.44290000043</c:v>
                </c:pt>
                <c:pt idx="5">
                  <c:v>17512.335300000002</c:v>
                </c:pt>
              </c:numCache>
            </c:numRef>
          </c:val>
          <c:smooth val="0"/>
          <c:extLst>
            <c:ext xmlns:c16="http://schemas.microsoft.com/office/drawing/2014/chart" uri="{C3380CC4-5D6E-409C-BE32-E72D297353CC}">
              <c16:uniqueId val="{00000000-AB04-4166-A945-D3C6EA74EE90}"/>
            </c:ext>
          </c:extLst>
        </c:ser>
        <c:dLbls>
          <c:showLegendKey val="0"/>
          <c:showVal val="0"/>
          <c:showCatName val="0"/>
          <c:showSerName val="0"/>
          <c:showPercent val="0"/>
          <c:showBubbleSize val="0"/>
        </c:dLbls>
        <c:smooth val="0"/>
        <c:axId val="1471982559"/>
        <c:axId val="1163298575"/>
      </c:lineChart>
      <c:catAx>
        <c:axId val="147198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298575"/>
        <c:crosses val="autoZero"/>
        <c:auto val="1"/>
        <c:lblAlgn val="ctr"/>
        <c:lblOffset val="100"/>
        <c:noMultiLvlLbl val="0"/>
      </c:catAx>
      <c:valAx>
        <c:axId val="1163298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8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Wise Sale</a:t>
            </a:r>
            <a:endParaRPr lang="en-IN"/>
          </a:p>
        </c:rich>
      </c:tx>
      <c:layout>
        <c:manualLayout>
          <c:xMode val="edge"/>
          <c:yMode val="edge"/>
          <c:x val="0.25397348151644533"/>
          <c:y val="0.2026909442859152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table'!$B$33</c:f>
              <c:strCache>
                <c:ptCount val="1"/>
                <c:pt idx="0">
                  <c:v>Total</c:v>
                </c:pt>
              </c:strCache>
            </c:strRef>
          </c:tx>
          <c:spPr>
            <a:solidFill>
              <a:schemeClr val="accent1"/>
            </a:solidFill>
            <a:ln>
              <a:noFill/>
            </a:ln>
            <a:effectLst/>
            <a:sp3d/>
          </c:spPr>
          <c:invertIfNegative val="0"/>
          <c:cat>
            <c:strRef>
              <c:f>'Pivot table'!$A$34:$A$40</c:f>
              <c:strCache>
                <c:ptCount val="6"/>
                <c:pt idx="0">
                  <c:v>Beauty</c:v>
                </c:pt>
                <c:pt idx="1">
                  <c:v>Clothing</c:v>
                </c:pt>
                <c:pt idx="2">
                  <c:v>Electronics</c:v>
                </c:pt>
                <c:pt idx="3">
                  <c:v>Home</c:v>
                </c:pt>
                <c:pt idx="4">
                  <c:v>OTHERS</c:v>
                </c:pt>
                <c:pt idx="5">
                  <c:v>Sports</c:v>
                </c:pt>
              </c:strCache>
            </c:strRef>
          </c:cat>
          <c:val>
            <c:numRef>
              <c:f>'Pivot table'!$B$34:$B$40</c:f>
              <c:numCache>
                <c:formatCode>General</c:formatCode>
                <c:ptCount val="6"/>
                <c:pt idx="0">
                  <c:v>300905.68600991456</c:v>
                </c:pt>
                <c:pt idx="1">
                  <c:v>354067.97550000012</c:v>
                </c:pt>
                <c:pt idx="2">
                  <c:v>505496.0692574865</c:v>
                </c:pt>
                <c:pt idx="3">
                  <c:v>424823.35450000002</c:v>
                </c:pt>
                <c:pt idx="4">
                  <c:v>46060.170099999988</c:v>
                </c:pt>
                <c:pt idx="5">
                  <c:v>542010.17460000049</c:v>
                </c:pt>
              </c:numCache>
            </c:numRef>
          </c:val>
          <c:extLst>
            <c:ext xmlns:c16="http://schemas.microsoft.com/office/drawing/2014/chart" uri="{C3380CC4-5D6E-409C-BE32-E72D297353CC}">
              <c16:uniqueId val="{00000000-80AB-45B6-A0E7-F759CFA047FE}"/>
            </c:ext>
          </c:extLst>
        </c:ser>
        <c:dLbls>
          <c:showLegendKey val="0"/>
          <c:showVal val="0"/>
          <c:showCatName val="0"/>
          <c:showSerName val="0"/>
          <c:showPercent val="0"/>
          <c:showBubbleSize val="0"/>
        </c:dLbls>
        <c:gapWidth val="150"/>
        <c:shape val="box"/>
        <c:axId val="1464584271"/>
        <c:axId val="1163310095"/>
        <c:axId val="0"/>
      </c:bar3DChart>
      <c:catAx>
        <c:axId val="1464584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310095"/>
        <c:crosses val="autoZero"/>
        <c:auto val="1"/>
        <c:lblAlgn val="ctr"/>
        <c:lblOffset val="100"/>
        <c:noMultiLvlLbl val="0"/>
      </c:catAx>
      <c:valAx>
        <c:axId val="116331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58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Wise Sale</a:t>
            </a:r>
          </a:p>
        </c:rich>
      </c:tx>
      <c:layout>
        <c:manualLayout>
          <c:xMode val="edge"/>
          <c:yMode val="edge"/>
          <c:x val="0.30947669429149521"/>
          <c:y val="0.1313941261929414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c:f>
              <c:strCache>
                <c:ptCount val="1"/>
                <c:pt idx="0">
                  <c:v>Total</c:v>
                </c:pt>
              </c:strCache>
            </c:strRef>
          </c:tx>
          <c:spPr>
            <a:solidFill>
              <a:schemeClr val="accent1"/>
            </a:solidFill>
            <a:ln>
              <a:noFill/>
            </a:ln>
            <a:effectLst/>
          </c:spPr>
          <c:invertIfNegative val="0"/>
          <c:cat>
            <c:strRef>
              <c:f>'Pivot table'!$A$3:$A$23</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table'!$B$3:$B$23</c:f>
              <c:numCache>
                <c:formatCode>General</c:formatCode>
                <c:ptCount val="20"/>
                <c:pt idx="0">
                  <c:v>85138.555199999973</c:v>
                </c:pt>
                <c:pt idx="1">
                  <c:v>100344.56880000002</c:v>
                </c:pt>
                <c:pt idx="2">
                  <c:v>109791.71519999996</c:v>
                </c:pt>
                <c:pt idx="3">
                  <c:v>93048.140500000009</c:v>
                </c:pt>
                <c:pt idx="4">
                  <c:v>116829.22059999997</c:v>
                </c:pt>
                <c:pt idx="5">
                  <c:v>114592.72182508763</c:v>
                </c:pt>
                <c:pt idx="6">
                  <c:v>106248.28329999997</c:v>
                </c:pt>
                <c:pt idx="7">
                  <c:v>99679.086000000025</c:v>
                </c:pt>
                <c:pt idx="8">
                  <c:v>111704.94359999998</c:v>
                </c:pt>
                <c:pt idx="9">
                  <c:v>121555.10789999997</c:v>
                </c:pt>
                <c:pt idx="10">
                  <c:v>105447.24375748624</c:v>
                </c:pt>
                <c:pt idx="11">
                  <c:v>94225.72329999994</c:v>
                </c:pt>
                <c:pt idx="12">
                  <c:v>99010.549799999993</c:v>
                </c:pt>
                <c:pt idx="13">
                  <c:v>124243.9895</c:v>
                </c:pt>
                <c:pt idx="14">
                  <c:v>118814.11569999999</c:v>
                </c:pt>
                <c:pt idx="15">
                  <c:v>80926.71639999999</c:v>
                </c:pt>
                <c:pt idx="16">
                  <c:v>115435.49218482725</c:v>
                </c:pt>
                <c:pt idx="17">
                  <c:v>108127.35980000001</c:v>
                </c:pt>
                <c:pt idx="18">
                  <c:v>158933.984</c:v>
                </c:pt>
                <c:pt idx="19">
                  <c:v>109265.9126</c:v>
                </c:pt>
              </c:numCache>
            </c:numRef>
          </c:val>
          <c:extLst>
            <c:ext xmlns:c16="http://schemas.microsoft.com/office/drawing/2014/chart" uri="{C3380CC4-5D6E-409C-BE32-E72D297353CC}">
              <c16:uniqueId val="{00000000-BDA1-45B2-ABEA-3DDD9E7DE289}"/>
            </c:ext>
          </c:extLst>
        </c:ser>
        <c:dLbls>
          <c:showLegendKey val="0"/>
          <c:showVal val="0"/>
          <c:showCatName val="0"/>
          <c:showSerName val="0"/>
          <c:showPercent val="0"/>
          <c:showBubbleSize val="0"/>
        </c:dLbls>
        <c:gapWidth val="182"/>
        <c:axId val="131948751"/>
        <c:axId val="1163228015"/>
      </c:barChart>
      <c:catAx>
        <c:axId val="13194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228015"/>
        <c:crosses val="autoZero"/>
        <c:auto val="1"/>
        <c:lblAlgn val="ctr"/>
        <c:lblOffset val="100"/>
        <c:noMultiLvlLbl val="0"/>
      </c:catAx>
      <c:valAx>
        <c:axId val="116322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4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672-437B-A9FA-F3FD35CF02C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672-437B-A9FA-F3FD35CF02C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672-437B-A9FA-F3FD35CF02CB}"/>
              </c:ext>
            </c:extLst>
          </c:dPt>
          <c:cat>
            <c:strRef>
              <c:f>'Pivot table'!$A$27:$A$30</c:f>
              <c:strCache>
                <c:ptCount val="3"/>
                <c:pt idx="0">
                  <c:v>Female</c:v>
                </c:pt>
                <c:pt idx="1">
                  <c:v>Male</c:v>
                </c:pt>
                <c:pt idx="2">
                  <c:v>#N/A</c:v>
                </c:pt>
              </c:strCache>
            </c:strRef>
          </c:cat>
          <c:val>
            <c:numRef>
              <c:f>'Pivot table'!$B$27:$B$30</c:f>
              <c:numCache>
                <c:formatCode>General</c:formatCode>
                <c:ptCount val="3"/>
                <c:pt idx="0">
                  <c:v>1205587.4302674003</c:v>
                </c:pt>
                <c:pt idx="1">
                  <c:v>941516.33110000065</c:v>
                </c:pt>
                <c:pt idx="2">
                  <c:v>26259.668600000001</c:v>
                </c:pt>
              </c:numCache>
            </c:numRef>
          </c:val>
          <c:extLst>
            <c:ext xmlns:c16="http://schemas.microsoft.com/office/drawing/2014/chart" uri="{C3380CC4-5D6E-409C-BE32-E72D297353CC}">
              <c16:uniqueId val="{00000006-6672-437B-A9FA-F3FD35CF02C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Wise Sale</a:t>
            </a:r>
          </a:p>
        </c:rich>
      </c:tx>
      <c:layout>
        <c:manualLayout>
          <c:xMode val="edge"/>
          <c:yMode val="edge"/>
          <c:x val="0.25397348151644533"/>
          <c:y val="0.2026909442859152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table'!$A$34:$A$40</c:f>
              <c:strCache>
                <c:ptCount val="6"/>
                <c:pt idx="0">
                  <c:v>Beauty</c:v>
                </c:pt>
                <c:pt idx="1">
                  <c:v>Clothing</c:v>
                </c:pt>
                <c:pt idx="2">
                  <c:v>Electronics</c:v>
                </c:pt>
                <c:pt idx="3">
                  <c:v>Home</c:v>
                </c:pt>
                <c:pt idx="4">
                  <c:v>OTHERS</c:v>
                </c:pt>
                <c:pt idx="5">
                  <c:v>Sports</c:v>
                </c:pt>
              </c:strCache>
            </c:strRef>
          </c:cat>
          <c:val>
            <c:numRef>
              <c:f>'Pivot table'!$B$34:$B$40</c:f>
              <c:numCache>
                <c:formatCode>General</c:formatCode>
                <c:ptCount val="6"/>
                <c:pt idx="0">
                  <c:v>300905.68600991456</c:v>
                </c:pt>
                <c:pt idx="1">
                  <c:v>354067.97550000012</c:v>
                </c:pt>
                <c:pt idx="2">
                  <c:v>505496.0692574865</c:v>
                </c:pt>
                <c:pt idx="3">
                  <c:v>424823.35450000002</c:v>
                </c:pt>
                <c:pt idx="4">
                  <c:v>46060.170099999988</c:v>
                </c:pt>
                <c:pt idx="5">
                  <c:v>542010.17460000049</c:v>
                </c:pt>
              </c:numCache>
            </c:numRef>
          </c:val>
          <c:extLst>
            <c:ext xmlns:c16="http://schemas.microsoft.com/office/drawing/2014/chart" uri="{C3380CC4-5D6E-409C-BE32-E72D297353CC}">
              <c16:uniqueId val="{00000000-2B9A-4A1E-BF62-E1021C24FB9A}"/>
            </c:ext>
          </c:extLst>
        </c:ser>
        <c:dLbls>
          <c:showLegendKey val="0"/>
          <c:showVal val="0"/>
          <c:showCatName val="0"/>
          <c:showSerName val="0"/>
          <c:showPercent val="0"/>
          <c:showBubbleSize val="0"/>
        </c:dLbls>
        <c:gapWidth val="150"/>
        <c:shape val="box"/>
        <c:axId val="1464584271"/>
        <c:axId val="1163310095"/>
        <c:axId val="0"/>
      </c:bar3DChart>
      <c:catAx>
        <c:axId val="1464584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310095"/>
        <c:crosses val="autoZero"/>
        <c:auto val="1"/>
        <c:lblAlgn val="ctr"/>
        <c:lblOffset val="100"/>
        <c:noMultiLvlLbl val="0"/>
      </c:catAx>
      <c:valAx>
        <c:axId val="116331009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458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Loyalty Wise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table'!$D$3:$D$9</c:f>
              <c:strCache>
                <c:ptCount val="6"/>
                <c:pt idx="0">
                  <c:v>Bronze</c:v>
                </c:pt>
                <c:pt idx="1">
                  <c:v>Gold</c:v>
                </c:pt>
                <c:pt idx="2">
                  <c:v>Not Found</c:v>
                </c:pt>
                <c:pt idx="3">
                  <c:v>Platinum</c:v>
                </c:pt>
                <c:pt idx="4">
                  <c:v>Silver</c:v>
                </c:pt>
                <c:pt idx="5">
                  <c:v>UNKNOWN</c:v>
                </c:pt>
              </c:strCache>
            </c:strRef>
          </c:cat>
          <c:val>
            <c:numRef>
              <c:f>'Pivot table'!$E$3:$E$9</c:f>
              <c:numCache>
                <c:formatCode>General</c:formatCode>
                <c:ptCount val="6"/>
                <c:pt idx="0">
                  <c:v>516065.73458482703</c:v>
                </c:pt>
                <c:pt idx="1">
                  <c:v>514204.37545748614</c:v>
                </c:pt>
                <c:pt idx="2">
                  <c:v>26259.668600000001</c:v>
                </c:pt>
                <c:pt idx="3">
                  <c:v>640304.87312508724</c:v>
                </c:pt>
                <c:pt idx="4">
                  <c:v>459016.44290000043</c:v>
                </c:pt>
                <c:pt idx="5">
                  <c:v>17512.335300000002</c:v>
                </c:pt>
              </c:numCache>
            </c:numRef>
          </c:val>
          <c:smooth val="0"/>
          <c:extLst>
            <c:ext xmlns:c16="http://schemas.microsoft.com/office/drawing/2014/chart" uri="{C3380CC4-5D6E-409C-BE32-E72D297353CC}">
              <c16:uniqueId val="{00000000-1430-4D1F-8E30-30A0B1AF7ACC}"/>
            </c:ext>
          </c:extLst>
        </c:ser>
        <c:dLbls>
          <c:dLblPos val="ctr"/>
          <c:showLegendKey val="0"/>
          <c:showVal val="0"/>
          <c:showCatName val="0"/>
          <c:showSerName val="0"/>
          <c:showPercent val="0"/>
          <c:showBubbleSize val="0"/>
        </c:dLbls>
        <c:marker val="1"/>
        <c:smooth val="0"/>
        <c:axId val="1471982559"/>
        <c:axId val="1163298575"/>
      </c:lineChart>
      <c:catAx>
        <c:axId val="14719825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298575"/>
        <c:crosses val="autoZero"/>
        <c:auto val="1"/>
        <c:lblAlgn val="ctr"/>
        <c:lblOffset val="100"/>
        <c:noMultiLvlLbl val="0"/>
      </c:catAx>
      <c:valAx>
        <c:axId val="11632985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198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Store Wise Sale</a:t>
            </a:r>
          </a:p>
        </c:rich>
      </c:tx>
      <c:layout>
        <c:manualLayout>
          <c:xMode val="edge"/>
          <c:yMode val="edge"/>
          <c:x val="0.31499649335331054"/>
          <c:y val="6.996473925607783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191452891022661"/>
          <c:y val="0.24793959863544188"/>
          <c:w val="0.43428603791181469"/>
          <c:h val="0.65215399431660193"/>
        </c:manualLayout>
      </c:layout>
      <c:barChart>
        <c:barDir val="bar"/>
        <c:grouping val="clustered"/>
        <c:varyColors val="0"/>
        <c:ser>
          <c:idx val="0"/>
          <c:order val="0"/>
          <c:tx>
            <c:strRef>
              <c:f>'Pivot table'!$B$2</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table'!$A$3:$A$23</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table'!$B$3:$B$23</c:f>
              <c:numCache>
                <c:formatCode>General</c:formatCode>
                <c:ptCount val="20"/>
                <c:pt idx="0">
                  <c:v>85138.555199999973</c:v>
                </c:pt>
                <c:pt idx="1">
                  <c:v>100344.56880000002</c:v>
                </c:pt>
                <c:pt idx="2">
                  <c:v>109791.71519999996</c:v>
                </c:pt>
                <c:pt idx="3">
                  <c:v>93048.140500000009</c:v>
                </c:pt>
                <c:pt idx="4">
                  <c:v>116829.22059999997</c:v>
                </c:pt>
                <c:pt idx="5">
                  <c:v>114592.72182508763</c:v>
                </c:pt>
                <c:pt idx="6">
                  <c:v>106248.28329999997</c:v>
                </c:pt>
                <c:pt idx="7">
                  <c:v>99679.086000000025</c:v>
                </c:pt>
                <c:pt idx="8">
                  <c:v>111704.94359999998</c:v>
                </c:pt>
                <c:pt idx="9">
                  <c:v>121555.10789999997</c:v>
                </c:pt>
                <c:pt idx="10">
                  <c:v>105447.24375748624</c:v>
                </c:pt>
                <c:pt idx="11">
                  <c:v>94225.72329999994</c:v>
                </c:pt>
                <c:pt idx="12">
                  <c:v>99010.549799999993</c:v>
                </c:pt>
                <c:pt idx="13">
                  <c:v>124243.9895</c:v>
                </c:pt>
                <c:pt idx="14">
                  <c:v>118814.11569999999</c:v>
                </c:pt>
                <c:pt idx="15">
                  <c:v>80926.71639999999</c:v>
                </c:pt>
                <c:pt idx="16">
                  <c:v>115435.49218482725</c:v>
                </c:pt>
                <c:pt idx="17">
                  <c:v>108127.35980000001</c:v>
                </c:pt>
                <c:pt idx="18">
                  <c:v>158933.984</c:v>
                </c:pt>
                <c:pt idx="19">
                  <c:v>109265.9126</c:v>
                </c:pt>
              </c:numCache>
            </c:numRef>
          </c:val>
          <c:extLst>
            <c:ext xmlns:c16="http://schemas.microsoft.com/office/drawing/2014/chart" uri="{C3380CC4-5D6E-409C-BE32-E72D297353CC}">
              <c16:uniqueId val="{00000000-F9C1-4C1E-BB3E-37E88C36B75F}"/>
            </c:ext>
          </c:extLst>
        </c:ser>
        <c:dLbls>
          <c:showLegendKey val="0"/>
          <c:showVal val="0"/>
          <c:showCatName val="0"/>
          <c:showSerName val="0"/>
          <c:showPercent val="0"/>
          <c:showBubbleSize val="0"/>
        </c:dLbls>
        <c:gapWidth val="115"/>
        <c:overlap val="-20"/>
        <c:axId val="131948751"/>
        <c:axId val="1163228015"/>
      </c:barChart>
      <c:catAx>
        <c:axId val="1319487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228015"/>
        <c:crosses val="autoZero"/>
        <c:auto val="1"/>
        <c:lblAlgn val="ctr"/>
        <c:lblOffset val="100"/>
        <c:noMultiLvlLbl val="0"/>
      </c:catAx>
      <c:valAx>
        <c:axId val="11632280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4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table!PivotTable25</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FA4-4D7E-B298-21F078F3D2F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FA4-4D7E-B298-21F078F3D2F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FA4-4D7E-B298-21F078F3D2FD}"/>
              </c:ext>
            </c:extLst>
          </c:dPt>
          <c:cat>
            <c:strRef>
              <c:f>'Pivot table'!$A$27:$A$30</c:f>
              <c:strCache>
                <c:ptCount val="3"/>
                <c:pt idx="0">
                  <c:v>Female</c:v>
                </c:pt>
                <c:pt idx="1">
                  <c:v>Male</c:v>
                </c:pt>
                <c:pt idx="2">
                  <c:v>#N/A</c:v>
                </c:pt>
              </c:strCache>
            </c:strRef>
          </c:cat>
          <c:val>
            <c:numRef>
              <c:f>'Pivot table'!$B$27:$B$30</c:f>
              <c:numCache>
                <c:formatCode>General</c:formatCode>
                <c:ptCount val="3"/>
                <c:pt idx="0">
                  <c:v>1205587.4302674003</c:v>
                </c:pt>
                <c:pt idx="1">
                  <c:v>941516.33110000065</c:v>
                </c:pt>
                <c:pt idx="2">
                  <c:v>26259.668600000001</c:v>
                </c:pt>
              </c:numCache>
            </c:numRef>
          </c:val>
          <c:extLst>
            <c:ext xmlns:c16="http://schemas.microsoft.com/office/drawing/2014/chart" uri="{C3380CC4-5D6E-409C-BE32-E72D297353CC}">
              <c16:uniqueId val="{00000006-8FA4-4D7E-B298-21F078F3D2F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0</xdr:rowOff>
    </xdr:from>
    <xdr:to>
      <xdr:col>10</xdr:col>
      <xdr:colOff>563880</xdr:colOff>
      <xdr:row>14</xdr:row>
      <xdr:rowOff>144780</xdr:rowOff>
    </xdr:to>
    <xdr:graphicFrame macro="">
      <xdr:nvGraphicFramePr>
        <xdr:cNvPr id="3" name="Chart 2">
          <a:extLst>
            <a:ext uri="{FF2B5EF4-FFF2-40B4-BE49-F238E27FC236}">
              <a16:creationId xmlns:a16="http://schemas.microsoft.com/office/drawing/2014/main" id="{73A5B60A-2A20-47F5-A86A-7195FF8F5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0</xdr:rowOff>
    </xdr:from>
    <xdr:to>
      <xdr:col>3</xdr:col>
      <xdr:colOff>510540</xdr:colOff>
      <xdr:row>24</xdr:row>
      <xdr:rowOff>171450</xdr:rowOff>
    </xdr:to>
    <xdr:graphicFrame macro="">
      <xdr:nvGraphicFramePr>
        <xdr:cNvPr id="4" name="Chart 3">
          <a:extLst>
            <a:ext uri="{FF2B5EF4-FFF2-40B4-BE49-F238E27FC236}">
              <a16:creationId xmlns:a16="http://schemas.microsoft.com/office/drawing/2014/main" id="{AEE506D9-17F4-46E2-B766-3E8CBE834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60960</xdr:rowOff>
    </xdr:from>
    <xdr:to>
      <xdr:col>3</xdr:col>
      <xdr:colOff>403860</xdr:colOff>
      <xdr:row>14</xdr:row>
      <xdr:rowOff>175260</xdr:rowOff>
    </xdr:to>
    <xdr:graphicFrame macro="">
      <xdr:nvGraphicFramePr>
        <xdr:cNvPr id="6" name="Chart 5">
          <a:extLst>
            <a:ext uri="{FF2B5EF4-FFF2-40B4-BE49-F238E27FC236}">
              <a16:creationId xmlns:a16="http://schemas.microsoft.com/office/drawing/2014/main" id="{9ED17611-BAD8-4C60-893E-6EB9ADA39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68580</xdr:colOff>
      <xdr:row>15</xdr:row>
      <xdr:rowOff>137160</xdr:rowOff>
    </xdr:from>
    <xdr:to>
      <xdr:col>11</xdr:col>
      <xdr:colOff>11430</xdr:colOff>
      <xdr:row>27</xdr:row>
      <xdr:rowOff>102870</xdr:rowOff>
    </xdr:to>
    <xdr:graphicFrame macro="">
      <xdr:nvGraphicFramePr>
        <xdr:cNvPr id="7" name="Chart 6">
          <a:extLst>
            <a:ext uri="{FF2B5EF4-FFF2-40B4-BE49-F238E27FC236}">
              <a16:creationId xmlns:a16="http://schemas.microsoft.com/office/drawing/2014/main" id="{8E770103-DB98-4C0E-88A6-A1866EE0C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937259</xdr:colOff>
      <xdr:row>8</xdr:row>
      <xdr:rowOff>45720</xdr:rowOff>
    </xdr:from>
    <xdr:to>
      <xdr:col>7</xdr:col>
      <xdr:colOff>518160</xdr:colOff>
      <xdr:row>27</xdr:row>
      <xdr:rowOff>30480</xdr:rowOff>
    </xdr:to>
    <xdr:graphicFrame macro="">
      <xdr:nvGraphicFramePr>
        <xdr:cNvPr id="15" name="Chart 14">
          <a:extLst>
            <a:ext uri="{FF2B5EF4-FFF2-40B4-BE49-F238E27FC236}">
              <a16:creationId xmlns:a16="http://schemas.microsoft.com/office/drawing/2014/main" id="{9DA7A938-BE28-4226-8318-9BF2F77E3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15</xdr:row>
      <xdr:rowOff>53340</xdr:rowOff>
    </xdr:from>
    <xdr:to>
      <xdr:col>3</xdr:col>
      <xdr:colOff>236220</xdr:colOff>
      <xdr:row>26</xdr:row>
      <xdr:rowOff>106680</xdr:rowOff>
    </xdr:to>
    <xdr:graphicFrame macro="">
      <xdr:nvGraphicFramePr>
        <xdr:cNvPr id="16" name="Chart 15">
          <a:extLst>
            <a:ext uri="{FF2B5EF4-FFF2-40B4-BE49-F238E27FC236}">
              <a16:creationId xmlns:a16="http://schemas.microsoft.com/office/drawing/2014/main" id="{E125B3B7-27E2-4556-A297-F34BFFC8A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281940</xdr:colOff>
      <xdr:row>4</xdr:row>
      <xdr:rowOff>129540</xdr:rowOff>
    </xdr:from>
    <xdr:to>
      <xdr:col>10</xdr:col>
      <xdr:colOff>685800</xdr:colOff>
      <xdr:row>25</xdr:row>
      <xdr:rowOff>60960</xdr:rowOff>
    </xdr:to>
    <xdr:graphicFrame macro="">
      <xdr:nvGraphicFramePr>
        <xdr:cNvPr id="24" name="Chart 23">
          <a:extLst>
            <a:ext uri="{FF2B5EF4-FFF2-40B4-BE49-F238E27FC236}">
              <a16:creationId xmlns:a16="http://schemas.microsoft.com/office/drawing/2014/main" id="{891807BE-E698-4B1F-B844-BC31F56FD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99060</xdr:colOff>
      <xdr:row>3</xdr:row>
      <xdr:rowOff>91440</xdr:rowOff>
    </xdr:from>
    <xdr:to>
      <xdr:col>3</xdr:col>
      <xdr:colOff>758190</xdr:colOff>
      <xdr:row>15</xdr:row>
      <xdr:rowOff>57150</xdr:rowOff>
    </xdr:to>
    <xdr:graphicFrame macro="">
      <xdr:nvGraphicFramePr>
        <xdr:cNvPr id="25" name="Chart 24">
          <a:extLst>
            <a:ext uri="{FF2B5EF4-FFF2-40B4-BE49-F238E27FC236}">
              <a16:creationId xmlns:a16="http://schemas.microsoft.com/office/drawing/2014/main" id="{070BC93E-5FDD-4DFA-ABBD-31B86F3C6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381000</xdr:colOff>
      <xdr:row>0</xdr:row>
      <xdr:rowOff>114301</xdr:rowOff>
    </xdr:from>
    <xdr:to>
      <xdr:col>12</xdr:col>
      <xdr:colOff>1089660</xdr:colOff>
      <xdr:row>12</xdr:row>
      <xdr:rowOff>106681</xdr:rowOff>
    </xdr:to>
    <mc:AlternateContent xmlns:mc="http://schemas.openxmlformats.org/markup-compatibility/2006">
      <mc:Choice xmlns:a14="http://schemas.microsoft.com/office/drawing/2010/main" Requires="a14">
        <xdr:graphicFrame macro="">
          <xdr:nvGraphicFramePr>
            <xdr:cNvPr id="39" name="Store_ID">
              <a:extLst>
                <a:ext uri="{FF2B5EF4-FFF2-40B4-BE49-F238E27FC236}">
                  <a16:creationId xmlns:a16="http://schemas.microsoft.com/office/drawing/2014/main" id="{A1489B31-E4BE-9AE4-9CCD-3A2590A9E360}"/>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dr:sp macro="" textlink="">
          <xdr:nvSpPr>
            <xdr:cNvPr id="0" name=""/>
            <xdr:cNvSpPr>
              <a:spLocks noTextEdit="1"/>
            </xdr:cNvSpPr>
          </xdr:nvSpPr>
          <xdr:spPr>
            <a:xfrm>
              <a:off x="12283440" y="114301"/>
              <a:ext cx="1828800" cy="218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426720</xdr:colOff>
      <xdr:row>14</xdr:row>
      <xdr:rowOff>60961</xdr:rowOff>
    </xdr:from>
    <xdr:to>
      <xdr:col>13</xdr:col>
      <xdr:colOff>15240</xdr:colOff>
      <xdr:row>24</xdr:row>
      <xdr:rowOff>144781</xdr:rowOff>
    </xdr:to>
    <mc:AlternateContent xmlns:mc="http://schemas.openxmlformats.org/markup-compatibility/2006">
      <mc:Choice xmlns:a14="http://schemas.microsoft.com/office/drawing/2010/main" Requires="a14">
        <xdr:graphicFrame macro="">
          <xdr:nvGraphicFramePr>
            <xdr:cNvPr id="40" name="Product category">
              <a:extLst>
                <a:ext uri="{FF2B5EF4-FFF2-40B4-BE49-F238E27FC236}">
                  <a16:creationId xmlns:a16="http://schemas.microsoft.com/office/drawing/2014/main" id="{43FB6B9F-B42C-89C3-B2A2-F8C88F7E469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329160" y="2621281"/>
              <a:ext cx="1828800" cy="1912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ie Ebin" refreshedDate="46278.968467939812" createdVersion="8" refreshedVersion="8" minRefreshableVersion="3" recordCount="2000" xr:uid="{D47780C9-0D34-4FFC-9628-F9EF05A9D23B}">
  <cacheSource type="worksheet">
    <worksheetSource name="Sales_fact[[Total Amount]:[Product category]]"/>
  </cacheSource>
  <cacheFields count="5">
    <cacheField name="Total Amount" numFmtId="0">
      <sharedItems containsSemiMixedTypes="0" containsString="0" containsNumber="1" minValue="18.459" maxValue="3908.2428" count="2000">
        <n v="198.41640000000001"/>
        <n v="228.78929999999997"/>
        <n v="2742.1499999999996"/>
        <n v="774.0684"/>
        <n v="1833.4379999999999"/>
        <n v="357.23430000000002"/>
        <n v="1335.0269999999998"/>
        <n v="1054.5611999999999"/>
        <n v="833.74499999999989"/>
        <n v="1344.6818000000001"/>
        <n v="259.1259"/>
        <n v="952.57439999999997"/>
        <n v="2552.5368000000003"/>
        <n v="443.65999999999997"/>
        <n v="1145.8548000000001"/>
        <n v="1672.9728"/>
        <n v="677.97"/>
        <n v="774.14260000000002"/>
        <n v="838.84500000000003"/>
        <n v="1973.7015250876309"/>
        <n v="2159.4276"/>
        <n v="459.85679999999996"/>
        <n v="2850.1121999999996"/>
        <n v="661.73760000000004"/>
        <n v="216.50399999999996"/>
        <n v="2933.3224"/>
        <n v="562.17600000000004"/>
        <n v="2030.5701000000001"/>
        <n v="132.09379999999999"/>
        <n v="767.83900000000006"/>
        <n v="373.56060000000002"/>
        <n v="288.98239999999998"/>
        <n v="1154.8943999999999"/>
        <n v="1219.4269999999999"/>
        <n v="1432.0808000000002"/>
        <n v="354.32640000000004"/>
        <n v="1409.9903999999999"/>
        <n v="266.65440000000001"/>
        <n v="2764.8031999999998"/>
        <n v="1105.3432"/>
        <n v="1625.3796"/>
        <n v="945.21720000000016"/>
        <n v="1537.452"/>
        <n v="1242.8784000000001"/>
        <n v="322.3528"/>
        <n v="1050.5040000000001"/>
        <n v="393.5686"/>
        <n v="116.77079999999999"/>
        <n v="372.33359999999999"/>
        <n v="707.77440000000013"/>
        <n v="190.83600000000001"/>
        <n v="169.98539999999997"/>
        <n v="1387.7588848272403"/>
        <n v="783.30449999999996"/>
        <n v="1592.4947999999997"/>
        <n v="783.59400000000005"/>
        <n v="1567.356"/>
        <n v="979.43039999999996"/>
        <n v="2640.3119999999999"/>
        <n v="767.17410000000007"/>
        <n v="180.93530000000001"/>
        <n v="307.43440000000004"/>
        <n v="412.66719999999998"/>
        <n v="230.60300000000001"/>
        <n v="1425.7782"/>
        <n v="1301.9864"/>
        <n v="2670.7400000000002"/>
        <n v="791.33600000000001"/>
        <n v="204.93440000000001"/>
        <n v="1706.1695999999999"/>
        <n v="199.23839999999998"/>
        <n v="1243.0379999999998"/>
        <n v="503.97620000000006"/>
        <n v="968.18819999999994"/>
        <n v="166.482"/>
        <n v="2156.5544"/>
        <n v="1029.4649999999999"/>
        <n v="502.10860000000002"/>
        <n v="1512.924"/>
        <n v="289.99450000000002"/>
        <n v="415.73379999999997"/>
        <n v="272.79750000000001"/>
        <n v="1010.2344000000001"/>
        <n v="133.4332"/>
        <n v="734.89150000000006"/>
        <n v="386.38400000000001"/>
        <n v="1943.0928000000001"/>
        <n v="2777.4432000000002"/>
        <n v="374.66759999999999"/>
        <n v="705.78959999999995"/>
        <n v="616.21119999999996"/>
        <n v="339.27079999999995"/>
        <n v="578.11989999999992"/>
        <n v="556.78399999999999"/>
        <n v="1127.3327999999999"/>
        <n v="117.45880000000001"/>
        <n v="792.32599999999991"/>
        <n v="1669.3068000000001"/>
        <n v="1581.2495999999999"/>
        <n v="1235.7372"/>
        <n v="658.46"/>
        <n v="895.30439999999999"/>
        <n v="717.25760000000002"/>
        <n v="2997.6156000000005"/>
        <n v="1636.1117999999999"/>
        <n v="602.25120000000004"/>
        <n v="1605.5052000000001"/>
        <n v="2060.3912"/>
        <n v="2372.5229999999997"/>
        <n v="1027.7357999999999"/>
        <n v="882.57440000000008"/>
        <n v="1674.5058000000001"/>
        <n v="2020.7097000000001"/>
        <n v="225.57600000000002"/>
        <n v="1388.9189999999999"/>
        <n v="3239.3580000000002"/>
        <n v="2404.8024"/>
        <n v="1007.2229999999998"/>
        <n v="115.49999999999999"/>
        <n v="215.14419999999998"/>
        <n v="1239.5605999999998"/>
        <n v="1245.3119999999997"/>
        <n v="379.69919999999996"/>
        <n v="893.38200000000006"/>
        <n v="70.960000000000008"/>
        <n v="803.9944999999999"/>
        <n v="926.7263999999999"/>
        <n v="2762.1429000000003"/>
        <n v="1304.9460000000001"/>
        <n v="548.27499999999998"/>
        <n v="782.17539999999997"/>
        <n v="850.29750000000001"/>
        <n v="3306.1392000000001"/>
        <n v="496.97339999999997"/>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3999999998"/>
        <n v="1194.9503999999999"/>
        <n v="1584.7839999999999"/>
        <n v="193.55719999999999"/>
        <n v="1491.7896000000001"/>
        <n v="300.2022"/>
        <n v="3077.5992000000001"/>
        <n v="1843.04"/>
        <n v="79.775999999999996"/>
        <n v="93.909199999999998"/>
        <n v="193.1234"/>
        <n v="1084.6812"/>
        <n v="455.60099999999994"/>
        <n v="952.84559999999999"/>
        <n v="473.66069999999996"/>
        <n v="485.55839999999995"/>
        <n v="1741.5570000000005"/>
        <n v="2343.4616000000001"/>
        <n v="1620.8255999999999"/>
        <n v="798.55200000000013"/>
        <n v="604.41920000000005"/>
        <n v="109.56239999999998"/>
        <n v="240.55919999999998"/>
        <n v="1241.8799999999999"/>
        <n v="1068.2460000000001"/>
        <n v="2873.8639999999996"/>
        <n v="1217.1579999999999"/>
        <n v="617.29200000000003"/>
        <n v="75.84"/>
        <n v="2555.64"/>
        <n v="762.36819999999989"/>
        <n v="2089.8950999999997"/>
        <n v="137.49599999999998"/>
        <n v="2908.1695999999997"/>
        <n v="541.6191"/>
        <n v="678.84100000000001"/>
        <n v="1301.6094000000001"/>
        <n v="968.17919999999992"/>
        <n v="1087.6734000000001"/>
        <n v="1786.2336"/>
        <n v="522.68399999999997"/>
        <n v="1146.9390000000001"/>
        <n v="780.75299999999993"/>
        <n v="922.20749999999987"/>
        <n v="263.60719999999998"/>
        <n v="2184.5819999999999"/>
        <n v="862.51430000000005"/>
        <n v="2620.7459999999996"/>
        <n v="525.00279999999998"/>
        <n v="381.95639999999997"/>
        <n v="588.49239999999998"/>
        <n v="1661.8031999999998"/>
        <n v="752.86199999999997"/>
        <n v="1175.2415999999998"/>
        <n v="859.7808"/>
        <n v="1909.9607999999998"/>
        <n v="374.34540000000004"/>
        <n v="1146.4796000000001"/>
        <n v="125.8389"/>
        <n v="3576.0383999999999"/>
        <n v="595.97759999999994"/>
        <n v="600.97979999999995"/>
        <n v="1491.4118999999998"/>
        <n v="417.00839999999999"/>
        <n v="558.39019999999994"/>
        <n v="574.12160000000006"/>
        <n v="907.52549999999997"/>
        <n v="390.81599999999997"/>
        <n v="286.22519999999997"/>
        <n v="2281.8532"/>
        <n v="295.4504"/>
        <n v="1199.3580000000002"/>
        <n v="2217.752"/>
        <n v="529.8900000000001"/>
        <n v="1495.74"/>
        <n v="1447.2216000000001"/>
        <n v="2532.3480000000004"/>
        <n v="1825.3247999999999"/>
        <n v="1819.7998"/>
        <n v="1630.0416"/>
        <n v="2123.9856"/>
        <n v="1214.6759999999999"/>
        <n v="1519.6104"/>
        <n v="2416.7088000000003"/>
        <n v="940.1484999999999"/>
        <n v="348.78480000000002"/>
        <n v="672.29899999999998"/>
        <n v="1521.7632000000001"/>
        <n v="1026.048"/>
        <n v="469.60760000000005"/>
        <n v="253.09200000000004"/>
        <n v="2157.2703000000001"/>
        <n v="655.17379999999991"/>
        <n v="358.85850000000005"/>
        <n v="1365.663"/>
        <n v="1303.6895999999999"/>
        <n v="641.41"/>
        <n v="200.9392"/>
        <n v="736.59950000000003"/>
        <n v="1422.492"/>
        <n v="1341.8700000000001"/>
        <n v="2290.4243999999999"/>
        <n v="3143.84"/>
        <n v="494.56799999999998"/>
        <n v="403.06559999999996"/>
        <n v="1562.9289999999999"/>
        <n v="1329.1128000000001"/>
        <n v="111.96119999999999"/>
        <n v="1060.5816"/>
        <n v="180.5814"/>
        <n v="639.54000000000008"/>
        <n v="2176.2280000000001"/>
        <n v="3159.0612000000001"/>
        <n v="1194.7392"/>
        <n v="1481.0512000000001"/>
        <n v="2407.2647999999999"/>
        <n v="388.5"/>
        <n v="2337.75"/>
        <n v="692.27"/>
        <n v="1449.4370574862287"/>
        <n v="2599.5947999999999"/>
        <n v="1330.0703999999998"/>
        <n v="197.68199999999999"/>
        <n v="1519.4975999999999"/>
        <n v="811.07159999999999"/>
        <n v="394.58629999999999"/>
        <n v="581.76959999999997"/>
        <n v="1212.9007999999999"/>
        <n v="1741.5192"/>
        <n v="937.4896"/>
        <n v="2687.5259999999998"/>
        <n v="299.6721"/>
        <n v="177.19200000000004"/>
        <n v="1568.5425"/>
        <n v="346.49400000000003"/>
        <n v="442.79049999999995"/>
        <n v="553.18960000000004"/>
        <n v="2181.4650000000006"/>
        <n v="2175.5252"/>
        <n v="1504.4760000000003"/>
        <n v="154.74360000000001"/>
        <n v="1501.152"/>
        <n v="480.41249999999997"/>
        <n v="491.77099999999996"/>
        <n v="425.41759999999999"/>
        <n v="378.59399999999999"/>
        <n v="1879.0500000000002"/>
        <n v="356.04400000000004"/>
        <n v="1372.2396000000001"/>
        <n v="208.25279999999998"/>
        <n v="1536.6559999999999"/>
        <n v="2703.9888000000001"/>
        <n v="1953.1368"/>
        <n v="1384.2240000000002"/>
        <n v="1283.086"/>
        <n v="2062.8696"/>
        <n v="2156.6952000000001"/>
        <n v="1625.2544"/>
        <n v="326.25600000000003"/>
        <n v="1475.0915999999997"/>
        <n v="1127.0220000000002"/>
        <n v="271.28359999999998"/>
        <n v="2699.0963999999999"/>
        <n v="954.01800000000003"/>
        <n v="72.025200000000012"/>
        <n v="269.21699999999998"/>
        <n v="844.38199999999995"/>
        <n v="2873.9969999999994"/>
        <n v="330.7824"/>
        <n v="199.56780000000001"/>
        <n v="218.49099999999999"/>
        <n v="1552.9793999999999"/>
        <n v="547.17700000000002"/>
        <n v="423.62840000000006"/>
        <n v="831.92750000000001"/>
        <n v="2084.0720000000001"/>
        <n v="1018.3301999999999"/>
        <n v="1098.6659999999999"/>
        <n v="190.54"/>
        <n v="1444.212"/>
        <n v="71.193599999999989"/>
        <n v="750.20309999999995"/>
        <n v="65.155000000000001"/>
        <n v="1174.2947999999999"/>
        <n v="1353.7854"/>
        <n v="1042.491"/>
        <n v="2799.0719999999997"/>
        <n v="2495.4743999999996"/>
        <n v="96.25"/>
        <n v="346.38"/>
        <n v="1032.3600000000001"/>
        <n v="2724.4035000000003"/>
        <n v="339.37560000000002"/>
        <n v="1205.3328000000001"/>
        <n v="2312.2568999999999"/>
        <n v="817.15500000000009"/>
        <n v="1083.7284"/>
        <n v="1321.9596000000001"/>
        <n v="437.37720000000002"/>
        <n v="148.30020000000002"/>
        <n v="833.68399999999997"/>
        <n v="1589.3951999999999"/>
        <n v="2317.1543999999999"/>
        <n v="1446.1376"/>
        <n v="612.16679999999997"/>
        <n v="868.98"/>
        <n v="1492.7882"/>
        <n v="615.32820000000004"/>
        <n v="414.25919999999996"/>
        <n v="2019.6839999999997"/>
        <n v="2199.3450000000003"/>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099999999999"/>
        <n v="1193.2703999999999"/>
        <n v="3265.2919999999999"/>
        <n v="2389.1322"/>
        <n v="2847.6208000000001"/>
        <n v="598.23900000000003"/>
        <n v="1793.2631999999999"/>
        <n v="3225.5819999999999"/>
        <n v="224.60640000000001"/>
        <n v="836.47409999999991"/>
        <n v="299.73420000000004"/>
        <n v="1810.0827999999999"/>
        <n v="972.32960000000003"/>
        <n v="2676.6990000000001"/>
        <n v="2785.7894999999999"/>
        <n v="493.92"/>
        <n v="1320.9660000000001"/>
        <n v="35.053199999999997"/>
        <n v="2266.7328000000002"/>
        <n v="723.25439999999992"/>
        <n v="2989.0783999999999"/>
        <n v="1756.3500000000001"/>
        <n v="558.86249999999995"/>
        <n v="814.74239999999998"/>
        <n v="445.80599999999998"/>
        <n v="648.29939999999999"/>
        <n v="1363.9184"/>
        <n v="1245.4304"/>
        <n v="693.78300000000002"/>
        <n v="1430.6705999999999"/>
        <n v="82.513199999999998"/>
        <n v="1204.6944000000001"/>
        <n v="97.442999999999998"/>
        <n v="1325.9992"/>
        <n v="829.9606"/>
        <n v="2851.3002000000001"/>
        <n v="1298.3026"/>
        <n v="147.76739999999998"/>
        <n v="1176.2549999999999"/>
        <n v="175.48249999999999"/>
        <n v="570.87099999999998"/>
        <n v="592.99919999999997"/>
        <n v="419.92"/>
        <n v="3412.1339999999996"/>
        <n v="3111.192"/>
        <n v="1111.7945999999999"/>
        <n v="587.33360000000005"/>
        <n v="837.23609999999985"/>
        <n v="1597.6239999999998"/>
        <n v="1042.3727999999999"/>
        <n v="129.4"/>
        <n v="1309.4226000000001"/>
        <n v="2548.5263999999997"/>
        <n v="2721.1183999999998"/>
        <n v="1455.2208000000001"/>
        <n v="874.91959999999983"/>
        <n v="2556.1972000000001"/>
        <n v="439.27420000000001"/>
        <n v="513.702"/>
        <n v="566.21899999999994"/>
        <n v="2230.3303999999998"/>
        <n v="216.44739999999996"/>
        <n v="649.51920000000007"/>
        <n v="865.1164"/>
        <n v="1394.5596"/>
        <n v="810.57139999999993"/>
        <n v="1050.2965999999999"/>
        <n v="2148.2759999999994"/>
        <n v="2952.5216"/>
        <n v="773.60919999999999"/>
        <n v="1640.0519999999999"/>
        <n v="1729.4748"/>
        <n v="1372.8879999999999"/>
        <n v="1023.678"/>
        <n v="1182.8481999999999"/>
        <n v="1484.7293999999999"/>
        <n v="1208.27"/>
        <n v="2240.9919999999997"/>
        <n v="615.47840000000008"/>
        <n v="437.76"/>
        <n v="434.05680000000001"/>
        <n v="612.59760000000006"/>
        <n v="79.638499999999993"/>
        <n v="1403.8920000000001"/>
        <n v="3066.6688000000004"/>
        <n v="766.37429999999995"/>
        <n v="2198.1600000000003"/>
        <n v="411.35200000000009"/>
        <n v="426.03600000000006"/>
        <n v="1223.0693999999999"/>
        <n v="24.442600000000002"/>
        <n v="1579.3443000000002"/>
        <n v="235.3212"/>
        <n v="2859.9407999999999"/>
        <n v="645.08080000000007"/>
        <n v="600.95479999999998"/>
        <n v="1733.9049"/>
        <n v="633.14800000000002"/>
        <n v="462.01499999999999"/>
        <n v="1286.56"/>
        <n v="617.38400000000001"/>
        <n v="426.98429999999996"/>
        <n v="678.93999999999994"/>
        <n v="387.59039999999999"/>
        <n v="1115.0047999999999"/>
        <n v="3100.2384000000002"/>
        <n v="1429.2719999999999"/>
        <n v="165.31710000000001"/>
        <n v="1398.2840999999999"/>
        <n v="1357.0372"/>
        <n v="712.50919999999996"/>
        <n v="797.93790000000001"/>
        <n v="569.04399999999998"/>
        <n v="470.61419999999998"/>
        <n v="323.67660000000001"/>
        <n v="933.61599999999999"/>
        <n v="560.37950000000001"/>
        <n v="341.31200000000001"/>
        <n v="573.07000000000005"/>
        <n v="216.69819999999999"/>
        <n v="618.41340000000002"/>
        <n v="1973.6496000000002"/>
        <n v="220.16800000000001"/>
        <n v="54.406799999999997"/>
        <n v="1034.6336000000001"/>
        <n v="139.86799999999999"/>
        <n v="962.47320000000002"/>
        <n v="279.00960000000003"/>
        <n v="701.0544000000001"/>
        <n v="449.65470000000005"/>
        <n v="691.02719999999999"/>
        <n v="620.94600000000003"/>
        <n v="132.35820000000001"/>
        <n v="133.79560000000001"/>
        <n v="2750.1219999999998"/>
        <n v="798.21719999999993"/>
        <n v="1154.6807999999999"/>
        <n v="1813.5174000000002"/>
        <n v="2107.8630000000003"/>
        <n v="70.470799999999997"/>
        <n v="3178.2563999999998"/>
        <n v="769.8975999999999"/>
        <n v="643.78679999999997"/>
        <n v="524.76480000000004"/>
        <n v="1719.4432000000002"/>
        <n v="50.407799999999995"/>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099999999996"/>
        <n v="332.37759999999997"/>
        <n v="1112.79"/>
        <n v="303.08980000000003"/>
        <n v="900.75200000000007"/>
        <n v="460.108"/>
        <n v="2430.6259999999997"/>
        <n v="305.84940000000006"/>
        <n v="2017.5012000000002"/>
        <n v="1267.1328000000001"/>
        <n v="1548.1769999999999"/>
        <n v="1824.2927999999999"/>
        <n v="1111.0344000000002"/>
        <n v="1043.328"/>
        <n v="1553.7023999999999"/>
        <n v="484.60229999999996"/>
        <n v="792.09600000000012"/>
        <n v="1528.4587999999999"/>
        <n v="794.62400000000002"/>
        <n v="2163.1104"/>
        <n v="2509.1999999999998"/>
        <n v="764.55679999999995"/>
        <n v="1331.4911999999999"/>
        <n v="1005.6288000000001"/>
        <n v="1451.7327999999998"/>
        <n v="1279.2354"/>
        <n v="808.65719999999999"/>
        <n v="964.77480000000003"/>
        <n v="787.70069999999998"/>
        <n v="576.7944"/>
        <n v="1385.8367999999998"/>
        <n v="918.92480000000012"/>
        <n v="922.36099999999988"/>
        <n v="1451.7072000000001"/>
        <n v="51.302599999999998"/>
        <n v="1015.32"/>
        <n v="3756.8876"/>
        <n v="1633.056"/>
        <n v="257.03719999999998"/>
        <n v="122.73240000000001"/>
        <n v="31.239000000000001"/>
        <n v="1475.8869999999999"/>
        <n v="867.34800000000007"/>
        <n v="2965.1507999999999"/>
        <n v="243.42149999999998"/>
        <n v="2383.6680000000001"/>
        <n v="2201.7408"/>
        <n v="1793.4336000000001"/>
        <n v="592.20720000000006"/>
        <n v="3271.7496000000001"/>
        <n v="55.216699999999996"/>
        <n v="3400.7339999999995"/>
        <n v="3028.2264"/>
        <n v="1039.1135999999999"/>
        <n v="2080.2770999999998"/>
        <n v="1349.7692"/>
        <n v="92.722300000000004"/>
        <n v="469.6508"/>
        <n v="1376.721"/>
        <n v="796.63200000000006"/>
        <n v="2592.2763"/>
        <n v="54.999000000000002"/>
        <n v="2011.7483999999999"/>
        <n v="2280.0510000000004"/>
        <n v="620.95889999999997"/>
        <n v="1456.4944"/>
        <n v="389.59829999999999"/>
        <n v="2832.9379999999996"/>
        <n v="2651.3568"/>
        <n v="2240.7019999999998"/>
        <n v="275.36080000000004"/>
        <n v="2512.0783999999999"/>
        <n v="1344.7068000000002"/>
        <n v="733.85640000000001"/>
        <n v="499.24359999999996"/>
        <n v="560.18999999999994"/>
        <n v="1172.0625"/>
        <n v="1565.982"/>
        <n v="1045.6292000000001"/>
        <n v="2242.8216000000002"/>
        <n v="615.46699999999998"/>
        <n v="323.35199999999998"/>
        <n v="977.69849999999985"/>
        <n v="3529.1619999999998"/>
        <n v="959.13179999999988"/>
        <n v="68.694199999999995"/>
        <n v="1452.4944"/>
        <n v="1592.3416"/>
        <n v="239.32260000000002"/>
        <n v="246.99600000000001"/>
        <n v="332.02339999999998"/>
        <n v="116.23139999999999"/>
        <n v="655.61040000000003"/>
        <n v="557.68680000000006"/>
        <n v="264.93889999999999"/>
        <n v="1211.0416000000002"/>
        <n v="2681.3406"/>
        <n v="1006.2063000000001"/>
        <n v="2380.7628"/>
        <n v="215.47200000000004"/>
        <n v="165.1584"/>
        <n v="369.73999999999995"/>
        <n v="2286.1343999999999"/>
        <n v="191.88000000000002"/>
        <n v="424.875"/>
        <n v="605.43299999999999"/>
        <n v="426.411"/>
        <n v="710.44"/>
        <n v="1197.9756"/>
        <n v="729.07759999999996"/>
        <n v="3908.2428"/>
        <n v="1547.9168"/>
        <n v="1211.3639999999998"/>
        <n v="1548.0453"/>
        <n v="1768.96"/>
        <n v="1745.2989000000002"/>
        <n v="235.2936"/>
        <n v="2094.8568"/>
        <n v="711.05579999999986"/>
        <n v="739.55970000000002"/>
        <n v="2158.7103999999999"/>
        <n v="67.502399999999994"/>
        <n v="2092.2192"/>
        <n v="198.50560000000002"/>
        <n v="391.77639999999997"/>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5999999999"/>
        <n v="616.54750000000001"/>
        <n v="424.20510000000002"/>
        <n v="695.95499999999993"/>
        <n v="1169.2264"/>
        <n v="268.10360000000003"/>
        <n v="1276.7118"/>
        <n v="1620.8416"/>
        <n v="570.62200000000007"/>
        <n v="1043.8271999999999"/>
        <n v="853.05420000000004"/>
        <n v="1555.9920000000002"/>
        <n v="958.57439999999997"/>
        <n v="320.76"/>
        <n v="810.84600000000012"/>
        <n v="756.54719999999986"/>
        <n v="497.76479999999998"/>
        <n v="2364.6480000000001"/>
        <n v="778.35680000000002"/>
        <n v="447.45299999999992"/>
        <n v="2724.32"/>
        <n v="2488.6336000000001"/>
        <n v="1661.0527999999999"/>
        <n v="527.33479999999997"/>
        <n v="494.99559999999997"/>
        <n v="1143.252"/>
        <n v="3139.3784000000001"/>
        <n v="217.77210000000002"/>
        <n v="1810.56"/>
        <n v="1395.6096"/>
        <n v="1656.395"/>
        <n v="161.238"/>
        <n v="1574.4498000000003"/>
        <n v="207.27929999999998"/>
        <n v="24.7744"/>
        <n v="955.54599999999994"/>
        <n v="3030.5223999999998"/>
        <n v="364.71600000000001"/>
        <n v="84.348600000000005"/>
        <n v="81.673900000000003"/>
        <n v="1089.5351999999998"/>
        <n v="701.4348"/>
        <n v="392.04"/>
        <n v="2811.1181999999999"/>
        <n v="478.66559999999998"/>
        <n v="2881.4259999999999"/>
        <n v="571.38619999999992"/>
        <n v="218.80399999999997"/>
        <n v="1419.0192"/>
        <n v="689.5"/>
        <n v="307.71359999999999"/>
        <n v="2277.2944000000002"/>
        <n v="136.34879999999998"/>
        <n v="392.83789999999999"/>
        <n v="934.32449999999983"/>
        <n v="753.49019999999996"/>
        <n v="2681.1652000000004"/>
        <n v="611.68040000000008"/>
        <n v="317.32470000000001"/>
        <n v="119.7855"/>
        <n v="1951.7436"/>
        <n v="1316.2085999999999"/>
        <n v="101.26079999999999"/>
        <n v="1375.2876000000001"/>
        <n v="2569.1024000000002"/>
        <n v="467.90999999999997"/>
        <n v="999.5920000000001"/>
        <n v="1088.1378000000002"/>
        <n v="407.57679999999999"/>
        <n v="821.92160000000001"/>
        <n v="175.85309999999998"/>
        <n v="366.95340000000004"/>
        <n v="2574.9856"/>
        <n v="1306.4175"/>
        <n v="835.84800000000007"/>
        <n v="612.56039999999996"/>
        <n v="271.59299999999996"/>
        <n v="573.61920000000009"/>
        <n v="1900.2672"/>
        <n v="654.0489"/>
        <n v="230.88040000000001"/>
        <n v="629.36520000000007"/>
        <n v="2148.8543999999997"/>
        <n v="629.96500000000003"/>
        <n v="624.49519999999995"/>
        <n v="1383.2583999999999"/>
        <n v="2081.9225999999999"/>
        <n v="251.04419999999999"/>
        <n v="1936.7024999999999"/>
        <n v="363.09980000000002"/>
        <n v="1247.4551999999999"/>
        <n v="1228.8078"/>
        <n v="261.58000000000004"/>
        <n v="368.83280000000002"/>
        <n v="312.67359999999996"/>
        <n v="846.98459999999989"/>
        <n v="823.27499999999998"/>
        <n v="1646.3879999999999"/>
        <n v="1759.9428"/>
        <n v="427.58760000000001"/>
        <n v="2168.64"/>
        <n v="1245.1189999999999"/>
        <n v="1146.0819999999999"/>
        <n v="868.45639999999992"/>
        <n v="501.91679999999997"/>
        <n v="927.92699999999991"/>
        <n v="2310.0987"/>
        <n v="359.7783"/>
        <n v="355.5342"/>
        <n v="480.75359999999989"/>
        <n v="347.25360000000006"/>
        <n v="84.852000000000004"/>
        <n v="1715.8679999999999"/>
        <n v="1045.2353999999998"/>
        <n v="494.0684"/>
        <n v="1134.4007999999999"/>
        <n v="835.95240000000001"/>
        <n v="1016.0784"/>
        <n v="1609.9962000000003"/>
        <n v="485.51579999999996"/>
        <n v="925.74649999999997"/>
        <n v="1333.4779999999998"/>
        <n v="2729.8292000000001"/>
        <n v="373.59129999999999"/>
        <n v="237.6524"/>
        <n v="902.30399999999997"/>
        <n v="1254.9264000000001"/>
        <n v="1144.4248000000002"/>
        <n v="707.02719999999999"/>
        <n v="2326.4778000000001"/>
        <n v="1314.0072"/>
        <n v="554.35380000000009"/>
        <n v="433.92960000000005"/>
        <n v="563.48699999999997"/>
        <n v="320.04199999999997"/>
        <n v="1643.4792"/>
        <n v="3026.6716000000001"/>
        <n v="531.5616"/>
        <n v="866.04959999999994"/>
        <n v="30.175999999999998"/>
        <n v="463.85820000000001"/>
        <n v="19.480999999999998"/>
        <n v="1509.2351999999998"/>
        <n v="1795.982"/>
        <n v="1186.9680000000001"/>
        <n v="919.29179999999997"/>
        <n v="1149.066"/>
        <n v="611.17420000000004"/>
        <n v="615.79719999999998"/>
        <n v="612.68850000000009"/>
        <n v="891.53279999999995"/>
        <n v="1913.8391999999999"/>
        <n v="2164.6943999999999"/>
        <n v="262.78020000000004"/>
        <n v="800.21129999999994"/>
        <n v="245.80199999999999"/>
        <n v="1686.4275"/>
        <n v="460.96080000000001"/>
        <n v="1555.4619"/>
        <n v="171.45180000000002"/>
        <n v="2579.2651999999998"/>
        <n v="1263.5904"/>
        <n v="907.70659999999998"/>
        <n v="1912.96"/>
        <n v="897.05280000000005"/>
        <n v="1048.1237999999998"/>
        <n v="705.11850000000004"/>
        <n v="1558.4646"/>
        <n v="667.20539999999994"/>
        <n v="1289.3399999999999"/>
        <n v="661.59"/>
        <n v="1278.3675000000001"/>
        <n v="2524.8384000000001"/>
        <n v="1373.2991999999999"/>
        <n v="2250.2979999999998"/>
        <n v="629.74340000000007"/>
        <n v="607.64800000000002"/>
        <n v="2495.2049999999999"/>
        <n v="308.14709999999997"/>
        <n v="1200.9059999999999"/>
        <n v="767.98800000000006"/>
        <n v="139.29"/>
        <n v="1240.8390000000002"/>
        <n v="367.65219999999999"/>
        <n v="802.1579999999999"/>
        <n v="595.14840000000004"/>
        <n v="229.88249999999999"/>
        <n v="2777.1016000000004"/>
        <n v="306.77249999999998"/>
        <n v="1550.5662"/>
        <n v="437.17020000000002"/>
        <n v="1095.8639999999998"/>
        <n v="637.50080000000014"/>
        <n v="1128.9969000000001"/>
        <n v="523.71"/>
        <n v="2240.2799999999997"/>
        <n v="41.875999999999998"/>
        <n v="754.20119999999997"/>
        <n v="991.30199999999979"/>
        <n v="1179.1369999999999"/>
        <n v="1731.4914000000001"/>
        <n v="200.13539999999998"/>
        <n v="1185.4584"/>
        <n v="353.56760000000003"/>
        <n v="389.67399999999998"/>
        <n v="1113.6584"/>
        <n v="383.32800000000003"/>
        <n v="28.044"/>
        <n v="818.46659999999997"/>
        <n v="85.933199999999999"/>
        <n v="695.04819999999995"/>
        <n v="1561.9211999999998"/>
        <n v="139.03119999999998"/>
        <n v="122.9456"/>
        <n v="751.58879999999988"/>
        <n v="493.91449999999992"/>
        <n v="1613.556"/>
        <n v="537.11840000000007"/>
        <n v="621.27"/>
        <n v="867.5"/>
        <n v="272.30130000000003"/>
        <n v="212.83199999999999"/>
        <n v="844.96719999999993"/>
        <n v="3138.6759999999999"/>
        <n v="1375.6759999999999"/>
        <n v="246.77549999999997"/>
        <n v="1748.7384"/>
        <n v="623.19839999999999"/>
        <n v="502.95959999999997"/>
        <n v="520.43039999999996"/>
        <n v="316.22199999999998"/>
        <n v="544.55939999999998"/>
        <n v="56.010599999999997"/>
        <n v="1641.3904"/>
        <n v="107.0748"/>
        <n v="523.66020000000003"/>
        <n v="18.459"/>
        <n v="3205.3728000000001"/>
        <n v="2470.6439999999998"/>
        <n v="474.41449999999998"/>
        <n v="370.75620000000004"/>
        <n v="571.26209999999992"/>
        <n v="934.46460000000013"/>
        <n v="647.2349999999999"/>
        <n v="1060.4369999999999"/>
        <n v="1754.4059999999999"/>
        <n v="1874.787"/>
        <n v="124.33599999999998"/>
        <n v="2746.7712000000001"/>
        <n v="2143.6176"/>
        <n v="2486.2139999999999"/>
        <n v="154.93799999999999"/>
        <n v="2421.7943999999998"/>
        <n v="541.10160000000008"/>
        <n v="844.77059999999994"/>
        <n v="1196.5536"/>
        <n v="1082.835"/>
        <n v="3817.6879999999996"/>
        <n v="267.20600000000002"/>
        <n v="603.71640000000002"/>
        <n v="1866.2720000000002"/>
        <n v="1661.6624999999999"/>
        <n v="1206.6408000000001"/>
        <n v="824.48639999999989"/>
        <n v="1069.5303000000001"/>
        <n v="1968.5753999999999"/>
        <n v="1483.8120000000001"/>
        <n v="345.32480000000004"/>
        <n v="59.593499999999999"/>
        <n v="568.09620000000007"/>
        <n v="671.02289999999994"/>
        <n v="1573.9359999999999"/>
        <n v="488.90660000000003"/>
        <n v="2286.4673999999995"/>
        <n v="1901.4160000000004"/>
        <n v="675.94240000000013"/>
        <n v="2066.3663999999999"/>
        <n v="711.42959999999994"/>
        <n v="443.327"/>
        <n v="1255.8393000000001"/>
        <n v="1583.806"/>
        <n v="355.23840000000001"/>
        <n v="1813.1728000000001"/>
        <n v="2593.9104000000002"/>
        <n v="326.00070000000005"/>
        <n v="803.01599999999996"/>
        <n v="1799.5500000000002"/>
        <n v="113.01280000000001"/>
        <n v="820.89920000000006"/>
        <n v="1968.1116000000002"/>
        <n v="1930.761"/>
        <n v="1733.2565999999997"/>
        <n v="2312.2912000000001"/>
        <n v="1472.5308"/>
        <n v="2090.2723999999998"/>
        <n v="1690.7813999999998"/>
        <n v="1377.6432"/>
        <n v="3133.7256000000002"/>
        <n v="981.97259999999994"/>
        <n v="441.55169999999998"/>
        <n v="476.91659999999996"/>
        <n v="56.880400000000002"/>
        <n v="2408.6664000000001"/>
        <n v="787.28039999999999"/>
        <n v="1087.8444"/>
        <n v="1723.5719999999999"/>
        <n v="584.78399999999988"/>
        <n v="1281.8936999999999"/>
        <n v="2380.4639999999999"/>
        <n v="1304.2181999999998"/>
        <n v="968.16959999999995"/>
        <n v="65.729200000000006"/>
        <n v="1327.8845999999999"/>
        <n v="1805.2736000000002"/>
        <n v="2100.0441000000001"/>
        <n v="3030.424"/>
        <n v="491.32860000000005"/>
        <n v="689.17200000000014"/>
        <n v="1914.8480999999999"/>
        <n v="801.44959999999992"/>
        <n v="359.61380000000003"/>
        <n v="187.14839999999998"/>
        <n v="761.73839999999996"/>
        <n v="680.88400000000001"/>
        <n v="246.5856"/>
        <n v="2862.1208000000001"/>
        <n v="159.3408"/>
        <n v="394.90199999999999"/>
        <n v="453.58170000000001"/>
        <n v="447.82959999999997"/>
        <n v="1638.3912000000003"/>
        <n v="1320.0640000000001"/>
        <n v="828.83359999999993"/>
        <n v="209.65120000000002"/>
        <n v="726.36479999999995"/>
        <n v="373.83839999999998"/>
        <n v="283.7484"/>
        <n v="208.3134"/>
        <n v="1299.8999999999999"/>
        <n v="70.924799999999991"/>
        <n v="721.8119999999999"/>
        <n v="2897.2339999999995"/>
        <n v="262.80799999999999"/>
        <n v="33.129599999999996"/>
        <n v="1871.7185999999999"/>
        <n v="356.18670000000003"/>
        <n v="1230.9501"/>
        <n v="1489.8743999999999"/>
        <n v="1818.3263999999997"/>
        <n v="489.78199999999993"/>
        <n v="509.14980000000008"/>
        <n v="998.18729999999994"/>
        <n v="466.78170000000006"/>
        <n v="698.76"/>
        <n v="1988.568"/>
        <n v="1177.0512000000001"/>
        <n v="680.65200000000004"/>
        <n v="808.64189999999996"/>
        <n v="150.76079999999999"/>
        <n v="626.67989999999998"/>
        <n v="116.39699999999999"/>
        <n v="3181.8919999999998"/>
        <n v="127.39439999999999"/>
        <n v="2826.5159999999996"/>
        <n v="1542.1752000000001"/>
        <n v="467.77279999999996"/>
        <n v="1413.93"/>
        <n v="1066.0736000000002"/>
        <n v="355.71520000000004"/>
        <n v="2404.6821"/>
        <n v="606.73080000000004"/>
        <n v="1173.508"/>
        <n v="1191.6812"/>
        <n v="955.01519999999994"/>
        <n v="1690.3040000000001"/>
        <n v="136.5984"/>
        <n v="1270.7460000000001"/>
        <n v="1968.6941999999999"/>
        <n v="809.04560000000004"/>
        <n v="144.9624"/>
        <n v="1018.668"/>
        <n v="2468.4387000000002"/>
        <n v="2278.3208000000004"/>
        <n v="2291.6432"/>
        <n v="64.895600000000002"/>
        <n v="1266.3559999999998"/>
        <n v="991.26239999999996"/>
        <n v="1742.0255999999999"/>
        <n v="1628.1702"/>
        <n v="1518.6336000000001"/>
        <n v="646.29599999999994"/>
        <n v="197.7336"/>
        <n v="433.77199999999999"/>
        <n v="721.8211"/>
        <n v="1267.6251"/>
        <n v="603.54259999999988"/>
        <n v="1251.5071999999998"/>
        <n v="895.68809999999996"/>
        <n v="946.53000000000009"/>
        <n v="1787.3468999999998"/>
        <n v="528.3066"/>
        <n v="305.94240000000002"/>
        <n v="1369.6744000000001"/>
        <n v="1228.4412"/>
        <n v="1896.72"/>
        <n v="1386.2428"/>
        <n v="478.03020000000004"/>
        <n v="671.89779999999996"/>
        <n v="91.402000000000001"/>
        <n v="591.58360000000005"/>
        <n v="566.42039999999997"/>
        <n v="674.63560000000007"/>
        <n v="155.22719999999998"/>
        <n v="817.21080000000006"/>
        <n v="956.16639999999995"/>
        <n v="664.35"/>
        <n v="353.27340000000004"/>
        <n v="2691.7436000000002"/>
        <n v="763.30799999999999"/>
        <n v="222.26750000000001"/>
        <n v="2135.4168"/>
        <n v="2478.4499999999998"/>
        <n v="1439.1360000000002"/>
        <n v="871.41929999999991"/>
        <n v="1236.48"/>
        <n v="1794.3030000000001"/>
        <n v="199.2928"/>
        <n v="1022.6838"/>
        <n v="810.08579999999995"/>
        <n v="2807.8008"/>
        <n v="616.029"/>
        <n v="1442.76"/>
        <n v="69.273600000000002"/>
        <n v="2263.0068000000001"/>
        <n v="1149.5580000000002"/>
        <n v="803.22879999999998"/>
        <n v="611.20500000000004"/>
        <n v="676.73919999999998"/>
        <n v="514.69319999999993"/>
        <n v="92.848399999999998"/>
        <n v="756.76580000000001"/>
        <n v="2545.44"/>
        <n v="887.56200000000013"/>
        <n v="769.04399999999998"/>
        <n v="780.69119999999998"/>
        <n v="398.95310000000006"/>
        <n v="124.87679999999999"/>
        <n v="2167.9223999999999"/>
        <n v="526.24439999999993"/>
        <n v="435.27359999999999"/>
        <n v="616.50819999999999"/>
        <n v="514.9"/>
        <n v="1156.3725999999999"/>
        <n v="258.822"/>
        <n v="1120.0599"/>
        <n v="131.047"/>
        <n v="2168.9369999999999"/>
        <n v="815.07200000000012"/>
        <n v="1665.6919999999998"/>
        <n v="1570.4165999999998"/>
        <n v="405.32"/>
        <n v="2269.4976000000001"/>
        <n v="3225.9468000000002"/>
        <n v="2107.5246000000002"/>
        <n v="774.18000000000006"/>
        <n v="1080.2103999999999"/>
        <n v="689.38279999999997"/>
        <n v="36.027200000000001"/>
        <n v="600.29549999999995"/>
        <n v="1631.3309999999999"/>
        <n v="649.74"/>
        <n v="231.55500000000001"/>
        <n v="1404.075"/>
        <n v="193.25760000000002"/>
        <n v="1351.3584000000001"/>
        <n v="570.11760000000004"/>
        <n v="52.003"/>
        <n v="1404.0527999999999"/>
        <n v="81.647999999999996"/>
        <n v="385.2996"/>
        <n v="159.87549999999999"/>
        <n v="352.59300000000002"/>
        <n v="403.58849999999995"/>
        <n v="449.51400000000001"/>
        <n v="1187.1780000000001"/>
        <n v="1175.4168"/>
        <n v="3440.0272"/>
        <n v="645.30080000000009"/>
        <n v="190.7064"/>
        <n v="906.23660000000007"/>
        <n v="1482.0798"/>
        <n v="2102.424"/>
        <n v="1219.2570000000001"/>
        <n v="1655.7169999999999"/>
        <n v="422.01300000000003"/>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7999999998"/>
        <n v="889.30799999999999"/>
        <n v="661.7595"/>
        <n v="1845.9660000000001"/>
        <n v="1828.1119999999999"/>
        <n v="593.79"/>
        <n v="1900.1135999999999"/>
        <n v="2950.14"/>
        <n v="821.35159999999996"/>
        <n v="1756.5324000000001"/>
        <n v="1568.943"/>
        <n v="548.06200000000001"/>
        <n v="954.06080000000009"/>
        <n v="1194.9028000000001"/>
        <n v="3220.3444000000004"/>
        <n v="40.976100000000002"/>
        <n v="189.61760000000001"/>
        <n v="264.91500000000002"/>
        <n v="1369.1215999999999"/>
        <n v="331.17"/>
        <n v="1275.799"/>
        <n v="1926.1499999999999"/>
        <n v="1370.5231999999999"/>
        <n v="679.18619999999999"/>
        <n v="1053.7550999999999"/>
        <n v="333.85089999999997"/>
        <n v="819.71759999999995"/>
        <n v="1187.8980000000001"/>
        <n v="2093.6735999999996"/>
        <n v="202.9836"/>
        <n v="32.659199999999998"/>
        <n v="1031.7507000000001"/>
        <n v="1746.712"/>
        <n v="1754.94"/>
        <n v="530.21159999999998"/>
        <n v="2035.854"/>
        <n v="361.45919999999995"/>
        <n v="953.45100000000014"/>
        <n v="685.3069999999999"/>
        <n v="584.04599999999994"/>
        <n v="530.14499999999998"/>
        <n v="3721.52"/>
        <n v="665.51679999999999"/>
        <n v="229.35640000000001"/>
        <n v="800.58119999999997"/>
        <n v="122.968"/>
        <n v="1363.4543999999999"/>
        <n v="912.00359999999989"/>
        <n v="112.4496"/>
        <n v="1287.6084000000001"/>
        <n v="3602.7264"/>
        <n v="1538.4005999999999"/>
        <n v="82.54679999999999"/>
        <n v="1417.8240000000001"/>
        <n v="213.70899999999997"/>
        <n v="800.33699999999999"/>
        <n v="333.04919999999998"/>
        <n v="514.29959999999994"/>
        <n v="2299.5983999999999"/>
        <n v="2013.7872"/>
        <n v="1228.4895000000001"/>
        <n v="77.022000000000006"/>
        <n v="2560"/>
        <n v="262.51499999999999"/>
        <n v="158.50749999999999"/>
        <n v="2205.0239999999999"/>
        <n v="1538.942"/>
        <n v="909.83199999999999"/>
        <n v="194.17860000000002"/>
        <n v="2566.4040000000005"/>
        <n v="786.19040000000007"/>
        <n v="1125.896"/>
        <n v="1715.0595000000003"/>
        <n v="887.30400000000009"/>
        <n v="800.72879999999998"/>
        <n v="2859.2927999999997"/>
        <n v="570.78420000000006"/>
        <n v="2481.5216"/>
        <n v="2358.1584000000003"/>
        <n v="445.10400000000004"/>
        <n v="1371.5503999999999"/>
        <n v="673.875"/>
        <n v="223.87280000000001"/>
        <n v="574.10699999999997"/>
        <n v="529.88580000000002"/>
        <n v="929.16320000000007"/>
        <n v="1071.904"/>
        <n v="763.97759999999994"/>
        <n v="712.59749999999985"/>
        <n v="2013.5178000000001"/>
        <n v="1438.8352"/>
        <n v="213.55880000000002"/>
        <n v="1925.8532999999998"/>
        <n v="1146.6272000000001"/>
        <n v="64.878399999999999"/>
        <n v="36.225000000000001"/>
        <n v="1537.404"/>
        <n v="1548.9465"/>
        <n v="1969.9560000000001"/>
        <n v="1659.9756"/>
        <n v="1280.115"/>
        <n v="150.79019999999997"/>
        <n v="812.75739999999996"/>
        <n v="1005.3216"/>
        <n v="590.84100000000001"/>
        <n v="1040.2404000000001"/>
        <n v="2182.4464000000003"/>
        <n v="105.47280000000001"/>
        <n v="343.6694"/>
        <n v="103.93110000000001"/>
        <n v="900.59199999999998"/>
        <n v="1505.2576000000001"/>
        <n v="926.40100000000007"/>
        <n v="242.03899999999996"/>
        <n v="1627.4390999999998"/>
        <n v="138.4229"/>
        <n v="1774.3439999999998"/>
        <n v="1477.5"/>
        <n v="615.74040000000002"/>
        <n v="2774.6132000000002"/>
        <n v="450.52399999999994"/>
        <n v="2549.4840000000004"/>
        <n v="1359.5925"/>
        <n v="1373.7650999999998"/>
        <n v="502.62120000000004"/>
        <n v="1861.9879999999998"/>
        <n v="1904.5439999999999"/>
        <n v="273.52260000000001"/>
        <n v="95.408200000000008"/>
        <n v="700.5544000000001"/>
        <n v="257.24009999999998"/>
        <n v="2460.3707999999997"/>
        <n v="142.52520000000001"/>
        <n v="287.38800000000003"/>
        <n v="2760.5439999999999"/>
        <n v="54.489599999999996"/>
        <n v="1448.7520000000002"/>
        <n v="469.00079999999997"/>
        <n v="1741.3500000000001"/>
        <n v="1482.1807999999999"/>
        <n v="634.17840000000001"/>
        <n v="3034.2824000000001"/>
        <n v="1867.9205999999999"/>
        <n v="2839.6248000000001"/>
        <n v="1602.7068000000002"/>
        <n v="2281.14"/>
        <n v="1451.6960999999999"/>
        <n v="1792.1180999999999"/>
        <n v="954.76499999999999"/>
        <n v="1142.4972"/>
        <n v="396.23039999999992"/>
        <n v="3019.2287999999999"/>
        <n v="342.92250000000001"/>
        <n v="2100.7728000000002"/>
        <n v="523.77599999999995"/>
        <n v="372.0299"/>
        <n v="1311.4192"/>
        <n v="2487.3809999999994"/>
        <n v="373.66559999999998"/>
        <n v="192.88499999999999"/>
        <n v="1171.2978000000001"/>
        <n v="255.88800000000003"/>
        <n v="377.10980000000001"/>
        <n v="2585.8643999999999"/>
        <n v="2367.1499999999996"/>
        <n v="570.52"/>
        <n v="969.66480000000013"/>
        <n v="848.82439999999997"/>
        <n v="487.18800000000005"/>
        <n v="896.04000000000019"/>
        <n v="46.216799999999999"/>
        <n v="586.71719999999993"/>
        <n v="2033.9406000000001"/>
        <n v="2576.2301999999995"/>
        <n v="736.66800000000001"/>
        <n v="1022.2128"/>
        <n v="547.74720000000002"/>
        <n v="813.04719999999998"/>
        <n v="48.101500000000001"/>
        <n v="2906.5679999999998"/>
        <n v="898.8216000000001"/>
        <n v="311.43279999999999"/>
        <n v="1005.3944"/>
        <n v="1512.2267999999999"/>
        <n v="1176.4535999999998"/>
        <n v="291.5822"/>
        <n v="513.81359999999995"/>
        <n v="359.50400000000002"/>
        <n v="1392.2716"/>
        <n v="577.82339999999999"/>
        <n v="103.8609"/>
        <n v="457.73699999999997"/>
        <n v="758.38120000000004"/>
        <n v="127.2171"/>
        <n v="2110.1255999999998"/>
        <n v="449.03950000000003"/>
        <n v="384.11039999999997"/>
        <n v="372.28499999999997"/>
        <n v="241.03399999999999"/>
        <n v="1832.3790000000001"/>
        <n v="1813.0716000000002"/>
        <n v="538.5634"/>
        <n v="2163.7056000000002"/>
        <n v="794.45699999999999"/>
        <n v="888.0444"/>
        <n v="1169.6238000000001"/>
        <n v="269.87190000000004"/>
        <n v="925.18960000000004"/>
        <n v="1685.1572999999999"/>
        <n v="660.11400000000003"/>
        <n v="726.80000000000007"/>
        <n v="1272.5920000000001"/>
        <n v="542.57100000000003"/>
        <n v="411.71490000000006"/>
        <n v="229.023"/>
        <n v="2234.7188000000001"/>
        <n v="1138.83"/>
        <n v="1677.4904000000001"/>
        <n v="599.58359999999993"/>
        <n v="101.38859999999998"/>
        <n v="3316.16"/>
        <n v="125.8888"/>
        <n v="1023.33"/>
        <n v="1984.7356"/>
        <n v="713.4"/>
        <n v="1249.5005999999998"/>
        <n v="340.06259999999997"/>
        <n v="1171.2287999999999"/>
        <n v="728.12040000000002"/>
        <n v="2107.4004"/>
        <n v="1818.4914000000001"/>
        <n v="1283.2404000000001"/>
        <n v="323.56099999999998"/>
        <n v="339.42459999999994"/>
        <n v="172.76669999999999"/>
        <n v="1974.2418"/>
        <n v="971.39200000000005"/>
        <n v="519.15329999999994"/>
        <n v="953.55000000000007"/>
        <n v="165.84470000000002"/>
        <n v="297.28919999999999"/>
        <n v="1523.124"/>
        <n v="730.19159999999999"/>
        <n v="1657.5456000000001"/>
        <n v="3228.8759999999997"/>
        <n v="1426.6979999999999"/>
        <n v="1450.8899999999999"/>
        <n v="360.85560000000004"/>
        <n v="1972.92"/>
        <n v="86.285399999999996"/>
        <n v="2748.2224000000001"/>
        <n v="272.62179999999995"/>
        <n v="426.12240000000003"/>
        <n v="799.13340000000005"/>
        <n v="2026.1829000000002"/>
        <n v="1395.6948"/>
        <n v="1583.0316"/>
        <n v="2801.768"/>
        <n v="1857.2175999999999"/>
        <n v="3745.8047999999999"/>
        <n v="1776.5285999999999"/>
        <n v="1905.1725000000001"/>
        <n v="1462.0030000000002"/>
        <n v="113.33579999999999"/>
        <n v="90.479799999999997"/>
        <n v="325.54419999999999"/>
        <n v="535.35019999999997"/>
        <n v="678.60799999999995"/>
        <n v="1352.0759999999998"/>
        <n v="347.82000000000005"/>
        <n v="81.619199999999992"/>
        <n v="1536.7440000000001"/>
        <n v="1846.08"/>
        <n v="541.66739999999993"/>
        <n v="2467.4495999999999"/>
        <n v="419.46480000000003"/>
        <n v="891.87199999999996"/>
        <n v="1740.6279999999999"/>
        <n v="714.41759999999999"/>
        <n v="3293.5448000000001"/>
        <n v="529.74900000000002"/>
        <n v="2728.2024000000001"/>
        <n v="333.81279999999998"/>
        <n v="312.08049999999997"/>
        <n v="1032.0812999999998"/>
        <n v="683.00099999999998"/>
        <n v="2974.6440000000002"/>
        <n v="818.42499999999995"/>
        <n v="435.34199999999998"/>
        <n v="871.39699999999993"/>
        <n v="344.53680000000003"/>
        <n v="502.51319999999998"/>
        <n v="515.9325"/>
        <n v="2101.0626000000002"/>
        <n v="359.19650000000001"/>
        <n v="857.1"/>
        <n v="1112.9536000000001"/>
        <n v="413.5335"/>
        <n v="2010.6432"/>
        <n v="444.61439999999993"/>
        <n v="1533.8240000000001"/>
        <n v="1081.0134"/>
        <n v="618.69359999999995"/>
        <n v="377.28"/>
        <n v="1630.3392000000001"/>
        <n v="229.3109"/>
        <n v="189.21599999999998"/>
        <n v="692.38839999999993"/>
        <n v="1884.54"/>
        <n v="906.50339999999994"/>
        <n v="716.1336"/>
        <n v="137.69699999999997"/>
        <n v="1345.6368"/>
        <n v="148.49160000000001"/>
        <n v="2936.0144000000005"/>
        <n v="328.02"/>
        <n v="944.47099999999989"/>
        <n v="126.5916"/>
        <n v="1579.7805000000001"/>
        <n v="682.55600000000004"/>
        <n v="1877.6688000000001"/>
        <n v="1289.6100000000001"/>
        <n v="1631.2854"/>
        <n v="392.02720000000005"/>
        <n v="576.97299999999996"/>
        <n v="953.48760000000004"/>
        <n v="1136.7583999999999"/>
        <n v="468.78320000000002"/>
        <n v="385.67880000000002"/>
        <n v="1084.7936"/>
        <n v="1616.8104000000001"/>
        <n v="753.50399999999991"/>
        <n v="184.22909999999999"/>
        <n v="2801.19"/>
        <n v="1587.4997999999998"/>
        <n v="2465.9856"/>
        <n v="189.244"/>
        <n v="1898.2482"/>
        <n v="860.31959999999992"/>
        <n v="1220.0220000000002"/>
        <n v="1261.6379999999999"/>
        <n v="3332.0888"/>
        <n v="502.10699999999997"/>
        <n v="269.01659999999998"/>
        <n v="1823.1948"/>
        <n v="905.85"/>
        <n v="2019.6945000000001"/>
        <n v="980.35440000000006"/>
        <n v="136.09960000000001"/>
        <n v="641.91689999999994"/>
        <n v="248.17829999999998"/>
        <n v="230.12520000000001"/>
        <n v="169.72800000000001"/>
        <n v="37.327999999999996"/>
        <n v="2474.2080000000001"/>
        <n v="1065.4896000000001"/>
        <n v="706.77879999999993"/>
        <n v="3393.88"/>
        <n v="878.50620000000004"/>
        <n v="958.95360000000005"/>
        <n v="287.39620000000002"/>
        <n v="487.8535"/>
        <n v="129.72479999999999"/>
        <n v="1407.6018000000001"/>
        <n v="349.22249999999997"/>
        <n v="1243.1224"/>
        <n v="661.47080000000005"/>
        <n v="1081.04"/>
        <n v="1023.264"/>
        <n v="77.293200000000013"/>
        <n v="1302.3671999999999"/>
        <n v="2677.0619999999999"/>
        <n v="2434.0672"/>
        <n v="2733.2267999999999"/>
        <n v="361.16200000000003"/>
        <n v="1758.2940000000001"/>
        <n v="605.50099999999998"/>
        <n v="362.32350000000002"/>
        <n v="1455.1326000000001"/>
        <n v="2320.2783999999997"/>
        <n v="324.03000000000003"/>
        <n v="1202.4012"/>
        <n v="863.60260000000005"/>
        <n v="167.76"/>
        <n v="579.24950000000001"/>
        <n v="1578.9780000000001"/>
        <n v="758.03660000000002"/>
        <n v="140.72"/>
        <n v="1176.9449999999999"/>
        <n v="229.61399999999998"/>
        <n v="2103.1763999999998"/>
        <n v="1801.4190000000003"/>
        <n v="221.61"/>
        <n v="727.28659999999991"/>
        <n v="1758.4811999999997"/>
        <n v="84.527199999999993"/>
        <n v="2155.2719999999999"/>
        <n v="104.6199"/>
        <n v="384.4665"/>
        <n v="1398.712"/>
        <n v="1250.8044"/>
        <n v="104.227"/>
        <n v="1340.0001999999999"/>
        <n v="299.4939"/>
        <n v="226.22539999999998"/>
        <n v="902.25379999999996"/>
        <n v="390.95980000000003"/>
        <n v="2280.3668999999995"/>
        <n v="2291.73"/>
        <n v="1155.2436"/>
        <n v="511.35"/>
        <n v="125.1588"/>
        <n v="1523.0639999999999"/>
        <n v="1423.7184"/>
        <n v="642.90499999999997"/>
        <n v="174.40440000000001"/>
        <n v="1939.2012"/>
        <n v="2249.4911999999999"/>
        <n v="456.14399999999995"/>
        <n v="57.389600000000002"/>
        <n v="781.61599999999999"/>
        <n v="1348.2149999999999"/>
        <n v="607.86720000000003"/>
        <n v="314.82319999999999"/>
        <n v="1688.3247999999999"/>
        <n v="398.23939999999999"/>
        <n v="587.1508"/>
        <n v="705.5856"/>
        <n v="768.46379999999999"/>
        <n v="173.5488"/>
        <n v="308.78999999999996"/>
        <n v="435.0138"/>
        <n v="646.99899999999991"/>
        <n v="1207.7604000000001"/>
        <n v="1469.8718999999999"/>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8999999999995"/>
        <n v="2280.0664000000002"/>
        <n v="196.67339999999999"/>
        <n v="719.27200000000005"/>
        <n v="649.89"/>
        <n v="454.01639999999998"/>
        <n v="1367.1368000000002"/>
        <n v="581.58359999999993"/>
        <n v="1253.0011999999999"/>
        <n v="1017.7703999999999"/>
        <n v="1666.9499999999998"/>
        <n v="188.78959999999998"/>
        <n v="2797.8164999999999"/>
        <n v="1544.9434000000001"/>
        <n v="1746.96"/>
        <n v="1321.5336"/>
        <n v="60.392199999999995"/>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59999999998"/>
        <n v="837.42119999999989"/>
        <n v="2439.2983999999997"/>
        <n v="111.14339999999999"/>
        <n v="2083.8664000000003"/>
        <n v="1802.1120000000001"/>
        <n v="1701.7506000000001"/>
        <n v="1554.5838000000001"/>
        <n v="53.817999999999998"/>
        <n v="2671.74"/>
        <n v="497.16419999999999"/>
        <n v="605.76"/>
        <n v="3502.9688000000001"/>
        <n v="271.17919999999998"/>
        <n v="263.04629999999997"/>
        <n v="52.150800000000004"/>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6000000002"/>
        <n v="727.81799999999998"/>
        <n v="413.07300000000004"/>
        <n v="922.9692"/>
        <n v="336.45780000000002"/>
        <n v="2798.4132"/>
        <n v="1303.3905"/>
        <n v="1113.8820000000001"/>
        <n v="2700.3312000000001"/>
        <n v="130.93199999999999"/>
        <n v="2483.2799999999997"/>
        <n v="514.3424"/>
        <n v="973.02799999999991"/>
        <n v="1347.7384"/>
        <n v="1624.4892"/>
        <n v="428.89699999999999"/>
        <n v="303.81139999999999"/>
        <n v="3237.0575999999996"/>
        <n v="2243.3928000000001"/>
        <n v="72.799600000000012"/>
        <n v="1744.8368"/>
        <n v="883.71660000000008"/>
        <n v="1629.7616"/>
        <n v="1616.2151999999999"/>
        <n v="24.13"/>
        <n v="510.22019999999998"/>
        <n v="529.67700000000002"/>
        <n v="102.172"/>
        <n v="2409.8215999999998"/>
        <n v="1810.8324"/>
        <n v="50.048000000000002"/>
        <n v="1276.6416000000002"/>
        <n v="1418.3784000000001"/>
        <n v="2031.7927999999997"/>
        <n v="2407.0583999999999"/>
        <n v="1058.1600000000001"/>
        <n v="380.84580000000005"/>
        <n v="865.03629999999998"/>
        <n v="649.60500000000002"/>
        <n v="1748.5209"/>
        <n v="609.45839999999998"/>
        <n v="2922.2952"/>
        <n v="545.68079999999998"/>
        <n v="99.269200000000012"/>
        <n v="1025.8499999999999"/>
        <n v="1140.4559999999999"/>
        <n v="508.88639999999998"/>
        <n v="1181.7432000000001"/>
        <n v="1566.5663999999999"/>
        <n v="568.61479999999995"/>
        <n v="1208.2027999999998"/>
        <n v="493.64279999999997"/>
        <n v="2065.5935999999997"/>
        <n v="199.79610000000002"/>
        <n v="880.66160000000002"/>
        <n v="93.8232"/>
        <n v="3539.8656000000001"/>
        <n v="1595.0951999999997"/>
        <n v="1815.7539999999999"/>
        <n v="1308.5928000000001"/>
        <n v="782.16000000000008"/>
        <n v="1876.3151999999998"/>
        <n v="982.22879999999998"/>
        <n v="517.89649999999995"/>
        <n v="198.7782"/>
        <n v="1814.9831999999999"/>
        <n v="1278.4895999999999"/>
        <n v="339.2466"/>
        <n v="1343.0315999999998"/>
        <n v="361.49579999999997"/>
        <n v="318.30760000000004"/>
        <n v="751.27260000000001"/>
        <n v="615.08299999999997"/>
        <n v="153.11149999999998"/>
        <n v="1123.434"/>
        <n v="354.56400000000002"/>
        <n v="553.68640000000005"/>
        <n v="1078.8173999999999"/>
        <n v="790.76589999999999"/>
        <n v="2462.34"/>
        <n v="940.69"/>
        <n v="1347.4560000000001"/>
        <n v="763.15719999999999"/>
        <n v="285.83940000000001"/>
        <n v="2324.556"/>
        <n v="1232.952"/>
        <n v="341.00299999999999"/>
        <n v="1737.9912000000002"/>
        <n v="1765.1759999999999"/>
        <n v="127.794"/>
        <n v="491.46989999999994"/>
        <n v="133.339"/>
        <n v="487.74599999999998"/>
        <n v="2145.7484999999997"/>
        <n v="1575.0724"/>
        <n v="1635.2615999999998"/>
        <n v="236.73719999999997"/>
        <n v="488.71679999999998"/>
        <n v="2315.8519999999999"/>
        <n v="1267.9744000000001"/>
        <n v="981.9864"/>
        <n v="442.61489999999998"/>
        <n v="989.93680000000006"/>
        <n v="551.25900000000001"/>
        <n v="43.144199999999998"/>
        <n v="1210.8714"/>
        <n v="2943.5296000000003"/>
        <n v="1058.4480000000001"/>
        <n v="1695.3074999999999"/>
        <n v="2141.8500000000004"/>
        <n v="1287.3599999999999"/>
        <n v="328.75240000000002"/>
        <n v="1958.144"/>
        <n v="39.974000000000004"/>
        <n v="654.36559999999997"/>
        <n v="3032.6559999999999"/>
        <n v="166.82489999999999"/>
        <n v="465.83199999999999"/>
        <n v="188.04239999999999"/>
        <n v="614.07420000000002"/>
        <n v="1664.8109999999999"/>
        <n v="1657.0092"/>
        <n v="127.29599999999999"/>
        <n v="1720.7438000000002"/>
        <n v="1503.1768"/>
        <n v="102.37520000000001"/>
        <n v="791.88479999999993"/>
        <n v="2319.4512"/>
        <n v="1296.2609999999997"/>
        <n v="910.2636"/>
        <n v="794.50919999999996"/>
        <n v="2458.46"/>
        <n v="749.03039999999999"/>
        <n v="2224.2815999999998"/>
        <n v="774.57599999999991"/>
        <n v="34.178399999999996"/>
        <n v="2396.0798999999997"/>
        <n v="1624.443"/>
        <n v="910.36439999999993"/>
        <n v="537.38969999999995"/>
        <n v="758.24"/>
        <n v="773.03039999999999"/>
        <n v="1558.9272000000003"/>
        <n v="948.69359999999983"/>
        <n v="96.459199999999996"/>
        <n v="2871.3679999999999"/>
        <n v="483.94639999999998"/>
        <n v="2916.42"/>
        <n v="1146.8154"/>
        <n v="2819.0063999999998"/>
        <n v="2650.2920000000004"/>
        <n v="2235.4788000000003"/>
        <n v="459.28839999999997"/>
        <n v="464.42550000000006"/>
        <n v="562.35899999999992"/>
        <n v="725.3442"/>
        <n v="1894.08"/>
        <n v="650.91600000000005"/>
        <n v="143.24040000000002"/>
        <n v="1093.2938000000001"/>
        <n v="1487.4636"/>
        <n v="64.125600000000006"/>
        <n v="383.00200000000001"/>
        <n v="3339.8263999999999"/>
        <n v="122.1327"/>
        <n v="571.63920000000007"/>
        <n v="625.46579999999994"/>
        <n v="838.12279999999998"/>
        <n v="1061.9099999999999"/>
        <n v="146.57920000000001"/>
        <n v="2350.4887999999996"/>
        <n v="128.95680000000002"/>
        <n v="2282.9664000000002"/>
        <n v="1956.0321000000004"/>
        <n v="93.653999999999996"/>
        <n v="319.07840000000004"/>
        <n v="1549.9155000000001"/>
        <n v="1307.3345999999999"/>
        <n v="2829.7227999999996"/>
        <n v="232.42320000000001"/>
        <n v="2084.3328000000001"/>
        <n v="984.37"/>
        <n v="418.15840000000003"/>
        <n v="38.003799999999998"/>
        <n v="1046.5488"/>
        <n v="1356.8850000000002"/>
        <n v="502.75240000000002"/>
        <n v="793.38690000000008"/>
        <n v="2075.913"/>
        <n v="2513.8984"/>
        <n v="895.53420000000006"/>
        <n v="1443.2418"/>
        <n v="762.00299999999993"/>
        <n v="223.59199999999998"/>
        <n v="846.74879999999996"/>
        <n v="757.16760000000011"/>
        <n v="709.12709999999993"/>
        <n v="810.09719999999993"/>
        <n v="942.22800000000007"/>
        <n v="1099.76"/>
        <n v="47.621200000000002"/>
        <n v="1505.1168"/>
        <n v="855.98310000000004"/>
        <n v="1734.18"/>
        <n v="1662.5311999999999"/>
        <n v="1184.8899999999999"/>
        <n v="559.79949999999997"/>
        <n v="630.1866"/>
        <n v="355.2448"/>
        <n v="2373.462"/>
        <n v="579.58840000000009"/>
        <n v="626.37120000000004"/>
        <n v="715.30049999999994"/>
        <n v="134.95679999999999"/>
        <n v="994.48200000000008"/>
        <n v="1301.8757999999998"/>
        <n v="574.88300000000004"/>
        <n v="2139.3312000000001"/>
        <n v="274.45229999999998"/>
        <n v="1706.4299999999998"/>
        <n v="599.471"/>
        <n v="1070.7619999999999"/>
        <n v="591.70319999999992"/>
        <n v="2504.067"/>
        <n v="270.51639999999998"/>
        <n v="1128.732"/>
        <n v="1119.4092000000001"/>
        <n v="259.37630000000001"/>
        <n v="729.39"/>
        <n v="591.30719999999997"/>
        <n v="340.2"/>
        <n v="2779.5931999999998"/>
        <n v="548.52240000000006"/>
        <n v="1034.7035999999998"/>
        <n v="1532.3904"/>
        <n v="1648.6679999999999"/>
        <n v="786.03139999999996"/>
        <n v="887.86320000000001"/>
        <n v="2935.8252000000002"/>
        <n v="1882.1952000000003"/>
        <n v="1120.4750999999999"/>
        <n v="493.05959999999999"/>
        <n v="637.37399999999991"/>
        <n v="163.5744"/>
        <n v="1051.7360000000001"/>
        <n v="3242.1668"/>
        <n v="322.98989999999998"/>
        <n v="51.138399999999997"/>
        <n v="817.79430000000002"/>
        <n v="1313.1166000000001"/>
        <n v="509.75910000000005"/>
        <n v="78.586799999999997"/>
        <n v="889.83"/>
        <n v="366.858"/>
        <n v="565.90890000000002"/>
        <n v="64.799499999999995"/>
        <n v="1264.335"/>
        <n v="346.48399999999998"/>
        <n v="1564.0115999999998"/>
        <n v="592.50740000000008"/>
        <n v="1510.7189999999998"/>
        <n v="1106.3093999999999"/>
        <n v="700.40520000000004"/>
        <n v="320.892"/>
        <n v="2704.4700000000003"/>
        <n v="506.709"/>
        <n v="595.41"/>
        <n v="953.38679999999999"/>
        <n v="2317.6384000000003"/>
        <n v="88.814799999999991"/>
        <n v="316.89359999999999"/>
        <n v="545.48239999999998"/>
        <n v="757.39"/>
        <n v="152.2801"/>
        <n v="1755.5384000000001"/>
        <n v="2155.2228"/>
        <n v="905.23"/>
        <n v="274.03110000000004"/>
        <n v="2391.4527000000003"/>
        <n v="1014.2588"/>
        <n v="2694.3045000000002"/>
        <n v="170.44050000000001"/>
      </sharedItems>
    </cacheField>
    <cacheField name="Loyalty Level" numFmtId="0">
      <sharedItems count="6">
        <s v="Gold"/>
        <s v="Platinum"/>
        <s v="Silver"/>
        <s v="Bronze"/>
        <s v="Not Found"/>
        <s v="UNKNOWN"/>
      </sharedItems>
    </cacheField>
    <cacheField name="Age" numFmtId="0">
      <sharedItems containsMixedTypes="1" containsNumber="1" containsInteger="1" minValue="18" maxValue="64" count="48">
        <n v="55"/>
        <n v="63"/>
        <n v="49"/>
        <n v="58"/>
        <n v="28"/>
        <n v="18"/>
        <n v="24"/>
        <n v="41"/>
        <n v="60"/>
        <s v="Not Found"/>
        <n v="21"/>
        <n v="34"/>
        <n v="51"/>
        <n v="37"/>
        <n v="38"/>
        <n v="22"/>
        <n v="43"/>
        <n v="62"/>
        <n v="25"/>
        <n v="33"/>
        <n v="53"/>
        <n v="50"/>
        <n v="42"/>
        <n v="30"/>
        <n v="27"/>
        <n v="23"/>
        <n v="54"/>
        <n v="39"/>
        <n v="46"/>
        <n v="19"/>
        <n v="59"/>
        <n v="29"/>
        <n v="36"/>
        <n v="26"/>
        <n v="47"/>
        <n v="61"/>
        <n v="45"/>
        <n v="48"/>
        <n v="35"/>
        <n v="52"/>
        <n v="32"/>
        <n v="44"/>
        <n v="64"/>
        <n v="20"/>
        <n v="40"/>
        <n v="56"/>
        <n v="31"/>
        <n v="57"/>
      </sharedItems>
    </cacheField>
    <cacheField name="Gender" numFmtId="0">
      <sharedItems count="3">
        <s v="Male"/>
        <s v="Female"/>
        <e v="#N/A"/>
      </sharedItems>
    </cacheField>
    <cacheField name="Product category" numFmtId="0">
      <sharedItems count="6">
        <s v="Sports"/>
        <s v="Electronics"/>
        <s v="Beauty"/>
        <s v="Home"/>
        <s v="Clothing"/>
        <s v="OTHERS"/>
      </sharedItems>
    </cacheField>
  </cacheFields>
  <extLst>
    <ext xmlns:x14="http://schemas.microsoft.com/office/spreadsheetml/2009/9/main" uri="{725AE2AE-9491-48be-B2B4-4EB974FC3084}">
      <x14:pivotCacheDefinition pivotCacheId="17925061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ie Ebin" refreshedDate="46278.969304976854" createdVersion="8" refreshedVersion="8" minRefreshableVersion="3" recordCount="2000" xr:uid="{401B4A17-8E3A-49D1-8ECA-DE71AC951891}">
  <cacheSource type="worksheet">
    <worksheetSource name="Sales_fact"/>
  </cacheSource>
  <cacheFields count="18">
    <cacheField name="Sales_ID" numFmtId="0">
      <sharedItems/>
    </cacheField>
    <cacheField name="Order_Date" numFmtId="164">
      <sharedItems containsSemiMixedTypes="0" containsNonDate="0" containsDate="1" containsString="0" minDate="2023-10-14T00:00:00" maxDate="2025-10-14T00:00:00"/>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0">
      <sharedItems containsString="0" containsBlank="1" containsNumber="1" containsInteger="1" minValue="1" maxValue="4"/>
    </cacheField>
    <cacheField name="Quantity1" numFmtId="0">
      <sharedItems containsSemiMixedTypes="0" containsString="0" containsNumber="1" containsInteger="1" minValue="1" maxValue="4"/>
    </cacheField>
    <cacheField name="Unit_Price" numFmtId="0">
      <sharedItems containsString="0" containsBlank="1" containsNumber="1" minValue="20.09" maxValue="999.89"/>
    </cacheField>
    <cacheField name="UNIT Price" numFmtId="0">
      <sharedItems containsSemiMixedTypes="0" containsString="0" containsNumber="1" minValue="20.09" maxValue="999.89"/>
    </cacheField>
    <cacheField name="Discount" numFmtId="0">
      <sharedItems containsString="0" containsBlank="1" containsNumber="1" minValue="0" maxValue="0.3"/>
    </cacheField>
    <cacheField name="Discount2" numFmtId="0">
      <sharedItems containsSemiMixedTypes="0" containsString="0" containsNumber="1" minValue="0" maxValue="0.3"/>
    </cacheField>
    <cacheField name="Payment_Type" numFmtId="0">
      <sharedItems count="3">
        <s v="Credit Card"/>
        <s v="PayPal"/>
        <s v="COD"/>
      </sharedItems>
    </cacheField>
    <cacheField name="Total_Amount" numFmtId="0">
      <sharedItems containsString="0" containsBlank="1" containsNumber="1" minValue="18.459" maxValue="3908.2428"/>
    </cacheField>
    <cacheField name="Total Amount" numFmtId="0">
      <sharedItems containsSemiMixedTypes="0" containsString="0" containsNumber="1" minValue="18.459" maxValue="3908.2428" count="2000">
        <n v="198.41640000000001"/>
        <n v="228.78929999999997"/>
        <n v="2742.1499999999996"/>
        <n v="774.0684"/>
        <n v="1833.4379999999999"/>
        <n v="357.23430000000002"/>
        <n v="1335.0269999999998"/>
        <n v="1054.5611999999999"/>
        <n v="833.74499999999989"/>
        <n v="1344.6818000000001"/>
        <n v="259.1259"/>
        <n v="952.57439999999997"/>
        <n v="2552.5368000000003"/>
        <n v="443.65999999999997"/>
        <n v="1145.8548000000001"/>
        <n v="1672.9728"/>
        <n v="677.97"/>
        <n v="774.14260000000002"/>
        <n v="838.84500000000003"/>
        <n v="1973.7015250876309"/>
        <n v="2159.4276"/>
        <n v="459.85679999999996"/>
        <n v="2850.1121999999996"/>
        <n v="661.73760000000004"/>
        <n v="216.50399999999996"/>
        <n v="2933.3224"/>
        <n v="562.17600000000004"/>
        <n v="2030.5701000000001"/>
        <n v="132.09379999999999"/>
        <n v="767.83900000000006"/>
        <n v="373.56060000000002"/>
        <n v="288.98239999999998"/>
        <n v="1154.8943999999999"/>
        <n v="1219.4269999999999"/>
        <n v="1432.0808000000002"/>
        <n v="354.32640000000004"/>
        <n v="1409.9903999999999"/>
        <n v="266.65440000000001"/>
        <n v="2764.8031999999998"/>
        <n v="1105.3432"/>
        <n v="1625.3796"/>
        <n v="945.21720000000016"/>
        <n v="1537.452"/>
        <n v="1242.8784000000001"/>
        <n v="322.3528"/>
        <n v="1050.5040000000001"/>
        <n v="393.5686"/>
        <n v="116.77079999999999"/>
        <n v="372.33359999999999"/>
        <n v="707.77440000000013"/>
        <n v="190.83600000000001"/>
        <n v="169.98539999999997"/>
        <n v="1387.7588848272403"/>
        <n v="783.30449999999996"/>
        <n v="1592.4947999999997"/>
        <n v="783.59400000000005"/>
        <n v="1567.356"/>
        <n v="979.43039999999996"/>
        <n v="2640.3119999999999"/>
        <n v="767.17410000000007"/>
        <n v="180.93530000000001"/>
        <n v="307.43440000000004"/>
        <n v="412.66719999999998"/>
        <n v="230.60300000000001"/>
        <n v="1425.7782"/>
        <n v="1301.9864"/>
        <n v="2670.7400000000002"/>
        <n v="791.33600000000001"/>
        <n v="204.93440000000001"/>
        <n v="1706.1695999999999"/>
        <n v="199.23839999999998"/>
        <n v="1243.0379999999998"/>
        <n v="503.97620000000006"/>
        <n v="968.18819999999994"/>
        <n v="166.482"/>
        <n v="2156.5544"/>
        <n v="1029.4649999999999"/>
        <n v="502.10860000000002"/>
        <n v="1512.924"/>
        <n v="289.99450000000002"/>
        <n v="415.73379999999997"/>
        <n v="272.79750000000001"/>
        <n v="1010.2344000000001"/>
        <n v="133.4332"/>
        <n v="734.89150000000006"/>
        <n v="386.38400000000001"/>
        <n v="1943.0928000000001"/>
        <n v="2777.4432000000002"/>
        <n v="374.66759999999999"/>
        <n v="705.78959999999995"/>
        <n v="616.21119999999996"/>
        <n v="339.27079999999995"/>
        <n v="578.11989999999992"/>
        <n v="556.78399999999999"/>
        <n v="1127.3327999999999"/>
        <n v="117.45880000000001"/>
        <n v="792.32599999999991"/>
        <n v="1669.3068000000001"/>
        <n v="1581.2495999999999"/>
        <n v="1235.7372"/>
        <n v="658.46"/>
        <n v="895.30439999999999"/>
        <n v="717.25760000000002"/>
        <n v="2997.6156000000005"/>
        <n v="1636.1117999999999"/>
        <n v="602.25120000000004"/>
        <n v="1605.5052000000001"/>
        <n v="2060.3912"/>
        <n v="2372.5229999999997"/>
        <n v="1027.7357999999999"/>
        <n v="882.57440000000008"/>
        <n v="1674.5058000000001"/>
        <n v="2020.7097000000001"/>
        <n v="225.57600000000002"/>
        <n v="1388.9189999999999"/>
        <n v="3239.3580000000002"/>
        <n v="2404.8024"/>
        <n v="1007.2229999999998"/>
        <n v="115.49999999999999"/>
        <n v="215.14419999999998"/>
        <n v="1239.5605999999998"/>
        <n v="1245.3119999999997"/>
        <n v="379.69919999999996"/>
        <n v="893.38200000000006"/>
        <n v="70.960000000000008"/>
        <n v="803.9944999999999"/>
        <n v="926.7263999999999"/>
        <n v="2762.1429000000003"/>
        <n v="1304.9460000000001"/>
        <n v="548.27499999999998"/>
        <n v="782.17539999999997"/>
        <n v="850.29750000000001"/>
        <n v="3306.1392000000001"/>
        <n v="496.97339999999997"/>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3999999998"/>
        <n v="1194.9503999999999"/>
        <n v="1584.7839999999999"/>
        <n v="193.55719999999999"/>
        <n v="1491.7896000000001"/>
        <n v="300.2022"/>
        <n v="3077.5992000000001"/>
        <n v="1843.04"/>
        <n v="79.775999999999996"/>
        <n v="93.909199999999998"/>
        <n v="193.1234"/>
        <n v="1084.6812"/>
        <n v="455.60099999999994"/>
        <n v="952.84559999999999"/>
        <n v="473.66069999999996"/>
        <n v="485.55839999999995"/>
        <n v="1741.5570000000005"/>
        <n v="2343.4616000000001"/>
        <n v="1620.8255999999999"/>
        <n v="798.55200000000013"/>
        <n v="604.41920000000005"/>
        <n v="109.56239999999998"/>
        <n v="240.55919999999998"/>
        <n v="1241.8799999999999"/>
        <n v="1068.2460000000001"/>
        <n v="2873.8639999999996"/>
        <n v="1217.1579999999999"/>
        <n v="617.29200000000003"/>
        <n v="75.84"/>
        <n v="2555.64"/>
        <n v="762.36819999999989"/>
        <n v="2089.8950999999997"/>
        <n v="137.49599999999998"/>
        <n v="2908.1695999999997"/>
        <n v="541.6191"/>
        <n v="678.84100000000001"/>
        <n v="1301.6094000000001"/>
        <n v="968.17919999999992"/>
        <n v="1087.6734000000001"/>
        <n v="1786.2336"/>
        <n v="522.68399999999997"/>
        <n v="1146.9390000000001"/>
        <n v="780.75299999999993"/>
        <n v="922.20749999999987"/>
        <n v="263.60719999999998"/>
        <n v="2184.5819999999999"/>
        <n v="862.51430000000005"/>
        <n v="2620.7459999999996"/>
        <n v="525.00279999999998"/>
        <n v="381.95639999999997"/>
        <n v="588.49239999999998"/>
        <n v="1661.8031999999998"/>
        <n v="752.86199999999997"/>
        <n v="1175.2415999999998"/>
        <n v="859.7808"/>
        <n v="1909.9607999999998"/>
        <n v="374.34540000000004"/>
        <n v="1146.4796000000001"/>
        <n v="125.8389"/>
        <n v="3576.0383999999999"/>
        <n v="595.97759999999994"/>
        <n v="600.97979999999995"/>
        <n v="1491.4118999999998"/>
        <n v="417.00839999999999"/>
        <n v="558.39019999999994"/>
        <n v="574.12160000000006"/>
        <n v="907.52549999999997"/>
        <n v="390.81599999999997"/>
        <n v="286.22519999999997"/>
        <n v="2281.8532"/>
        <n v="295.4504"/>
        <n v="1199.3580000000002"/>
        <n v="2217.752"/>
        <n v="529.8900000000001"/>
        <n v="1495.74"/>
        <n v="1447.2216000000001"/>
        <n v="2532.3480000000004"/>
        <n v="1825.3247999999999"/>
        <n v="1819.7998"/>
        <n v="1630.0416"/>
        <n v="2123.9856"/>
        <n v="1214.6759999999999"/>
        <n v="1519.6104"/>
        <n v="2416.7088000000003"/>
        <n v="940.1484999999999"/>
        <n v="348.78480000000002"/>
        <n v="672.29899999999998"/>
        <n v="1521.7632000000001"/>
        <n v="1026.048"/>
        <n v="469.60760000000005"/>
        <n v="253.09200000000004"/>
        <n v="2157.2703000000001"/>
        <n v="655.17379999999991"/>
        <n v="358.85850000000005"/>
        <n v="1365.663"/>
        <n v="1303.6895999999999"/>
        <n v="641.41"/>
        <n v="200.9392"/>
        <n v="736.59950000000003"/>
        <n v="1422.492"/>
        <n v="1341.8700000000001"/>
        <n v="2290.4243999999999"/>
        <n v="3143.84"/>
        <n v="494.56799999999998"/>
        <n v="403.06559999999996"/>
        <n v="1562.9289999999999"/>
        <n v="1329.1128000000001"/>
        <n v="111.96119999999999"/>
        <n v="1060.5816"/>
        <n v="180.5814"/>
        <n v="639.54000000000008"/>
        <n v="2176.2280000000001"/>
        <n v="3159.0612000000001"/>
        <n v="1194.7392"/>
        <n v="1481.0512000000001"/>
        <n v="2407.2647999999999"/>
        <n v="388.5"/>
        <n v="2337.75"/>
        <n v="692.27"/>
        <n v="1449.4370574862287"/>
        <n v="2599.5947999999999"/>
        <n v="1330.0703999999998"/>
        <n v="197.68199999999999"/>
        <n v="1519.4975999999999"/>
        <n v="811.07159999999999"/>
        <n v="394.58629999999999"/>
        <n v="581.76959999999997"/>
        <n v="1212.9007999999999"/>
        <n v="1741.5192"/>
        <n v="937.4896"/>
        <n v="2687.5259999999998"/>
        <n v="299.6721"/>
        <n v="177.19200000000004"/>
        <n v="1568.5425"/>
        <n v="346.49400000000003"/>
        <n v="442.79049999999995"/>
        <n v="553.18960000000004"/>
        <n v="2181.4650000000006"/>
        <n v="2175.5252"/>
        <n v="1504.4760000000003"/>
        <n v="154.74360000000001"/>
        <n v="1501.152"/>
        <n v="480.41249999999997"/>
        <n v="491.77099999999996"/>
        <n v="425.41759999999999"/>
        <n v="378.59399999999999"/>
        <n v="1879.0500000000002"/>
        <n v="356.04400000000004"/>
        <n v="1372.2396000000001"/>
        <n v="208.25279999999998"/>
        <n v="1536.6559999999999"/>
        <n v="2703.9888000000001"/>
        <n v="1953.1368"/>
        <n v="1384.2240000000002"/>
        <n v="1283.086"/>
        <n v="2062.8696"/>
        <n v="2156.6952000000001"/>
        <n v="1625.2544"/>
        <n v="326.25600000000003"/>
        <n v="1475.0915999999997"/>
        <n v="1127.0220000000002"/>
        <n v="271.28359999999998"/>
        <n v="2699.0963999999999"/>
        <n v="954.01800000000003"/>
        <n v="72.025200000000012"/>
        <n v="269.21699999999998"/>
        <n v="844.38199999999995"/>
        <n v="2873.9969999999994"/>
        <n v="330.7824"/>
        <n v="199.56780000000001"/>
        <n v="218.49099999999999"/>
        <n v="1552.9793999999999"/>
        <n v="547.17700000000002"/>
        <n v="423.62840000000006"/>
        <n v="831.92750000000001"/>
        <n v="2084.0720000000001"/>
        <n v="1018.3301999999999"/>
        <n v="1098.6659999999999"/>
        <n v="190.54"/>
        <n v="1444.212"/>
        <n v="71.193599999999989"/>
        <n v="750.20309999999995"/>
        <n v="65.155000000000001"/>
        <n v="1174.2947999999999"/>
        <n v="1353.7854"/>
        <n v="1042.491"/>
        <n v="2799.0719999999997"/>
        <n v="2495.4743999999996"/>
        <n v="96.25"/>
        <n v="346.38"/>
        <n v="1032.3600000000001"/>
        <n v="2724.4035000000003"/>
        <n v="339.37560000000002"/>
        <n v="1205.3328000000001"/>
        <n v="2312.2568999999999"/>
        <n v="817.15500000000009"/>
        <n v="1083.7284"/>
        <n v="1321.9596000000001"/>
        <n v="437.37720000000002"/>
        <n v="148.30020000000002"/>
        <n v="833.68399999999997"/>
        <n v="1589.3951999999999"/>
        <n v="2317.1543999999999"/>
        <n v="1446.1376"/>
        <n v="612.16679999999997"/>
        <n v="868.98"/>
        <n v="1492.7882"/>
        <n v="615.32820000000004"/>
        <n v="414.25919999999996"/>
        <n v="2019.6839999999997"/>
        <n v="2199.3450000000003"/>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099999999999"/>
        <n v="1193.2703999999999"/>
        <n v="3265.2919999999999"/>
        <n v="2389.1322"/>
        <n v="2847.6208000000001"/>
        <n v="598.23900000000003"/>
        <n v="1793.2631999999999"/>
        <n v="3225.5819999999999"/>
        <n v="224.60640000000001"/>
        <n v="836.47409999999991"/>
        <n v="299.73420000000004"/>
        <n v="1810.0827999999999"/>
        <n v="972.32960000000003"/>
        <n v="2676.6990000000001"/>
        <n v="2785.7894999999999"/>
        <n v="493.92"/>
        <n v="1320.9660000000001"/>
        <n v="35.053199999999997"/>
        <n v="2266.7328000000002"/>
        <n v="723.25439999999992"/>
        <n v="2989.0783999999999"/>
        <n v="1756.3500000000001"/>
        <n v="558.86249999999995"/>
        <n v="814.74239999999998"/>
        <n v="445.80599999999998"/>
        <n v="648.29939999999999"/>
        <n v="1363.9184"/>
        <n v="1245.4304"/>
        <n v="693.78300000000002"/>
        <n v="1430.6705999999999"/>
        <n v="82.513199999999998"/>
        <n v="1204.6944000000001"/>
        <n v="97.442999999999998"/>
        <n v="1325.9992"/>
        <n v="829.9606"/>
        <n v="2851.3002000000001"/>
        <n v="1298.3026"/>
        <n v="147.76739999999998"/>
        <n v="1176.2549999999999"/>
        <n v="175.48249999999999"/>
        <n v="570.87099999999998"/>
        <n v="592.99919999999997"/>
        <n v="419.92"/>
        <n v="3412.1339999999996"/>
        <n v="3111.192"/>
        <n v="1111.7945999999999"/>
        <n v="587.33360000000005"/>
        <n v="837.23609999999985"/>
        <n v="1597.6239999999998"/>
        <n v="1042.3727999999999"/>
        <n v="129.4"/>
        <n v="1309.4226000000001"/>
        <n v="2548.5263999999997"/>
        <n v="2721.1183999999998"/>
        <n v="1455.2208000000001"/>
        <n v="874.91959999999983"/>
        <n v="2556.1972000000001"/>
        <n v="439.27420000000001"/>
        <n v="513.702"/>
        <n v="566.21899999999994"/>
        <n v="2230.3303999999998"/>
        <n v="216.44739999999996"/>
        <n v="649.51920000000007"/>
        <n v="865.1164"/>
        <n v="1394.5596"/>
        <n v="810.57139999999993"/>
        <n v="1050.2965999999999"/>
        <n v="2148.2759999999994"/>
        <n v="2952.5216"/>
        <n v="773.60919999999999"/>
        <n v="1640.0519999999999"/>
        <n v="1729.4748"/>
        <n v="1372.8879999999999"/>
        <n v="1023.678"/>
        <n v="1182.8481999999999"/>
        <n v="1484.7293999999999"/>
        <n v="1208.27"/>
        <n v="2240.9919999999997"/>
        <n v="615.47840000000008"/>
        <n v="437.76"/>
        <n v="434.05680000000001"/>
        <n v="612.59760000000006"/>
        <n v="79.638499999999993"/>
        <n v="1403.8920000000001"/>
        <n v="3066.6688000000004"/>
        <n v="766.37429999999995"/>
        <n v="2198.1600000000003"/>
        <n v="411.35200000000009"/>
        <n v="426.03600000000006"/>
        <n v="1223.0693999999999"/>
        <n v="24.442600000000002"/>
        <n v="1579.3443000000002"/>
        <n v="235.3212"/>
        <n v="2859.9407999999999"/>
        <n v="645.08080000000007"/>
        <n v="600.95479999999998"/>
        <n v="1733.9049"/>
        <n v="633.14800000000002"/>
        <n v="462.01499999999999"/>
        <n v="1286.56"/>
        <n v="617.38400000000001"/>
        <n v="426.98429999999996"/>
        <n v="678.93999999999994"/>
        <n v="387.59039999999999"/>
        <n v="1115.0047999999999"/>
        <n v="3100.2384000000002"/>
        <n v="1429.2719999999999"/>
        <n v="165.31710000000001"/>
        <n v="1398.2840999999999"/>
        <n v="1357.0372"/>
        <n v="712.50919999999996"/>
        <n v="797.93790000000001"/>
        <n v="569.04399999999998"/>
        <n v="470.61419999999998"/>
        <n v="323.67660000000001"/>
        <n v="933.61599999999999"/>
        <n v="560.37950000000001"/>
        <n v="341.31200000000001"/>
        <n v="573.07000000000005"/>
        <n v="216.69819999999999"/>
        <n v="618.41340000000002"/>
        <n v="1973.6496000000002"/>
        <n v="220.16800000000001"/>
        <n v="54.406799999999997"/>
        <n v="1034.6336000000001"/>
        <n v="139.86799999999999"/>
        <n v="962.47320000000002"/>
        <n v="279.00960000000003"/>
        <n v="701.0544000000001"/>
        <n v="449.65470000000005"/>
        <n v="691.02719999999999"/>
        <n v="620.94600000000003"/>
        <n v="132.35820000000001"/>
        <n v="133.79560000000001"/>
        <n v="2750.1219999999998"/>
        <n v="798.21719999999993"/>
        <n v="1154.6807999999999"/>
        <n v="1813.5174000000002"/>
        <n v="2107.8630000000003"/>
        <n v="70.470799999999997"/>
        <n v="3178.2563999999998"/>
        <n v="769.8975999999999"/>
        <n v="643.78679999999997"/>
        <n v="524.76480000000004"/>
        <n v="1719.4432000000002"/>
        <n v="50.407799999999995"/>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099999999996"/>
        <n v="332.37759999999997"/>
        <n v="1112.79"/>
        <n v="303.08980000000003"/>
        <n v="900.75200000000007"/>
        <n v="460.108"/>
        <n v="2430.6259999999997"/>
        <n v="305.84940000000006"/>
        <n v="2017.5012000000002"/>
        <n v="1267.1328000000001"/>
        <n v="1548.1769999999999"/>
        <n v="1824.2927999999999"/>
        <n v="1111.0344000000002"/>
        <n v="1043.328"/>
        <n v="1553.7023999999999"/>
        <n v="484.60229999999996"/>
        <n v="792.09600000000012"/>
        <n v="1528.4587999999999"/>
        <n v="794.62400000000002"/>
        <n v="2163.1104"/>
        <n v="2509.1999999999998"/>
        <n v="764.55679999999995"/>
        <n v="1331.4911999999999"/>
        <n v="1005.6288000000001"/>
        <n v="1451.7327999999998"/>
        <n v="1279.2354"/>
        <n v="808.65719999999999"/>
        <n v="964.77480000000003"/>
        <n v="787.70069999999998"/>
        <n v="576.7944"/>
        <n v="1385.8367999999998"/>
        <n v="918.92480000000012"/>
        <n v="922.36099999999988"/>
        <n v="1451.7072000000001"/>
        <n v="51.302599999999998"/>
        <n v="1015.32"/>
        <n v="3756.8876"/>
        <n v="1633.056"/>
        <n v="257.03719999999998"/>
        <n v="122.73240000000001"/>
        <n v="31.239000000000001"/>
        <n v="1475.8869999999999"/>
        <n v="867.34800000000007"/>
        <n v="2965.1507999999999"/>
        <n v="243.42149999999998"/>
        <n v="2383.6680000000001"/>
        <n v="2201.7408"/>
        <n v="1793.4336000000001"/>
        <n v="592.20720000000006"/>
        <n v="3271.7496000000001"/>
        <n v="55.216699999999996"/>
        <n v="3400.7339999999995"/>
        <n v="3028.2264"/>
        <n v="1039.1135999999999"/>
        <n v="2080.2770999999998"/>
        <n v="1349.7692"/>
        <n v="92.722300000000004"/>
        <n v="469.6508"/>
        <n v="1376.721"/>
        <n v="796.63200000000006"/>
        <n v="2592.2763"/>
        <n v="54.999000000000002"/>
        <n v="2011.7483999999999"/>
        <n v="2280.0510000000004"/>
        <n v="620.95889999999997"/>
        <n v="1456.4944"/>
        <n v="389.59829999999999"/>
        <n v="2832.9379999999996"/>
        <n v="2651.3568"/>
        <n v="2240.7019999999998"/>
        <n v="275.36080000000004"/>
        <n v="2512.0783999999999"/>
        <n v="1344.7068000000002"/>
        <n v="733.85640000000001"/>
        <n v="499.24359999999996"/>
        <n v="560.18999999999994"/>
        <n v="1172.0625"/>
        <n v="1565.982"/>
        <n v="1045.6292000000001"/>
        <n v="2242.8216000000002"/>
        <n v="615.46699999999998"/>
        <n v="323.35199999999998"/>
        <n v="977.69849999999985"/>
        <n v="3529.1619999999998"/>
        <n v="959.13179999999988"/>
        <n v="68.694199999999995"/>
        <n v="1452.4944"/>
        <n v="1592.3416"/>
        <n v="239.32260000000002"/>
        <n v="246.99600000000001"/>
        <n v="332.02339999999998"/>
        <n v="116.23139999999999"/>
        <n v="655.61040000000003"/>
        <n v="557.68680000000006"/>
        <n v="264.93889999999999"/>
        <n v="1211.0416000000002"/>
        <n v="2681.3406"/>
        <n v="1006.2063000000001"/>
        <n v="2380.7628"/>
        <n v="215.47200000000004"/>
        <n v="165.1584"/>
        <n v="369.73999999999995"/>
        <n v="2286.1343999999999"/>
        <n v="191.88000000000002"/>
        <n v="424.875"/>
        <n v="605.43299999999999"/>
        <n v="426.411"/>
        <n v="710.44"/>
        <n v="1197.9756"/>
        <n v="729.07759999999996"/>
        <n v="3908.2428"/>
        <n v="1547.9168"/>
        <n v="1211.3639999999998"/>
        <n v="1548.0453"/>
        <n v="1768.96"/>
        <n v="1745.2989000000002"/>
        <n v="235.2936"/>
        <n v="2094.8568"/>
        <n v="711.05579999999986"/>
        <n v="739.55970000000002"/>
        <n v="2158.7103999999999"/>
        <n v="67.502399999999994"/>
        <n v="2092.2192"/>
        <n v="198.50560000000002"/>
        <n v="391.77639999999997"/>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5999999999"/>
        <n v="616.54750000000001"/>
        <n v="424.20510000000002"/>
        <n v="695.95499999999993"/>
        <n v="1169.2264"/>
        <n v="268.10360000000003"/>
        <n v="1276.7118"/>
        <n v="1620.8416"/>
        <n v="570.62200000000007"/>
        <n v="1043.8271999999999"/>
        <n v="853.05420000000004"/>
        <n v="1555.9920000000002"/>
        <n v="958.57439999999997"/>
        <n v="320.76"/>
        <n v="810.84600000000012"/>
        <n v="756.54719999999986"/>
        <n v="497.76479999999998"/>
        <n v="2364.6480000000001"/>
        <n v="778.35680000000002"/>
        <n v="447.45299999999992"/>
        <n v="2724.32"/>
        <n v="2488.6336000000001"/>
        <n v="1661.0527999999999"/>
        <n v="527.33479999999997"/>
        <n v="494.99559999999997"/>
        <n v="1143.252"/>
        <n v="3139.3784000000001"/>
        <n v="217.77210000000002"/>
        <n v="1810.56"/>
        <n v="1395.6096"/>
        <n v="1656.395"/>
        <n v="161.238"/>
        <n v="1574.4498000000003"/>
        <n v="207.27929999999998"/>
        <n v="24.7744"/>
        <n v="955.54599999999994"/>
        <n v="3030.5223999999998"/>
        <n v="364.71600000000001"/>
        <n v="84.348600000000005"/>
        <n v="81.673900000000003"/>
        <n v="1089.5351999999998"/>
        <n v="701.4348"/>
        <n v="392.04"/>
        <n v="2811.1181999999999"/>
        <n v="478.66559999999998"/>
        <n v="2881.4259999999999"/>
        <n v="571.38619999999992"/>
        <n v="218.80399999999997"/>
        <n v="1419.0192"/>
        <n v="689.5"/>
        <n v="307.71359999999999"/>
        <n v="2277.2944000000002"/>
        <n v="136.34879999999998"/>
        <n v="392.83789999999999"/>
        <n v="934.32449999999983"/>
        <n v="753.49019999999996"/>
        <n v="2681.1652000000004"/>
        <n v="611.68040000000008"/>
        <n v="317.32470000000001"/>
        <n v="119.7855"/>
        <n v="1951.7436"/>
        <n v="1316.2085999999999"/>
        <n v="101.26079999999999"/>
        <n v="1375.2876000000001"/>
        <n v="2569.1024000000002"/>
        <n v="467.90999999999997"/>
        <n v="999.5920000000001"/>
        <n v="1088.1378000000002"/>
        <n v="407.57679999999999"/>
        <n v="821.92160000000001"/>
        <n v="175.85309999999998"/>
        <n v="366.95340000000004"/>
        <n v="2574.9856"/>
        <n v="1306.4175"/>
        <n v="835.84800000000007"/>
        <n v="612.56039999999996"/>
        <n v="271.59299999999996"/>
        <n v="573.61920000000009"/>
        <n v="1900.2672"/>
        <n v="654.0489"/>
        <n v="230.88040000000001"/>
        <n v="629.36520000000007"/>
        <n v="2148.8543999999997"/>
        <n v="629.96500000000003"/>
        <n v="624.49519999999995"/>
        <n v="1383.2583999999999"/>
        <n v="2081.9225999999999"/>
        <n v="251.04419999999999"/>
        <n v="1936.7024999999999"/>
        <n v="363.09980000000002"/>
        <n v="1247.4551999999999"/>
        <n v="1228.8078"/>
        <n v="261.58000000000004"/>
        <n v="368.83280000000002"/>
        <n v="312.67359999999996"/>
        <n v="846.98459999999989"/>
        <n v="823.27499999999998"/>
        <n v="1646.3879999999999"/>
        <n v="1759.9428"/>
        <n v="427.58760000000001"/>
        <n v="2168.64"/>
        <n v="1245.1189999999999"/>
        <n v="1146.0819999999999"/>
        <n v="868.45639999999992"/>
        <n v="501.91679999999997"/>
        <n v="927.92699999999991"/>
        <n v="2310.0987"/>
        <n v="359.7783"/>
        <n v="355.5342"/>
        <n v="480.75359999999989"/>
        <n v="347.25360000000006"/>
        <n v="84.852000000000004"/>
        <n v="1715.8679999999999"/>
        <n v="1045.2353999999998"/>
        <n v="494.0684"/>
        <n v="1134.4007999999999"/>
        <n v="835.95240000000001"/>
        <n v="1016.0784"/>
        <n v="1609.9962000000003"/>
        <n v="485.51579999999996"/>
        <n v="925.74649999999997"/>
        <n v="1333.4779999999998"/>
        <n v="2729.8292000000001"/>
        <n v="373.59129999999999"/>
        <n v="237.6524"/>
        <n v="902.30399999999997"/>
        <n v="1254.9264000000001"/>
        <n v="1144.4248000000002"/>
        <n v="707.02719999999999"/>
        <n v="2326.4778000000001"/>
        <n v="1314.0072"/>
        <n v="554.35380000000009"/>
        <n v="433.92960000000005"/>
        <n v="563.48699999999997"/>
        <n v="320.04199999999997"/>
        <n v="1643.4792"/>
        <n v="3026.6716000000001"/>
        <n v="531.5616"/>
        <n v="866.04959999999994"/>
        <n v="30.175999999999998"/>
        <n v="463.85820000000001"/>
        <n v="19.480999999999998"/>
        <n v="1509.2351999999998"/>
        <n v="1795.982"/>
        <n v="1186.9680000000001"/>
        <n v="919.29179999999997"/>
        <n v="1149.066"/>
        <n v="611.17420000000004"/>
        <n v="615.79719999999998"/>
        <n v="612.68850000000009"/>
        <n v="891.53279999999995"/>
        <n v="1913.8391999999999"/>
        <n v="2164.6943999999999"/>
        <n v="262.78020000000004"/>
        <n v="800.21129999999994"/>
        <n v="245.80199999999999"/>
        <n v="1686.4275"/>
        <n v="460.96080000000001"/>
        <n v="1555.4619"/>
        <n v="171.45180000000002"/>
        <n v="2579.2651999999998"/>
        <n v="1263.5904"/>
        <n v="907.70659999999998"/>
        <n v="1912.96"/>
        <n v="897.05280000000005"/>
        <n v="1048.1237999999998"/>
        <n v="705.11850000000004"/>
        <n v="1558.4646"/>
        <n v="667.20539999999994"/>
        <n v="1289.3399999999999"/>
        <n v="661.59"/>
        <n v="1278.3675000000001"/>
        <n v="2524.8384000000001"/>
        <n v="1373.2991999999999"/>
        <n v="2250.2979999999998"/>
        <n v="629.74340000000007"/>
        <n v="607.64800000000002"/>
        <n v="2495.2049999999999"/>
        <n v="308.14709999999997"/>
        <n v="1200.9059999999999"/>
        <n v="767.98800000000006"/>
        <n v="139.29"/>
        <n v="1240.8390000000002"/>
        <n v="367.65219999999999"/>
        <n v="802.1579999999999"/>
        <n v="595.14840000000004"/>
        <n v="229.88249999999999"/>
        <n v="2777.1016000000004"/>
        <n v="306.77249999999998"/>
        <n v="1550.5662"/>
        <n v="437.17020000000002"/>
        <n v="1095.8639999999998"/>
        <n v="637.50080000000014"/>
        <n v="1128.9969000000001"/>
        <n v="523.71"/>
        <n v="2240.2799999999997"/>
        <n v="41.875999999999998"/>
        <n v="754.20119999999997"/>
        <n v="991.30199999999979"/>
        <n v="1179.1369999999999"/>
        <n v="1731.4914000000001"/>
        <n v="200.13539999999998"/>
        <n v="1185.4584"/>
        <n v="353.56760000000003"/>
        <n v="389.67399999999998"/>
        <n v="1113.6584"/>
        <n v="383.32800000000003"/>
        <n v="28.044"/>
        <n v="818.46659999999997"/>
        <n v="85.933199999999999"/>
        <n v="695.04819999999995"/>
        <n v="1561.9211999999998"/>
        <n v="139.03119999999998"/>
        <n v="122.9456"/>
        <n v="751.58879999999988"/>
        <n v="493.91449999999992"/>
        <n v="1613.556"/>
        <n v="537.11840000000007"/>
        <n v="621.27"/>
        <n v="867.5"/>
        <n v="272.30130000000003"/>
        <n v="212.83199999999999"/>
        <n v="844.96719999999993"/>
        <n v="3138.6759999999999"/>
        <n v="1375.6759999999999"/>
        <n v="246.77549999999997"/>
        <n v="1748.7384"/>
        <n v="623.19839999999999"/>
        <n v="502.95959999999997"/>
        <n v="520.43039999999996"/>
        <n v="316.22199999999998"/>
        <n v="544.55939999999998"/>
        <n v="56.010599999999997"/>
        <n v="1641.3904"/>
        <n v="107.0748"/>
        <n v="523.66020000000003"/>
        <n v="18.459"/>
        <n v="3205.3728000000001"/>
        <n v="2470.6439999999998"/>
        <n v="474.41449999999998"/>
        <n v="370.75620000000004"/>
        <n v="571.26209999999992"/>
        <n v="934.46460000000013"/>
        <n v="647.2349999999999"/>
        <n v="1060.4369999999999"/>
        <n v="1754.4059999999999"/>
        <n v="1874.787"/>
        <n v="124.33599999999998"/>
        <n v="2746.7712000000001"/>
        <n v="2143.6176"/>
        <n v="2486.2139999999999"/>
        <n v="154.93799999999999"/>
        <n v="2421.7943999999998"/>
        <n v="541.10160000000008"/>
        <n v="844.77059999999994"/>
        <n v="1196.5536"/>
        <n v="1082.835"/>
        <n v="3817.6879999999996"/>
        <n v="267.20600000000002"/>
        <n v="603.71640000000002"/>
        <n v="1866.2720000000002"/>
        <n v="1661.6624999999999"/>
        <n v="1206.6408000000001"/>
        <n v="824.48639999999989"/>
        <n v="1069.5303000000001"/>
        <n v="1968.5753999999999"/>
        <n v="1483.8120000000001"/>
        <n v="345.32480000000004"/>
        <n v="59.593499999999999"/>
        <n v="568.09620000000007"/>
        <n v="671.02289999999994"/>
        <n v="1573.9359999999999"/>
        <n v="488.90660000000003"/>
        <n v="2286.4673999999995"/>
        <n v="1901.4160000000004"/>
        <n v="675.94240000000013"/>
        <n v="2066.3663999999999"/>
        <n v="711.42959999999994"/>
        <n v="443.327"/>
        <n v="1255.8393000000001"/>
        <n v="1583.806"/>
        <n v="355.23840000000001"/>
        <n v="1813.1728000000001"/>
        <n v="2593.9104000000002"/>
        <n v="326.00070000000005"/>
        <n v="803.01599999999996"/>
        <n v="1799.5500000000002"/>
        <n v="113.01280000000001"/>
        <n v="820.89920000000006"/>
        <n v="1968.1116000000002"/>
        <n v="1930.761"/>
        <n v="1733.2565999999997"/>
        <n v="2312.2912000000001"/>
        <n v="1472.5308"/>
        <n v="2090.2723999999998"/>
        <n v="1690.7813999999998"/>
        <n v="1377.6432"/>
        <n v="3133.7256000000002"/>
        <n v="981.97259999999994"/>
        <n v="441.55169999999998"/>
        <n v="476.91659999999996"/>
        <n v="56.880400000000002"/>
        <n v="2408.6664000000001"/>
        <n v="787.28039999999999"/>
        <n v="1087.8444"/>
        <n v="1723.5719999999999"/>
        <n v="584.78399999999988"/>
        <n v="1281.8936999999999"/>
        <n v="2380.4639999999999"/>
        <n v="1304.2181999999998"/>
        <n v="968.16959999999995"/>
        <n v="65.729200000000006"/>
        <n v="1327.8845999999999"/>
        <n v="1805.2736000000002"/>
        <n v="2100.0441000000001"/>
        <n v="3030.424"/>
        <n v="491.32860000000005"/>
        <n v="689.17200000000014"/>
        <n v="1914.8480999999999"/>
        <n v="801.44959999999992"/>
        <n v="359.61380000000003"/>
        <n v="187.14839999999998"/>
        <n v="761.73839999999996"/>
        <n v="680.88400000000001"/>
        <n v="246.5856"/>
        <n v="2862.1208000000001"/>
        <n v="159.3408"/>
        <n v="394.90199999999999"/>
        <n v="453.58170000000001"/>
        <n v="447.82959999999997"/>
        <n v="1638.3912000000003"/>
        <n v="1320.0640000000001"/>
        <n v="828.83359999999993"/>
        <n v="209.65120000000002"/>
        <n v="726.36479999999995"/>
        <n v="373.83839999999998"/>
        <n v="283.7484"/>
        <n v="208.3134"/>
        <n v="1299.8999999999999"/>
        <n v="70.924799999999991"/>
        <n v="721.8119999999999"/>
        <n v="2897.2339999999995"/>
        <n v="262.80799999999999"/>
        <n v="33.129599999999996"/>
        <n v="1871.7185999999999"/>
        <n v="356.18670000000003"/>
        <n v="1230.9501"/>
        <n v="1489.8743999999999"/>
        <n v="1818.3263999999997"/>
        <n v="489.78199999999993"/>
        <n v="509.14980000000008"/>
        <n v="998.18729999999994"/>
        <n v="466.78170000000006"/>
        <n v="698.76"/>
        <n v="1988.568"/>
        <n v="1177.0512000000001"/>
        <n v="680.65200000000004"/>
        <n v="808.64189999999996"/>
        <n v="150.76079999999999"/>
        <n v="626.67989999999998"/>
        <n v="116.39699999999999"/>
        <n v="3181.8919999999998"/>
        <n v="127.39439999999999"/>
        <n v="2826.5159999999996"/>
        <n v="1542.1752000000001"/>
        <n v="467.77279999999996"/>
        <n v="1413.93"/>
        <n v="1066.0736000000002"/>
        <n v="355.71520000000004"/>
        <n v="2404.6821"/>
        <n v="606.73080000000004"/>
        <n v="1173.508"/>
        <n v="1191.6812"/>
        <n v="955.01519999999994"/>
        <n v="1690.3040000000001"/>
        <n v="136.5984"/>
        <n v="1270.7460000000001"/>
        <n v="1968.6941999999999"/>
        <n v="809.04560000000004"/>
        <n v="144.9624"/>
        <n v="1018.668"/>
        <n v="2468.4387000000002"/>
        <n v="2278.3208000000004"/>
        <n v="2291.6432"/>
        <n v="64.895600000000002"/>
        <n v="1266.3559999999998"/>
        <n v="991.26239999999996"/>
        <n v="1742.0255999999999"/>
        <n v="1628.1702"/>
        <n v="1518.6336000000001"/>
        <n v="646.29599999999994"/>
        <n v="197.7336"/>
        <n v="433.77199999999999"/>
        <n v="721.8211"/>
        <n v="1267.6251"/>
        <n v="603.54259999999988"/>
        <n v="1251.5071999999998"/>
        <n v="895.68809999999996"/>
        <n v="946.53000000000009"/>
        <n v="1787.3468999999998"/>
        <n v="528.3066"/>
        <n v="305.94240000000002"/>
        <n v="1369.6744000000001"/>
        <n v="1228.4412"/>
        <n v="1896.72"/>
        <n v="1386.2428"/>
        <n v="478.03020000000004"/>
        <n v="671.89779999999996"/>
        <n v="91.402000000000001"/>
        <n v="591.58360000000005"/>
        <n v="566.42039999999997"/>
        <n v="674.63560000000007"/>
        <n v="155.22719999999998"/>
        <n v="817.21080000000006"/>
        <n v="956.16639999999995"/>
        <n v="664.35"/>
        <n v="353.27340000000004"/>
        <n v="2691.7436000000002"/>
        <n v="763.30799999999999"/>
        <n v="222.26750000000001"/>
        <n v="2135.4168"/>
        <n v="2478.4499999999998"/>
        <n v="1439.1360000000002"/>
        <n v="871.41929999999991"/>
        <n v="1236.48"/>
        <n v="1794.3030000000001"/>
        <n v="199.2928"/>
        <n v="1022.6838"/>
        <n v="810.08579999999995"/>
        <n v="2807.8008"/>
        <n v="616.029"/>
        <n v="1442.76"/>
        <n v="69.273600000000002"/>
        <n v="2263.0068000000001"/>
        <n v="1149.5580000000002"/>
        <n v="803.22879999999998"/>
        <n v="611.20500000000004"/>
        <n v="676.73919999999998"/>
        <n v="514.69319999999993"/>
        <n v="92.848399999999998"/>
        <n v="756.76580000000001"/>
        <n v="2545.44"/>
        <n v="887.56200000000013"/>
        <n v="769.04399999999998"/>
        <n v="780.69119999999998"/>
        <n v="398.95310000000006"/>
        <n v="124.87679999999999"/>
        <n v="2167.9223999999999"/>
        <n v="526.24439999999993"/>
        <n v="435.27359999999999"/>
        <n v="616.50819999999999"/>
        <n v="514.9"/>
        <n v="1156.3725999999999"/>
        <n v="258.822"/>
        <n v="1120.0599"/>
        <n v="131.047"/>
        <n v="2168.9369999999999"/>
        <n v="815.07200000000012"/>
        <n v="1665.6919999999998"/>
        <n v="1570.4165999999998"/>
        <n v="405.32"/>
        <n v="2269.4976000000001"/>
        <n v="3225.9468000000002"/>
        <n v="2107.5246000000002"/>
        <n v="774.18000000000006"/>
        <n v="1080.2103999999999"/>
        <n v="689.38279999999997"/>
        <n v="36.027200000000001"/>
        <n v="600.29549999999995"/>
        <n v="1631.3309999999999"/>
        <n v="649.74"/>
        <n v="231.55500000000001"/>
        <n v="1404.075"/>
        <n v="193.25760000000002"/>
        <n v="1351.3584000000001"/>
        <n v="570.11760000000004"/>
        <n v="52.003"/>
        <n v="1404.0527999999999"/>
        <n v="81.647999999999996"/>
        <n v="385.2996"/>
        <n v="159.87549999999999"/>
        <n v="352.59300000000002"/>
        <n v="403.58849999999995"/>
        <n v="449.51400000000001"/>
        <n v="1187.1780000000001"/>
        <n v="1175.4168"/>
        <n v="3440.0272"/>
        <n v="645.30080000000009"/>
        <n v="190.7064"/>
        <n v="906.23660000000007"/>
        <n v="1482.0798"/>
        <n v="2102.424"/>
        <n v="1219.2570000000001"/>
        <n v="1655.7169999999999"/>
        <n v="422.01300000000003"/>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7999999998"/>
        <n v="889.30799999999999"/>
        <n v="661.7595"/>
        <n v="1845.9660000000001"/>
        <n v="1828.1119999999999"/>
        <n v="593.79"/>
        <n v="1900.1135999999999"/>
        <n v="2950.14"/>
        <n v="821.35159999999996"/>
        <n v="1756.5324000000001"/>
        <n v="1568.943"/>
        <n v="548.06200000000001"/>
        <n v="954.06080000000009"/>
        <n v="1194.9028000000001"/>
        <n v="3220.3444000000004"/>
        <n v="40.976100000000002"/>
        <n v="189.61760000000001"/>
        <n v="264.91500000000002"/>
        <n v="1369.1215999999999"/>
        <n v="331.17"/>
        <n v="1275.799"/>
        <n v="1926.1499999999999"/>
        <n v="1370.5231999999999"/>
        <n v="679.18619999999999"/>
        <n v="1053.7550999999999"/>
        <n v="333.85089999999997"/>
        <n v="819.71759999999995"/>
        <n v="1187.8980000000001"/>
        <n v="2093.6735999999996"/>
        <n v="202.9836"/>
        <n v="32.659199999999998"/>
        <n v="1031.7507000000001"/>
        <n v="1746.712"/>
        <n v="1754.94"/>
        <n v="530.21159999999998"/>
        <n v="2035.854"/>
        <n v="361.45919999999995"/>
        <n v="953.45100000000014"/>
        <n v="685.3069999999999"/>
        <n v="584.04599999999994"/>
        <n v="530.14499999999998"/>
        <n v="3721.52"/>
        <n v="665.51679999999999"/>
        <n v="229.35640000000001"/>
        <n v="800.58119999999997"/>
        <n v="122.968"/>
        <n v="1363.4543999999999"/>
        <n v="912.00359999999989"/>
        <n v="112.4496"/>
        <n v="1287.6084000000001"/>
        <n v="3602.7264"/>
        <n v="1538.4005999999999"/>
        <n v="82.54679999999999"/>
        <n v="1417.8240000000001"/>
        <n v="213.70899999999997"/>
        <n v="800.33699999999999"/>
        <n v="333.04919999999998"/>
        <n v="514.29959999999994"/>
        <n v="2299.5983999999999"/>
        <n v="2013.7872"/>
        <n v="1228.4895000000001"/>
        <n v="77.022000000000006"/>
        <n v="2560"/>
        <n v="262.51499999999999"/>
        <n v="158.50749999999999"/>
        <n v="2205.0239999999999"/>
        <n v="1538.942"/>
        <n v="909.83199999999999"/>
        <n v="194.17860000000002"/>
        <n v="2566.4040000000005"/>
        <n v="786.19040000000007"/>
        <n v="1125.896"/>
        <n v="1715.0595000000003"/>
        <n v="887.30400000000009"/>
        <n v="800.72879999999998"/>
        <n v="2859.2927999999997"/>
        <n v="570.78420000000006"/>
        <n v="2481.5216"/>
        <n v="2358.1584000000003"/>
        <n v="445.10400000000004"/>
        <n v="1371.5503999999999"/>
        <n v="673.875"/>
        <n v="223.87280000000001"/>
        <n v="574.10699999999997"/>
        <n v="529.88580000000002"/>
        <n v="929.16320000000007"/>
        <n v="1071.904"/>
        <n v="763.97759999999994"/>
        <n v="712.59749999999985"/>
        <n v="2013.5178000000001"/>
        <n v="1438.8352"/>
        <n v="213.55880000000002"/>
        <n v="1925.8532999999998"/>
        <n v="1146.6272000000001"/>
        <n v="64.878399999999999"/>
        <n v="36.225000000000001"/>
        <n v="1537.404"/>
        <n v="1548.9465"/>
        <n v="1969.9560000000001"/>
        <n v="1659.9756"/>
        <n v="1280.115"/>
        <n v="150.79019999999997"/>
        <n v="812.75739999999996"/>
        <n v="1005.3216"/>
        <n v="590.84100000000001"/>
        <n v="1040.2404000000001"/>
        <n v="2182.4464000000003"/>
        <n v="105.47280000000001"/>
        <n v="343.6694"/>
        <n v="103.93110000000001"/>
        <n v="900.59199999999998"/>
        <n v="1505.2576000000001"/>
        <n v="926.40100000000007"/>
        <n v="242.03899999999996"/>
        <n v="1627.4390999999998"/>
        <n v="138.4229"/>
        <n v="1774.3439999999998"/>
        <n v="1477.5"/>
        <n v="615.74040000000002"/>
        <n v="2774.6132000000002"/>
        <n v="450.52399999999994"/>
        <n v="2549.4840000000004"/>
        <n v="1359.5925"/>
        <n v="1373.7650999999998"/>
        <n v="502.62120000000004"/>
        <n v="1861.9879999999998"/>
        <n v="1904.5439999999999"/>
        <n v="273.52260000000001"/>
        <n v="95.408200000000008"/>
        <n v="700.5544000000001"/>
        <n v="257.24009999999998"/>
        <n v="2460.3707999999997"/>
        <n v="142.52520000000001"/>
        <n v="287.38800000000003"/>
        <n v="2760.5439999999999"/>
        <n v="54.489599999999996"/>
        <n v="1448.7520000000002"/>
        <n v="469.00079999999997"/>
        <n v="1741.3500000000001"/>
        <n v="1482.1807999999999"/>
        <n v="634.17840000000001"/>
        <n v="3034.2824000000001"/>
        <n v="1867.9205999999999"/>
        <n v="2839.6248000000001"/>
        <n v="1602.7068000000002"/>
        <n v="2281.14"/>
        <n v="1451.6960999999999"/>
        <n v="1792.1180999999999"/>
        <n v="954.76499999999999"/>
        <n v="1142.4972"/>
        <n v="396.23039999999992"/>
        <n v="3019.2287999999999"/>
        <n v="342.92250000000001"/>
        <n v="2100.7728000000002"/>
        <n v="523.77599999999995"/>
        <n v="372.0299"/>
        <n v="1311.4192"/>
        <n v="2487.3809999999994"/>
        <n v="373.66559999999998"/>
        <n v="192.88499999999999"/>
        <n v="1171.2978000000001"/>
        <n v="255.88800000000003"/>
        <n v="377.10980000000001"/>
        <n v="2585.8643999999999"/>
        <n v="2367.1499999999996"/>
        <n v="570.52"/>
        <n v="969.66480000000013"/>
        <n v="848.82439999999997"/>
        <n v="487.18800000000005"/>
        <n v="896.04000000000019"/>
        <n v="46.216799999999999"/>
        <n v="586.71719999999993"/>
        <n v="2033.9406000000001"/>
        <n v="2576.2301999999995"/>
        <n v="736.66800000000001"/>
        <n v="1022.2128"/>
        <n v="547.74720000000002"/>
        <n v="813.04719999999998"/>
        <n v="48.101500000000001"/>
        <n v="2906.5679999999998"/>
        <n v="898.8216000000001"/>
        <n v="311.43279999999999"/>
        <n v="1005.3944"/>
        <n v="1512.2267999999999"/>
        <n v="1176.4535999999998"/>
        <n v="291.5822"/>
        <n v="513.81359999999995"/>
        <n v="359.50400000000002"/>
        <n v="1392.2716"/>
        <n v="577.82339999999999"/>
        <n v="103.8609"/>
        <n v="457.73699999999997"/>
        <n v="758.38120000000004"/>
        <n v="127.2171"/>
        <n v="2110.1255999999998"/>
        <n v="449.03950000000003"/>
        <n v="384.11039999999997"/>
        <n v="372.28499999999997"/>
        <n v="241.03399999999999"/>
        <n v="1832.3790000000001"/>
        <n v="1813.0716000000002"/>
        <n v="538.5634"/>
        <n v="2163.7056000000002"/>
        <n v="794.45699999999999"/>
        <n v="888.0444"/>
        <n v="1169.6238000000001"/>
        <n v="269.87190000000004"/>
        <n v="925.18960000000004"/>
        <n v="1685.1572999999999"/>
        <n v="660.11400000000003"/>
        <n v="726.80000000000007"/>
        <n v="1272.5920000000001"/>
        <n v="542.57100000000003"/>
        <n v="411.71490000000006"/>
        <n v="229.023"/>
        <n v="2234.7188000000001"/>
        <n v="1138.83"/>
        <n v="1677.4904000000001"/>
        <n v="599.58359999999993"/>
        <n v="101.38859999999998"/>
        <n v="3316.16"/>
        <n v="125.8888"/>
        <n v="1023.33"/>
        <n v="1984.7356"/>
        <n v="713.4"/>
        <n v="1249.5005999999998"/>
        <n v="340.06259999999997"/>
        <n v="1171.2287999999999"/>
        <n v="728.12040000000002"/>
        <n v="2107.4004"/>
        <n v="1818.4914000000001"/>
        <n v="1283.2404000000001"/>
        <n v="323.56099999999998"/>
        <n v="339.42459999999994"/>
        <n v="172.76669999999999"/>
        <n v="1974.2418"/>
        <n v="971.39200000000005"/>
        <n v="519.15329999999994"/>
        <n v="953.55000000000007"/>
        <n v="165.84470000000002"/>
        <n v="297.28919999999999"/>
        <n v="1523.124"/>
        <n v="730.19159999999999"/>
        <n v="1657.5456000000001"/>
        <n v="3228.8759999999997"/>
        <n v="1426.6979999999999"/>
        <n v="1450.8899999999999"/>
        <n v="360.85560000000004"/>
        <n v="1972.92"/>
        <n v="86.285399999999996"/>
        <n v="2748.2224000000001"/>
        <n v="272.62179999999995"/>
        <n v="426.12240000000003"/>
        <n v="799.13340000000005"/>
        <n v="2026.1829000000002"/>
        <n v="1395.6948"/>
        <n v="1583.0316"/>
        <n v="2801.768"/>
        <n v="1857.2175999999999"/>
        <n v="3745.8047999999999"/>
        <n v="1776.5285999999999"/>
        <n v="1905.1725000000001"/>
        <n v="1462.0030000000002"/>
        <n v="113.33579999999999"/>
        <n v="90.479799999999997"/>
        <n v="325.54419999999999"/>
        <n v="535.35019999999997"/>
        <n v="678.60799999999995"/>
        <n v="1352.0759999999998"/>
        <n v="347.82000000000005"/>
        <n v="81.619199999999992"/>
        <n v="1536.7440000000001"/>
        <n v="1846.08"/>
        <n v="541.66739999999993"/>
        <n v="2467.4495999999999"/>
        <n v="419.46480000000003"/>
        <n v="891.87199999999996"/>
        <n v="1740.6279999999999"/>
        <n v="714.41759999999999"/>
        <n v="3293.5448000000001"/>
        <n v="529.74900000000002"/>
        <n v="2728.2024000000001"/>
        <n v="333.81279999999998"/>
        <n v="312.08049999999997"/>
        <n v="1032.0812999999998"/>
        <n v="683.00099999999998"/>
        <n v="2974.6440000000002"/>
        <n v="818.42499999999995"/>
        <n v="435.34199999999998"/>
        <n v="871.39699999999993"/>
        <n v="344.53680000000003"/>
        <n v="502.51319999999998"/>
        <n v="515.9325"/>
        <n v="2101.0626000000002"/>
        <n v="359.19650000000001"/>
        <n v="857.1"/>
        <n v="1112.9536000000001"/>
        <n v="413.5335"/>
        <n v="2010.6432"/>
        <n v="444.61439999999993"/>
        <n v="1533.8240000000001"/>
        <n v="1081.0134"/>
        <n v="618.69359999999995"/>
        <n v="377.28"/>
        <n v="1630.3392000000001"/>
        <n v="229.3109"/>
        <n v="189.21599999999998"/>
        <n v="692.38839999999993"/>
        <n v="1884.54"/>
        <n v="906.50339999999994"/>
        <n v="716.1336"/>
        <n v="137.69699999999997"/>
        <n v="1345.6368"/>
        <n v="148.49160000000001"/>
        <n v="2936.0144000000005"/>
        <n v="328.02"/>
        <n v="944.47099999999989"/>
        <n v="126.5916"/>
        <n v="1579.7805000000001"/>
        <n v="682.55600000000004"/>
        <n v="1877.6688000000001"/>
        <n v="1289.6100000000001"/>
        <n v="1631.2854"/>
        <n v="392.02720000000005"/>
        <n v="576.97299999999996"/>
        <n v="953.48760000000004"/>
        <n v="1136.7583999999999"/>
        <n v="468.78320000000002"/>
        <n v="385.67880000000002"/>
        <n v="1084.7936"/>
        <n v="1616.8104000000001"/>
        <n v="753.50399999999991"/>
        <n v="184.22909999999999"/>
        <n v="2801.19"/>
        <n v="1587.4997999999998"/>
        <n v="2465.9856"/>
        <n v="189.244"/>
        <n v="1898.2482"/>
        <n v="860.31959999999992"/>
        <n v="1220.0220000000002"/>
        <n v="1261.6379999999999"/>
        <n v="3332.0888"/>
        <n v="502.10699999999997"/>
        <n v="269.01659999999998"/>
        <n v="1823.1948"/>
        <n v="905.85"/>
        <n v="2019.6945000000001"/>
        <n v="980.35440000000006"/>
        <n v="136.09960000000001"/>
        <n v="641.91689999999994"/>
        <n v="248.17829999999998"/>
        <n v="230.12520000000001"/>
        <n v="169.72800000000001"/>
        <n v="37.327999999999996"/>
        <n v="2474.2080000000001"/>
        <n v="1065.4896000000001"/>
        <n v="706.77879999999993"/>
        <n v="3393.88"/>
        <n v="878.50620000000004"/>
        <n v="958.95360000000005"/>
        <n v="287.39620000000002"/>
        <n v="487.8535"/>
        <n v="129.72479999999999"/>
        <n v="1407.6018000000001"/>
        <n v="349.22249999999997"/>
        <n v="1243.1224"/>
        <n v="661.47080000000005"/>
        <n v="1081.04"/>
        <n v="1023.264"/>
        <n v="77.293200000000013"/>
        <n v="1302.3671999999999"/>
        <n v="2677.0619999999999"/>
        <n v="2434.0672"/>
        <n v="2733.2267999999999"/>
        <n v="361.16200000000003"/>
        <n v="1758.2940000000001"/>
        <n v="605.50099999999998"/>
        <n v="362.32350000000002"/>
        <n v="1455.1326000000001"/>
        <n v="2320.2783999999997"/>
        <n v="324.03000000000003"/>
        <n v="1202.4012"/>
        <n v="863.60260000000005"/>
        <n v="167.76"/>
        <n v="579.24950000000001"/>
        <n v="1578.9780000000001"/>
        <n v="758.03660000000002"/>
        <n v="140.72"/>
        <n v="1176.9449999999999"/>
        <n v="229.61399999999998"/>
        <n v="2103.1763999999998"/>
        <n v="1801.4190000000003"/>
        <n v="221.61"/>
        <n v="727.28659999999991"/>
        <n v="1758.4811999999997"/>
        <n v="84.527199999999993"/>
        <n v="2155.2719999999999"/>
        <n v="104.6199"/>
        <n v="384.4665"/>
        <n v="1398.712"/>
        <n v="1250.8044"/>
        <n v="104.227"/>
        <n v="1340.0001999999999"/>
        <n v="299.4939"/>
        <n v="226.22539999999998"/>
        <n v="902.25379999999996"/>
        <n v="390.95980000000003"/>
        <n v="2280.3668999999995"/>
        <n v="2291.73"/>
        <n v="1155.2436"/>
        <n v="511.35"/>
        <n v="125.1588"/>
        <n v="1523.0639999999999"/>
        <n v="1423.7184"/>
        <n v="642.90499999999997"/>
        <n v="174.40440000000001"/>
        <n v="1939.2012"/>
        <n v="2249.4911999999999"/>
        <n v="456.14399999999995"/>
        <n v="57.389600000000002"/>
        <n v="781.61599999999999"/>
        <n v="1348.2149999999999"/>
        <n v="607.86720000000003"/>
        <n v="314.82319999999999"/>
        <n v="1688.3247999999999"/>
        <n v="398.23939999999999"/>
        <n v="587.1508"/>
        <n v="705.5856"/>
        <n v="768.46379999999999"/>
        <n v="173.5488"/>
        <n v="308.78999999999996"/>
        <n v="435.0138"/>
        <n v="646.99899999999991"/>
        <n v="1207.7604000000001"/>
        <n v="1469.8718999999999"/>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8999999999995"/>
        <n v="2280.0664000000002"/>
        <n v="196.67339999999999"/>
        <n v="719.27200000000005"/>
        <n v="649.89"/>
        <n v="454.01639999999998"/>
        <n v="1367.1368000000002"/>
        <n v="581.58359999999993"/>
        <n v="1253.0011999999999"/>
        <n v="1017.7703999999999"/>
        <n v="1666.9499999999998"/>
        <n v="188.78959999999998"/>
        <n v="2797.8164999999999"/>
        <n v="1544.9434000000001"/>
        <n v="1746.96"/>
        <n v="1321.5336"/>
        <n v="60.392199999999995"/>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59999999998"/>
        <n v="837.42119999999989"/>
        <n v="2439.2983999999997"/>
        <n v="111.14339999999999"/>
        <n v="2083.8664000000003"/>
        <n v="1802.1120000000001"/>
        <n v="1701.7506000000001"/>
        <n v="1554.5838000000001"/>
        <n v="53.817999999999998"/>
        <n v="2671.74"/>
        <n v="497.16419999999999"/>
        <n v="605.76"/>
        <n v="3502.9688000000001"/>
        <n v="271.17919999999998"/>
        <n v="263.04629999999997"/>
        <n v="52.150800000000004"/>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6000000002"/>
        <n v="727.81799999999998"/>
        <n v="413.07300000000004"/>
        <n v="922.9692"/>
        <n v="336.45780000000002"/>
        <n v="2798.4132"/>
        <n v="1303.3905"/>
        <n v="1113.8820000000001"/>
        <n v="2700.3312000000001"/>
        <n v="130.93199999999999"/>
        <n v="2483.2799999999997"/>
        <n v="514.3424"/>
        <n v="973.02799999999991"/>
        <n v="1347.7384"/>
        <n v="1624.4892"/>
        <n v="428.89699999999999"/>
        <n v="303.81139999999999"/>
        <n v="3237.0575999999996"/>
        <n v="2243.3928000000001"/>
        <n v="72.799600000000012"/>
        <n v="1744.8368"/>
        <n v="883.71660000000008"/>
        <n v="1629.7616"/>
        <n v="1616.2151999999999"/>
        <n v="24.13"/>
        <n v="510.22019999999998"/>
        <n v="529.67700000000002"/>
        <n v="102.172"/>
        <n v="2409.8215999999998"/>
        <n v="1810.8324"/>
        <n v="50.048000000000002"/>
        <n v="1276.6416000000002"/>
        <n v="1418.3784000000001"/>
        <n v="2031.7927999999997"/>
        <n v="2407.0583999999999"/>
        <n v="1058.1600000000001"/>
        <n v="380.84580000000005"/>
        <n v="865.03629999999998"/>
        <n v="649.60500000000002"/>
        <n v="1748.5209"/>
        <n v="609.45839999999998"/>
        <n v="2922.2952"/>
        <n v="545.68079999999998"/>
        <n v="99.269200000000012"/>
        <n v="1025.8499999999999"/>
        <n v="1140.4559999999999"/>
        <n v="508.88639999999998"/>
        <n v="1181.7432000000001"/>
        <n v="1566.5663999999999"/>
        <n v="568.61479999999995"/>
        <n v="1208.2027999999998"/>
        <n v="493.64279999999997"/>
        <n v="2065.5935999999997"/>
        <n v="199.79610000000002"/>
        <n v="880.66160000000002"/>
        <n v="93.8232"/>
        <n v="3539.8656000000001"/>
        <n v="1595.0951999999997"/>
        <n v="1815.7539999999999"/>
        <n v="1308.5928000000001"/>
        <n v="782.16000000000008"/>
        <n v="1876.3151999999998"/>
        <n v="982.22879999999998"/>
        <n v="517.89649999999995"/>
        <n v="198.7782"/>
        <n v="1814.9831999999999"/>
        <n v="1278.4895999999999"/>
        <n v="339.2466"/>
        <n v="1343.0315999999998"/>
        <n v="361.49579999999997"/>
        <n v="318.30760000000004"/>
        <n v="751.27260000000001"/>
        <n v="615.08299999999997"/>
        <n v="153.11149999999998"/>
        <n v="1123.434"/>
        <n v="354.56400000000002"/>
        <n v="553.68640000000005"/>
        <n v="1078.8173999999999"/>
        <n v="790.76589999999999"/>
        <n v="2462.34"/>
        <n v="940.69"/>
        <n v="1347.4560000000001"/>
        <n v="763.15719999999999"/>
        <n v="285.83940000000001"/>
        <n v="2324.556"/>
        <n v="1232.952"/>
        <n v="341.00299999999999"/>
        <n v="1737.9912000000002"/>
        <n v="1765.1759999999999"/>
        <n v="127.794"/>
        <n v="491.46989999999994"/>
        <n v="133.339"/>
        <n v="487.74599999999998"/>
        <n v="2145.7484999999997"/>
        <n v="1575.0724"/>
        <n v="1635.2615999999998"/>
        <n v="236.73719999999997"/>
        <n v="488.71679999999998"/>
        <n v="2315.8519999999999"/>
        <n v="1267.9744000000001"/>
        <n v="981.9864"/>
        <n v="442.61489999999998"/>
        <n v="989.93680000000006"/>
        <n v="551.25900000000001"/>
        <n v="43.144199999999998"/>
        <n v="1210.8714"/>
        <n v="2943.5296000000003"/>
        <n v="1058.4480000000001"/>
        <n v="1695.3074999999999"/>
        <n v="2141.8500000000004"/>
        <n v="1287.3599999999999"/>
        <n v="328.75240000000002"/>
        <n v="1958.144"/>
        <n v="39.974000000000004"/>
        <n v="654.36559999999997"/>
        <n v="3032.6559999999999"/>
        <n v="166.82489999999999"/>
        <n v="465.83199999999999"/>
        <n v="188.04239999999999"/>
        <n v="614.07420000000002"/>
        <n v="1664.8109999999999"/>
        <n v="1657.0092"/>
        <n v="127.29599999999999"/>
        <n v="1720.7438000000002"/>
        <n v="1503.1768"/>
        <n v="102.37520000000001"/>
        <n v="791.88479999999993"/>
        <n v="2319.4512"/>
        <n v="1296.2609999999997"/>
        <n v="910.2636"/>
        <n v="794.50919999999996"/>
        <n v="2458.46"/>
        <n v="749.03039999999999"/>
        <n v="2224.2815999999998"/>
        <n v="774.57599999999991"/>
        <n v="34.178399999999996"/>
        <n v="2396.0798999999997"/>
        <n v="1624.443"/>
        <n v="910.36439999999993"/>
        <n v="537.38969999999995"/>
        <n v="758.24"/>
        <n v="773.03039999999999"/>
        <n v="1558.9272000000003"/>
        <n v="948.69359999999983"/>
        <n v="96.459199999999996"/>
        <n v="2871.3679999999999"/>
        <n v="483.94639999999998"/>
        <n v="2916.42"/>
        <n v="1146.8154"/>
        <n v="2819.0063999999998"/>
        <n v="2650.2920000000004"/>
        <n v="2235.4788000000003"/>
        <n v="459.28839999999997"/>
        <n v="464.42550000000006"/>
        <n v="562.35899999999992"/>
        <n v="725.3442"/>
        <n v="1894.08"/>
        <n v="650.91600000000005"/>
        <n v="143.24040000000002"/>
        <n v="1093.2938000000001"/>
        <n v="1487.4636"/>
        <n v="64.125600000000006"/>
        <n v="383.00200000000001"/>
        <n v="3339.8263999999999"/>
        <n v="122.1327"/>
        <n v="571.63920000000007"/>
        <n v="625.46579999999994"/>
        <n v="838.12279999999998"/>
        <n v="1061.9099999999999"/>
        <n v="146.57920000000001"/>
        <n v="2350.4887999999996"/>
        <n v="128.95680000000002"/>
        <n v="2282.9664000000002"/>
        <n v="1956.0321000000004"/>
        <n v="93.653999999999996"/>
        <n v="319.07840000000004"/>
        <n v="1549.9155000000001"/>
        <n v="1307.3345999999999"/>
        <n v="2829.7227999999996"/>
        <n v="232.42320000000001"/>
        <n v="2084.3328000000001"/>
        <n v="984.37"/>
        <n v="418.15840000000003"/>
        <n v="38.003799999999998"/>
        <n v="1046.5488"/>
        <n v="1356.8850000000002"/>
        <n v="502.75240000000002"/>
        <n v="793.38690000000008"/>
        <n v="2075.913"/>
        <n v="2513.8984"/>
        <n v="895.53420000000006"/>
        <n v="1443.2418"/>
        <n v="762.00299999999993"/>
        <n v="223.59199999999998"/>
        <n v="846.74879999999996"/>
        <n v="757.16760000000011"/>
        <n v="709.12709999999993"/>
        <n v="810.09719999999993"/>
        <n v="942.22800000000007"/>
        <n v="1099.76"/>
        <n v="47.621200000000002"/>
        <n v="1505.1168"/>
        <n v="855.98310000000004"/>
        <n v="1734.18"/>
        <n v="1662.5311999999999"/>
        <n v="1184.8899999999999"/>
        <n v="559.79949999999997"/>
        <n v="630.1866"/>
        <n v="355.2448"/>
        <n v="2373.462"/>
        <n v="579.58840000000009"/>
        <n v="626.37120000000004"/>
        <n v="715.30049999999994"/>
        <n v="134.95679999999999"/>
        <n v="994.48200000000008"/>
        <n v="1301.8757999999998"/>
        <n v="574.88300000000004"/>
        <n v="2139.3312000000001"/>
        <n v="274.45229999999998"/>
        <n v="1706.4299999999998"/>
        <n v="599.471"/>
        <n v="1070.7619999999999"/>
        <n v="591.70319999999992"/>
        <n v="2504.067"/>
        <n v="270.51639999999998"/>
        <n v="1128.732"/>
        <n v="1119.4092000000001"/>
        <n v="259.37630000000001"/>
        <n v="729.39"/>
        <n v="591.30719999999997"/>
        <n v="340.2"/>
        <n v="2779.5931999999998"/>
        <n v="548.52240000000006"/>
        <n v="1034.7035999999998"/>
        <n v="1532.3904"/>
        <n v="1648.6679999999999"/>
        <n v="786.03139999999996"/>
        <n v="887.86320000000001"/>
        <n v="2935.8252000000002"/>
        <n v="1882.1952000000003"/>
        <n v="1120.4750999999999"/>
        <n v="493.05959999999999"/>
        <n v="637.37399999999991"/>
        <n v="163.5744"/>
        <n v="1051.7360000000001"/>
        <n v="3242.1668"/>
        <n v="322.98989999999998"/>
        <n v="51.138399999999997"/>
        <n v="817.79430000000002"/>
        <n v="1313.1166000000001"/>
        <n v="509.75910000000005"/>
        <n v="78.586799999999997"/>
        <n v="889.83"/>
        <n v="366.858"/>
        <n v="565.90890000000002"/>
        <n v="64.799499999999995"/>
        <n v="1264.335"/>
        <n v="346.48399999999998"/>
        <n v="1564.0115999999998"/>
        <n v="592.50740000000008"/>
        <n v="1510.7189999999998"/>
        <n v="1106.3093999999999"/>
        <n v="700.40520000000004"/>
        <n v="320.892"/>
        <n v="2704.4700000000003"/>
        <n v="506.709"/>
        <n v="595.41"/>
        <n v="953.38679999999999"/>
        <n v="2317.6384000000003"/>
        <n v="88.814799999999991"/>
        <n v="316.89359999999999"/>
        <n v="545.48239999999998"/>
        <n v="757.39"/>
        <n v="152.2801"/>
        <n v="1755.5384000000001"/>
        <n v="2155.2228"/>
        <n v="905.23"/>
        <n v="274.03110000000004"/>
        <n v="2391.4527000000003"/>
        <n v="1014.2588"/>
        <n v="2694.3045000000002"/>
        <n v="170.44050000000001"/>
      </sharedItems>
    </cacheField>
    <cacheField name="Loyalty Level" numFmtId="0">
      <sharedItems/>
    </cacheField>
    <cacheField name="Age" numFmtId="0">
      <sharedItems containsMixedTypes="1" containsNumber="1" containsInteger="1" minValue="18" maxValue="64"/>
    </cacheField>
    <cacheField name="Gender" numFmtId="0">
      <sharedItems count="3">
        <s v="Male"/>
        <s v="Female"/>
        <e v="#N/A"/>
      </sharedItems>
    </cacheField>
    <cacheField name="Product category" numFmtId="0">
      <sharedItems/>
    </cacheField>
  </cacheFields>
  <extLst>
    <ext xmlns:x14="http://schemas.microsoft.com/office/spreadsheetml/2009/9/main" uri="{725AE2AE-9491-48be-B2B4-4EB974FC3084}">
      <x14:pivotCacheDefinition pivotCacheId="1470747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r>
  <r>
    <x v="1"/>
    <x v="0"/>
    <x v="1"/>
    <x v="1"/>
    <x v="1"/>
  </r>
  <r>
    <x v="2"/>
    <x v="0"/>
    <x v="2"/>
    <x v="1"/>
    <x v="2"/>
  </r>
  <r>
    <x v="3"/>
    <x v="1"/>
    <x v="3"/>
    <x v="1"/>
    <x v="1"/>
  </r>
  <r>
    <x v="4"/>
    <x v="2"/>
    <x v="4"/>
    <x v="0"/>
    <x v="2"/>
  </r>
  <r>
    <x v="5"/>
    <x v="1"/>
    <x v="5"/>
    <x v="1"/>
    <x v="1"/>
  </r>
  <r>
    <x v="6"/>
    <x v="3"/>
    <x v="6"/>
    <x v="1"/>
    <x v="3"/>
  </r>
  <r>
    <x v="7"/>
    <x v="1"/>
    <x v="7"/>
    <x v="1"/>
    <x v="3"/>
  </r>
  <r>
    <x v="8"/>
    <x v="1"/>
    <x v="8"/>
    <x v="1"/>
    <x v="3"/>
  </r>
  <r>
    <x v="9"/>
    <x v="4"/>
    <x v="9"/>
    <x v="2"/>
    <x v="3"/>
  </r>
  <r>
    <x v="10"/>
    <x v="2"/>
    <x v="10"/>
    <x v="1"/>
    <x v="0"/>
  </r>
  <r>
    <x v="11"/>
    <x v="3"/>
    <x v="11"/>
    <x v="1"/>
    <x v="1"/>
  </r>
  <r>
    <x v="12"/>
    <x v="0"/>
    <x v="7"/>
    <x v="1"/>
    <x v="0"/>
  </r>
  <r>
    <x v="13"/>
    <x v="2"/>
    <x v="12"/>
    <x v="0"/>
    <x v="1"/>
  </r>
  <r>
    <x v="14"/>
    <x v="2"/>
    <x v="0"/>
    <x v="0"/>
    <x v="0"/>
  </r>
  <r>
    <x v="15"/>
    <x v="2"/>
    <x v="13"/>
    <x v="1"/>
    <x v="4"/>
  </r>
  <r>
    <x v="16"/>
    <x v="0"/>
    <x v="14"/>
    <x v="0"/>
    <x v="0"/>
  </r>
  <r>
    <x v="17"/>
    <x v="1"/>
    <x v="15"/>
    <x v="1"/>
    <x v="3"/>
  </r>
  <r>
    <x v="18"/>
    <x v="0"/>
    <x v="16"/>
    <x v="1"/>
    <x v="1"/>
  </r>
  <r>
    <x v="19"/>
    <x v="1"/>
    <x v="3"/>
    <x v="1"/>
    <x v="2"/>
  </r>
  <r>
    <x v="20"/>
    <x v="3"/>
    <x v="17"/>
    <x v="1"/>
    <x v="0"/>
  </r>
  <r>
    <x v="21"/>
    <x v="2"/>
    <x v="18"/>
    <x v="1"/>
    <x v="1"/>
  </r>
  <r>
    <x v="22"/>
    <x v="0"/>
    <x v="19"/>
    <x v="1"/>
    <x v="4"/>
  </r>
  <r>
    <x v="23"/>
    <x v="1"/>
    <x v="11"/>
    <x v="1"/>
    <x v="2"/>
  </r>
  <r>
    <x v="24"/>
    <x v="2"/>
    <x v="20"/>
    <x v="0"/>
    <x v="1"/>
  </r>
  <r>
    <x v="25"/>
    <x v="2"/>
    <x v="21"/>
    <x v="0"/>
    <x v="4"/>
  </r>
  <r>
    <x v="26"/>
    <x v="1"/>
    <x v="22"/>
    <x v="1"/>
    <x v="1"/>
  </r>
  <r>
    <x v="27"/>
    <x v="1"/>
    <x v="23"/>
    <x v="0"/>
    <x v="1"/>
  </r>
  <r>
    <x v="28"/>
    <x v="3"/>
    <x v="22"/>
    <x v="1"/>
    <x v="1"/>
  </r>
  <r>
    <x v="29"/>
    <x v="2"/>
    <x v="0"/>
    <x v="0"/>
    <x v="3"/>
  </r>
  <r>
    <x v="30"/>
    <x v="1"/>
    <x v="24"/>
    <x v="1"/>
    <x v="4"/>
  </r>
  <r>
    <x v="31"/>
    <x v="0"/>
    <x v="25"/>
    <x v="1"/>
    <x v="4"/>
  </r>
  <r>
    <x v="32"/>
    <x v="3"/>
    <x v="26"/>
    <x v="0"/>
    <x v="4"/>
  </r>
  <r>
    <x v="33"/>
    <x v="1"/>
    <x v="17"/>
    <x v="1"/>
    <x v="2"/>
  </r>
  <r>
    <x v="34"/>
    <x v="0"/>
    <x v="27"/>
    <x v="0"/>
    <x v="3"/>
  </r>
  <r>
    <x v="35"/>
    <x v="1"/>
    <x v="28"/>
    <x v="0"/>
    <x v="5"/>
  </r>
  <r>
    <x v="36"/>
    <x v="0"/>
    <x v="29"/>
    <x v="1"/>
    <x v="4"/>
  </r>
  <r>
    <x v="37"/>
    <x v="1"/>
    <x v="30"/>
    <x v="1"/>
    <x v="3"/>
  </r>
  <r>
    <x v="38"/>
    <x v="0"/>
    <x v="31"/>
    <x v="0"/>
    <x v="3"/>
  </r>
  <r>
    <x v="39"/>
    <x v="1"/>
    <x v="24"/>
    <x v="0"/>
    <x v="2"/>
  </r>
  <r>
    <x v="40"/>
    <x v="0"/>
    <x v="27"/>
    <x v="1"/>
    <x v="1"/>
  </r>
  <r>
    <x v="41"/>
    <x v="0"/>
    <x v="32"/>
    <x v="0"/>
    <x v="4"/>
  </r>
  <r>
    <x v="42"/>
    <x v="1"/>
    <x v="13"/>
    <x v="0"/>
    <x v="3"/>
  </r>
  <r>
    <x v="43"/>
    <x v="1"/>
    <x v="33"/>
    <x v="1"/>
    <x v="3"/>
  </r>
  <r>
    <x v="44"/>
    <x v="1"/>
    <x v="34"/>
    <x v="0"/>
    <x v="1"/>
  </r>
  <r>
    <x v="45"/>
    <x v="0"/>
    <x v="10"/>
    <x v="1"/>
    <x v="2"/>
  </r>
  <r>
    <x v="46"/>
    <x v="0"/>
    <x v="31"/>
    <x v="1"/>
    <x v="3"/>
  </r>
  <r>
    <x v="47"/>
    <x v="0"/>
    <x v="20"/>
    <x v="1"/>
    <x v="3"/>
  </r>
  <r>
    <x v="48"/>
    <x v="1"/>
    <x v="34"/>
    <x v="0"/>
    <x v="0"/>
  </r>
  <r>
    <x v="49"/>
    <x v="3"/>
    <x v="8"/>
    <x v="0"/>
    <x v="3"/>
  </r>
  <r>
    <x v="50"/>
    <x v="0"/>
    <x v="31"/>
    <x v="1"/>
    <x v="0"/>
  </r>
  <r>
    <x v="51"/>
    <x v="3"/>
    <x v="13"/>
    <x v="0"/>
    <x v="4"/>
  </r>
  <r>
    <x v="52"/>
    <x v="3"/>
    <x v="22"/>
    <x v="1"/>
    <x v="2"/>
  </r>
  <r>
    <x v="53"/>
    <x v="3"/>
    <x v="3"/>
    <x v="0"/>
    <x v="0"/>
  </r>
  <r>
    <x v="54"/>
    <x v="1"/>
    <x v="17"/>
    <x v="1"/>
    <x v="1"/>
  </r>
  <r>
    <x v="55"/>
    <x v="1"/>
    <x v="28"/>
    <x v="0"/>
    <x v="2"/>
  </r>
  <r>
    <x v="56"/>
    <x v="3"/>
    <x v="35"/>
    <x v="1"/>
    <x v="1"/>
  </r>
  <r>
    <x v="57"/>
    <x v="0"/>
    <x v="1"/>
    <x v="1"/>
    <x v="2"/>
  </r>
  <r>
    <x v="58"/>
    <x v="2"/>
    <x v="15"/>
    <x v="1"/>
    <x v="1"/>
  </r>
  <r>
    <x v="59"/>
    <x v="3"/>
    <x v="12"/>
    <x v="0"/>
    <x v="2"/>
  </r>
  <r>
    <x v="60"/>
    <x v="0"/>
    <x v="32"/>
    <x v="0"/>
    <x v="0"/>
  </r>
  <r>
    <x v="61"/>
    <x v="1"/>
    <x v="3"/>
    <x v="1"/>
    <x v="0"/>
  </r>
  <r>
    <x v="62"/>
    <x v="4"/>
    <x v="9"/>
    <x v="2"/>
    <x v="1"/>
  </r>
  <r>
    <x v="63"/>
    <x v="0"/>
    <x v="17"/>
    <x v="1"/>
    <x v="2"/>
  </r>
  <r>
    <x v="64"/>
    <x v="0"/>
    <x v="10"/>
    <x v="0"/>
    <x v="4"/>
  </r>
  <r>
    <x v="65"/>
    <x v="2"/>
    <x v="13"/>
    <x v="0"/>
    <x v="3"/>
  </r>
  <r>
    <x v="66"/>
    <x v="2"/>
    <x v="36"/>
    <x v="1"/>
    <x v="1"/>
  </r>
  <r>
    <x v="67"/>
    <x v="0"/>
    <x v="37"/>
    <x v="0"/>
    <x v="2"/>
  </r>
  <r>
    <x v="68"/>
    <x v="3"/>
    <x v="4"/>
    <x v="0"/>
    <x v="0"/>
  </r>
  <r>
    <x v="69"/>
    <x v="2"/>
    <x v="38"/>
    <x v="0"/>
    <x v="1"/>
  </r>
  <r>
    <x v="70"/>
    <x v="1"/>
    <x v="12"/>
    <x v="0"/>
    <x v="2"/>
  </r>
  <r>
    <x v="71"/>
    <x v="1"/>
    <x v="32"/>
    <x v="1"/>
    <x v="0"/>
  </r>
  <r>
    <x v="72"/>
    <x v="0"/>
    <x v="0"/>
    <x v="0"/>
    <x v="0"/>
  </r>
  <r>
    <x v="73"/>
    <x v="5"/>
    <x v="24"/>
    <x v="1"/>
    <x v="0"/>
  </r>
  <r>
    <x v="74"/>
    <x v="3"/>
    <x v="25"/>
    <x v="0"/>
    <x v="0"/>
  </r>
  <r>
    <x v="75"/>
    <x v="2"/>
    <x v="39"/>
    <x v="0"/>
    <x v="0"/>
  </r>
  <r>
    <x v="76"/>
    <x v="1"/>
    <x v="28"/>
    <x v="1"/>
    <x v="1"/>
  </r>
  <r>
    <x v="77"/>
    <x v="3"/>
    <x v="31"/>
    <x v="1"/>
    <x v="1"/>
  </r>
  <r>
    <x v="78"/>
    <x v="1"/>
    <x v="14"/>
    <x v="0"/>
    <x v="2"/>
  </r>
  <r>
    <x v="79"/>
    <x v="1"/>
    <x v="20"/>
    <x v="1"/>
    <x v="3"/>
  </r>
  <r>
    <x v="80"/>
    <x v="2"/>
    <x v="37"/>
    <x v="0"/>
    <x v="0"/>
  </r>
  <r>
    <x v="81"/>
    <x v="3"/>
    <x v="40"/>
    <x v="0"/>
    <x v="2"/>
  </r>
  <r>
    <x v="82"/>
    <x v="3"/>
    <x v="41"/>
    <x v="1"/>
    <x v="4"/>
  </r>
  <r>
    <x v="83"/>
    <x v="3"/>
    <x v="11"/>
    <x v="0"/>
    <x v="0"/>
  </r>
  <r>
    <x v="84"/>
    <x v="2"/>
    <x v="38"/>
    <x v="0"/>
    <x v="4"/>
  </r>
  <r>
    <x v="85"/>
    <x v="1"/>
    <x v="6"/>
    <x v="0"/>
    <x v="0"/>
  </r>
  <r>
    <x v="86"/>
    <x v="1"/>
    <x v="25"/>
    <x v="1"/>
    <x v="0"/>
  </r>
  <r>
    <x v="87"/>
    <x v="3"/>
    <x v="17"/>
    <x v="1"/>
    <x v="4"/>
  </r>
  <r>
    <x v="88"/>
    <x v="1"/>
    <x v="5"/>
    <x v="0"/>
    <x v="0"/>
  </r>
  <r>
    <x v="89"/>
    <x v="3"/>
    <x v="28"/>
    <x v="0"/>
    <x v="0"/>
  </r>
  <r>
    <x v="90"/>
    <x v="3"/>
    <x v="20"/>
    <x v="0"/>
    <x v="3"/>
  </r>
  <r>
    <x v="91"/>
    <x v="0"/>
    <x v="25"/>
    <x v="1"/>
    <x v="5"/>
  </r>
  <r>
    <x v="92"/>
    <x v="3"/>
    <x v="31"/>
    <x v="1"/>
    <x v="3"/>
  </r>
  <r>
    <x v="93"/>
    <x v="2"/>
    <x v="10"/>
    <x v="1"/>
    <x v="0"/>
  </r>
  <r>
    <x v="94"/>
    <x v="1"/>
    <x v="42"/>
    <x v="0"/>
    <x v="0"/>
  </r>
  <r>
    <x v="95"/>
    <x v="3"/>
    <x v="10"/>
    <x v="1"/>
    <x v="3"/>
  </r>
  <r>
    <x v="96"/>
    <x v="3"/>
    <x v="29"/>
    <x v="0"/>
    <x v="0"/>
  </r>
  <r>
    <x v="97"/>
    <x v="0"/>
    <x v="15"/>
    <x v="1"/>
    <x v="5"/>
  </r>
  <r>
    <x v="98"/>
    <x v="3"/>
    <x v="11"/>
    <x v="1"/>
    <x v="3"/>
  </r>
  <r>
    <x v="99"/>
    <x v="3"/>
    <x v="8"/>
    <x v="0"/>
    <x v="0"/>
  </r>
  <r>
    <x v="100"/>
    <x v="1"/>
    <x v="43"/>
    <x v="1"/>
    <x v="3"/>
  </r>
  <r>
    <x v="101"/>
    <x v="1"/>
    <x v="33"/>
    <x v="1"/>
    <x v="4"/>
  </r>
  <r>
    <x v="102"/>
    <x v="2"/>
    <x v="32"/>
    <x v="0"/>
    <x v="3"/>
  </r>
  <r>
    <x v="103"/>
    <x v="2"/>
    <x v="25"/>
    <x v="1"/>
    <x v="1"/>
  </r>
  <r>
    <x v="104"/>
    <x v="2"/>
    <x v="26"/>
    <x v="1"/>
    <x v="3"/>
  </r>
  <r>
    <x v="105"/>
    <x v="1"/>
    <x v="31"/>
    <x v="1"/>
    <x v="3"/>
  </r>
  <r>
    <x v="106"/>
    <x v="2"/>
    <x v="36"/>
    <x v="1"/>
    <x v="0"/>
  </r>
  <r>
    <x v="107"/>
    <x v="2"/>
    <x v="28"/>
    <x v="1"/>
    <x v="3"/>
  </r>
  <r>
    <x v="108"/>
    <x v="1"/>
    <x v="10"/>
    <x v="0"/>
    <x v="0"/>
  </r>
  <r>
    <x v="109"/>
    <x v="0"/>
    <x v="35"/>
    <x v="0"/>
    <x v="4"/>
  </r>
  <r>
    <x v="110"/>
    <x v="3"/>
    <x v="31"/>
    <x v="1"/>
    <x v="1"/>
  </r>
  <r>
    <x v="111"/>
    <x v="3"/>
    <x v="44"/>
    <x v="0"/>
    <x v="1"/>
  </r>
  <r>
    <x v="112"/>
    <x v="3"/>
    <x v="3"/>
    <x v="1"/>
    <x v="1"/>
  </r>
  <r>
    <x v="113"/>
    <x v="0"/>
    <x v="1"/>
    <x v="1"/>
    <x v="3"/>
  </r>
  <r>
    <x v="114"/>
    <x v="1"/>
    <x v="7"/>
    <x v="1"/>
    <x v="4"/>
  </r>
  <r>
    <x v="115"/>
    <x v="2"/>
    <x v="22"/>
    <x v="0"/>
    <x v="4"/>
  </r>
  <r>
    <x v="116"/>
    <x v="0"/>
    <x v="19"/>
    <x v="0"/>
    <x v="5"/>
  </r>
  <r>
    <x v="117"/>
    <x v="2"/>
    <x v="3"/>
    <x v="0"/>
    <x v="4"/>
  </r>
  <r>
    <x v="118"/>
    <x v="0"/>
    <x v="21"/>
    <x v="1"/>
    <x v="1"/>
  </r>
  <r>
    <x v="119"/>
    <x v="3"/>
    <x v="16"/>
    <x v="0"/>
    <x v="0"/>
  </r>
  <r>
    <x v="120"/>
    <x v="3"/>
    <x v="15"/>
    <x v="1"/>
    <x v="0"/>
  </r>
  <r>
    <x v="121"/>
    <x v="0"/>
    <x v="18"/>
    <x v="0"/>
    <x v="0"/>
  </r>
  <r>
    <x v="122"/>
    <x v="2"/>
    <x v="28"/>
    <x v="1"/>
    <x v="0"/>
  </r>
  <r>
    <x v="123"/>
    <x v="0"/>
    <x v="19"/>
    <x v="1"/>
    <x v="1"/>
  </r>
  <r>
    <x v="124"/>
    <x v="3"/>
    <x v="3"/>
    <x v="1"/>
    <x v="3"/>
  </r>
  <r>
    <x v="125"/>
    <x v="2"/>
    <x v="38"/>
    <x v="0"/>
    <x v="1"/>
  </r>
  <r>
    <x v="126"/>
    <x v="3"/>
    <x v="11"/>
    <x v="1"/>
    <x v="3"/>
  </r>
  <r>
    <x v="127"/>
    <x v="1"/>
    <x v="15"/>
    <x v="1"/>
    <x v="1"/>
  </r>
  <r>
    <x v="128"/>
    <x v="1"/>
    <x v="17"/>
    <x v="1"/>
    <x v="2"/>
  </r>
  <r>
    <x v="129"/>
    <x v="2"/>
    <x v="2"/>
    <x v="0"/>
    <x v="4"/>
  </r>
  <r>
    <x v="130"/>
    <x v="3"/>
    <x v="14"/>
    <x v="0"/>
    <x v="0"/>
  </r>
  <r>
    <x v="131"/>
    <x v="3"/>
    <x v="45"/>
    <x v="0"/>
    <x v="1"/>
  </r>
  <r>
    <x v="132"/>
    <x v="2"/>
    <x v="27"/>
    <x v="1"/>
    <x v="1"/>
  </r>
  <r>
    <x v="133"/>
    <x v="3"/>
    <x v="17"/>
    <x v="1"/>
    <x v="0"/>
  </r>
  <r>
    <x v="134"/>
    <x v="3"/>
    <x v="18"/>
    <x v="1"/>
    <x v="3"/>
  </r>
  <r>
    <x v="135"/>
    <x v="0"/>
    <x v="5"/>
    <x v="1"/>
    <x v="4"/>
  </r>
  <r>
    <x v="136"/>
    <x v="3"/>
    <x v="46"/>
    <x v="0"/>
    <x v="2"/>
  </r>
  <r>
    <x v="137"/>
    <x v="3"/>
    <x v="20"/>
    <x v="0"/>
    <x v="0"/>
  </r>
  <r>
    <x v="138"/>
    <x v="3"/>
    <x v="19"/>
    <x v="1"/>
    <x v="0"/>
  </r>
  <r>
    <x v="139"/>
    <x v="3"/>
    <x v="44"/>
    <x v="1"/>
    <x v="2"/>
  </r>
  <r>
    <x v="140"/>
    <x v="1"/>
    <x v="41"/>
    <x v="1"/>
    <x v="1"/>
  </r>
  <r>
    <x v="141"/>
    <x v="0"/>
    <x v="12"/>
    <x v="0"/>
    <x v="2"/>
  </r>
  <r>
    <x v="142"/>
    <x v="3"/>
    <x v="24"/>
    <x v="0"/>
    <x v="2"/>
  </r>
  <r>
    <x v="143"/>
    <x v="1"/>
    <x v="12"/>
    <x v="1"/>
    <x v="1"/>
  </r>
  <r>
    <x v="144"/>
    <x v="2"/>
    <x v="13"/>
    <x v="1"/>
    <x v="4"/>
  </r>
  <r>
    <x v="145"/>
    <x v="0"/>
    <x v="31"/>
    <x v="1"/>
    <x v="0"/>
  </r>
  <r>
    <x v="146"/>
    <x v="2"/>
    <x v="12"/>
    <x v="0"/>
    <x v="4"/>
  </r>
  <r>
    <x v="147"/>
    <x v="1"/>
    <x v="31"/>
    <x v="0"/>
    <x v="0"/>
  </r>
  <r>
    <x v="148"/>
    <x v="2"/>
    <x v="4"/>
    <x v="0"/>
    <x v="3"/>
  </r>
  <r>
    <x v="149"/>
    <x v="0"/>
    <x v="4"/>
    <x v="1"/>
    <x v="4"/>
  </r>
  <r>
    <x v="150"/>
    <x v="2"/>
    <x v="6"/>
    <x v="1"/>
    <x v="0"/>
  </r>
  <r>
    <x v="151"/>
    <x v="2"/>
    <x v="19"/>
    <x v="1"/>
    <x v="1"/>
  </r>
  <r>
    <x v="152"/>
    <x v="0"/>
    <x v="45"/>
    <x v="1"/>
    <x v="4"/>
  </r>
  <r>
    <x v="153"/>
    <x v="2"/>
    <x v="20"/>
    <x v="1"/>
    <x v="1"/>
  </r>
  <r>
    <x v="154"/>
    <x v="0"/>
    <x v="5"/>
    <x v="1"/>
    <x v="1"/>
  </r>
  <r>
    <x v="155"/>
    <x v="3"/>
    <x v="45"/>
    <x v="1"/>
    <x v="1"/>
  </r>
  <r>
    <x v="156"/>
    <x v="1"/>
    <x v="26"/>
    <x v="0"/>
    <x v="2"/>
  </r>
  <r>
    <x v="157"/>
    <x v="2"/>
    <x v="32"/>
    <x v="0"/>
    <x v="3"/>
  </r>
  <r>
    <x v="158"/>
    <x v="1"/>
    <x v="43"/>
    <x v="1"/>
    <x v="0"/>
  </r>
  <r>
    <x v="159"/>
    <x v="3"/>
    <x v="16"/>
    <x v="1"/>
    <x v="2"/>
  </r>
  <r>
    <x v="160"/>
    <x v="2"/>
    <x v="30"/>
    <x v="0"/>
    <x v="3"/>
  </r>
  <r>
    <x v="161"/>
    <x v="1"/>
    <x v="12"/>
    <x v="0"/>
    <x v="3"/>
  </r>
  <r>
    <x v="162"/>
    <x v="1"/>
    <x v="42"/>
    <x v="0"/>
    <x v="0"/>
  </r>
  <r>
    <x v="163"/>
    <x v="0"/>
    <x v="13"/>
    <x v="0"/>
    <x v="2"/>
  </r>
  <r>
    <x v="164"/>
    <x v="0"/>
    <x v="14"/>
    <x v="0"/>
    <x v="0"/>
  </r>
  <r>
    <x v="165"/>
    <x v="2"/>
    <x v="45"/>
    <x v="1"/>
    <x v="3"/>
  </r>
  <r>
    <x v="166"/>
    <x v="3"/>
    <x v="29"/>
    <x v="1"/>
    <x v="4"/>
  </r>
  <r>
    <x v="167"/>
    <x v="2"/>
    <x v="33"/>
    <x v="1"/>
    <x v="3"/>
  </r>
  <r>
    <x v="168"/>
    <x v="3"/>
    <x v="14"/>
    <x v="0"/>
    <x v="3"/>
  </r>
  <r>
    <x v="169"/>
    <x v="0"/>
    <x v="13"/>
    <x v="1"/>
    <x v="0"/>
  </r>
  <r>
    <x v="170"/>
    <x v="1"/>
    <x v="47"/>
    <x v="0"/>
    <x v="1"/>
  </r>
  <r>
    <x v="171"/>
    <x v="1"/>
    <x v="45"/>
    <x v="0"/>
    <x v="2"/>
  </r>
  <r>
    <x v="172"/>
    <x v="0"/>
    <x v="27"/>
    <x v="0"/>
    <x v="2"/>
  </r>
  <r>
    <x v="173"/>
    <x v="3"/>
    <x v="28"/>
    <x v="1"/>
    <x v="1"/>
  </r>
  <r>
    <x v="174"/>
    <x v="1"/>
    <x v="45"/>
    <x v="1"/>
    <x v="0"/>
  </r>
  <r>
    <x v="175"/>
    <x v="0"/>
    <x v="27"/>
    <x v="1"/>
    <x v="3"/>
  </r>
  <r>
    <x v="176"/>
    <x v="2"/>
    <x v="36"/>
    <x v="0"/>
    <x v="4"/>
  </r>
  <r>
    <x v="177"/>
    <x v="4"/>
    <x v="9"/>
    <x v="2"/>
    <x v="3"/>
  </r>
  <r>
    <x v="178"/>
    <x v="2"/>
    <x v="24"/>
    <x v="1"/>
    <x v="2"/>
  </r>
  <r>
    <x v="179"/>
    <x v="1"/>
    <x v="11"/>
    <x v="1"/>
    <x v="0"/>
  </r>
  <r>
    <x v="180"/>
    <x v="0"/>
    <x v="30"/>
    <x v="0"/>
    <x v="1"/>
  </r>
  <r>
    <x v="181"/>
    <x v="2"/>
    <x v="11"/>
    <x v="1"/>
    <x v="3"/>
  </r>
  <r>
    <x v="182"/>
    <x v="2"/>
    <x v="18"/>
    <x v="1"/>
    <x v="1"/>
  </r>
  <r>
    <x v="183"/>
    <x v="1"/>
    <x v="18"/>
    <x v="0"/>
    <x v="4"/>
  </r>
  <r>
    <x v="184"/>
    <x v="2"/>
    <x v="22"/>
    <x v="1"/>
    <x v="2"/>
  </r>
  <r>
    <x v="185"/>
    <x v="3"/>
    <x v="24"/>
    <x v="1"/>
    <x v="2"/>
  </r>
  <r>
    <x v="186"/>
    <x v="1"/>
    <x v="17"/>
    <x v="1"/>
    <x v="3"/>
  </r>
  <r>
    <x v="187"/>
    <x v="0"/>
    <x v="37"/>
    <x v="1"/>
    <x v="0"/>
  </r>
  <r>
    <x v="188"/>
    <x v="0"/>
    <x v="43"/>
    <x v="1"/>
    <x v="4"/>
  </r>
  <r>
    <x v="189"/>
    <x v="2"/>
    <x v="31"/>
    <x v="1"/>
    <x v="4"/>
  </r>
  <r>
    <x v="190"/>
    <x v="2"/>
    <x v="21"/>
    <x v="1"/>
    <x v="2"/>
  </r>
  <r>
    <x v="191"/>
    <x v="0"/>
    <x v="16"/>
    <x v="0"/>
    <x v="4"/>
  </r>
  <r>
    <x v="192"/>
    <x v="3"/>
    <x v="20"/>
    <x v="0"/>
    <x v="3"/>
  </r>
  <r>
    <x v="193"/>
    <x v="2"/>
    <x v="13"/>
    <x v="0"/>
    <x v="3"/>
  </r>
  <r>
    <x v="194"/>
    <x v="1"/>
    <x v="42"/>
    <x v="1"/>
    <x v="2"/>
  </r>
  <r>
    <x v="195"/>
    <x v="0"/>
    <x v="5"/>
    <x v="1"/>
    <x v="2"/>
  </r>
  <r>
    <x v="196"/>
    <x v="4"/>
    <x v="9"/>
    <x v="2"/>
    <x v="0"/>
  </r>
  <r>
    <x v="197"/>
    <x v="1"/>
    <x v="19"/>
    <x v="1"/>
    <x v="0"/>
  </r>
  <r>
    <x v="198"/>
    <x v="3"/>
    <x v="42"/>
    <x v="1"/>
    <x v="0"/>
  </r>
  <r>
    <x v="199"/>
    <x v="3"/>
    <x v="38"/>
    <x v="1"/>
    <x v="2"/>
  </r>
  <r>
    <x v="200"/>
    <x v="0"/>
    <x v="5"/>
    <x v="0"/>
    <x v="2"/>
  </r>
  <r>
    <x v="201"/>
    <x v="3"/>
    <x v="17"/>
    <x v="1"/>
    <x v="3"/>
  </r>
  <r>
    <x v="202"/>
    <x v="3"/>
    <x v="14"/>
    <x v="0"/>
    <x v="1"/>
  </r>
  <r>
    <x v="203"/>
    <x v="2"/>
    <x v="22"/>
    <x v="0"/>
    <x v="1"/>
  </r>
  <r>
    <x v="204"/>
    <x v="2"/>
    <x v="19"/>
    <x v="1"/>
    <x v="1"/>
  </r>
  <r>
    <x v="205"/>
    <x v="1"/>
    <x v="34"/>
    <x v="1"/>
    <x v="0"/>
  </r>
  <r>
    <x v="206"/>
    <x v="0"/>
    <x v="45"/>
    <x v="1"/>
    <x v="1"/>
  </r>
  <r>
    <x v="207"/>
    <x v="1"/>
    <x v="26"/>
    <x v="1"/>
    <x v="3"/>
  </r>
  <r>
    <x v="208"/>
    <x v="2"/>
    <x v="28"/>
    <x v="1"/>
    <x v="1"/>
  </r>
  <r>
    <x v="209"/>
    <x v="1"/>
    <x v="10"/>
    <x v="1"/>
    <x v="1"/>
  </r>
  <r>
    <x v="210"/>
    <x v="0"/>
    <x v="16"/>
    <x v="1"/>
    <x v="0"/>
  </r>
  <r>
    <x v="211"/>
    <x v="1"/>
    <x v="0"/>
    <x v="1"/>
    <x v="3"/>
  </r>
  <r>
    <x v="212"/>
    <x v="3"/>
    <x v="22"/>
    <x v="1"/>
    <x v="3"/>
  </r>
  <r>
    <x v="213"/>
    <x v="3"/>
    <x v="45"/>
    <x v="1"/>
    <x v="3"/>
  </r>
  <r>
    <x v="214"/>
    <x v="3"/>
    <x v="28"/>
    <x v="0"/>
    <x v="1"/>
  </r>
  <r>
    <x v="215"/>
    <x v="2"/>
    <x v="12"/>
    <x v="0"/>
    <x v="3"/>
  </r>
  <r>
    <x v="216"/>
    <x v="3"/>
    <x v="46"/>
    <x v="0"/>
    <x v="0"/>
  </r>
  <r>
    <x v="217"/>
    <x v="3"/>
    <x v="40"/>
    <x v="1"/>
    <x v="1"/>
  </r>
  <r>
    <x v="218"/>
    <x v="3"/>
    <x v="3"/>
    <x v="0"/>
    <x v="0"/>
  </r>
  <r>
    <x v="219"/>
    <x v="1"/>
    <x v="34"/>
    <x v="0"/>
    <x v="1"/>
  </r>
  <r>
    <x v="220"/>
    <x v="0"/>
    <x v="35"/>
    <x v="1"/>
    <x v="5"/>
  </r>
  <r>
    <x v="221"/>
    <x v="2"/>
    <x v="38"/>
    <x v="0"/>
    <x v="1"/>
  </r>
  <r>
    <x v="222"/>
    <x v="2"/>
    <x v="36"/>
    <x v="1"/>
    <x v="1"/>
  </r>
  <r>
    <x v="223"/>
    <x v="3"/>
    <x v="25"/>
    <x v="1"/>
    <x v="0"/>
  </r>
  <r>
    <x v="224"/>
    <x v="1"/>
    <x v="23"/>
    <x v="1"/>
    <x v="0"/>
  </r>
  <r>
    <x v="225"/>
    <x v="1"/>
    <x v="6"/>
    <x v="1"/>
    <x v="0"/>
  </r>
  <r>
    <x v="226"/>
    <x v="3"/>
    <x v="40"/>
    <x v="1"/>
    <x v="0"/>
  </r>
  <r>
    <x v="227"/>
    <x v="4"/>
    <x v="9"/>
    <x v="2"/>
    <x v="1"/>
  </r>
  <r>
    <x v="228"/>
    <x v="1"/>
    <x v="17"/>
    <x v="1"/>
    <x v="4"/>
  </r>
  <r>
    <x v="229"/>
    <x v="3"/>
    <x v="13"/>
    <x v="0"/>
    <x v="2"/>
  </r>
  <r>
    <x v="230"/>
    <x v="0"/>
    <x v="36"/>
    <x v="1"/>
    <x v="1"/>
  </r>
  <r>
    <x v="231"/>
    <x v="0"/>
    <x v="15"/>
    <x v="0"/>
    <x v="4"/>
  </r>
  <r>
    <x v="232"/>
    <x v="3"/>
    <x v="22"/>
    <x v="1"/>
    <x v="4"/>
  </r>
  <r>
    <x v="233"/>
    <x v="3"/>
    <x v="20"/>
    <x v="0"/>
    <x v="3"/>
  </r>
  <r>
    <x v="234"/>
    <x v="1"/>
    <x v="13"/>
    <x v="0"/>
    <x v="0"/>
  </r>
  <r>
    <x v="235"/>
    <x v="0"/>
    <x v="20"/>
    <x v="1"/>
    <x v="2"/>
  </r>
  <r>
    <x v="236"/>
    <x v="3"/>
    <x v="42"/>
    <x v="0"/>
    <x v="0"/>
  </r>
  <r>
    <x v="237"/>
    <x v="0"/>
    <x v="10"/>
    <x v="0"/>
    <x v="0"/>
  </r>
  <r>
    <x v="238"/>
    <x v="1"/>
    <x v="19"/>
    <x v="1"/>
    <x v="1"/>
  </r>
  <r>
    <x v="239"/>
    <x v="1"/>
    <x v="41"/>
    <x v="0"/>
    <x v="3"/>
  </r>
  <r>
    <x v="240"/>
    <x v="2"/>
    <x v="7"/>
    <x v="0"/>
    <x v="1"/>
  </r>
  <r>
    <x v="241"/>
    <x v="0"/>
    <x v="19"/>
    <x v="1"/>
    <x v="5"/>
  </r>
  <r>
    <x v="242"/>
    <x v="3"/>
    <x v="8"/>
    <x v="0"/>
    <x v="1"/>
  </r>
  <r>
    <x v="243"/>
    <x v="3"/>
    <x v="3"/>
    <x v="0"/>
    <x v="0"/>
  </r>
  <r>
    <x v="244"/>
    <x v="1"/>
    <x v="23"/>
    <x v="0"/>
    <x v="3"/>
  </r>
  <r>
    <x v="245"/>
    <x v="3"/>
    <x v="32"/>
    <x v="1"/>
    <x v="1"/>
  </r>
  <r>
    <x v="246"/>
    <x v="0"/>
    <x v="27"/>
    <x v="0"/>
    <x v="1"/>
  </r>
  <r>
    <x v="247"/>
    <x v="2"/>
    <x v="13"/>
    <x v="1"/>
    <x v="2"/>
  </r>
  <r>
    <x v="248"/>
    <x v="3"/>
    <x v="37"/>
    <x v="1"/>
    <x v="0"/>
  </r>
  <r>
    <x v="249"/>
    <x v="2"/>
    <x v="39"/>
    <x v="1"/>
    <x v="3"/>
  </r>
  <r>
    <x v="250"/>
    <x v="3"/>
    <x v="11"/>
    <x v="1"/>
    <x v="4"/>
  </r>
  <r>
    <x v="251"/>
    <x v="3"/>
    <x v="28"/>
    <x v="1"/>
    <x v="0"/>
  </r>
  <r>
    <x v="252"/>
    <x v="3"/>
    <x v="31"/>
    <x v="0"/>
    <x v="1"/>
  </r>
  <r>
    <x v="253"/>
    <x v="1"/>
    <x v="30"/>
    <x v="1"/>
    <x v="3"/>
  </r>
  <r>
    <x v="254"/>
    <x v="3"/>
    <x v="20"/>
    <x v="0"/>
    <x v="3"/>
  </r>
  <r>
    <x v="255"/>
    <x v="3"/>
    <x v="11"/>
    <x v="0"/>
    <x v="4"/>
  </r>
  <r>
    <x v="256"/>
    <x v="1"/>
    <x v="22"/>
    <x v="0"/>
    <x v="0"/>
  </r>
  <r>
    <x v="257"/>
    <x v="2"/>
    <x v="40"/>
    <x v="1"/>
    <x v="0"/>
  </r>
  <r>
    <x v="258"/>
    <x v="2"/>
    <x v="31"/>
    <x v="0"/>
    <x v="3"/>
  </r>
  <r>
    <x v="259"/>
    <x v="0"/>
    <x v="29"/>
    <x v="0"/>
    <x v="3"/>
  </r>
  <r>
    <x v="260"/>
    <x v="3"/>
    <x v="10"/>
    <x v="0"/>
    <x v="2"/>
  </r>
  <r>
    <x v="261"/>
    <x v="0"/>
    <x v="42"/>
    <x v="1"/>
    <x v="1"/>
  </r>
  <r>
    <x v="262"/>
    <x v="1"/>
    <x v="21"/>
    <x v="1"/>
    <x v="1"/>
  </r>
  <r>
    <x v="263"/>
    <x v="0"/>
    <x v="28"/>
    <x v="1"/>
    <x v="4"/>
  </r>
  <r>
    <x v="264"/>
    <x v="0"/>
    <x v="30"/>
    <x v="0"/>
    <x v="5"/>
  </r>
  <r>
    <x v="265"/>
    <x v="3"/>
    <x v="23"/>
    <x v="0"/>
    <x v="3"/>
  </r>
  <r>
    <x v="266"/>
    <x v="2"/>
    <x v="12"/>
    <x v="1"/>
    <x v="2"/>
  </r>
  <r>
    <x v="267"/>
    <x v="1"/>
    <x v="32"/>
    <x v="0"/>
    <x v="2"/>
  </r>
  <r>
    <x v="268"/>
    <x v="0"/>
    <x v="25"/>
    <x v="1"/>
    <x v="1"/>
  </r>
  <r>
    <x v="269"/>
    <x v="0"/>
    <x v="34"/>
    <x v="1"/>
    <x v="4"/>
  </r>
  <r>
    <x v="270"/>
    <x v="0"/>
    <x v="31"/>
    <x v="0"/>
    <x v="2"/>
  </r>
  <r>
    <x v="271"/>
    <x v="0"/>
    <x v="26"/>
    <x v="0"/>
    <x v="3"/>
  </r>
  <r>
    <x v="272"/>
    <x v="1"/>
    <x v="18"/>
    <x v="0"/>
    <x v="4"/>
  </r>
  <r>
    <x v="273"/>
    <x v="2"/>
    <x v="34"/>
    <x v="1"/>
    <x v="1"/>
  </r>
  <r>
    <x v="274"/>
    <x v="2"/>
    <x v="12"/>
    <x v="1"/>
    <x v="3"/>
  </r>
  <r>
    <x v="275"/>
    <x v="3"/>
    <x v="4"/>
    <x v="0"/>
    <x v="0"/>
  </r>
  <r>
    <x v="276"/>
    <x v="3"/>
    <x v="46"/>
    <x v="0"/>
    <x v="0"/>
  </r>
  <r>
    <x v="277"/>
    <x v="3"/>
    <x v="40"/>
    <x v="0"/>
    <x v="1"/>
  </r>
  <r>
    <x v="278"/>
    <x v="0"/>
    <x v="11"/>
    <x v="0"/>
    <x v="4"/>
  </r>
  <r>
    <x v="279"/>
    <x v="0"/>
    <x v="3"/>
    <x v="1"/>
    <x v="4"/>
  </r>
  <r>
    <x v="280"/>
    <x v="3"/>
    <x v="44"/>
    <x v="0"/>
    <x v="1"/>
  </r>
  <r>
    <x v="281"/>
    <x v="1"/>
    <x v="25"/>
    <x v="0"/>
    <x v="2"/>
  </r>
  <r>
    <x v="282"/>
    <x v="2"/>
    <x v="8"/>
    <x v="1"/>
    <x v="1"/>
  </r>
  <r>
    <x v="283"/>
    <x v="2"/>
    <x v="19"/>
    <x v="1"/>
    <x v="0"/>
  </r>
  <r>
    <x v="284"/>
    <x v="1"/>
    <x v="1"/>
    <x v="1"/>
    <x v="3"/>
  </r>
  <r>
    <x v="285"/>
    <x v="1"/>
    <x v="28"/>
    <x v="1"/>
    <x v="0"/>
  </r>
  <r>
    <x v="286"/>
    <x v="2"/>
    <x v="5"/>
    <x v="0"/>
    <x v="1"/>
  </r>
  <r>
    <x v="287"/>
    <x v="1"/>
    <x v="13"/>
    <x v="0"/>
    <x v="0"/>
  </r>
  <r>
    <x v="288"/>
    <x v="2"/>
    <x v="25"/>
    <x v="1"/>
    <x v="0"/>
  </r>
  <r>
    <x v="289"/>
    <x v="3"/>
    <x v="21"/>
    <x v="0"/>
    <x v="0"/>
  </r>
  <r>
    <x v="290"/>
    <x v="3"/>
    <x v="42"/>
    <x v="1"/>
    <x v="0"/>
  </r>
  <r>
    <x v="291"/>
    <x v="1"/>
    <x v="8"/>
    <x v="1"/>
    <x v="0"/>
  </r>
  <r>
    <x v="292"/>
    <x v="3"/>
    <x v="44"/>
    <x v="0"/>
    <x v="1"/>
  </r>
  <r>
    <x v="293"/>
    <x v="2"/>
    <x v="31"/>
    <x v="0"/>
    <x v="1"/>
  </r>
  <r>
    <x v="294"/>
    <x v="1"/>
    <x v="15"/>
    <x v="1"/>
    <x v="0"/>
  </r>
  <r>
    <x v="295"/>
    <x v="2"/>
    <x v="43"/>
    <x v="1"/>
    <x v="4"/>
  </r>
  <r>
    <x v="296"/>
    <x v="3"/>
    <x v="20"/>
    <x v="0"/>
    <x v="0"/>
  </r>
  <r>
    <x v="297"/>
    <x v="3"/>
    <x v="31"/>
    <x v="1"/>
    <x v="0"/>
  </r>
  <r>
    <x v="298"/>
    <x v="2"/>
    <x v="10"/>
    <x v="1"/>
    <x v="1"/>
  </r>
  <r>
    <x v="299"/>
    <x v="1"/>
    <x v="41"/>
    <x v="0"/>
    <x v="0"/>
  </r>
  <r>
    <x v="300"/>
    <x v="3"/>
    <x v="26"/>
    <x v="0"/>
    <x v="2"/>
  </r>
  <r>
    <x v="301"/>
    <x v="1"/>
    <x v="24"/>
    <x v="1"/>
    <x v="1"/>
  </r>
  <r>
    <x v="302"/>
    <x v="3"/>
    <x v="36"/>
    <x v="0"/>
    <x v="4"/>
  </r>
  <r>
    <x v="303"/>
    <x v="2"/>
    <x v="32"/>
    <x v="0"/>
    <x v="0"/>
  </r>
  <r>
    <x v="304"/>
    <x v="1"/>
    <x v="29"/>
    <x v="0"/>
    <x v="1"/>
  </r>
  <r>
    <x v="305"/>
    <x v="2"/>
    <x v="43"/>
    <x v="1"/>
    <x v="0"/>
  </r>
  <r>
    <x v="306"/>
    <x v="0"/>
    <x v="10"/>
    <x v="0"/>
    <x v="1"/>
  </r>
  <r>
    <x v="307"/>
    <x v="0"/>
    <x v="28"/>
    <x v="0"/>
    <x v="1"/>
  </r>
  <r>
    <x v="308"/>
    <x v="3"/>
    <x v="44"/>
    <x v="0"/>
    <x v="1"/>
  </r>
  <r>
    <x v="309"/>
    <x v="3"/>
    <x v="21"/>
    <x v="1"/>
    <x v="3"/>
  </r>
  <r>
    <x v="310"/>
    <x v="2"/>
    <x v="26"/>
    <x v="1"/>
    <x v="2"/>
  </r>
  <r>
    <x v="311"/>
    <x v="0"/>
    <x v="17"/>
    <x v="1"/>
    <x v="3"/>
  </r>
  <r>
    <x v="312"/>
    <x v="2"/>
    <x v="39"/>
    <x v="1"/>
    <x v="3"/>
  </r>
  <r>
    <x v="313"/>
    <x v="2"/>
    <x v="7"/>
    <x v="0"/>
    <x v="0"/>
  </r>
  <r>
    <x v="314"/>
    <x v="1"/>
    <x v="32"/>
    <x v="0"/>
    <x v="0"/>
  </r>
  <r>
    <x v="315"/>
    <x v="1"/>
    <x v="5"/>
    <x v="1"/>
    <x v="1"/>
  </r>
  <r>
    <x v="316"/>
    <x v="2"/>
    <x v="8"/>
    <x v="1"/>
    <x v="0"/>
  </r>
  <r>
    <x v="317"/>
    <x v="1"/>
    <x v="3"/>
    <x v="1"/>
    <x v="0"/>
  </r>
  <r>
    <x v="318"/>
    <x v="2"/>
    <x v="3"/>
    <x v="0"/>
    <x v="4"/>
  </r>
  <r>
    <x v="319"/>
    <x v="0"/>
    <x v="8"/>
    <x v="1"/>
    <x v="3"/>
  </r>
  <r>
    <x v="320"/>
    <x v="3"/>
    <x v="11"/>
    <x v="1"/>
    <x v="2"/>
  </r>
  <r>
    <x v="321"/>
    <x v="2"/>
    <x v="34"/>
    <x v="1"/>
    <x v="4"/>
  </r>
  <r>
    <x v="322"/>
    <x v="1"/>
    <x v="17"/>
    <x v="1"/>
    <x v="3"/>
  </r>
  <r>
    <x v="323"/>
    <x v="1"/>
    <x v="30"/>
    <x v="1"/>
    <x v="2"/>
  </r>
  <r>
    <x v="324"/>
    <x v="0"/>
    <x v="16"/>
    <x v="1"/>
    <x v="1"/>
  </r>
  <r>
    <x v="325"/>
    <x v="2"/>
    <x v="40"/>
    <x v="1"/>
    <x v="4"/>
  </r>
  <r>
    <x v="326"/>
    <x v="1"/>
    <x v="8"/>
    <x v="1"/>
    <x v="1"/>
  </r>
  <r>
    <x v="327"/>
    <x v="2"/>
    <x v="21"/>
    <x v="1"/>
    <x v="1"/>
  </r>
  <r>
    <x v="328"/>
    <x v="1"/>
    <x v="30"/>
    <x v="1"/>
    <x v="1"/>
  </r>
  <r>
    <x v="329"/>
    <x v="3"/>
    <x v="26"/>
    <x v="0"/>
    <x v="2"/>
  </r>
  <r>
    <x v="330"/>
    <x v="2"/>
    <x v="42"/>
    <x v="0"/>
    <x v="0"/>
  </r>
  <r>
    <x v="331"/>
    <x v="2"/>
    <x v="22"/>
    <x v="0"/>
    <x v="3"/>
  </r>
  <r>
    <x v="332"/>
    <x v="3"/>
    <x v="17"/>
    <x v="1"/>
    <x v="4"/>
  </r>
  <r>
    <x v="333"/>
    <x v="2"/>
    <x v="32"/>
    <x v="0"/>
    <x v="0"/>
  </r>
  <r>
    <x v="334"/>
    <x v="3"/>
    <x v="46"/>
    <x v="0"/>
    <x v="0"/>
  </r>
  <r>
    <x v="335"/>
    <x v="2"/>
    <x v="17"/>
    <x v="1"/>
    <x v="4"/>
  </r>
  <r>
    <x v="336"/>
    <x v="1"/>
    <x v="24"/>
    <x v="1"/>
    <x v="0"/>
  </r>
  <r>
    <x v="337"/>
    <x v="3"/>
    <x v="3"/>
    <x v="1"/>
    <x v="1"/>
  </r>
  <r>
    <x v="338"/>
    <x v="2"/>
    <x v="36"/>
    <x v="0"/>
    <x v="3"/>
  </r>
  <r>
    <x v="339"/>
    <x v="1"/>
    <x v="38"/>
    <x v="0"/>
    <x v="4"/>
  </r>
  <r>
    <x v="340"/>
    <x v="2"/>
    <x v="26"/>
    <x v="1"/>
    <x v="0"/>
  </r>
  <r>
    <x v="341"/>
    <x v="0"/>
    <x v="6"/>
    <x v="0"/>
    <x v="1"/>
  </r>
  <r>
    <x v="342"/>
    <x v="1"/>
    <x v="14"/>
    <x v="0"/>
    <x v="3"/>
  </r>
  <r>
    <x v="343"/>
    <x v="5"/>
    <x v="46"/>
    <x v="0"/>
    <x v="0"/>
  </r>
  <r>
    <x v="344"/>
    <x v="2"/>
    <x v="20"/>
    <x v="1"/>
    <x v="1"/>
  </r>
  <r>
    <x v="345"/>
    <x v="0"/>
    <x v="15"/>
    <x v="1"/>
    <x v="0"/>
  </r>
  <r>
    <x v="346"/>
    <x v="2"/>
    <x v="25"/>
    <x v="0"/>
    <x v="1"/>
  </r>
  <r>
    <x v="347"/>
    <x v="1"/>
    <x v="6"/>
    <x v="0"/>
    <x v="1"/>
  </r>
  <r>
    <x v="348"/>
    <x v="3"/>
    <x v="4"/>
    <x v="0"/>
    <x v="0"/>
  </r>
  <r>
    <x v="349"/>
    <x v="2"/>
    <x v="34"/>
    <x v="1"/>
    <x v="3"/>
  </r>
  <r>
    <x v="350"/>
    <x v="1"/>
    <x v="18"/>
    <x v="0"/>
    <x v="3"/>
  </r>
  <r>
    <x v="351"/>
    <x v="0"/>
    <x v="35"/>
    <x v="0"/>
    <x v="2"/>
  </r>
  <r>
    <x v="352"/>
    <x v="2"/>
    <x v="22"/>
    <x v="0"/>
    <x v="0"/>
  </r>
  <r>
    <x v="353"/>
    <x v="2"/>
    <x v="42"/>
    <x v="0"/>
    <x v="4"/>
  </r>
  <r>
    <x v="354"/>
    <x v="0"/>
    <x v="29"/>
    <x v="0"/>
    <x v="3"/>
  </r>
  <r>
    <x v="355"/>
    <x v="1"/>
    <x v="46"/>
    <x v="0"/>
    <x v="1"/>
  </r>
  <r>
    <x v="356"/>
    <x v="2"/>
    <x v="10"/>
    <x v="1"/>
    <x v="4"/>
  </r>
  <r>
    <x v="357"/>
    <x v="1"/>
    <x v="34"/>
    <x v="1"/>
    <x v="3"/>
  </r>
  <r>
    <x v="358"/>
    <x v="2"/>
    <x v="37"/>
    <x v="0"/>
    <x v="2"/>
  </r>
  <r>
    <x v="359"/>
    <x v="3"/>
    <x v="42"/>
    <x v="1"/>
    <x v="0"/>
  </r>
  <r>
    <x v="360"/>
    <x v="3"/>
    <x v="14"/>
    <x v="0"/>
    <x v="0"/>
  </r>
  <r>
    <x v="361"/>
    <x v="3"/>
    <x v="11"/>
    <x v="1"/>
    <x v="1"/>
  </r>
  <r>
    <x v="362"/>
    <x v="1"/>
    <x v="11"/>
    <x v="0"/>
    <x v="0"/>
  </r>
  <r>
    <x v="363"/>
    <x v="2"/>
    <x v="21"/>
    <x v="1"/>
    <x v="4"/>
  </r>
  <r>
    <x v="364"/>
    <x v="1"/>
    <x v="41"/>
    <x v="0"/>
    <x v="3"/>
  </r>
  <r>
    <x v="365"/>
    <x v="0"/>
    <x v="31"/>
    <x v="0"/>
    <x v="3"/>
  </r>
  <r>
    <x v="366"/>
    <x v="2"/>
    <x v="36"/>
    <x v="0"/>
    <x v="4"/>
  </r>
  <r>
    <x v="367"/>
    <x v="2"/>
    <x v="32"/>
    <x v="0"/>
    <x v="3"/>
  </r>
  <r>
    <x v="368"/>
    <x v="1"/>
    <x v="22"/>
    <x v="0"/>
    <x v="1"/>
  </r>
  <r>
    <x v="369"/>
    <x v="3"/>
    <x v="42"/>
    <x v="1"/>
    <x v="0"/>
  </r>
  <r>
    <x v="370"/>
    <x v="2"/>
    <x v="38"/>
    <x v="0"/>
    <x v="0"/>
  </r>
  <r>
    <x v="371"/>
    <x v="3"/>
    <x v="15"/>
    <x v="1"/>
    <x v="1"/>
  </r>
  <r>
    <x v="372"/>
    <x v="5"/>
    <x v="24"/>
    <x v="1"/>
    <x v="2"/>
  </r>
  <r>
    <x v="373"/>
    <x v="2"/>
    <x v="5"/>
    <x v="1"/>
    <x v="0"/>
  </r>
  <r>
    <x v="374"/>
    <x v="0"/>
    <x v="29"/>
    <x v="0"/>
    <x v="0"/>
  </r>
  <r>
    <x v="375"/>
    <x v="3"/>
    <x v="11"/>
    <x v="0"/>
    <x v="0"/>
  </r>
  <r>
    <x v="376"/>
    <x v="1"/>
    <x v="41"/>
    <x v="1"/>
    <x v="0"/>
  </r>
  <r>
    <x v="377"/>
    <x v="0"/>
    <x v="26"/>
    <x v="0"/>
    <x v="2"/>
  </r>
  <r>
    <x v="378"/>
    <x v="1"/>
    <x v="42"/>
    <x v="1"/>
    <x v="3"/>
  </r>
  <r>
    <x v="379"/>
    <x v="1"/>
    <x v="3"/>
    <x v="1"/>
    <x v="3"/>
  </r>
  <r>
    <x v="380"/>
    <x v="1"/>
    <x v="23"/>
    <x v="1"/>
    <x v="4"/>
  </r>
  <r>
    <x v="381"/>
    <x v="0"/>
    <x v="35"/>
    <x v="1"/>
    <x v="2"/>
  </r>
  <r>
    <x v="382"/>
    <x v="1"/>
    <x v="26"/>
    <x v="0"/>
    <x v="1"/>
  </r>
  <r>
    <x v="383"/>
    <x v="2"/>
    <x v="21"/>
    <x v="1"/>
    <x v="1"/>
  </r>
  <r>
    <x v="384"/>
    <x v="0"/>
    <x v="37"/>
    <x v="0"/>
    <x v="0"/>
  </r>
  <r>
    <x v="385"/>
    <x v="2"/>
    <x v="43"/>
    <x v="1"/>
    <x v="0"/>
  </r>
  <r>
    <x v="386"/>
    <x v="3"/>
    <x v="8"/>
    <x v="0"/>
    <x v="4"/>
  </r>
  <r>
    <x v="387"/>
    <x v="2"/>
    <x v="24"/>
    <x v="1"/>
    <x v="3"/>
  </r>
  <r>
    <x v="388"/>
    <x v="5"/>
    <x v="0"/>
    <x v="0"/>
    <x v="2"/>
  </r>
  <r>
    <x v="389"/>
    <x v="0"/>
    <x v="27"/>
    <x v="1"/>
    <x v="4"/>
  </r>
  <r>
    <x v="390"/>
    <x v="1"/>
    <x v="16"/>
    <x v="0"/>
    <x v="0"/>
  </r>
  <r>
    <x v="391"/>
    <x v="3"/>
    <x v="23"/>
    <x v="0"/>
    <x v="1"/>
  </r>
  <r>
    <x v="392"/>
    <x v="3"/>
    <x v="46"/>
    <x v="0"/>
    <x v="3"/>
  </r>
  <r>
    <x v="393"/>
    <x v="2"/>
    <x v="22"/>
    <x v="0"/>
    <x v="1"/>
  </r>
  <r>
    <x v="394"/>
    <x v="1"/>
    <x v="34"/>
    <x v="0"/>
    <x v="2"/>
  </r>
  <r>
    <x v="395"/>
    <x v="1"/>
    <x v="22"/>
    <x v="1"/>
    <x v="3"/>
  </r>
  <r>
    <x v="396"/>
    <x v="1"/>
    <x v="2"/>
    <x v="1"/>
    <x v="4"/>
  </r>
  <r>
    <x v="397"/>
    <x v="1"/>
    <x v="32"/>
    <x v="1"/>
    <x v="3"/>
  </r>
  <r>
    <x v="398"/>
    <x v="2"/>
    <x v="33"/>
    <x v="1"/>
    <x v="2"/>
  </r>
  <r>
    <x v="399"/>
    <x v="5"/>
    <x v="24"/>
    <x v="1"/>
    <x v="2"/>
  </r>
  <r>
    <x v="400"/>
    <x v="1"/>
    <x v="17"/>
    <x v="1"/>
    <x v="0"/>
  </r>
  <r>
    <x v="401"/>
    <x v="2"/>
    <x v="0"/>
    <x v="0"/>
    <x v="0"/>
  </r>
  <r>
    <x v="402"/>
    <x v="3"/>
    <x v="4"/>
    <x v="1"/>
    <x v="3"/>
  </r>
  <r>
    <x v="403"/>
    <x v="3"/>
    <x v="18"/>
    <x v="1"/>
    <x v="2"/>
  </r>
  <r>
    <x v="404"/>
    <x v="0"/>
    <x v="11"/>
    <x v="1"/>
    <x v="0"/>
  </r>
  <r>
    <x v="405"/>
    <x v="0"/>
    <x v="19"/>
    <x v="1"/>
    <x v="4"/>
  </r>
  <r>
    <x v="406"/>
    <x v="0"/>
    <x v="35"/>
    <x v="1"/>
    <x v="3"/>
  </r>
  <r>
    <x v="407"/>
    <x v="3"/>
    <x v="30"/>
    <x v="1"/>
    <x v="3"/>
  </r>
  <r>
    <x v="408"/>
    <x v="0"/>
    <x v="0"/>
    <x v="1"/>
    <x v="1"/>
  </r>
  <r>
    <x v="409"/>
    <x v="3"/>
    <x v="17"/>
    <x v="1"/>
    <x v="1"/>
  </r>
  <r>
    <x v="410"/>
    <x v="3"/>
    <x v="44"/>
    <x v="1"/>
    <x v="3"/>
  </r>
  <r>
    <x v="411"/>
    <x v="0"/>
    <x v="36"/>
    <x v="0"/>
    <x v="1"/>
  </r>
  <r>
    <x v="412"/>
    <x v="3"/>
    <x v="44"/>
    <x v="0"/>
    <x v="3"/>
  </r>
  <r>
    <x v="413"/>
    <x v="1"/>
    <x v="26"/>
    <x v="1"/>
    <x v="2"/>
  </r>
  <r>
    <x v="414"/>
    <x v="1"/>
    <x v="31"/>
    <x v="1"/>
    <x v="1"/>
  </r>
  <r>
    <x v="415"/>
    <x v="2"/>
    <x v="26"/>
    <x v="1"/>
    <x v="3"/>
  </r>
  <r>
    <x v="416"/>
    <x v="0"/>
    <x v="27"/>
    <x v="1"/>
    <x v="0"/>
  </r>
  <r>
    <x v="417"/>
    <x v="2"/>
    <x v="24"/>
    <x v="1"/>
    <x v="4"/>
  </r>
  <r>
    <x v="418"/>
    <x v="3"/>
    <x v="26"/>
    <x v="0"/>
    <x v="1"/>
  </r>
  <r>
    <x v="419"/>
    <x v="3"/>
    <x v="42"/>
    <x v="1"/>
    <x v="4"/>
  </r>
  <r>
    <x v="420"/>
    <x v="0"/>
    <x v="28"/>
    <x v="0"/>
    <x v="1"/>
  </r>
  <r>
    <x v="421"/>
    <x v="1"/>
    <x v="10"/>
    <x v="0"/>
    <x v="4"/>
  </r>
  <r>
    <x v="422"/>
    <x v="2"/>
    <x v="28"/>
    <x v="1"/>
    <x v="1"/>
  </r>
  <r>
    <x v="423"/>
    <x v="1"/>
    <x v="28"/>
    <x v="0"/>
    <x v="4"/>
  </r>
  <r>
    <x v="424"/>
    <x v="5"/>
    <x v="24"/>
    <x v="1"/>
    <x v="3"/>
  </r>
  <r>
    <x v="425"/>
    <x v="0"/>
    <x v="30"/>
    <x v="0"/>
    <x v="3"/>
  </r>
  <r>
    <x v="426"/>
    <x v="1"/>
    <x v="45"/>
    <x v="0"/>
    <x v="1"/>
  </r>
  <r>
    <x v="427"/>
    <x v="3"/>
    <x v="8"/>
    <x v="0"/>
    <x v="2"/>
  </r>
  <r>
    <x v="428"/>
    <x v="1"/>
    <x v="33"/>
    <x v="1"/>
    <x v="1"/>
  </r>
  <r>
    <x v="429"/>
    <x v="1"/>
    <x v="5"/>
    <x v="0"/>
    <x v="3"/>
  </r>
  <r>
    <x v="430"/>
    <x v="1"/>
    <x v="33"/>
    <x v="1"/>
    <x v="1"/>
  </r>
  <r>
    <x v="431"/>
    <x v="0"/>
    <x v="16"/>
    <x v="1"/>
    <x v="1"/>
  </r>
  <r>
    <x v="432"/>
    <x v="3"/>
    <x v="6"/>
    <x v="1"/>
    <x v="0"/>
  </r>
  <r>
    <x v="433"/>
    <x v="3"/>
    <x v="23"/>
    <x v="0"/>
    <x v="2"/>
  </r>
  <r>
    <x v="434"/>
    <x v="3"/>
    <x v="22"/>
    <x v="1"/>
    <x v="4"/>
  </r>
  <r>
    <x v="435"/>
    <x v="0"/>
    <x v="3"/>
    <x v="0"/>
    <x v="5"/>
  </r>
  <r>
    <x v="436"/>
    <x v="0"/>
    <x v="13"/>
    <x v="1"/>
    <x v="4"/>
  </r>
  <r>
    <x v="437"/>
    <x v="3"/>
    <x v="40"/>
    <x v="0"/>
    <x v="1"/>
  </r>
  <r>
    <x v="438"/>
    <x v="0"/>
    <x v="28"/>
    <x v="1"/>
    <x v="4"/>
  </r>
  <r>
    <x v="439"/>
    <x v="0"/>
    <x v="6"/>
    <x v="0"/>
    <x v="1"/>
  </r>
  <r>
    <x v="440"/>
    <x v="3"/>
    <x v="31"/>
    <x v="1"/>
    <x v="4"/>
  </r>
  <r>
    <x v="441"/>
    <x v="2"/>
    <x v="39"/>
    <x v="0"/>
    <x v="3"/>
  </r>
  <r>
    <x v="442"/>
    <x v="2"/>
    <x v="21"/>
    <x v="1"/>
    <x v="1"/>
  </r>
  <r>
    <x v="443"/>
    <x v="0"/>
    <x v="28"/>
    <x v="1"/>
    <x v="1"/>
  </r>
  <r>
    <x v="444"/>
    <x v="1"/>
    <x v="25"/>
    <x v="1"/>
    <x v="3"/>
  </r>
  <r>
    <x v="445"/>
    <x v="3"/>
    <x v="19"/>
    <x v="0"/>
    <x v="0"/>
  </r>
  <r>
    <x v="446"/>
    <x v="2"/>
    <x v="27"/>
    <x v="1"/>
    <x v="3"/>
  </r>
  <r>
    <x v="447"/>
    <x v="3"/>
    <x v="40"/>
    <x v="0"/>
    <x v="0"/>
  </r>
  <r>
    <x v="448"/>
    <x v="2"/>
    <x v="36"/>
    <x v="1"/>
    <x v="3"/>
  </r>
  <r>
    <x v="449"/>
    <x v="0"/>
    <x v="35"/>
    <x v="1"/>
    <x v="2"/>
  </r>
  <r>
    <x v="450"/>
    <x v="1"/>
    <x v="7"/>
    <x v="1"/>
    <x v="1"/>
  </r>
  <r>
    <x v="451"/>
    <x v="1"/>
    <x v="22"/>
    <x v="1"/>
    <x v="2"/>
  </r>
  <r>
    <x v="452"/>
    <x v="2"/>
    <x v="15"/>
    <x v="1"/>
    <x v="4"/>
  </r>
  <r>
    <x v="453"/>
    <x v="1"/>
    <x v="27"/>
    <x v="0"/>
    <x v="3"/>
  </r>
  <r>
    <x v="454"/>
    <x v="1"/>
    <x v="33"/>
    <x v="1"/>
    <x v="3"/>
  </r>
  <r>
    <x v="455"/>
    <x v="3"/>
    <x v="25"/>
    <x v="0"/>
    <x v="0"/>
  </r>
  <r>
    <x v="456"/>
    <x v="0"/>
    <x v="21"/>
    <x v="1"/>
    <x v="2"/>
  </r>
  <r>
    <x v="457"/>
    <x v="3"/>
    <x v="40"/>
    <x v="1"/>
    <x v="0"/>
  </r>
  <r>
    <x v="458"/>
    <x v="0"/>
    <x v="41"/>
    <x v="1"/>
    <x v="3"/>
  </r>
  <r>
    <x v="459"/>
    <x v="0"/>
    <x v="1"/>
    <x v="1"/>
    <x v="0"/>
  </r>
  <r>
    <x v="460"/>
    <x v="5"/>
    <x v="46"/>
    <x v="0"/>
    <x v="1"/>
  </r>
  <r>
    <x v="461"/>
    <x v="2"/>
    <x v="16"/>
    <x v="1"/>
    <x v="4"/>
  </r>
  <r>
    <x v="462"/>
    <x v="2"/>
    <x v="14"/>
    <x v="0"/>
    <x v="3"/>
  </r>
  <r>
    <x v="463"/>
    <x v="3"/>
    <x v="10"/>
    <x v="0"/>
    <x v="0"/>
  </r>
  <r>
    <x v="464"/>
    <x v="2"/>
    <x v="31"/>
    <x v="0"/>
    <x v="4"/>
  </r>
  <r>
    <x v="465"/>
    <x v="0"/>
    <x v="5"/>
    <x v="1"/>
    <x v="4"/>
  </r>
  <r>
    <x v="466"/>
    <x v="1"/>
    <x v="31"/>
    <x v="1"/>
    <x v="0"/>
  </r>
  <r>
    <x v="467"/>
    <x v="1"/>
    <x v="44"/>
    <x v="1"/>
    <x v="0"/>
  </r>
  <r>
    <x v="468"/>
    <x v="2"/>
    <x v="33"/>
    <x v="1"/>
    <x v="0"/>
  </r>
  <r>
    <x v="469"/>
    <x v="1"/>
    <x v="7"/>
    <x v="1"/>
    <x v="1"/>
  </r>
  <r>
    <x v="470"/>
    <x v="0"/>
    <x v="35"/>
    <x v="1"/>
    <x v="0"/>
  </r>
  <r>
    <x v="471"/>
    <x v="3"/>
    <x v="24"/>
    <x v="0"/>
    <x v="4"/>
  </r>
  <r>
    <x v="472"/>
    <x v="1"/>
    <x v="36"/>
    <x v="1"/>
    <x v="4"/>
  </r>
  <r>
    <x v="473"/>
    <x v="3"/>
    <x v="39"/>
    <x v="1"/>
    <x v="1"/>
  </r>
  <r>
    <x v="474"/>
    <x v="1"/>
    <x v="23"/>
    <x v="0"/>
    <x v="4"/>
  </r>
  <r>
    <x v="475"/>
    <x v="2"/>
    <x v="18"/>
    <x v="1"/>
    <x v="0"/>
  </r>
  <r>
    <x v="476"/>
    <x v="1"/>
    <x v="32"/>
    <x v="0"/>
    <x v="4"/>
  </r>
  <r>
    <x v="477"/>
    <x v="0"/>
    <x v="29"/>
    <x v="0"/>
    <x v="4"/>
  </r>
  <r>
    <x v="478"/>
    <x v="3"/>
    <x v="45"/>
    <x v="1"/>
    <x v="3"/>
  </r>
  <r>
    <x v="479"/>
    <x v="3"/>
    <x v="31"/>
    <x v="0"/>
    <x v="1"/>
  </r>
  <r>
    <x v="480"/>
    <x v="3"/>
    <x v="40"/>
    <x v="1"/>
    <x v="1"/>
  </r>
  <r>
    <x v="481"/>
    <x v="1"/>
    <x v="5"/>
    <x v="0"/>
    <x v="0"/>
  </r>
  <r>
    <x v="482"/>
    <x v="0"/>
    <x v="19"/>
    <x v="0"/>
    <x v="3"/>
  </r>
  <r>
    <x v="483"/>
    <x v="3"/>
    <x v="11"/>
    <x v="0"/>
    <x v="3"/>
  </r>
  <r>
    <x v="484"/>
    <x v="3"/>
    <x v="44"/>
    <x v="0"/>
    <x v="2"/>
  </r>
  <r>
    <x v="485"/>
    <x v="2"/>
    <x v="26"/>
    <x v="1"/>
    <x v="4"/>
  </r>
  <r>
    <x v="486"/>
    <x v="3"/>
    <x v="14"/>
    <x v="0"/>
    <x v="0"/>
  </r>
  <r>
    <x v="487"/>
    <x v="2"/>
    <x v="0"/>
    <x v="0"/>
    <x v="1"/>
  </r>
  <r>
    <x v="488"/>
    <x v="0"/>
    <x v="5"/>
    <x v="1"/>
    <x v="0"/>
  </r>
  <r>
    <x v="489"/>
    <x v="0"/>
    <x v="15"/>
    <x v="0"/>
    <x v="4"/>
  </r>
  <r>
    <x v="490"/>
    <x v="2"/>
    <x v="8"/>
    <x v="1"/>
    <x v="2"/>
  </r>
  <r>
    <x v="491"/>
    <x v="1"/>
    <x v="21"/>
    <x v="0"/>
    <x v="0"/>
  </r>
  <r>
    <x v="492"/>
    <x v="3"/>
    <x v="28"/>
    <x v="0"/>
    <x v="2"/>
  </r>
  <r>
    <x v="493"/>
    <x v="0"/>
    <x v="28"/>
    <x v="0"/>
    <x v="0"/>
  </r>
  <r>
    <x v="494"/>
    <x v="1"/>
    <x v="30"/>
    <x v="1"/>
    <x v="4"/>
  </r>
  <r>
    <x v="495"/>
    <x v="3"/>
    <x v="3"/>
    <x v="0"/>
    <x v="1"/>
  </r>
  <r>
    <x v="496"/>
    <x v="1"/>
    <x v="24"/>
    <x v="1"/>
    <x v="0"/>
  </r>
  <r>
    <x v="497"/>
    <x v="3"/>
    <x v="31"/>
    <x v="1"/>
    <x v="3"/>
  </r>
  <r>
    <x v="498"/>
    <x v="0"/>
    <x v="40"/>
    <x v="1"/>
    <x v="4"/>
  </r>
  <r>
    <x v="499"/>
    <x v="0"/>
    <x v="4"/>
    <x v="1"/>
    <x v="0"/>
  </r>
  <r>
    <x v="500"/>
    <x v="1"/>
    <x v="7"/>
    <x v="1"/>
    <x v="4"/>
  </r>
  <r>
    <x v="501"/>
    <x v="3"/>
    <x v="10"/>
    <x v="0"/>
    <x v="3"/>
  </r>
  <r>
    <x v="502"/>
    <x v="1"/>
    <x v="25"/>
    <x v="1"/>
    <x v="0"/>
  </r>
  <r>
    <x v="503"/>
    <x v="3"/>
    <x v="31"/>
    <x v="1"/>
    <x v="0"/>
  </r>
  <r>
    <x v="504"/>
    <x v="0"/>
    <x v="32"/>
    <x v="1"/>
    <x v="2"/>
  </r>
  <r>
    <x v="505"/>
    <x v="3"/>
    <x v="10"/>
    <x v="0"/>
    <x v="0"/>
  </r>
  <r>
    <x v="506"/>
    <x v="1"/>
    <x v="29"/>
    <x v="0"/>
    <x v="2"/>
  </r>
  <r>
    <x v="507"/>
    <x v="1"/>
    <x v="1"/>
    <x v="1"/>
    <x v="1"/>
  </r>
  <r>
    <x v="508"/>
    <x v="1"/>
    <x v="11"/>
    <x v="1"/>
    <x v="4"/>
  </r>
  <r>
    <x v="509"/>
    <x v="1"/>
    <x v="38"/>
    <x v="0"/>
    <x v="3"/>
  </r>
  <r>
    <x v="510"/>
    <x v="1"/>
    <x v="32"/>
    <x v="1"/>
    <x v="0"/>
  </r>
  <r>
    <x v="511"/>
    <x v="2"/>
    <x v="39"/>
    <x v="1"/>
    <x v="1"/>
  </r>
  <r>
    <x v="512"/>
    <x v="1"/>
    <x v="42"/>
    <x v="0"/>
    <x v="4"/>
  </r>
  <r>
    <x v="513"/>
    <x v="1"/>
    <x v="1"/>
    <x v="1"/>
    <x v="0"/>
  </r>
  <r>
    <x v="514"/>
    <x v="2"/>
    <x v="16"/>
    <x v="1"/>
    <x v="1"/>
  </r>
  <r>
    <x v="515"/>
    <x v="1"/>
    <x v="7"/>
    <x v="1"/>
    <x v="2"/>
  </r>
  <r>
    <x v="516"/>
    <x v="1"/>
    <x v="45"/>
    <x v="0"/>
    <x v="1"/>
  </r>
  <r>
    <x v="517"/>
    <x v="1"/>
    <x v="33"/>
    <x v="1"/>
    <x v="1"/>
  </r>
  <r>
    <x v="518"/>
    <x v="0"/>
    <x v="8"/>
    <x v="0"/>
    <x v="0"/>
  </r>
  <r>
    <x v="519"/>
    <x v="2"/>
    <x v="30"/>
    <x v="0"/>
    <x v="0"/>
  </r>
  <r>
    <x v="520"/>
    <x v="3"/>
    <x v="40"/>
    <x v="0"/>
    <x v="3"/>
  </r>
  <r>
    <x v="521"/>
    <x v="0"/>
    <x v="13"/>
    <x v="1"/>
    <x v="0"/>
  </r>
  <r>
    <x v="522"/>
    <x v="2"/>
    <x v="24"/>
    <x v="1"/>
    <x v="1"/>
  </r>
  <r>
    <x v="523"/>
    <x v="2"/>
    <x v="15"/>
    <x v="0"/>
    <x v="0"/>
  </r>
  <r>
    <x v="524"/>
    <x v="1"/>
    <x v="20"/>
    <x v="1"/>
    <x v="0"/>
  </r>
  <r>
    <x v="525"/>
    <x v="2"/>
    <x v="27"/>
    <x v="1"/>
    <x v="1"/>
  </r>
  <r>
    <x v="526"/>
    <x v="0"/>
    <x v="39"/>
    <x v="1"/>
    <x v="4"/>
  </r>
  <r>
    <x v="527"/>
    <x v="1"/>
    <x v="17"/>
    <x v="1"/>
    <x v="3"/>
  </r>
  <r>
    <x v="528"/>
    <x v="1"/>
    <x v="41"/>
    <x v="1"/>
    <x v="3"/>
  </r>
  <r>
    <x v="529"/>
    <x v="0"/>
    <x v="27"/>
    <x v="0"/>
    <x v="2"/>
  </r>
  <r>
    <x v="530"/>
    <x v="0"/>
    <x v="31"/>
    <x v="0"/>
    <x v="1"/>
  </r>
  <r>
    <x v="531"/>
    <x v="3"/>
    <x v="19"/>
    <x v="1"/>
    <x v="1"/>
  </r>
  <r>
    <x v="532"/>
    <x v="1"/>
    <x v="41"/>
    <x v="1"/>
    <x v="3"/>
  </r>
  <r>
    <x v="533"/>
    <x v="3"/>
    <x v="8"/>
    <x v="0"/>
    <x v="0"/>
  </r>
  <r>
    <x v="534"/>
    <x v="3"/>
    <x v="18"/>
    <x v="1"/>
    <x v="3"/>
  </r>
  <r>
    <x v="535"/>
    <x v="0"/>
    <x v="37"/>
    <x v="1"/>
    <x v="5"/>
  </r>
  <r>
    <x v="536"/>
    <x v="2"/>
    <x v="20"/>
    <x v="1"/>
    <x v="2"/>
  </r>
  <r>
    <x v="537"/>
    <x v="0"/>
    <x v="10"/>
    <x v="0"/>
    <x v="0"/>
  </r>
  <r>
    <x v="538"/>
    <x v="1"/>
    <x v="20"/>
    <x v="0"/>
    <x v="0"/>
  </r>
  <r>
    <x v="539"/>
    <x v="0"/>
    <x v="13"/>
    <x v="1"/>
    <x v="4"/>
  </r>
  <r>
    <x v="540"/>
    <x v="3"/>
    <x v="4"/>
    <x v="1"/>
    <x v="4"/>
  </r>
  <r>
    <x v="541"/>
    <x v="1"/>
    <x v="30"/>
    <x v="1"/>
    <x v="1"/>
  </r>
  <r>
    <x v="542"/>
    <x v="1"/>
    <x v="39"/>
    <x v="0"/>
    <x v="0"/>
  </r>
  <r>
    <x v="543"/>
    <x v="0"/>
    <x v="42"/>
    <x v="1"/>
    <x v="3"/>
  </r>
  <r>
    <x v="544"/>
    <x v="2"/>
    <x v="18"/>
    <x v="1"/>
    <x v="2"/>
  </r>
  <r>
    <x v="545"/>
    <x v="3"/>
    <x v="10"/>
    <x v="0"/>
    <x v="1"/>
  </r>
  <r>
    <x v="546"/>
    <x v="3"/>
    <x v="41"/>
    <x v="1"/>
    <x v="3"/>
  </r>
  <r>
    <x v="547"/>
    <x v="1"/>
    <x v="0"/>
    <x v="1"/>
    <x v="4"/>
  </r>
  <r>
    <x v="548"/>
    <x v="2"/>
    <x v="44"/>
    <x v="0"/>
    <x v="2"/>
  </r>
  <r>
    <x v="549"/>
    <x v="1"/>
    <x v="30"/>
    <x v="0"/>
    <x v="3"/>
  </r>
  <r>
    <x v="550"/>
    <x v="3"/>
    <x v="46"/>
    <x v="0"/>
    <x v="3"/>
  </r>
  <r>
    <x v="551"/>
    <x v="1"/>
    <x v="8"/>
    <x v="1"/>
    <x v="1"/>
  </r>
  <r>
    <x v="552"/>
    <x v="5"/>
    <x v="46"/>
    <x v="0"/>
    <x v="3"/>
  </r>
  <r>
    <x v="553"/>
    <x v="1"/>
    <x v="16"/>
    <x v="1"/>
    <x v="0"/>
  </r>
  <r>
    <x v="554"/>
    <x v="0"/>
    <x v="46"/>
    <x v="1"/>
    <x v="0"/>
  </r>
  <r>
    <x v="555"/>
    <x v="1"/>
    <x v="22"/>
    <x v="1"/>
    <x v="0"/>
  </r>
  <r>
    <x v="556"/>
    <x v="3"/>
    <x v="3"/>
    <x v="1"/>
    <x v="3"/>
  </r>
  <r>
    <x v="557"/>
    <x v="3"/>
    <x v="21"/>
    <x v="0"/>
    <x v="3"/>
  </r>
  <r>
    <x v="558"/>
    <x v="0"/>
    <x v="21"/>
    <x v="1"/>
    <x v="1"/>
  </r>
  <r>
    <x v="559"/>
    <x v="1"/>
    <x v="21"/>
    <x v="0"/>
    <x v="4"/>
  </r>
  <r>
    <x v="560"/>
    <x v="2"/>
    <x v="22"/>
    <x v="0"/>
    <x v="3"/>
  </r>
  <r>
    <x v="561"/>
    <x v="2"/>
    <x v="25"/>
    <x v="1"/>
    <x v="1"/>
  </r>
  <r>
    <x v="562"/>
    <x v="0"/>
    <x v="5"/>
    <x v="1"/>
    <x v="4"/>
  </r>
  <r>
    <x v="563"/>
    <x v="0"/>
    <x v="4"/>
    <x v="1"/>
    <x v="5"/>
  </r>
  <r>
    <x v="564"/>
    <x v="3"/>
    <x v="8"/>
    <x v="1"/>
    <x v="2"/>
  </r>
  <r>
    <x v="565"/>
    <x v="1"/>
    <x v="19"/>
    <x v="0"/>
    <x v="1"/>
  </r>
  <r>
    <x v="566"/>
    <x v="0"/>
    <x v="10"/>
    <x v="1"/>
    <x v="4"/>
  </r>
  <r>
    <x v="567"/>
    <x v="3"/>
    <x v="8"/>
    <x v="1"/>
    <x v="2"/>
  </r>
  <r>
    <x v="568"/>
    <x v="1"/>
    <x v="28"/>
    <x v="0"/>
    <x v="0"/>
  </r>
  <r>
    <x v="569"/>
    <x v="0"/>
    <x v="21"/>
    <x v="1"/>
    <x v="3"/>
  </r>
  <r>
    <x v="570"/>
    <x v="2"/>
    <x v="8"/>
    <x v="1"/>
    <x v="0"/>
  </r>
  <r>
    <x v="571"/>
    <x v="0"/>
    <x v="26"/>
    <x v="0"/>
    <x v="4"/>
  </r>
  <r>
    <x v="572"/>
    <x v="0"/>
    <x v="21"/>
    <x v="0"/>
    <x v="0"/>
  </r>
  <r>
    <x v="573"/>
    <x v="0"/>
    <x v="43"/>
    <x v="1"/>
    <x v="1"/>
  </r>
  <r>
    <x v="574"/>
    <x v="3"/>
    <x v="14"/>
    <x v="0"/>
    <x v="3"/>
  </r>
  <r>
    <x v="575"/>
    <x v="0"/>
    <x v="7"/>
    <x v="1"/>
    <x v="0"/>
  </r>
  <r>
    <x v="576"/>
    <x v="0"/>
    <x v="15"/>
    <x v="1"/>
    <x v="2"/>
  </r>
  <r>
    <x v="577"/>
    <x v="3"/>
    <x v="31"/>
    <x v="1"/>
    <x v="0"/>
  </r>
  <r>
    <x v="578"/>
    <x v="1"/>
    <x v="21"/>
    <x v="0"/>
    <x v="0"/>
  </r>
  <r>
    <x v="579"/>
    <x v="2"/>
    <x v="31"/>
    <x v="0"/>
    <x v="1"/>
  </r>
  <r>
    <x v="580"/>
    <x v="2"/>
    <x v="3"/>
    <x v="1"/>
    <x v="0"/>
  </r>
  <r>
    <x v="581"/>
    <x v="1"/>
    <x v="8"/>
    <x v="1"/>
    <x v="0"/>
  </r>
  <r>
    <x v="582"/>
    <x v="0"/>
    <x v="4"/>
    <x v="1"/>
    <x v="0"/>
  </r>
  <r>
    <x v="583"/>
    <x v="3"/>
    <x v="13"/>
    <x v="0"/>
    <x v="3"/>
  </r>
  <r>
    <x v="584"/>
    <x v="0"/>
    <x v="27"/>
    <x v="1"/>
    <x v="3"/>
  </r>
  <r>
    <x v="585"/>
    <x v="3"/>
    <x v="40"/>
    <x v="1"/>
    <x v="1"/>
  </r>
  <r>
    <x v="586"/>
    <x v="0"/>
    <x v="18"/>
    <x v="0"/>
    <x v="1"/>
  </r>
  <r>
    <x v="587"/>
    <x v="1"/>
    <x v="2"/>
    <x v="1"/>
    <x v="0"/>
  </r>
  <r>
    <x v="588"/>
    <x v="0"/>
    <x v="35"/>
    <x v="0"/>
    <x v="2"/>
  </r>
  <r>
    <x v="589"/>
    <x v="3"/>
    <x v="8"/>
    <x v="0"/>
    <x v="4"/>
  </r>
  <r>
    <x v="590"/>
    <x v="0"/>
    <x v="16"/>
    <x v="0"/>
    <x v="0"/>
  </r>
  <r>
    <x v="591"/>
    <x v="1"/>
    <x v="12"/>
    <x v="0"/>
    <x v="2"/>
  </r>
  <r>
    <x v="592"/>
    <x v="1"/>
    <x v="20"/>
    <x v="0"/>
    <x v="3"/>
  </r>
  <r>
    <x v="593"/>
    <x v="1"/>
    <x v="6"/>
    <x v="0"/>
    <x v="0"/>
  </r>
  <r>
    <x v="594"/>
    <x v="3"/>
    <x v="28"/>
    <x v="0"/>
    <x v="3"/>
  </r>
  <r>
    <x v="595"/>
    <x v="1"/>
    <x v="7"/>
    <x v="1"/>
    <x v="0"/>
  </r>
  <r>
    <x v="596"/>
    <x v="1"/>
    <x v="13"/>
    <x v="1"/>
    <x v="3"/>
  </r>
  <r>
    <x v="597"/>
    <x v="1"/>
    <x v="22"/>
    <x v="1"/>
    <x v="2"/>
  </r>
  <r>
    <x v="598"/>
    <x v="3"/>
    <x v="3"/>
    <x v="0"/>
    <x v="1"/>
  </r>
  <r>
    <x v="599"/>
    <x v="1"/>
    <x v="39"/>
    <x v="1"/>
    <x v="0"/>
  </r>
  <r>
    <x v="600"/>
    <x v="0"/>
    <x v="10"/>
    <x v="0"/>
    <x v="3"/>
  </r>
  <r>
    <x v="601"/>
    <x v="2"/>
    <x v="42"/>
    <x v="0"/>
    <x v="3"/>
  </r>
  <r>
    <x v="602"/>
    <x v="3"/>
    <x v="41"/>
    <x v="1"/>
    <x v="2"/>
  </r>
  <r>
    <x v="603"/>
    <x v="1"/>
    <x v="45"/>
    <x v="1"/>
    <x v="0"/>
  </r>
  <r>
    <x v="604"/>
    <x v="3"/>
    <x v="32"/>
    <x v="1"/>
    <x v="3"/>
  </r>
  <r>
    <x v="605"/>
    <x v="1"/>
    <x v="41"/>
    <x v="0"/>
    <x v="0"/>
  </r>
  <r>
    <x v="606"/>
    <x v="2"/>
    <x v="26"/>
    <x v="1"/>
    <x v="3"/>
  </r>
  <r>
    <x v="607"/>
    <x v="0"/>
    <x v="32"/>
    <x v="1"/>
    <x v="3"/>
  </r>
  <r>
    <x v="608"/>
    <x v="0"/>
    <x v="42"/>
    <x v="1"/>
    <x v="3"/>
  </r>
  <r>
    <x v="609"/>
    <x v="0"/>
    <x v="10"/>
    <x v="1"/>
    <x v="1"/>
  </r>
  <r>
    <x v="610"/>
    <x v="1"/>
    <x v="22"/>
    <x v="1"/>
    <x v="2"/>
  </r>
  <r>
    <x v="611"/>
    <x v="0"/>
    <x v="37"/>
    <x v="1"/>
    <x v="1"/>
  </r>
  <r>
    <x v="612"/>
    <x v="0"/>
    <x v="10"/>
    <x v="0"/>
    <x v="0"/>
  </r>
  <r>
    <x v="613"/>
    <x v="3"/>
    <x v="44"/>
    <x v="0"/>
    <x v="4"/>
  </r>
  <r>
    <x v="614"/>
    <x v="4"/>
    <x v="9"/>
    <x v="2"/>
    <x v="0"/>
  </r>
  <r>
    <x v="615"/>
    <x v="0"/>
    <x v="39"/>
    <x v="1"/>
    <x v="2"/>
  </r>
  <r>
    <x v="616"/>
    <x v="3"/>
    <x v="17"/>
    <x v="1"/>
    <x v="0"/>
  </r>
  <r>
    <x v="617"/>
    <x v="2"/>
    <x v="26"/>
    <x v="1"/>
    <x v="2"/>
  </r>
  <r>
    <x v="618"/>
    <x v="0"/>
    <x v="35"/>
    <x v="1"/>
    <x v="3"/>
  </r>
  <r>
    <x v="619"/>
    <x v="1"/>
    <x v="22"/>
    <x v="0"/>
    <x v="0"/>
  </r>
  <r>
    <x v="620"/>
    <x v="1"/>
    <x v="10"/>
    <x v="1"/>
    <x v="0"/>
  </r>
  <r>
    <x v="621"/>
    <x v="1"/>
    <x v="45"/>
    <x v="1"/>
    <x v="1"/>
  </r>
  <r>
    <x v="622"/>
    <x v="0"/>
    <x v="43"/>
    <x v="1"/>
    <x v="1"/>
  </r>
  <r>
    <x v="623"/>
    <x v="0"/>
    <x v="27"/>
    <x v="1"/>
    <x v="3"/>
  </r>
  <r>
    <x v="624"/>
    <x v="1"/>
    <x v="20"/>
    <x v="0"/>
    <x v="2"/>
  </r>
  <r>
    <x v="625"/>
    <x v="1"/>
    <x v="19"/>
    <x v="1"/>
    <x v="2"/>
  </r>
  <r>
    <x v="626"/>
    <x v="2"/>
    <x v="18"/>
    <x v="1"/>
    <x v="1"/>
  </r>
  <r>
    <x v="627"/>
    <x v="2"/>
    <x v="37"/>
    <x v="0"/>
    <x v="4"/>
  </r>
  <r>
    <x v="628"/>
    <x v="2"/>
    <x v="11"/>
    <x v="1"/>
    <x v="1"/>
  </r>
  <r>
    <x v="629"/>
    <x v="0"/>
    <x v="8"/>
    <x v="0"/>
    <x v="2"/>
  </r>
  <r>
    <x v="630"/>
    <x v="3"/>
    <x v="8"/>
    <x v="0"/>
    <x v="1"/>
  </r>
  <r>
    <x v="631"/>
    <x v="3"/>
    <x v="35"/>
    <x v="1"/>
    <x v="1"/>
  </r>
  <r>
    <x v="632"/>
    <x v="1"/>
    <x v="7"/>
    <x v="1"/>
    <x v="4"/>
  </r>
  <r>
    <x v="633"/>
    <x v="3"/>
    <x v="31"/>
    <x v="0"/>
    <x v="2"/>
  </r>
  <r>
    <x v="634"/>
    <x v="2"/>
    <x v="24"/>
    <x v="1"/>
    <x v="0"/>
  </r>
  <r>
    <x v="635"/>
    <x v="2"/>
    <x v="1"/>
    <x v="0"/>
    <x v="4"/>
  </r>
  <r>
    <x v="636"/>
    <x v="0"/>
    <x v="37"/>
    <x v="1"/>
    <x v="0"/>
  </r>
  <r>
    <x v="637"/>
    <x v="0"/>
    <x v="5"/>
    <x v="0"/>
    <x v="4"/>
  </r>
  <r>
    <x v="638"/>
    <x v="2"/>
    <x v="45"/>
    <x v="0"/>
    <x v="1"/>
  </r>
  <r>
    <x v="639"/>
    <x v="2"/>
    <x v="3"/>
    <x v="1"/>
    <x v="1"/>
  </r>
  <r>
    <x v="640"/>
    <x v="3"/>
    <x v="37"/>
    <x v="1"/>
    <x v="4"/>
  </r>
  <r>
    <x v="641"/>
    <x v="3"/>
    <x v="28"/>
    <x v="0"/>
    <x v="4"/>
  </r>
  <r>
    <x v="642"/>
    <x v="0"/>
    <x v="40"/>
    <x v="1"/>
    <x v="1"/>
  </r>
  <r>
    <x v="643"/>
    <x v="1"/>
    <x v="19"/>
    <x v="0"/>
    <x v="1"/>
  </r>
  <r>
    <x v="644"/>
    <x v="3"/>
    <x v="31"/>
    <x v="1"/>
    <x v="3"/>
  </r>
  <r>
    <x v="645"/>
    <x v="0"/>
    <x v="1"/>
    <x v="1"/>
    <x v="0"/>
  </r>
  <r>
    <x v="646"/>
    <x v="2"/>
    <x v="8"/>
    <x v="1"/>
    <x v="1"/>
  </r>
  <r>
    <x v="647"/>
    <x v="3"/>
    <x v="42"/>
    <x v="0"/>
    <x v="0"/>
  </r>
  <r>
    <x v="648"/>
    <x v="2"/>
    <x v="21"/>
    <x v="0"/>
    <x v="1"/>
  </r>
  <r>
    <x v="649"/>
    <x v="3"/>
    <x v="46"/>
    <x v="0"/>
    <x v="3"/>
  </r>
  <r>
    <x v="650"/>
    <x v="1"/>
    <x v="21"/>
    <x v="1"/>
    <x v="4"/>
  </r>
  <r>
    <x v="651"/>
    <x v="1"/>
    <x v="19"/>
    <x v="0"/>
    <x v="2"/>
  </r>
  <r>
    <x v="652"/>
    <x v="1"/>
    <x v="31"/>
    <x v="1"/>
    <x v="1"/>
  </r>
  <r>
    <x v="653"/>
    <x v="2"/>
    <x v="8"/>
    <x v="0"/>
    <x v="2"/>
  </r>
  <r>
    <x v="654"/>
    <x v="3"/>
    <x v="23"/>
    <x v="0"/>
    <x v="4"/>
  </r>
  <r>
    <x v="655"/>
    <x v="3"/>
    <x v="44"/>
    <x v="0"/>
    <x v="0"/>
  </r>
  <r>
    <x v="656"/>
    <x v="0"/>
    <x v="34"/>
    <x v="1"/>
    <x v="4"/>
  </r>
  <r>
    <x v="657"/>
    <x v="2"/>
    <x v="20"/>
    <x v="1"/>
    <x v="1"/>
  </r>
  <r>
    <x v="658"/>
    <x v="3"/>
    <x v="45"/>
    <x v="1"/>
    <x v="1"/>
  </r>
  <r>
    <x v="659"/>
    <x v="2"/>
    <x v="26"/>
    <x v="1"/>
    <x v="3"/>
  </r>
  <r>
    <x v="660"/>
    <x v="3"/>
    <x v="14"/>
    <x v="0"/>
    <x v="1"/>
  </r>
  <r>
    <x v="661"/>
    <x v="0"/>
    <x v="2"/>
    <x v="1"/>
    <x v="4"/>
  </r>
  <r>
    <x v="662"/>
    <x v="2"/>
    <x v="14"/>
    <x v="0"/>
    <x v="0"/>
  </r>
  <r>
    <x v="663"/>
    <x v="2"/>
    <x v="44"/>
    <x v="0"/>
    <x v="0"/>
  </r>
  <r>
    <x v="664"/>
    <x v="2"/>
    <x v="15"/>
    <x v="1"/>
    <x v="5"/>
  </r>
  <r>
    <x v="665"/>
    <x v="1"/>
    <x v="26"/>
    <x v="0"/>
    <x v="0"/>
  </r>
  <r>
    <x v="666"/>
    <x v="3"/>
    <x v="21"/>
    <x v="0"/>
    <x v="4"/>
  </r>
  <r>
    <x v="667"/>
    <x v="0"/>
    <x v="25"/>
    <x v="1"/>
    <x v="3"/>
  </r>
  <r>
    <x v="668"/>
    <x v="1"/>
    <x v="16"/>
    <x v="1"/>
    <x v="2"/>
  </r>
  <r>
    <x v="669"/>
    <x v="0"/>
    <x v="16"/>
    <x v="1"/>
    <x v="3"/>
  </r>
  <r>
    <x v="670"/>
    <x v="1"/>
    <x v="14"/>
    <x v="0"/>
    <x v="1"/>
  </r>
  <r>
    <x v="671"/>
    <x v="2"/>
    <x v="40"/>
    <x v="1"/>
    <x v="0"/>
  </r>
  <r>
    <x v="672"/>
    <x v="4"/>
    <x v="9"/>
    <x v="2"/>
    <x v="1"/>
  </r>
  <r>
    <x v="673"/>
    <x v="0"/>
    <x v="16"/>
    <x v="1"/>
    <x v="4"/>
  </r>
  <r>
    <x v="674"/>
    <x v="3"/>
    <x v="20"/>
    <x v="0"/>
    <x v="0"/>
  </r>
  <r>
    <x v="675"/>
    <x v="1"/>
    <x v="16"/>
    <x v="1"/>
    <x v="4"/>
  </r>
  <r>
    <x v="676"/>
    <x v="2"/>
    <x v="36"/>
    <x v="0"/>
    <x v="3"/>
  </r>
  <r>
    <x v="677"/>
    <x v="1"/>
    <x v="0"/>
    <x v="0"/>
    <x v="2"/>
  </r>
  <r>
    <x v="678"/>
    <x v="3"/>
    <x v="42"/>
    <x v="1"/>
    <x v="1"/>
  </r>
  <r>
    <x v="679"/>
    <x v="3"/>
    <x v="3"/>
    <x v="0"/>
    <x v="3"/>
  </r>
  <r>
    <x v="680"/>
    <x v="0"/>
    <x v="46"/>
    <x v="1"/>
    <x v="4"/>
  </r>
  <r>
    <x v="681"/>
    <x v="0"/>
    <x v="36"/>
    <x v="0"/>
    <x v="0"/>
  </r>
  <r>
    <x v="682"/>
    <x v="1"/>
    <x v="30"/>
    <x v="0"/>
    <x v="3"/>
  </r>
  <r>
    <x v="683"/>
    <x v="0"/>
    <x v="7"/>
    <x v="0"/>
    <x v="0"/>
  </r>
  <r>
    <x v="684"/>
    <x v="0"/>
    <x v="33"/>
    <x v="0"/>
    <x v="4"/>
  </r>
  <r>
    <x v="685"/>
    <x v="0"/>
    <x v="30"/>
    <x v="1"/>
    <x v="0"/>
  </r>
  <r>
    <x v="686"/>
    <x v="2"/>
    <x v="14"/>
    <x v="0"/>
    <x v="4"/>
  </r>
  <r>
    <x v="687"/>
    <x v="1"/>
    <x v="34"/>
    <x v="0"/>
    <x v="3"/>
  </r>
  <r>
    <x v="688"/>
    <x v="4"/>
    <x v="9"/>
    <x v="2"/>
    <x v="3"/>
  </r>
  <r>
    <x v="689"/>
    <x v="1"/>
    <x v="31"/>
    <x v="1"/>
    <x v="0"/>
  </r>
  <r>
    <x v="690"/>
    <x v="3"/>
    <x v="10"/>
    <x v="0"/>
    <x v="2"/>
  </r>
  <r>
    <x v="691"/>
    <x v="3"/>
    <x v="33"/>
    <x v="0"/>
    <x v="0"/>
  </r>
  <r>
    <x v="692"/>
    <x v="1"/>
    <x v="30"/>
    <x v="1"/>
    <x v="1"/>
  </r>
  <r>
    <x v="693"/>
    <x v="1"/>
    <x v="33"/>
    <x v="1"/>
    <x v="1"/>
  </r>
  <r>
    <x v="694"/>
    <x v="0"/>
    <x v="3"/>
    <x v="0"/>
    <x v="4"/>
  </r>
  <r>
    <x v="695"/>
    <x v="3"/>
    <x v="18"/>
    <x v="1"/>
    <x v="1"/>
  </r>
  <r>
    <x v="696"/>
    <x v="1"/>
    <x v="36"/>
    <x v="1"/>
    <x v="1"/>
  </r>
  <r>
    <x v="697"/>
    <x v="3"/>
    <x v="40"/>
    <x v="0"/>
    <x v="1"/>
  </r>
  <r>
    <x v="698"/>
    <x v="0"/>
    <x v="0"/>
    <x v="1"/>
    <x v="4"/>
  </r>
  <r>
    <x v="699"/>
    <x v="1"/>
    <x v="20"/>
    <x v="0"/>
    <x v="4"/>
  </r>
  <r>
    <x v="700"/>
    <x v="2"/>
    <x v="28"/>
    <x v="1"/>
    <x v="2"/>
  </r>
  <r>
    <x v="701"/>
    <x v="2"/>
    <x v="28"/>
    <x v="1"/>
    <x v="0"/>
  </r>
  <r>
    <x v="702"/>
    <x v="1"/>
    <x v="14"/>
    <x v="0"/>
    <x v="1"/>
  </r>
  <r>
    <x v="703"/>
    <x v="1"/>
    <x v="5"/>
    <x v="1"/>
    <x v="1"/>
  </r>
  <r>
    <x v="704"/>
    <x v="1"/>
    <x v="33"/>
    <x v="0"/>
    <x v="3"/>
  </r>
  <r>
    <x v="705"/>
    <x v="0"/>
    <x v="18"/>
    <x v="1"/>
    <x v="0"/>
  </r>
  <r>
    <x v="706"/>
    <x v="1"/>
    <x v="8"/>
    <x v="1"/>
    <x v="3"/>
  </r>
  <r>
    <x v="707"/>
    <x v="0"/>
    <x v="28"/>
    <x v="1"/>
    <x v="0"/>
  </r>
  <r>
    <x v="708"/>
    <x v="2"/>
    <x v="38"/>
    <x v="0"/>
    <x v="0"/>
  </r>
  <r>
    <x v="709"/>
    <x v="3"/>
    <x v="11"/>
    <x v="0"/>
    <x v="4"/>
  </r>
  <r>
    <x v="710"/>
    <x v="0"/>
    <x v="17"/>
    <x v="1"/>
    <x v="0"/>
  </r>
  <r>
    <x v="711"/>
    <x v="1"/>
    <x v="44"/>
    <x v="1"/>
    <x v="2"/>
  </r>
  <r>
    <x v="712"/>
    <x v="0"/>
    <x v="25"/>
    <x v="1"/>
    <x v="1"/>
  </r>
  <r>
    <x v="713"/>
    <x v="1"/>
    <x v="44"/>
    <x v="0"/>
    <x v="5"/>
  </r>
  <r>
    <x v="714"/>
    <x v="0"/>
    <x v="25"/>
    <x v="0"/>
    <x v="1"/>
  </r>
  <r>
    <x v="715"/>
    <x v="2"/>
    <x v="14"/>
    <x v="0"/>
    <x v="2"/>
  </r>
  <r>
    <x v="716"/>
    <x v="1"/>
    <x v="15"/>
    <x v="1"/>
    <x v="2"/>
  </r>
  <r>
    <x v="717"/>
    <x v="0"/>
    <x v="31"/>
    <x v="0"/>
    <x v="1"/>
  </r>
  <r>
    <x v="718"/>
    <x v="0"/>
    <x v="34"/>
    <x v="1"/>
    <x v="3"/>
  </r>
  <r>
    <x v="719"/>
    <x v="0"/>
    <x v="19"/>
    <x v="1"/>
    <x v="0"/>
  </r>
  <r>
    <x v="720"/>
    <x v="2"/>
    <x v="36"/>
    <x v="0"/>
    <x v="0"/>
  </r>
  <r>
    <x v="721"/>
    <x v="1"/>
    <x v="0"/>
    <x v="0"/>
    <x v="2"/>
  </r>
  <r>
    <x v="722"/>
    <x v="1"/>
    <x v="46"/>
    <x v="0"/>
    <x v="1"/>
  </r>
  <r>
    <x v="723"/>
    <x v="3"/>
    <x v="45"/>
    <x v="1"/>
    <x v="0"/>
  </r>
  <r>
    <x v="724"/>
    <x v="2"/>
    <x v="42"/>
    <x v="0"/>
    <x v="2"/>
  </r>
  <r>
    <x v="725"/>
    <x v="1"/>
    <x v="20"/>
    <x v="0"/>
    <x v="2"/>
  </r>
  <r>
    <x v="726"/>
    <x v="1"/>
    <x v="31"/>
    <x v="0"/>
    <x v="0"/>
  </r>
  <r>
    <x v="727"/>
    <x v="2"/>
    <x v="4"/>
    <x v="1"/>
    <x v="1"/>
  </r>
  <r>
    <x v="728"/>
    <x v="1"/>
    <x v="1"/>
    <x v="1"/>
    <x v="4"/>
  </r>
  <r>
    <x v="729"/>
    <x v="3"/>
    <x v="28"/>
    <x v="0"/>
    <x v="2"/>
  </r>
  <r>
    <x v="730"/>
    <x v="0"/>
    <x v="8"/>
    <x v="0"/>
    <x v="3"/>
  </r>
  <r>
    <x v="731"/>
    <x v="1"/>
    <x v="16"/>
    <x v="1"/>
    <x v="4"/>
  </r>
  <r>
    <x v="732"/>
    <x v="2"/>
    <x v="31"/>
    <x v="0"/>
    <x v="0"/>
  </r>
  <r>
    <x v="733"/>
    <x v="1"/>
    <x v="26"/>
    <x v="0"/>
    <x v="1"/>
  </r>
  <r>
    <x v="734"/>
    <x v="3"/>
    <x v="26"/>
    <x v="0"/>
    <x v="5"/>
  </r>
  <r>
    <x v="735"/>
    <x v="0"/>
    <x v="43"/>
    <x v="0"/>
    <x v="4"/>
  </r>
  <r>
    <x v="736"/>
    <x v="3"/>
    <x v="23"/>
    <x v="1"/>
    <x v="0"/>
  </r>
  <r>
    <x v="737"/>
    <x v="1"/>
    <x v="22"/>
    <x v="1"/>
    <x v="0"/>
  </r>
  <r>
    <x v="738"/>
    <x v="3"/>
    <x v="3"/>
    <x v="0"/>
    <x v="4"/>
  </r>
  <r>
    <x v="739"/>
    <x v="2"/>
    <x v="10"/>
    <x v="1"/>
    <x v="0"/>
  </r>
  <r>
    <x v="740"/>
    <x v="0"/>
    <x v="4"/>
    <x v="1"/>
    <x v="2"/>
  </r>
  <r>
    <x v="741"/>
    <x v="1"/>
    <x v="31"/>
    <x v="1"/>
    <x v="3"/>
  </r>
  <r>
    <x v="742"/>
    <x v="0"/>
    <x v="5"/>
    <x v="1"/>
    <x v="4"/>
  </r>
  <r>
    <x v="743"/>
    <x v="3"/>
    <x v="7"/>
    <x v="1"/>
    <x v="3"/>
  </r>
  <r>
    <x v="744"/>
    <x v="0"/>
    <x v="10"/>
    <x v="1"/>
    <x v="3"/>
  </r>
  <r>
    <x v="745"/>
    <x v="0"/>
    <x v="33"/>
    <x v="0"/>
    <x v="1"/>
  </r>
  <r>
    <x v="746"/>
    <x v="2"/>
    <x v="38"/>
    <x v="0"/>
    <x v="0"/>
  </r>
  <r>
    <x v="747"/>
    <x v="1"/>
    <x v="21"/>
    <x v="0"/>
    <x v="2"/>
  </r>
  <r>
    <x v="748"/>
    <x v="3"/>
    <x v="26"/>
    <x v="0"/>
    <x v="1"/>
  </r>
  <r>
    <x v="749"/>
    <x v="3"/>
    <x v="8"/>
    <x v="0"/>
    <x v="0"/>
  </r>
  <r>
    <x v="750"/>
    <x v="0"/>
    <x v="29"/>
    <x v="0"/>
    <x v="1"/>
  </r>
  <r>
    <x v="751"/>
    <x v="1"/>
    <x v="26"/>
    <x v="0"/>
    <x v="0"/>
  </r>
  <r>
    <x v="752"/>
    <x v="1"/>
    <x v="16"/>
    <x v="0"/>
    <x v="2"/>
  </r>
  <r>
    <x v="753"/>
    <x v="1"/>
    <x v="5"/>
    <x v="1"/>
    <x v="1"/>
  </r>
  <r>
    <x v="754"/>
    <x v="1"/>
    <x v="0"/>
    <x v="0"/>
    <x v="1"/>
  </r>
  <r>
    <x v="755"/>
    <x v="1"/>
    <x v="42"/>
    <x v="1"/>
    <x v="0"/>
  </r>
  <r>
    <x v="756"/>
    <x v="2"/>
    <x v="33"/>
    <x v="1"/>
    <x v="2"/>
  </r>
  <r>
    <x v="757"/>
    <x v="1"/>
    <x v="39"/>
    <x v="0"/>
    <x v="1"/>
  </r>
  <r>
    <x v="758"/>
    <x v="0"/>
    <x v="11"/>
    <x v="0"/>
    <x v="0"/>
  </r>
  <r>
    <x v="759"/>
    <x v="1"/>
    <x v="42"/>
    <x v="0"/>
    <x v="1"/>
  </r>
  <r>
    <x v="760"/>
    <x v="3"/>
    <x v="6"/>
    <x v="0"/>
    <x v="0"/>
  </r>
  <r>
    <x v="761"/>
    <x v="1"/>
    <x v="34"/>
    <x v="1"/>
    <x v="3"/>
  </r>
  <r>
    <x v="762"/>
    <x v="1"/>
    <x v="33"/>
    <x v="1"/>
    <x v="1"/>
  </r>
  <r>
    <x v="763"/>
    <x v="0"/>
    <x v="31"/>
    <x v="0"/>
    <x v="4"/>
  </r>
  <r>
    <x v="764"/>
    <x v="0"/>
    <x v="5"/>
    <x v="1"/>
    <x v="0"/>
  </r>
  <r>
    <x v="765"/>
    <x v="0"/>
    <x v="19"/>
    <x v="1"/>
    <x v="4"/>
  </r>
  <r>
    <x v="766"/>
    <x v="3"/>
    <x v="4"/>
    <x v="1"/>
    <x v="1"/>
  </r>
  <r>
    <x v="767"/>
    <x v="1"/>
    <x v="34"/>
    <x v="1"/>
    <x v="3"/>
  </r>
  <r>
    <x v="768"/>
    <x v="2"/>
    <x v="37"/>
    <x v="0"/>
    <x v="2"/>
  </r>
  <r>
    <x v="769"/>
    <x v="2"/>
    <x v="42"/>
    <x v="0"/>
    <x v="4"/>
  </r>
  <r>
    <x v="770"/>
    <x v="1"/>
    <x v="6"/>
    <x v="1"/>
    <x v="4"/>
  </r>
  <r>
    <x v="771"/>
    <x v="1"/>
    <x v="40"/>
    <x v="0"/>
    <x v="3"/>
  </r>
  <r>
    <x v="772"/>
    <x v="2"/>
    <x v="33"/>
    <x v="0"/>
    <x v="3"/>
  </r>
  <r>
    <x v="773"/>
    <x v="0"/>
    <x v="36"/>
    <x v="1"/>
    <x v="1"/>
  </r>
  <r>
    <x v="774"/>
    <x v="0"/>
    <x v="32"/>
    <x v="0"/>
    <x v="3"/>
  </r>
  <r>
    <x v="775"/>
    <x v="1"/>
    <x v="32"/>
    <x v="1"/>
    <x v="2"/>
  </r>
  <r>
    <x v="776"/>
    <x v="1"/>
    <x v="46"/>
    <x v="0"/>
    <x v="0"/>
  </r>
  <r>
    <x v="777"/>
    <x v="3"/>
    <x v="25"/>
    <x v="0"/>
    <x v="4"/>
  </r>
  <r>
    <x v="778"/>
    <x v="5"/>
    <x v="24"/>
    <x v="1"/>
    <x v="3"/>
  </r>
  <r>
    <x v="779"/>
    <x v="1"/>
    <x v="3"/>
    <x v="1"/>
    <x v="3"/>
  </r>
  <r>
    <x v="780"/>
    <x v="3"/>
    <x v="45"/>
    <x v="0"/>
    <x v="2"/>
  </r>
  <r>
    <x v="781"/>
    <x v="3"/>
    <x v="25"/>
    <x v="1"/>
    <x v="1"/>
  </r>
  <r>
    <x v="782"/>
    <x v="1"/>
    <x v="28"/>
    <x v="0"/>
    <x v="1"/>
  </r>
  <r>
    <x v="783"/>
    <x v="1"/>
    <x v="40"/>
    <x v="1"/>
    <x v="3"/>
  </r>
  <r>
    <x v="784"/>
    <x v="0"/>
    <x v="27"/>
    <x v="1"/>
    <x v="3"/>
  </r>
  <r>
    <x v="785"/>
    <x v="0"/>
    <x v="36"/>
    <x v="1"/>
    <x v="0"/>
  </r>
  <r>
    <x v="786"/>
    <x v="2"/>
    <x v="23"/>
    <x v="0"/>
    <x v="3"/>
  </r>
  <r>
    <x v="787"/>
    <x v="1"/>
    <x v="0"/>
    <x v="0"/>
    <x v="4"/>
  </r>
  <r>
    <x v="788"/>
    <x v="1"/>
    <x v="5"/>
    <x v="1"/>
    <x v="0"/>
  </r>
  <r>
    <x v="789"/>
    <x v="2"/>
    <x v="36"/>
    <x v="0"/>
    <x v="4"/>
  </r>
  <r>
    <x v="790"/>
    <x v="2"/>
    <x v="11"/>
    <x v="1"/>
    <x v="0"/>
  </r>
  <r>
    <x v="791"/>
    <x v="0"/>
    <x v="26"/>
    <x v="0"/>
    <x v="1"/>
  </r>
  <r>
    <x v="792"/>
    <x v="3"/>
    <x v="36"/>
    <x v="0"/>
    <x v="0"/>
  </r>
  <r>
    <x v="793"/>
    <x v="1"/>
    <x v="26"/>
    <x v="0"/>
    <x v="0"/>
  </r>
  <r>
    <x v="794"/>
    <x v="2"/>
    <x v="27"/>
    <x v="1"/>
    <x v="1"/>
  </r>
  <r>
    <x v="795"/>
    <x v="0"/>
    <x v="3"/>
    <x v="1"/>
    <x v="4"/>
  </r>
  <r>
    <x v="796"/>
    <x v="3"/>
    <x v="0"/>
    <x v="0"/>
    <x v="1"/>
  </r>
  <r>
    <x v="797"/>
    <x v="0"/>
    <x v="44"/>
    <x v="1"/>
    <x v="1"/>
  </r>
  <r>
    <x v="798"/>
    <x v="2"/>
    <x v="32"/>
    <x v="0"/>
    <x v="4"/>
  </r>
  <r>
    <x v="799"/>
    <x v="3"/>
    <x v="4"/>
    <x v="1"/>
    <x v="3"/>
  </r>
  <r>
    <x v="800"/>
    <x v="2"/>
    <x v="21"/>
    <x v="0"/>
    <x v="1"/>
  </r>
  <r>
    <x v="801"/>
    <x v="0"/>
    <x v="27"/>
    <x v="1"/>
    <x v="0"/>
  </r>
  <r>
    <x v="802"/>
    <x v="1"/>
    <x v="39"/>
    <x v="1"/>
    <x v="4"/>
  </r>
  <r>
    <x v="803"/>
    <x v="0"/>
    <x v="42"/>
    <x v="1"/>
    <x v="4"/>
  </r>
  <r>
    <x v="804"/>
    <x v="1"/>
    <x v="41"/>
    <x v="0"/>
    <x v="4"/>
  </r>
  <r>
    <x v="805"/>
    <x v="1"/>
    <x v="31"/>
    <x v="0"/>
    <x v="1"/>
  </r>
  <r>
    <x v="806"/>
    <x v="0"/>
    <x v="15"/>
    <x v="0"/>
    <x v="3"/>
  </r>
  <r>
    <x v="807"/>
    <x v="1"/>
    <x v="41"/>
    <x v="1"/>
    <x v="0"/>
  </r>
  <r>
    <x v="808"/>
    <x v="1"/>
    <x v="38"/>
    <x v="0"/>
    <x v="0"/>
  </r>
  <r>
    <x v="809"/>
    <x v="2"/>
    <x v="3"/>
    <x v="0"/>
    <x v="4"/>
  </r>
  <r>
    <x v="810"/>
    <x v="2"/>
    <x v="40"/>
    <x v="1"/>
    <x v="4"/>
  </r>
  <r>
    <x v="811"/>
    <x v="0"/>
    <x v="29"/>
    <x v="0"/>
    <x v="3"/>
  </r>
  <r>
    <x v="812"/>
    <x v="3"/>
    <x v="31"/>
    <x v="0"/>
    <x v="3"/>
  </r>
  <r>
    <x v="813"/>
    <x v="2"/>
    <x v="21"/>
    <x v="1"/>
    <x v="0"/>
  </r>
  <r>
    <x v="814"/>
    <x v="0"/>
    <x v="15"/>
    <x v="1"/>
    <x v="4"/>
  </r>
  <r>
    <x v="815"/>
    <x v="2"/>
    <x v="24"/>
    <x v="1"/>
    <x v="5"/>
  </r>
  <r>
    <x v="816"/>
    <x v="0"/>
    <x v="44"/>
    <x v="1"/>
    <x v="2"/>
  </r>
  <r>
    <x v="817"/>
    <x v="3"/>
    <x v="10"/>
    <x v="0"/>
    <x v="3"/>
  </r>
  <r>
    <x v="818"/>
    <x v="1"/>
    <x v="20"/>
    <x v="1"/>
    <x v="2"/>
  </r>
  <r>
    <x v="819"/>
    <x v="0"/>
    <x v="11"/>
    <x v="0"/>
    <x v="1"/>
  </r>
  <r>
    <x v="820"/>
    <x v="1"/>
    <x v="31"/>
    <x v="1"/>
    <x v="0"/>
  </r>
  <r>
    <x v="821"/>
    <x v="0"/>
    <x v="13"/>
    <x v="1"/>
    <x v="2"/>
  </r>
  <r>
    <x v="822"/>
    <x v="1"/>
    <x v="2"/>
    <x v="1"/>
    <x v="4"/>
  </r>
  <r>
    <x v="823"/>
    <x v="2"/>
    <x v="46"/>
    <x v="0"/>
    <x v="0"/>
  </r>
  <r>
    <x v="824"/>
    <x v="0"/>
    <x v="25"/>
    <x v="1"/>
    <x v="1"/>
  </r>
  <r>
    <x v="825"/>
    <x v="3"/>
    <x v="24"/>
    <x v="1"/>
    <x v="4"/>
  </r>
  <r>
    <x v="826"/>
    <x v="0"/>
    <x v="15"/>
    <x v="1"/>
    <x v="0"/>
  </r>
  <r>
    <x v="827"/>
    <x v="2"/>
    <x v="42"/>
    <x v="0"/>
    <x v="0"/>
  </r>
  <r>
    <x v="828"/>
    <x v="3"/>
    <x v="26"/>
    <x v="0"/>
    <x v="0"/>
  </r>
  <r>
    <x v="829"/>
    <x v="1"/>
    <x v="16"/>
    <x v="0"/>
    <x v="0"/>
  </r>
  <r>
    <x v="830"/>
    <x v="2"/>
    <x v="26"/>
    <x v="1"/>
    <x v="3"/>
  </r>
  <r>
    <x v="831"/>
    <x v="1"/>
    <x v="0"/>
    <x v="1"/>
    <x v="1"/>
  </r>
  <r>
    <x v="832"/>
    <x v="1"/>
    <x v="30"/>
    <x v="1"/>
    <x v="4"/>
  </r>
  <r>
    <x v="833"/>
    <x v="3"/>
    <x v="14"/>
    <x v="0"/>
    <x v="3"/>
  </r>
  <r>
    <x v="834"/>
    <x v="1"/>
    <x v="43"/>
    <x v="1"/>
    <x v="2"/>
  </r>
  <r>
    <x v="835"/>
    <x v="2"/>
    <x v="26"/>
    <x v="1"/>
    <x v="3"/>
  </r>
  <r>
    <x v="836"/>
    <x v="0"/>
    <x v="42"/>
    <x v="1"/>
    <x v="0"/>
  </r>
  <r>
    <x v="837"/>
    <x v="1"/>
    <x v="11"/>
    <x v="1"/>
    <x v="3"/>
  </r>
  <r>
    <x v="838"/>
    <x v="0"/>
    <x v="35"/>
    <x v="1"/>
    <x v="0"/>
  </r>
  <r>
    <x v="839"/>
    <x v="1"/>
    <x v="22"/>
    <x v="1"/>
    <x v="3"/>
  </r>
  <r>
    <x v="840"/>
    <x v="3"/>
    <x v="14"/>
    <x v="0"/>
    <x v="1"/>
  </r>
  <r>
    <x v="841"/>
    <x v="0"/>
    <x v="44"/>
    <x v="1"/>
    <x v="0"/>
  </r>
  <r>
    <x v="842"/>
    <x v="1"/>
    <x v="47"/>
    <x v="0"/>
    <x v="3"/>
  </r>
  <r>
    <x v="843"/>
    <x v="3"/>
    <x v="11"/>
    <x v="1"/>
    <x v="0"/>
  </r>
  <r>
    <x v="844"/>
    <x v="1"/>
    <x v="30"/>
    <x v="0"/>
    <x v="1"/>
  </r>
  <r>
    <x v="845"/>
    <x v="1"/>
    <x v="26"/>
    <x v="0"/>
    <x v="1"/>
  </r>
  <r>
    <x v="846"/>
    <x v="1"/>
    <x v="22"/>
    <x v="0"/>
    <x v="0"/>
  </r>
  <r>
    <x v="847"/>
    <x v="2"/>
    <x v="43"/>
    <x v="1"/>
    <x v="0"/>
  </r>
  <r>
    <x v="848"/>
    <x v="0"/>
    <x v="34"/>
    <x v="1"/>
    <x v="3"/>
  </r>
  <r>
    <x v="849"/>
    <x v="0"/>
    <x v="16"/>
    <x v="1"/>
    <x v="0"/>
  </r>
  <r>
    <x v="850"/>
    <x v="0"/>
    <x v="21"/>
    <x v="1"/>
    <x v="3"/>
  </r>
  <r>
    <x v="851"/>
    <x v="3"/>
    <x v="11"/>
    <x v="1"/>
    <x v="2"/>
  </r>
  <r>
    <x v="852"/>
    <x v="2"/>
    <x v="40"/>
    <x v="1"/>
    <x v="1"/>
  </r>
  <r>
    <x v="853"/>
    <x v="0"/>
    <x v="19"/>
    <x v="0"/>
    <x v="3"/>
  </r>
  <r>
    <x v="854"/>
    <x v="3"/>
    <x v="25"/>
    <x v="0"/>
    <x v="3"/>
  </r>
  <r>
    <x v="855"/>
    <x v="0"/>
    <x v="10"/>
    <x v="0"/>
    <x v="0"/>
  </r>
  <r>
    <x v="856"/>
    <x v="2"/>
    <x v="33"/>
    <x v="1"/>
    <x v="1"/>
  </r>
  <r>
    <x v="857"/>
    <x v="2"/>
    <x v="20"/>
    <x v="1"/>
    <x v="1"/>
  </r>
  <r>
    <x v="858"/>
    <x v="0"/>
    <x v="8"/>
    <x v="1"/>
    <x v="0"/>
  </r>
  <r>
    <x v="859"/>
    <x v="1"/>
    <x v="19"/>
    <x v="1"/>
    <x v="3"/>
  </r>
  <r>
    <x v="860"/>
    <x v="1"/>
    <x v="20"/>
    <x v="0"/>
    <x v="3"/>
  </r>
  <r>
    <x v="861"/>
    <x v="0"/>
    <x v="25"/>
    <x v="0"/>
    <x v="3"/>
  </r>
  <r>
    <x v="862"/>
    <x v="0"/>
    <x v="28"/>
    <x v="1"/>
    <x v="2"/>
  </r>
  <r>
    <x v="863"/>
    <x v="1"/>
    <x v="34"/>
    <x v="0"/>
    <x v="3"/>
  </r>
  <r>
    <x v="864"/>
    <x v="2"/>
    <x v="0"/>
    <x v="0"/>
    <x v="3"/>
  </r>
  <r>
    <x v="865"/>
    <x v="0"/>
    <x v="29"/>
    <x v="0"/>
    <x v="1"/>
  </r>
  <r>
    <x v="866"/>
    <x v="0"/>
    <x v="29"/>
    <x v="0"/>
    <x v="0"/>
  </r>
  <r>
    <x v="867"/>
    <x v="1"/>
    <x v="17"/>
    <x v="0"/>
    <x v="3"/>
  </r>
  <r>
    <x v="868"/>
    <x v="3"/>
    <x v="46"/>
    <x v="0"/>
    <x v="2"/>
  </r>
  <r>
    <x v="869"/>
    <x v="3"/>
    <x v="10"/>
    <x v="1"/>
    <x v="1"/>
  </r>
  <r>
    <x v="870"/>
    <x v="1"/>
    <x v="18"/>
    <x v="0"/>
    <x v="5"/>
  </r>
  <r>
    <x v="871"/>
    <x v="2"/>
    <x v="24"/>
    <x v="1"/>
    <x v="1"/>
  </r>
  <r>
    <x v="872"/>
    <x v="0"/>
    <x v="11"/>
    <x v="1"/>
    <x v="1"/>
  </r>
  <r>
    <x v="873"/>
    <x v="0"/>
    <x v="26"/>
    <x v="0"/>
    <x v="3"/>
  </r>
  <r>
    <x v="874"/>
    <x v="2"/>
    <x v="8"/>
    <x v="0"/>
    <x v="0"/>
  </r>
  <r>
    <x v="875"/>
    <x v="1"/>
    <x v="10"/>
    <x v="0"/>
    <x v="1"/>
  </r>
  <r>
    <x v="876"/>
    <x v="0"/>
    <x v="10"/>
    <x v="0"/>
    <x v="0"/>
  </r>
  <r>
    <x v="877"/>
    <x v="0"/>
    <x v="34"/>
    <x v="1"/>
    <x v="4"/>
  </r>
  <r>
    <x v="878"/>
    <x v="0"/>
    <x v="37"/>
    <x v="1"/>
    <x v="3"/>
  </r>
  <r>
    <x v="879"/>
    <x v="1"/>
    <x v="7"/>
    <x v="1"/>
    <x v="4"/>
  </r>
  <r>
    <x v="880"/>
    <x v="1"/>
    <x v="21"/>
    <x v="0"/>
    <x v="1"/>
  </r>
  <r>
    <x v="881"/>
    <x v="3"/>
    <x v="46"/>
    <x v="0"/>
    <x v="3"/>
  </r>
  <r>
    <x v="882"/>
    <x v="1"/>
    <x v="1"/>
    <x v="1"/>
    <x v="1"/>
  </r>
  <r>
    <x v="883"/>
    <x v="3"/>
    <x v="44"/>
    <x v="0"/>
    <x v="4"/>
  </r>
  <r>
    <x v="884"/>
    <x v="3"/>
    <x v="44"/>
    <x v="0"/>
    <x v="0"/>
  </r>
  <r>
    <x v="885"/>
    <x v="3"/>
    <x v="25"/>
    <x v="1"/>
    <x v="2"/>
  </r>
  <r>
    <x v="886"/>
    <x v="3"/>
    <x v="18"/>
    <x v="1"/>
    <x v="0"/>
  </r>
  <r>
    <x v="887"/>
    <x v="3"/>
    <x v="44"/>
    <x v="1"/>
    <x v="5"/>
  </r>
  <r>
    <x v="888"/>
    <x v="2"/>
    <x v="4"/>
    <x v="1"/>
    <x v="1"/>
  </r>
  <r>
    <x v="889"/>
    <x v="2"/>
    <x v="21"/>
    <x v="0"/>
    <x v="4"/>
  </r>
  <r>
    <x v="890"/>
    <x v="0"/>
    <x v="12"/>
    <x v="0"/>
    <x v="2"/>
  </r>
  <r>
    <x v="891"/>
    <x v="2"/>
    <x v="20"/>
    <x v="1"/>
    <x v="3"/>
  </r>
  <r>
    <x v="892"/>
    <x v="1"/>
    <x v="3"/>
    <x v="1"/>
    <x v="3"/>
  </r>
  <r>
    <x v="893"/>
    <x v="0"/>
    <x v="4"/>
    <x v="1"/>
    <x v="2"/>
  </r>
  <r>
    <x v="894"/>
    <x v="2"/>
    <x v="22"/>
    <x v="1"/>
    <x v="2"/>
  </r>
  <r>
    <x v="895"/>
    <x v="0"/>
    <x v="21"/>
    <x v="1"/>
    <x v="0"/>
  </r>
  <r>
    <x v="896"/>
    <x v="1"/>
    <x v="24"/>
    <x v="0"/>
    <x v="4"/>
  </r>
  <r>
    <x v="897"/>
    <x v="0"/>
    <x v="26"/>
    <x v="0"/>
    <x v="2"/>
  </r>
  <r>
    <x v="898"/>
    <x v="2"/>
    <x v="5"/>
    <x v="0"/>
    <x v="2"/>
  </r>
  <r>
    <x v="899"/>
    <x v="3"/>
    <x v="4"/>
    <x v="0"/>
    <x v="3"/>
  </r>
  <r>
    <x v="900"/>
    <x v="3"/>
    <x v="14"/>
    <x v="0"/>
    <x v="1"/>
  </r>
  <r>
    <x v="901"/>
    <x v="2"/>
    <x v="28"/>
    <x v="1"/>
    <x v="4"/>
  </r>
  <r>
    <x v="902"/>
    <x v="5"/>
    <x v="0"/>
    <x v="0"/>
    <x v="3"/>
  </r>
  <r>
    <x v="903"/>
    <x v="0"/>
    <x v="18"/>
    <x v="0"/>
    <x v="0"/>
  </r>
  <r>
    <x v="904"/>
    <x v="1"/>
    <x v="28"/>
    <x v="0"/>
    <x v="1"/>
  </r>
  <r>
    <x v="905"/>
    <x v="0"/>
    <x v="28"/>
    <x v="0"/>
    <x v="0"/>
  </r>
  <r>
    <x v="906"/>
    <x v="2"/>
    <x v="24"/>
    <x v="0"/>
    <x v="1"/>
  </r>
  <r>
    <x v="907"/>
    <x v="3"/>
    <x v="20"/>
    <x v="1"/>
    <x v="4"/>
  </r>
  <r>
    <x v="908"/>
    <x v="1"/>
    <x v="30"/>
    <x v="0"/>
    <x v="4"/>
  </r>
  <r>
    <x v="909"/>
    <x v="4"/>
    <x v="9"/>
    <x v="2"/>
    <x v="4"/>
  </r>
  <r>
    <x v="910"/>
    <x v="2"/>
    <x v="43"/>
    <x v="1"/>
    <x v="1"/>
  </r>
  <r>
    <x v="911"/>
    <x v="3"/>
    <x v="8"/>
    <x v="0"/>
    <x v="4"/>
  </r>
  <r>
    <x v="912"/>
    <x v="0"/>
    <x v="14"/>
    <x v="0"/>
    <x v="2"/>
  </r>
  <r>
    <x v="913"/>
    <x v="2"/>
    <x v="24"/>
    <x v="0"/>
    <x v="1"/>
  </r>
  <r>
    <x v="914"/>
    <x v="0"/>
    <x v="0"/>
    <x v="1"/>
    <x v="1"/>
  </r>
  <r>
    <x v="915"/>
    <x v="4"/>
    <x v="9"/>
    <x v="2"/>
    <x v="4"/>
  </r>
  <r>
    <x v="916"/>
    <x v="1"/>
    <x v="31"/>
    <x v="0"/>
    <x v="4"/>
  </r>
  <r>
    <x v="917"/>
    <x v="3"/>
    <x v="28"/>
    <x v="0"/>
    <x v="0"/>
  </r>
  <r>
    <x v="918"/>
    <x v="1"/>
    <x v="6"/>
    <x v="1"/>
    <x v="1"/>
  </r>
  <r>
    <x v="919"/>
    <x v="0"/>
    <x v="0"/>
    <x v="0"/>
    <x v="3"/>
  </r>
  <r>
    <x v="920"/>
    <x v="2"/>
    <x v="26"/>
    <x v="1"/>
    <x v="3"/>
  </r>
  <r>
    <x v="921"/>
    <x v="0"/>
    <x v="16"/>
    <x v="0"/>
    <x v="3"/>
  </r>
  <r>
    <x v="922"/>
    <x v="2"/>
    <x v="22"/>
    <x v="0"/>
    <x v="4"/>
  </r>
  <r>
    <x v="923"/>
    <x v="1"/>
    <x v="20"/>
    <x v="0"/>
    <x v="1"/>
  </r>
  <r>
    <x v="924"/>
    <x v="3"/>
    <x v="8"/>
    <x v="0"/>
    <x v="0"/>
  </r>
  <r>
    <x v="925"/>
    <x v="2"/>
    <x v="5"/>
    <x v="0"/>
    <x v="1"/>
  </r>
  <r>
    <x v="926"/>
    <x v="0"/>
    <x v="21"/>
    <x v="1"/>
    <x v="1"/>
  </r>
  <r>
    <x v="927"/>
    <x v="1"/>
    <x v="8"/>
    <x v="1"/>
    <x v="1"/>
  </r>
  <r>
    <x v="928"/>
    <x v="2"/>
    <x v="21"/>
    <x v="0"/>
    <x v="0"/>
  </r>
  <r>
    <x v="929"/>
    <x v="0"/>
    <x v="28"/>
    <x v="1"/>
    <x v="0"/>
  </r>
  <r>
    <x v="930"/>
    <x v="3"/>
    <x v="11"/>
    <x v="0"/>
    <x v="0"/>
  </r>
  <r>
    <x v="931"/>
    <x v="1"/>
    <x v="42"/>
    <x v="1"/>
    <x v="0"/>
  </r>
  <r>
    <x v="932"/>
    <x v="1"/>
    <x v="30"/>
    <x v="0"/>
    <x v="4"/>
  </r>
  <r>
    <x v="933"/>
    <x v="2"/>
    <x v="15"/>
    <x v="1"/>
    <x v="0"/>
  </r>
  <r>
    <x v="934"/>
    <x v="1"/>
    <x v="47"/>
    <x v="1"/>
    <x v="1"/>
  </r>
  <r>
    <x v="935"/>
    <x v="3"/>
    <x v="44"/>
    <x v="0"/>
    <x v="1"/>
  </r>
  <r>
    <x v="936"/>
    <x v="2"/>
    <x v="24"/>
    <x v="1"/>
    <x v="2"/>
  </r>
  <r>
    <x v="937"/>
    <x v="2"/>
    <x v="3"/>
    <x v="0"/>
    <x v="1"/>
  </r>
  <r>
    <x v="938"/>
    <x v="1"/>
    <x v="30"/>
    <x v="1"/>
    <x v="1"/>
  </r>
  <r>
    <x v="939"/>
    <x v="1"/>
    <x v="42"/>
    <x v="0"/>
    <x v="0"/>
  </r>
  <r>
    <x v="940"/>
    <x v="1"/>
    <x v="7"/>
    <x v="1"/>
    <x v="0"/>
  </r>
  <r>
    <x v="941"/>
    <x v="1"/>
    <x v="11"/>
    <x v="1"/>
    <x v="4"/>
  </r>
  <r>
    <x v="942"/>
    <x v="3"/>
    <x v="20"/>
    <x v="0"/>
    <x v="2"/>
  </r>
  <r>
    <x v="943"/>
    <x v="1"/>
    <x v="17"/>
    <x v="1"/>
    <x v="0"/>
  </r>
  <r>
    <x v="944"/>
    <x v="2"/>
    <x v="24"/>
    <x v="1"/>
    <x v="5"/>
  </r>
  <r>
    <x v="945"/>
    <x v="2"/>
    <x v="3"/>
    <x v="0"/>
    <x v="3"/>
  </r>
  <r>
    <x v="946"/>
    <x v="0"/>
    <x v="1"/>
    <x v="1"/>
    <x v="3"/>
  </r>
  <r>
    <x v="947"/>
    <x v="2"/>
    <x v="40"/>
    <x v="1"/>
    <x v="0"/>
  </r>
  <r>
    <x v="948"/>
    <x v="3"/>
    <x v="17"/>
    <x v="1"/>
    <x v="0"/>
  </r>
  <r>
    <x v="949"/>
    <x v="3"/>
    <x v="30"/>
    <x v="1"/>
    <x v="0"/>
  </r>
  <r>
    <x v="950"/>
    <x v="3"/>
    <x v="7"/>
    <x v="1"/>
    <x v="0"/>
  </r>
  <r>
    <x v="951"/>
    <x v="0"/>
    <x v="38"/>
    <x v="1"/>
    <x v="2"/>
  </r>
  <r>
    <x v="952"/>
    <x v="3"/>
    <x v="10"/>
    <x v="1"/>
    <x v="0"/>
  </r>
  <r>
    <x v="953"/>
    <x v="0"/>
    <x v="29"/>
    <x v="0"/>
    <x v="3"/>
  </r>
  <r>
    <x v="954"/>
    <x v="0"/>
    <x v="34"/>
    <x v="1"/>
    <x v="2"/>
  </r>
  <r>
    <x v="955"/>
    <x v="0"/>
    <x v="12"/>
    <x v="0"/>
    <x v="2"/>
  </r>
  <r>
    <x v="956"/>
    <x v="0"/>
    <x v="7"/>
    <x v="0"/>
    <x v="0"/>
  </r>
  <r>
    <x v="957"/>
    <x v="1"/>
    <x v="8"/>
    <x v="1"/>
    <x v="4"/>
  </r>
  <r>
    <x v="958"/>
    <x v="0"/>
    <x v="32"/>
    <x v="1"/>
    <x v="3"/>
  </r>
  <r>
    <x v="959"/>
    <x v="0"/>
    <x v="43"/>
    <x v="1"/>
    <x v="4"/>
  </r>
  <r>
    <x v="960"/>
    <x v="3"/>
    <x v="31"/>
    <x v="1"/>
    <x v="1"/>
  </r>
  <r>
    <x v="961"/>
    <x v="3"/>
    <x v="39"/>
    <x v="1"/>
    <x v="1"/>
  </r>
  <r>
    <x v="962"/>
    <x v="1"/>
    <x v="17"/>
    <x v="1"/>
    <x v="2"/>
  </r>
  <r>
    <x v="963"/>
    <x v="1"/>
    <x v="28"/>
    <x v="0"/>
    <x v="1"/>
  </r>
  <r>
    <x v="964"/>
    <x v="2"/>
    <x v="24"/>
    <x v="0"/>
    <x v="4"/>
  </r>
  <r>
    <x v="965"/>
    <x v="2"/>
    <x v="36"/>
    <x v="0"/>
    <x v="1"/>
  </r>
  <r>
    <x v="966"/>
    <x v="0"/>
    <x v="38"/>
    <x v="1"/>
    <x v="1"/>
  </r>
  <r>
    <x v="967"/>
    <x v="0"/>
    <x v="29"/>
    <x v="0"/>
    <x v="1"/>
  </r>
  <r>
    <x v="968"/>
    <x v="2"/>
    <x v="22"/>
    <x v="1"/>
    <x v="3"/>
  </r>
  <r>
    <x v="969"/>
    <x v="1"/>
    <x v="42"/>
    <x v="1"/>
    <x v="0"/>
  </r>
  <r>
    <x v="970"/>
    <x v="2"/>
    <x v="25"/>
    <x v="0"/>
    <x v="4"/>
  </r>
  <r>
    <x v="971"/>
    <x v="3"/>
    <x v="37"/>
    <x v="0"/>
    <x v="4"/>
  </r>
  <r>
    <x v="972"/>
    <x v="0"/>
    <x v="25"/>
    <x v="1"/>
    <x v="5"/>
  </r>
  <r>
    <x v="973"/>
    <x v="3"/>
    <x v="46"/>
    <x v="0"/>
    <x v="0"/>
  </r>
  <r>
    <x v="974"/>
    <x v="0"/>
    <x v="29"/>
    <x v="0"/>
    <x v="3"/>
  </r>
  <r>
    <x v="975"/>
    <x v="1"/>
    <x v="25"/>
    <x v="1"/>
    <x v="5"/>
  </r>
  <r>
    <x v="976"/>
    <x v="0"/>
    <x v="7"/>
    <x v="1"/>
    <x v="0"/>
  </r>
  <r>
    <x v="977"/>
    <x v="2"/>
    <x v="38"/>
    <x v="0"/>
    <x v="0"/>
  </r>
  <r>
    <x v="978"/>
    <x v="1"/>
    <x v="42"/>
    <x v="0"/>
    <x v="0"/>
  </r>
  <r>
    <x v="979"/>
    <x v="1"/>
    <x v="28"/>
    <x v="0"/>
    <x v="3"/>
  </r>
  <r>
    <x v="980"/>
    <x v="1"/>
    <x v="24"/>
    <x v="1"/>
    <x v="2"/>
  </r>
  <r>
    <x v="981"/>
    <x v="1"/>
    <x v="7"/>
    <x v="1"/>
    <x v="4"/>
  </r>
  <r>
    <x v="982"/>
    <x v="1"/>
    <x v="34"/>
    <x v="1"/>
    <x v="0"/>
  </r>
  <r>
    <x v="983"/>
    <x v="2"/>
    <x v="3"/>
    <x v="0"/>
    <x v="2"/>
  </r>
  <r>
    <x v="984"/>
    <x v="4"/>
    <x v="9"/>
    <x v="2"/>
    <x v="3"/>
  </r>
  <r>
    <x v="985"/>
    <x v="3"/>
    <x v="45"/>
    <x v="1"/>
    <x v="4"/>
  </r>
  <r>
    <x v="986"/>
    <x v="0"/>
    <x v="37"/>
    <x v="0"/>
    <x v="1"/>
  </r>
  <r>
    <x v="987"/>
    <x v="0"/>
    <x v="5"/>
    <x v="1"/>
    <x v="4"/>
  </r>
  <r>
    <x v="988"/>
    <x v="2"/>
    <x v="42"/>
    <x v="1"/>
    <x v="2"/>
  </r>
  <r>
    <x v="989"/>
    <x v="2"/>
    <x v="12"/>
    <x v="0"/>
    <x v="0"/>
  </r>
  <r>
    <x v="990"/>
    <x v="0"/>
    <x v="31"/>
    <x v="0"/>
    <x v="0"/>
  </r>
  <r>
    <x v="991"/>
    <x v="1"/>
    <x v="26"/>
    <x v="0"/>
    <x v="0"/>
  </r>
  <r>
    <x v="992"/>
    <x v="5"/>
    <x v="0"/>
    <x v="0"/>
    <x v="1"/>
  </r>
  <r>
    <x v="993"/>
    <x v="3"/>
    <x v="25"/>
    <x v="0"/>
    <x v="0"/>
  </r>
  <r>
    <x v="994"/>
    <x v="3"/>
    <x v="17"/>
    <x v="1"/>
    <x v="3"/>
  </r>
  <r>
    <x v="995"/>
    <x v="3"/>
    <x v="16"/>
    <x v="1"/>
    <x v="0"/>
  </r>
  <r>
    <x v="996"/>
    <x v="1"/>
    <x v="20"/>
    <x v="0"/>
    <x v="1"/>
  </r>
  <r>
    <x v="997"/>
    <x v="3"/>
    <x v="10"/>
    <x v="0"/>
    <x v="3"/>
  </r>
  <r>
    <x v="998"/>
    <x v="0"/>
    <x v="19"/>
    <x v="0"/>
    <x v="1"/>
  </r>
  <r>
    <x v="999"/>
    <x v="1"/>
    <x v="36"/>
    <x v="1"/>
    <x v="0"/>
  </r>
  <r>
    <x v="1000"/>
    <x v="3"/>
    <x v="10"/>
    <x v="0"/>
    <x v="2"/>
  </r>
  <r>
    <x v="1001"/>
    <x v="3"/>
    <x v="0"/>
    <x v="0"/>
    <x v="4"/>
  </r>
  <r>
    <x v="1002"/>
    <x v="2"/>
    <x v="24"/>
    <x v="0"/>
    <x v="0"/>
  </r>
  <r>
    <x v="1003"/>
    <x v="3"/>
    <x v="24"/>
    <x v="0"/>
    <x v="0"/>
  </r>
  <r>
    <x v="1004"/>
    <x v="2"/>
    <x v="31"/>
    <x v="0"/>
    <x v="1"/>
  </r>
  <r>
    <x v="1005"/>
    <x v="0"/>
    <x v="28"/>
    <x v="0"/>
    <x v="0"/>
  </r>
  <r>
    <x v="1006"/>
    <x v="3"/>
    <x v="3"/>
    <x v="1"/>
    <x v="4"/>
  </r>
  <r>
    <x v="1007"/>
    <x v="3"/>
    <x v="26"/>
    <x v="0"/>
    <x v="4"/>
  </r>
  <r>
    <x v="1008"/>
    <x v="1"/>
    <x v="4"/>
    <x v="0"/>
    <x v="2"/>
  </r>
  <r>
    <x v="1009"/>
    <x v="1"/>
    <x v="20"/>
    <x v="1"/>
    <x v="1"/>
  </r>
  <r>
    <x v="1010"/>
    <x v="1"/>
    <x v="21"/>
    <x v="1"/>
    <x v="3"/>
  </r>
  <r>
    <x v="1011"/>
    <x v="2"/>
    <x v="42"/>
    <x v="1"/>
    <x v="0"/>
  </r>
  <r>
    <x v="1012"/>
    <x v="0"/>
    <x v="27"/>
    <x v="1"/>
    <x v="4"/>
  </r>
  <r>
    <x v="1013"/>
    <x v="1"/>
    <x v="26"/>
    <x v="1"/>
    <x v="3"/>
  </r>
  <r>
    <x v="1014"/>
    <x v="3"/>
    <x v="7"/>
    <x v="1"/>
    <x v="2"/>
  </r>
  <r>
    <x v="1015"/>
    <x v="0"/>
    <x v="29"/>
    <x v="0"/>
    <x v="1"/>
  </r>
  <r>
    <x v="1016"/>
    <x v="0"/>
    <x v="1"/>
    <x v="1"/>
    <x v="4"/>
  </r>
  <r>
    <x v="1017"/>
    <x v="3"/>
    <x v="22"/>
    <x v="1"/>
    <x v="1"/>
  </r>
  <r>
    <x v="1018"/>
    <x v="1"/>
    <x v="21"/>
    <x v="0"/>
    <x v="0"/>
  </r>
  <r>
    <x v="1019"/>
    <x v="1"/>
    <x v="45"/>
    <x v="1"/>
    <x v="0"/>
  </r>
  <r>
    <x v="1020"/>
    <x v="4"/>
    <x v="9"/>
    <x v="2"/>
    <x v="4"/>
  </r>
  <r>
    <x v="1021"/>
    <x v="2"/>
    <x v="23"/>
    <x v="0"/>
    <x v="3"/>
  </r>
  <r>
    <x v="1022"/>
    <x v="1"/>
    <x v="30"/>
    <x v="0"/>
    <x v="0"/>
  </r>
  <r>
    <x v="1023"/>
    <x v="1"/>
    <x v="28"/>
    <x v="1"/>
    <x v="1"/>
  </r>
  <r>
    <x v="1024"/>
    <x v="1"/>
    <x v="11"/>
    <x v="1"/>
    <x v="0"/>
  </r>
  <r>
    <x v="1025"/>
    <x v="2"/>
    <x v="15"/>
    <x v="1"/>
    <x v="0"/>
  </r>
  <r>
    <x v="1026"/>
    <x v="0"/>
    <x v="42"/>
    <x v="1"/>
    <x v="0"/>
  </r>
  <r>
    <x v="1027"/>
    <x v="0"/>
    <x v="35"/>
    <x v="0"/>
    <x v="0"/>
  </r>
  <r>
    <x v="1028"/>
    <x v="3"/>
    <x v="6"/>
    <x v="0"/>
    <x v="3"/>
  </r>
  <r>
    <x v="1029"/>
    <x v="2"/>
    <x v="16"/>
    <x v="1"/>
    <x v="0"/>
  </r>
  <r>
    <x v="1030"/>
    <x v="3"/>
    <x v="33"/>
    <x v="0"/>
    <x v="0"/>
  </r>
  <r>
    <x v="1031"/>
    <x v="2"/>
    <x v="14"/>
    <x v="0"/>
    <x v="0"/>
  </r>
  <r>
    <x v="1032"/>
    <x v="0"/>
    <x v="21"/>
    <x v="1"/>
    <x v="0"/>
  </r>
  <r>
    <x v="1033"/>
    <x v="3"/>
    <x v="3"/>
    <x v="0"/>
    <x v="3"/>
  </r>
  <r>
    <x v="1034"/>
    <x v="1"/>
    <x v="41"/>
    <x v="1"/>
    <x v="3"/>
  </r>
  <r>
    <x v="1035"/>
    <x v="1"/>
    <x v="11"/>
    <x v="1"/>
    <x v="0"/>
  </r>
  <r>
    <x v="1036"/>
    <x v="1"/>
    <x v="22"/>
    <x v="1"/>
    <x v="4"/>
  </r>
  <r>
    <x v="1037"/>
    <x v="0"/>
    <x v="28"/>
    <x v="1"/>
    <x v="1"/>
  </r>
  <r>
    <x v="1038"/>
    <x v="3"/>
    <x v="0"/>
    <x v="0"/>
    <x v="4"/>
  </r>
  <r>
    <x v="1039"/>
    <x v="0"/>
    <x v="8"/>
    <x v="1"/>
    <x v="0"/>
  </r>
  <r>
    <x v="1040"/>
    <x v="1"/>
    <x v="31"/>
    <x v="1"/>
    <x v="4"/>
  </r>
  <r>
    <x v="1041"/>
    <x v="2"/>
    <x v="43"/>
    <x v="0"/>
    <x v="0"/>
  </r>
  <r>
    <x v="1042"/>
    <x v="1"/>
    <x v="41"/>
    <x v="1"/>
    <x v="4"/>
  </r>
  <r>
    <x v="1043"/>
    <x v="1"/>
    <x v="17"/>
    <x v="1"/>
    <x v="4"/>
  </r>
  <r>
    <x v="1044"/>
    <x v="0"/>
    <x v="13"/>
    <x v="1"/>
    <x v="2"/>
  </r>
  <r>
    <x v="1045"/>
    <x v="4"/>
    <x v="9"/>
    <x v="2"/>
    <x v="3"/>
  </r>
  <r>
    <x v="1046"/>
    <x v="0"/>
    <x v="18"/>
    <x v="0"/>
    <x v="3"/>
  </r>
  <r>
    <x v="1047"/>
    <x v="0"/>
    <x v="13"/>
    <x v="1"/>
    <x v="3"/>
  </r>
  <r>
    <x v="1048"/>
    <x v="2"/>
    <x v="22"/>
    <x v="0"/>
    <x v="0"/>
  </r>
  <r>
    <x v="1049"/>
    <x v="0"/>
    <x v="10"/>
    <x v="1"/>
    <x v="4"/>
  </r>
  <r>
    <x v="1050"/>
    <x v="1"/>
    <x v="41"/>
    <x v="1"/>
    <x v="1"/>
  </r>
  <r>
    <x v="1051"/>
    <x v="4"/>
    <x v="9"/>
    <x v="2"/>
    <x v="0"/>
  </r>
  <r>
    <x v="1052"/>
    <x v="2"/>
    <x v="36"/>
    <x v="0"/>
    <x v="1"/>
  </r>
  <r>
    <x v="1053"/>
    <x v="0"/>
    <x v="25"/>
    <x v="0"/>
    <x v="0"/>
  </r>
  <r>
    <x v="1054"/>
    <x v="1"/>
    <x v="34"/>
    <x v="1"/>
    <x v="3"/>
  </r>
  <r>
    <x v="1055"/>
    <x v="4"/>
    <x v="9"/>
    <x v="2"/>
    <x v="1"/>
  </r>
  <r>
    <x v="1056"/>
    <x v="0"/>
    <x v="35"/>
    <x v="1"/>
    <x v="2"/>
  </r>
  <r>
    <x v="1057"/>
    <x v="2"/>
    <x v="3"/>
    <x v="0"/>
    <x v="3"/>
  </r>
  <r>
    <x v="1058"/>
    <x v="3"/>
    <x v="22"/>
    <x v="1"/>
    <x v="4"/>
  </r>
  <r>
    <x v="1059"/>
    <x v="1"/>
    <x v="42"/>
    <x v="0"/>
    <x v="3"/>
  </r>
  <r>
    <x v="1060"/>
    <x v="0"/>
    <x v="28"/>
    <x v="0"/>
    <x v="3"/>
  </r>
  <r>
    <x v="1061"/>
    <x v="0"/>
    <x v="25"/>
    <x v="0"/>
    <x v="0"/>
  </r>
  <r>
    <x v="1062"/>
    <x v="0"/>
    <x v="21"/>
    <x v="1"/>
    <x v="0"/>
  </r>
  <r>
    <x v="1063"/>
    <x v="1"/>
    <x v="14"/>
    <x v="0"/>
    <x v="1"/>
  </r>
  <r>
    <x v="1064"/>
    <x v="2"/>
    <x v="36"/>
    <x v="0"/>
    <x v="3"/>
  </r>
  <r>
    <x v="1065"/>
    <x v="2"/>
    <x v="39"/>
    <x v="1"/>
    <x v="1"/>
  </r>
  <r>
    <x v="1066"/>
    <x v="1"/>
    <x v="36"/>
    <x v="1"/>
    <x v="3"/>
  </r>
  <r>
    <x v="1067"/>
    <x v="3"/>
    <x v="46"/>
    <x v="0"/>
    <x v="1"/>
  </r>
  <r>
    <x v="1068"/>
    <x v="3"/>
    <x v="21"/>
    <x v="0"/>
    <x v="4"/>
  </r>
  <r>
    <x v="1069"/>
    <x v="3"/>
    <x v="10"/>
    <x v="0"/>
    <x v="1"/>
  </r>
  <r>
    <x v="1070"/>
    <x v="0"/>
    <x v="18"/>
    <x v="1"/>
    <x v="0"/>
  </r>
  <r>
    <x v="1071"/>
    <x v="1"/>
    <x v="28"/>
    <x v="1"/>
    <x v="2"/>
  </r>
  <r>
    <x v="1072"/>
    <x v="1"/>
    <x v="36"/>
    <x v="1"/>
    <x v="3"/>
  </r>
  <r>
    <x v="1073"/>
    <x v="3"/>
    <x v="44"/>
    <x v="1"/>
    <x v="2"/>
  </r>
  <r>
    <x v="1074"/>
    <x v="3"/>
    <x v="25"/>
    <x v="0"/>
    <x v="4"/>
  </r>
  <r>
    <x v="1075"/>
    <x v="0"/>
    <x v="21"/>
    <x v="0"/>
    <x v="3"/>
  </r>
  <r>
    <x v="1076"/>
    <x v="0"/>
    <x v="26"/>
    <x v="0"/>
    <x v="3"/>
  </r>
  <r>
    <x v="1077"/>
    <x v="0"/>
    <x v="16"/>
    <x v="0"/>
    <x v="2"/>
  </r>
  <r>
    <x v="1078"/>
    <x v="0"/>
    <x v="38"/>
    <x v="1"/>
    <x v="4"/>
  </r>
  <r>
    <x v="1079"/>
    <x v="3"/>
    <x v="17"/>
    <x v="1"/>
    <x v="4"/>
  </r>
  <r>
    <x v="1080"/>
    <x v="0"/>
    <x v="25"/>
    <x v="1"/>
    <x v="4"/>
  </r>
  <r>
    <x v="1081"/>
    <x v="2"/>
    <x v="8"/>
    <x v="1"/>
    <x v="0"/>
  </r>
  <r>
    <x v="1082"/>
    <x v="0"/>
    <x v="21"/>
    <x v="0"/>
    <x v="2"/>
  </r>
  <r>
    <x v="1083"/>
    <x v="0"/>
    <x v="8"/>
    <x v="0"/>
    <x v="3"/>
  </r>
  <r>
    <x v="1084"/>
    <x v="0"/>
    <x v="27"/>
    <x v="1"/>
    <x v="5"/>
  </r>
  <r>
    <x v="1085"/>
    <x v="1"/>
    <x v="25"/>
    <x v="1"/>
    <x v="4"/>
  </r>
  <r>
    <x v="1086"/>
    <x v="2"/>
    <x v="28"/>
    <x v="1"/>
    <x v="0"/>
  </r>
  <r>
    <x v="1087"/>
    <x v="0"/>
    <x v="25"/>
    <x v="0"/>
    <x v="1"/>
  </r>
  <r>
    <x v="1088"/>
    <x v="2"/>
    <x v="42"/>
    <x v="0"/>
    <x v="3"/>
  </r>
  <r>
    <x v="1089"/>
    <x v="0"/>
    <x v="0"/>
    <x v="1"/>
    <x v="1"/>
  </r>
  <r>
    <x v="1090"/>
    <x v="3"/>
    <x v="8"/>
    <x v="0"/>
    <x v="2"/>
  </r>
  <r>
    <x v="1091"/>
    <x v="0"/>
    <x v="10"/>
    <x v="0"/>
    <x v="0"/>
  </r>
  <r>
    <x v="1092"/>
    <x v="1"/>
    <x v="42"/>
    <x v="0"/>
    <x v="1"/>
  </r>
  <r>
    <x v="1093"/>
    <x v="2"/>
    <x v="5"/>
    <x v="1"/>
    <x v="3"/>
  </r>
  <r>
    <x v="1094"/>
    <x v="0"/>
    <x v="34"/>
    <x v="1"/>
    <x v="3"/>
  </r>
  <r>
    <x v="1095"/>
    <x v="2"/>
    <x v="42"/>
    <x v="0"/>
    <x v="3"/>
  </r>
  <r>
    <x v="1096"/>
    <x v="3"/>
    <x v="40"/>
    <x v="1"/>
    <x v="0"/>
  </r>
  <r>
    <x v="1097"/>
    <x v="0"/>
    <x v="35"/>
    <x v="1"/>
    <x v="1"/>
  </r>
  <r>
    <x v="1098"/>
    <x v="0"/>
    <x v="10"/>
    <x v="0"/>
    <x v="1"/>
  </r>
  <r>
    <x v="1099"/>
    <x v="3"/>
    <x v="36"/>
    <x v="0"/>
    <x v="4"/>
  </r>
  <r>
    <x v="1100"/>
    <x v="2"/>
    <x v="40"/>
    <x v="1"/>
    <x v="0"/>
  </r>
  <r>
    <x v="1101"/>
    <x v="0"/>
    <x v="44"/>
    <x v="1"/>
    <x v="1"/>
  </r>
  <r>
    <x v="1102"/>
    <x v="3"/>
    <x v="23"/>
    <x v="0"/>
    <x v="1"/>
  </r>
  <r>
    <x v="1103"/>
    <x v="1"/>
    <x v="33"/>
    <x v="0"/>
    <x v="0"/>
  </r>
  <r>
    <x v="1104"/>
    <x v="3"/>
    <x v="39"/>
    <x v="1"/>
    <x v="3"/>
  </r>
  <r>
    <x v="1105"/>
    <x v="2"/>
    <x v="24"/>
    <x v="1"/>
    <x v="1"/>
  </r>
  <r>
    <x v="1106"/>
    <x v="1"/>
    <x v="32"/>
    <x v="1"/>
    <x v="0"/>
  </r>
  <r>
    <x v="1107"/>
    <x v="2"/>
    <x v="17"/>
    <x v="1"/>
    <x v="0"/>
  </r>
  <r>
    <x v="1108"/>
    <x v="1"/>
    <x v="43"/>
    <x v="1"/>
    <x v="0"/>
  </r>
  <r>
    <x v="1109"/>
    <x v="2"/>
    <x v="28"/>
    <x v="1"/>
    <x v="0"/>
  </r>
  <r>
    <x v="1110"/>
    <x v="1"/>
    <x v="8"/>
    <x v="1"/>
    <x v="0"/>
  </r>
  <r>
    <x v="1111"/>
    <x v="2"/>
    <x v="14"/>
    <x v="0"/>
    <x v="4"/>
  </r>
  <r>
    <x v="1112"/>
    <x v="0"/>
    <x v="18"/>
    <x v="1"/>
    <x v="0"/>
  </r>
  <r>
    <x v="1113"/>
    <x v="0"/>
    <x v="16"/>
    <x v="1"/>
    <x v="4"/>
  </r>
  <r>
    <x v="1114"/>
    <x v="2"/>
    <x v="5"/>
    <x v="0"/>
    <x v="3"/>
  </r>
  <r>
    <x v="1115"/>
    <x v="1"/>
    <x v="12"/>
    <x v="1"/>
    <x v="0"/>
  </r>
  <r>
    <x v="1116"/>
    <x v="0"/>
    <x v="1"/>
    <x v="1"/>
    <x v="1"/>
  </r>
  <r>
    <x v="1117"/>
    <x v="1"/>
    <x v="34"/>
    <x v="1"/>
    <x v="4"/>
  </r>
  <r>
    <x v="1118"/>
    <x v="0"/>
    <x v="41"/>
    <x v="1"/>
    <x v="0"/>
  </r>
  <r>
    <x v="1119"/>
    <x v="0"/>
    <x v="26"/>
    <x v="0"/>
    <x v="3"/>
  </r>
  <r>
    <x v="1120"/>
    <x v="2"/>
    <x v="30"/>
    <x v="0"/>
    <x v="4"/>
  </r>
  <r>
    <x v="1121"/>
    <x v="1"/>
    <x v="26"/>
    <x v="0"/>
    <x v="1"/>
  </r>
  <r>
    <x v="1122"/>
    <x v="1"/>
    <x v="31"/>
    <x v="0"/>
    <x v="1"/>
  </r>
  <r>
    <x v="1123"/>
    <x v="3"/>
    <x v="23"/>
    <x v="0"/>
    <x v="0"/>
  </r>
  <r>
    <x v="1124"/>
    <x v="1"/>
    <x v="42"/>
    <x v="0"/>
    <x v="1"/>
  </r>
  <r>
    <x v="1125"/>
    <x v="2"/>
    <x v="30"/>
    <x v="0"/>
    <x v="0"/>
  </r>
  <r>
    <x v="1126"/>
    <x v="0"/>
    <x v="11"/>
    <x v="1"/>
    <x v="1"/>
  </r>
  <r>
    <x v="1127"/>
    <x v="0"/>
    <x v="37"/>
    <x v="0"/>
    <x v="3"/>
  </r>
  <r>
    <x v="1128"/>
    <x v="0"/>
    <x v="27"/>
    <x v="0"/>
    <x v="3"/>
  </r>
  <r>
    <x v="1129"/>
    <x v="0"/>
    <x v="13"/>
    <x v="1"/>
    <x v="1"/>
  </r>
  <r>
    <x v="1130"/>
    <x v="3"/>
    <x v="29"/>
    <x v="0"/>
    <x v="4"/>
  </r>
  <r>
    <x v="1131"/>
    <x v="2"/>
    <x v="13"/>
    <x v="0"/>
    <x v="4"/>
  </r>
  <r>
    <x v="1132"/>
    <x v="3"/>
    <x v="7"/>
    <x v="1"/>
    <x v="1"/>
  </r>
  <r>
    <x v="1133"/>
    <x v="3"/>
    <x v="23"/>
    <x v="0"/>
    <x v="4"/>
  </r>
  <r>
    <x v="1134"/>
    <x v="2"/>
    <x v="27"/>
    <x v="1"/>
    <x v="1"/>
  </r>
  <r>
    <x v="1135"/>
    <x v="3"/>
    <x v="44"/>
    <x v="0"/>
    <x v="2"/>
  </r>
  <r>
    <x v="1136"/>
    <x v="2"/>
    <x v="40"/>
    <x v="0"/>
    <x v="2"/>
  </r>
  <r>
    <x v="1137"/>
    <x v="2"/>
    <x v="42"/>
    <x v="1"/>
    <x v="2"/>
  </r>
  <r>
    <x v="1138"/>
    <x v="1"/>
    <x v="44"/>
    <x v="0"/>
    <x v="1"/>
  </r>
  <r>
    <x v="1139"/>
    <x v="2"/>
    <x v="19"/>
    <x v="1"/>
    <x v="1"/>
  </r>
  <r>
    <x v="1140"/>
    <x v="2"/>
    <x v="16"/>
    <x v="1"/>
    <x v="1"/>
  </r>
  <r>
    <x v="1141"/>
    <x v="0"/>
    <x v="13"/>
    <x v="1"/>
    <x v="4"/>
  </r>
  <r>
    <x v="1142"/>
    <x v="3"/>
    <x v="4"/>
    <x v="1"/>
    <x v="2"/>
  </r>
  <r>
    <x v="1143"/>
    <x v="4"/>
    <x v="9"/>
    <x v="2"/>
    <x v="0"/>
  </r>
  <r>
    <x v="1144"/>
    <x v="2"/>
    <x v="37"/>
    <x v="0"/>
    <x v="2"/>
  </r>
  <r>
    <x v="1145"/>
    <x v="3"/>
    <x v="13"/>
    <x v="0"/>
    <x v="5"/>
  </r>
  <r>
    <x v="1146"/>
    <x v="0"/>
    <x v="25"/>
    <x v="1"/>
    <x v="0"/>
  </r>
  <r>
    <x v="1147"/>
    <x v="0"/>
    <x v="34"/>
    <x v="1"/>
    <x v="4"/>
  </r>
  <r>
    <x v="1148"/>
    <x v="0"/>
    <x v="26"/>
    <x v="0"/>
    <x v="1"/>
  </r>
  <r>
    <x v="1149"/>
    <x v="3"/>
    <x v="11"/>
    <x v="1"/>
    <x v="1"/>
  </r>
  <r>
    <x v="1150"/>
    <x v="3"/>
    <x v="13"/>
    <x v="0"/>
    <x v="0"/>
  </r>
  <r>
    <x v="1151"/>
    <x v="1"/>
    <x v="31"/>
    <x v="1"/>
    <x v="2"/>
  </r>
  <r>
    <x v="1152"/>
    <x v="3"/>
    <x v="19"/>
    <x v="0"/>
    <x v="0"/>
  </r>
  <r>
    <x v="1153"/>
    <x v="2"/>
    <x v="34"/>
    <x v="1"/>
    <x v="0"/>
  </r>
  <r>
    <x v="1154"/>
    <x v="2"/>
    <x v="19"/>
    <x v="1"/>
    <x v="2"/>
  </r>
  <r>
    <x v="1155"/>
    <x v="3"/>
    <x v="24"/>
    <x v="0"/>
    <x v="0"/>
  </r>
  <r>
    <x v="1156"/>
    <x v="2"/>
    <x v="39"/>
    <x v="1"/>
    <x v="0"/>
  </r>
  <r>
    <x v="1157"/>
    <x v="3"/>
    <x v="31"/>
    <x v="0"/>
    <x v="3"/>
  </r>
  <r>
    <x v="1158"/>
    <x v="2"/>
    <x v="26"/>
    <x v="1"/>
    <x v="4"/>
  </r>
  <r>
    <x v="1159"/>
    <x v="1"/>
    <x v="3"/>
    <x v="1"/>
    <x v="1"/>
  </r>
  <r>
    <x v="1160"/>
    <x v="1"/>
    <x v="1"/>
    <x v="1"/>
    <x v="3"/>
  </r>
  <r>
    <x v="1161"/>
    <x v="1"/>
    <x v="30"/>
    <x v="0"/>
    <x v="0"/>
  </r>
  <r>
    <x v="1162"/>
    <x v="2"/>
    <x v="22"/>
    <x v="0"/>
    <x v="2"/>
  </r>
  <r>
    <x v="1163"/>
    <x v="2"/>
    <x v="3"/>
    <x v="1"/>
    <x v="0"/>
  </r>
  <r>
    <x v="1164"/>
    <x v="1"/>
    <x v="22"/>
    <x v="0"/>
    <x v="5"/>
  </r>
  <r>
    <x v="1165"/>
    <x v="0"/>
    <x v="45"/>
    <x v="1"/>
    <x v="3"/>
  </r>
  <r>
    <x v="1166"/>
    <x v="0"/>
    <x v="10"/>
    <x v="0"/>
    <x v="0"/>
  </r>
  <r>
    <x v="1167"/>
    <x v="2"/>
    <x v="15"/>
    <x v="1"/>
    <x v="4"/>
  </r>
  <r>
    <x v="1168"/>
    <x v="3"/>
    <x v="15"/>
    <x v="1"/>
    <x v="1"/>
  </r>
  <r>
    <x v="1169"/>
    <x v="2"/>
    <x v="43"/>
    <x v="1"/>
    <x v="0"/>
  </r>
  <r>
    <x v="1170"/>
    <x v="3"/>
    <x v="14"/>
    <x v="0"/>
    <x v="2"/>
  </r>
  <r>
    <x v="1171"/>
    <x v="0"/>
    <x v="13"/>
    <x v="1"/>
    <x v="1"/>
  </r>
  <r>
    <x v="1172"/>
    <x v="1"/>
    <x v="28"/>
    <x v="1"/>
    <x v="3"/>
  </r>
  <r>
    <x v="1173"/>
    <x v="2"/>
    <x v="26"/>
    <x v="1"/>
    <x v="3"/>
  </r>
  <r>
    <x v="1174"/>
    <x v="2"/>
    <x v="5"/>
    <x v="0"/>
    <x v="1"/>
  </r>
  <r>
    <x v="1175"/>
    <x v="1"/>
    <x v="28"/>
    <x v="1"/>
    <x v="2"/>
  </r>
  <r>
    <x v="1176"/>
    <x v="3"/>
    <x v="17"/>
    <x v="1"/>
    <x v="3"/>
  </r>
  <r>
    <x v="1177"/>
    <x v="1"/>
    <x v="42"/>
    <x v="0"/>
    <x v="2"/>
  </r>
  <r>
    <x v="1178"/>
    <x v="1"/>
    <x v="20"/>
    <x v="1"/>
    <x v="5"/>
  </r>
  <r>
    <x v="1179"/>
    <x v="1"/>
    <x v="32"/>
    <x v="1"/>
    <x v="0"/>
  </r>
  <r>
    <x v="1180"/>
    <x v="0"/>
    <x v="14"/>
    <x v="0"/>
    <x v="3"/>
  </r>
  <r>
    <x v="1181"/>
    <x v="0"/>
    <x v="2"/>
    <x v="1"/>
    <x v="0"/>
  </r>
  <r>
    <x v="1182"/>
    <x v="1"/>
    <x v="17"/>
    <x v="1"/>
    <x v="4"/>
  </r>
  <r>
    <x v="1183"/>
    <x v="0"/>
    <x v="31"/>
    <x v="1"/>
    <x v="1"/>
  </r>
  <r>
    <x v="1184"/>
    <x v="1"/>
    <x v="28"/>
    <x v="1"/>
    <x v="2"/>
  </r>
  <r>
    <x v="1185"/>
    <x v="3"/>
    <x v="8"/>
    <x v="0"/>
    <x v="1"/>
  </r>
  <r>
    <x v="1186"/>
    <x v="3"/>
    <x v="3"/>
    <x v="1"/>
    <x v="0"/>
  </r>
  <r>
    <x v="1187"/>
    <x v="1"/>
    <x v="10"/>
    <x v="1"/>
    <x v="4"/>
  </r>
  <r>
    <x v="1188"/>
    <x v="1"/>
    <x v="21"/>
    <x v="1"/>
    <x v="1"/>
  </r>
  <r>
    <x v="1189"/>
    <x v="0"/>
    <x v="31"/>
    <x v="1"/>
    <x v="1"/>
  </r>
  <r>
    <x v="1190"/>
    <x v="2"/>
    <x v="12"/>
    <x v="0"/>
    <x v="1"/>
  </r>
  <r>
    <x v="1191"/>
    <x v="2"/>
    <x v="36"/>
    <x v="1"/>
    <x v="2"/>
  </r>
  <r>
    <x v="1192"/>
    <x v="0"/>
    <x v="5"/>
    <x v="1"/>
    <x v="4"/>
  </r>
  <r>
    <x v="1193"/>
    <x v="2"/>
    <x v="40"/>
    <x v="1"/>
    <x v="4"/>
  </r>
  <r>
    <x v="1194"/>
    <x v="3"/>
    <x v="12"/>
    <x v="0"/>
    <x v="1"/>
  </r>
  <r>
    <x v="1195"/>
    <x v="4"/>
    <x v="9"/>
    <x v="2"/>
    <x v="2"/>
  </r>
  <r>
    <x v="1196"/>
    <x v="1"/>
    <x v="42"/>
    <x v="0"/>
    <x v="3"/>
  </r>
  <r>
    <x v="1197"/>
    <x v="3"/>
    <x v="11"/>
    <x v="1"/>
    <x v="3"/>
  </r>
  <r>
    <x v="1198"/>
    <x v="2"/>
    <x v="32"/>
    <x v="0"/>
    <x v="4"/>
  </r>
  <r>
    <x v="1199"/>
    <x v="0"/>
    <x v="10"/>
    <x v="1"/>
    <x v="2"/>
  </r>
  <r>
    <x v="1200"/>
    <x v="3"/>
    <x v="24"/>
    <x v="1"/>
    <x v="2"/>
  </r>
  <r>
    <x v="1201"/>
    <x v="0"/>
    <x v="31"/>
    <x v="0"/>
    <x v="0"/>
  </r>
  <r>
    <x v="1202"/>
    <x v="0"/>
    <x v="18"/>
    <x v="0"/>
    <x v="2"/>
  </r>
  <r>
    <x v="1203"/>
    <x v="3"/>
    <x v="41"/>
    <x v="1"/>
    <x v="1"/>
  </r>
  <r>
    <x v="1204"/>
    <x v="3"/>
    <x v="23"/>
    <x v="1"/>
    <x v="3"/>
  </r>
  <r>
    <x v="1205"/>
    <x v="1"/>
    <x v="47"/>
    <x v="1"/>
    <x v="1"/>
  </r>
  <r>
    <x v="1206"/>
    <x v="0"/>
    <x v="16"/>
    <x v="1"/>
    <x v="3"/>
  </r>
  <r>
    <x v="1207"/>
    <x v="2"/>
    <x v="39"/>
    <x v="1"/>
    <x v="2"/>
  </r>
  <r>
    <x v="1208"/>
    <x v="0"/>
    <x v="42"/>
    <x v="1"/>
    <x v="1"/>
  </r>
  <r>
    <x v="1209"/>
    <x v="1"/>
    <x v="6"/>
    <x v="0"/>
    <x v="3"/>
  </r>
  <r>
    <x v="1210"/>
    <x v="1"/>
    <x v="11"/>
    <x v="1"/>
    <x v="4"/>
  </r>
  <r>
    <x v="1211"/>
    <x v="1"/>
    <x v="2"/>
    <x v="1"/>
    <x v="3"/>
  </r>
  <r>
    <x v="1212"/>
    <x v="0"/>
    <x v="10"/>
    <x v="0"/>
    <x v="0"/>
  </r>
  <r>
    <x v="1213"/>
    <x v="0"/>
    <x v="7"/>
    <x v="1"/>
    <x v="0"/>
  </r>
  <r>
    <x v="1214"/>
    <x v="1"/>
    <x v="34"/>
    <x v="1"/>
    <x v="0"/>
  </r>
  <r>
    <x v="1215"/>
    <x v="1"/>
    <x v="3"/>
    <x v="1"/>
    <x v="4"/>
  </r>
  <r>
    <x v="1216"/>
    <x v="1"/>
    <x v="20"/>
    <x v="1"/>
    <x v="1"/>
  </r>
  <r>
    <x v="1217"/>
    <x v="2"/>
    <x v="5"/>
    <x v="1"/>
    <x v="4"/>
  </r>
  <r>
    <x v="1218"/>
    <x v="0"/>
    <x v="2"/>
    <x v="1"/>
    <x v="0"/>
  </r>
  <r>
    <x v="1219"/>
    <x v="3"/>
    <x v="42"/>
    <x v="1"/>
    <x v="3"/>
  </r>
  <r>
    <x v="1220"/>
    <x v="1"/>
    <x v="17"/>
    <x v="0"/>
    <x v="3"/>
  </r>
  <r>
    <x v="1221"/>
    <x v="3"/>
    <x v="20"/>
    <x v="0"/>
    <x v="0"/>
  </r>
  <r>
    <x v="1222"/>
    <x v="3"/>
    <x v="20"/>
    <x v="0"/>
    <x v="4"/>
  </r>
  <r>
    <x v="1223"/>
    <x v="1"/>
    <x v="7"/>
    <x v="1"/>
    <x v="3"/>
  </r>
  <r>
    <x v="1224"/>
    <x v="3"/>
    <x v="29"/>
    <x v="0"/>
    <x v="1"/>
  </r>
  <r>
    <x v="1225"/>
    <x v="1"/>
    <x v="28"/>
    <x v="0"/>
    <x v="3"/>
  </r>
  <r>
    <x v="1226"/>
    <x v="1"/>
    <x v="42"/>
    <x v="1"/>
    <x v="0"/>
  </r>
  <r>
    <x v="1227"/>
    <x v="0"/>
    <x v="32"/>
    <x v="0"/>
    <x v="2"/>
  </r>
  <r>
    <x v="1228"/>
    <x v="3"/>
    <x v="31"/>
    <x v="1"/>
    <x v="4"/>
  </r>
  <r>
    <x v="1229"/>
    <x v="0"/>
    <x v="10"/>
    <x v="0"/>
    <x v="5"/>
  </r>
  <r>
    <x v="1230"/>
    <x v="5"/>
    <x v="16"/>
    <x v="0"/>
    <x v="3"/>
  </r>
  <r>
    <x v="1231"/>
    <x v="2"/>
    <x v="12"/>
    <x v="1"/>
    <x v="2"/>
  </r>
  <r>
    <x v="1232"/>
    <x v="0"/>
    <x v="28"/>
    <x v="1"/>
    <x v="3"/>
  </r>
  <r>
    <x v="1233"/>
    <x v="1"/>
    <x v="15"/>
    <x v="1"/>
    <x v="3"/>
  </r>
  <r>
    <x v="1234"/>
    <x v="3"/>
    <x v="39"/>
    <x v="1"/>
    <x v="1"/>
  </r>
  <r>
    <x v="1235"/>
    <x v="3"/>
    <x v="36"/>
    <x v="0"/>
    <x v="4"/>
  </r>
  <r>
    <x v="1236"/>
    <x v="1"/>
    <x v="3"/>
    <x v="1"/>
    <x v="3"/>
  </r>
  <r>
    <x v="1237"/>
    <x v="0"/>
    <x v="26"/>
    <x v="0"/>
    <x v="1"/>
  </r>
  <r>
    <x v="1238"/>
    <x v="0"/>
    <x v="14"/>
    <x v="0"/>
    <x v="2"/>
  </r>
  <r>
    <x v="1239"/>
    <x v="1"/>
    <x v="33"/>
    <x v="1"/>
    <x v="3"/>
  </r>
  <r>
    <x v="1240"/>
    <x v="3"/>
    <x v="17"/>
    <x v="1"/>
    <x v="3"/>
  </r>
  <r>
    <x v="1241"/>
    <x v="0"/>
    <x v="31"/>
    <x v="1"/>
    <x v="5"/>
  </r>
  <r>
    <x v="1242"/>
    <x v="1"/>
    <x v="34"/>
    <x v="1"/>
    <x v="2"/>
  </r>
  <r>
    <x v="1243"/>
    <x v="0"/>
    <x v="4"/>
    <x v="1"/>
    <x v="1"/>
  </r>
  <r>
    <x v="1244"/>
    <x v="0"/>
    <x v="8"/>
    <x v="0"/>
    <x v="0"/>
  </r>
  <r>
    <x v="1245"/>
    <x v="1"/>
    <x v="17"/>
    <x v="1"/>
    <x v="4"/>
  </r>
  <r>
    <x v="1246"/>
    <x v="3"/>
    <x v="6"/>
    <x v="0"/>
    <x v="1"/>
  </r>
  <r>
    <x v="1247"/>
    <x v="1"/>
    <x v="7"/>
    <x v="1"/>
    <x v="4"/>
  </r>
  <r>
    <x v="1248"/>
    <x v="1"/>
    <x v="10"/>
    <x v="1"/>
    <x v="0"/>
  </r>
  <r>
    <x v="1249"/>
    <x v="0"/>
    <x v="26"/>
    <x v="0"/>
    <x v="2"/>
  </r>
  <r>
    <x v="1250"/>
    <x v="0"/>
    <x v="43"/>
    <x v="1"/>
    <x v="2"/>
  </r>
  <r>
    <x v="1251"/>
    <x v="2"/>
    <x v="42"/>
    <x v="0"/>
    <x v="1"/>
  </r>
  <r>
    <x v="1252"/>
    <x v="1"/>
    <x v="42"/>
    <x v="0"/>
    <x v="3"/>
  </r>
  <r>
    <x v="1253"/>
    <x v="2"/>
    <x v="37"/>
    <x v="0"/>
    <x v="1"/>
  </r>
  <r>
    <x v="1254"/>
    <x v="1"/>
    <x v="1"/>
    <x v="1"/>
    <x v="4"/>
  </r>
  <r>
    <x v="1255"/>
    <x v="0"/>
    <x v="34"/>
    <x v="1"/>
    <x v="0"/>
  </r>
  <r>
    <x v="1256"/>
    <x v="3"/>
    <x v="30"/>
    <x v="0"/>
    <x v="2"/>
  </r>
  <r>
    <x v="1257"/>
    <x v="2"/>
    <x v="37"/>
    <x v="0"/>
    <x v="3"/>
  </r>
  <r>
    <x v="1258"/>
    <x v="2"/>
    <x v="36"/>
    <x v="0"/>
    <x v="1"/>
  </r>
  <r>
    <x v="1259"/>
    <x v="2"/>
    <x v="43"/>
    <x v="0"/>
    <x v="0"/>
  </r>
  <r>
    <x v="1260"/>
    <x v="3"/>
    <x v="25"/>
    <x v="0"/>
    <x v="3"/>
  </r>
  <r>
    <x v="1261"/>
    <x v="0"/>
    <x v="8"/>
    <x v="1"/>
    <x v="2"/>
  </r>
  <r>
    <x v="1262"/>
    <x v="1"/>
    <x v="36"/>
    <x v="1"/>
    <x v="2"/>
  </r>
  <r>
    <x v="1263"/>
    <x v="0"/>
    <x v="5"/>
    <x v="1"/>
    <x v="2"/>
  </r>
  <r>
    <x v="1264"/>
    <x v="3"/>
    <x v="37"/>
    <x v="0"/>
    <x v="3"/>
  </r>
  <r>
    <x v="1265"/>
    <x v="2"/>
    <x v="34"/>
    <x v="1"/>
    <x v="5"/>
  </r>
  <r>
    <x v="1266"/>
    <x v="3"/>
    <x v="3"/>
    <x v="1"/>
    <x v="2"/>
  </r>
  <r>
    <x v="1267"/>
    <x v="1"/>
    <x v="7"/>
    <x v="1"/>
    <x v="0"/>
  </r>
  <r>
    <x v="1268"/>
    <x v="0"/>
    <x v="13"/>
    <x v="0"/>
    <x v="0"/>
  </r>
  <r>
    <x v="1269"/>
    <x v="0"/>
    <x v="14"/>
    <x v="0"/>
    <x v="4"/>
  </r>
  <r>
    <x v="1270"/>
    <x v="1"/>
    <x v="12"/>
    <x v="1"/>
    <x v="4"/>
  </r>
  <r>
    <x v="1271"/>
    <x v="0"/>
    <x v="43"/>
    <x v="0"/>
    <x v="4"/>
  </r>
  <r>
    <x v="1272"/>
    <x v="0"/>
    <x v="25"/>
    <x v="1"/>
    <x v="3"/>
  </r>
  <r>
    <x v="1273"/>
    <x v="3"/>
    <x v="10"/>
    <x v="1"/>
    <x v="1"/>
  </r>
  <r>
    <x v="1274"/>
    <x v="3"/>
    <x v="26"/>
    <x v="0"/>
    <x v="2"/>
  </r>
  <r>
    <x v="1275"/>
    <x v="3"/>
    <x v="21"/>
    <x v="1"/>
    <x v="0"/>
  </r>
  <r>
    <x v="1276"/>
    <x v="1"/>
    <x v="21"/>
    <x v="0"/>
    <x v="2"/>
  </r>
  <r>
    <x v="1277"/>
    <x v="3"/>
    <x v="30"/>
    <x v="1"/>
    <x v="1"/>
  </r>
  <r>
    <x v="1278"/>
    <x v="3"/>
    <x v="18"/>
    <x v="1"/>
    <x v="3"/>
  </r>
  <r>
    <x v="1279"/>
    <x v="4"/>
    <x v="9"/>
    <x v="2"/>
    <x v="1"/>
  </r>
  <r>
    <x v="1280"/>
    <x v="3"/>
    <x v="8"/>
    <x v="0"/>
    <x v="2"/>
  </r>
  <r>
    <x v="1281"/>
    <x v="1"/>
    <x v="30"/>
    <x v="1"/>
    <x v="2"/>
  </r>
  <r>
    <x v="1282"/>
    <x v="3"/>
    <x v="10"/>
    <x v="1"/>
    <x v="3"/>
  </r>
  <r>
    <x v="1283"/>
    <x v="1"/>
    <x v="12"/>
    <x v="0"/>
    <x v="2"/>
  </r>
  <r>
    <x v="1284"/>
    <x v="3"/>
    <x v="41"/>
    <x v="1"/>
    <x v="0"/>
  </r>
  <r>
    <x v="1285"/>
    <x v="3"/>
    <x v="8"/>
    <x v="0"/>
    <x v="4"/>
  </r>
  <r>
    <x v="1286"/>
    <x v="1"/>
    <x v="1"/>
    <x v="1"/>
    <x v="1"/>
  </r>
  <r>
    <x v="1287"/>
    <x v="3"/>
    <x v="40"/>
    <x v="1"/>
    <x v="2"/>
  </r>
  <r>
    <x v="1288"/>
    <x v="0"/>
    <x v="31"/>
    <x v="1"/>
    <x v="3"/>
  </r>
  <r>
    <x v="1289"/>
    <x v="1"/>
    <x v="0"/>
    <x v="0"/>
    <x v="4"/>
  </r>
  <r>
    <x v="1290"/>
    <x v="1"/>
    <x v="32"/>
    <x v="1"/>
    <x v="4"/>
  </r>
  <r>
    <x v="1291"/>
    <x v="3"/>
    <x v="14"/>
    <x v="0"/>
    <x v="0"/>
  </r>
  <r>
    <x v="1292"/>
    <x v="2"/>
    <x v="24"/>
    <x v="1"/>
    <x v="1"/>
  </r>
  <r>
    <x v="1293"/>
    <x v="0"/>
    <x v="15"/>
    <x v="0"/>
    <x v="0"/>
  </r>
  <r>
    <x v="1294"/>
    <x v="1"/>
    <x v="24"/>
    <x v="1"/>
    <x v="2"/>
  </r>
  <r>
    <x v="1295"/>
    <x v="1"/>
    <x v="40"/>
    <x v="0"/>
    <x v="2"/>
  </r>
  <r>
    <x v="1296"/>
    <x v="3"/>
    <x v="3"/>
    <x v="0"/>
    <x v="3"/>
  </r>
  <r>
    <x v="1297"/>
    <x v="1"/>
    <x v="46"/>
    <x v="0"/>
    <x v="0"/>
  </r>
  <r>
    <x v="1298"/>
    <x v="2"/>
    <x v="4"/>
    <x v="1"/>
    <x v="1"/>
  </r>
  <r>
    <x v="1299"/>
    <x v="0"/>
    <x v="44"/>
    <x v="1"/>
    <x v="0"/>
  </r>
  <r>
    <x v="1300"/>
    <x v="1"/>
    <x v="2"/>
    <x v="1"/>
    <x v="4"/>
  </r>
  <r>
    <x v="1301"/>
    <x v="3"/>
    <x v="10"/>
    <x v="0"/>
    <x v="1"/>
  </r>
  <r>
    <x v="1302"/>
    <x v="2"/>
    <x v="26"/>
    <x v="1"/>
    <x v="0"/>
  </r>
  <r>
    <x v="1303"/>
    <x v="2"/>
    <x v="7"/>
    <x v="0"/>
    <x v="0"/>
  </r>
  <r>
    <x v="1304"/>
    <x v="2"/>
    <x v="44"/>
    <x v="0"/>
    <x v="1"/>
  </r>
  <r>
    <x v="1305"/>
    <x v="3"/>
    <x v="30"/>
    <x v="1"/>
    <x v="2"/>
  </r>
  <r>
    <x v="1306"/>
    <x v="3"/>
    <x v="40"/>
    <x v="0"/>
    <x v="0"/>
  </r>
  <r>
    <x v="1307"/>
    <x v="1"/>
    <x v="24"/>
    <x v="1"/>
    <x v="0"/>
  </r>
  <r>
    <x v="1308"/>
    <x v="3"/>
    <x v="11"/>
    <x v="0"/>
    <x v="1"/>
  </r>
  <r>
    <x v="1309"/>
    <x v="1"/>
    <x v="41"/>
    <x v="1"/>
    <x v="4"/>
  </r>
  <r>
    <x v="1310"/>
    <x v="3"/>
    <x v="44"/>
    <x v="1"/>
    <x v="0"/>
  </r>
  <r>
    <x v="1311"/>
    <x v="3"/>
    <x v="13"/>
    <x v="0"/>
    <x v="1"/>
  </r>
  <r>
    <x v="1312"/>
    <x v="1"/>
    <x v="3"/>
    <x v="1"/>
    <x v="0"/>
  </r>
  <r>
    <x v="1313"/>
    <x v="0"/>
    <x v="32"/>
    <x v="1"/>
    <x v="1"/>
  </r>
  <r>
    <x v="1314"/>
    <x v="0"/>
    <x v="20"/>
    <x v="1"/>
    <x v="1"/>
  </r>
  <r>
    <x v="1315"/>
    <x v="0"/>
    <x v="0"/>
    <x v="0"/>
    <x v="2"/>
  </r>
  <r>
    <x v="1316"/>
    <x v="3"/>
    <x v="28"/>
    <x v="1"/>
    <x v="0"/>
  </r>
  <r>
    <x v="1317"/>
    <x v="1"/>
    <x v="10"/>
    <x v="1"/>
    <x v="2"/>
  </r>
  <r>
    <x v="1318"/>
    <x v="1"/>
    <x v="47"/>
    <x v="0"/>
    <x v="1"/>
  </r>
  <r>
    <x v="1319"/>
    <x v="1"/>
    <x v="32"/>
    <x v="1"/>
    <x v="1"/>
  </r>
  <r>
    <x v="1320"/>
    <x v="0"/>
    <x v="29"/>
    <x v="0"/>
    <x v="0"/>
  </r>
  <r>
    <x v="1321"/>
    <x v="3"/>
    <x v="45"/>
    <x v="1"/>
    <x v="1"/>
  </r>
  <r>
    <x v="1322"/>
    <x v="2"/>
    <x v="7"/>
    <x v="0"/>
    <x v="2"/>
  </r>
  <r>
    <x v="1323"/>
    <x v="2"/>
    <x v="42"/>
    <x v="0"/>
    <x v="3"/>
  </r>
  <r>
    <x v="1324"/>
    <x v="1"/>
    <x v="30"/>
    <x v="1"/>
    <x v="1"/>
  </r>
  <r>
    <x v="1325"/>
    <x v="3"/>
    <x v="46"/>
    <x v="0"/>
    <x v="3"/>
  </r>
  <r>
    <x v="1326"/>
    <x v="1"/>
    <x v="10"/>
    <x v="1"/>
    <x v="0"/>
  </r>
  <r>
    <x v="1327"/>
    <x v="1"/>
    <x v="28"/>
    <x v="0"/>
    <x v="3"/>
  </r>
  <r>
    <x v="1328"/>
    <x v="2"/>
    <x v="21"/>
    <x v="1"/>
    <x v="4"/>
  </r>
  <r>
    <x v="1329"/>
    <x v="1"/>
    <x v="38"/>
    <x v="0"/>
    <x v="1"/>
  </r>
  <r>
    <x v="1330"/>
    <x v="3"/>
    <x v="31"/>
    <x v="0"/>
    <x v="1"/>
  </r>
  <r>
    <x v="1331"/>
    <x v="2"/>
    <x v="42"/>
    <x v="1"/>
    <x v="3"/>
  </r>
  <r>
    <x v="1332"/>
    <x v="1"/>
    <x v="16"/>
    <x v="1"/>
    <x v="1"/>
  </r>
  <r>
    <x v="1333"/>
    <x v="0"/>
    <x v="29"/>
    <x v="0"/>
    <x v="0"/>
  </r>
  <r>
    <x v="1334"/>
    <x v="0"/>
    <x v="36"/>
    <x v="1"/>
    <x v="0"/>
  </r>
  <r>
    <x v="1335"/>
    <x v="2"/>
    <x v="8"/>
    <x v="1"/>
    <x v="2"/>
  </r>
  <r>
    <x v="1336"/>
    <x v="1"/>
    <x v="21"/>
    <x v="0"/>
    <x v="4"/>
  </r>
  <r>
    <x v="1337"/>
    <x v="3"/>
    <x v="10"/>
    <x v="0"/>
    <x v="4"/>
  </r>
  <r>
    <x v="1338"/>
    <x v="2"/>
    <x v="31"/>
    <x v="1"/>
    <x v="1"/>
  </r>
  <r>
    <x v="1339"/>
    <x v="3"/>
    <x v="39"/>
    <x v="1"/>
    <x v="3"/>
  </r>
  <r>
    <x v="1340"/>
    <x v="2"/>
    <x v="20"/>
    <x v="0"/>
    <x v="0"/>
  </r>
  <r>
    <x v="1341"/>
    <x v="2"/>
    <x v="12"/>
    <x v="0"/>
    <x v="1"/>
  </r>
  <r>
    <x v="1342"/>
    <x v="1"/>
    <x v="42"/>
    <x v="0"/>
    <x v="0"/>
  </r>
  <r>
    <x v="1343"/>
    <x v="0"/>
    <x v="25"/>
    <x v="1"/>
    <x v="0"/>
  </r>
  <r>
    <x v="1344"/>
    <x v="1"/>
    <x v="42"/>
    <x v="0"/>
    <x v="0"/>
  </r>
  <r>
    <x v="1345"/>
    <x v="1"/>
    <x v="10"/>
    <x v="0"/>
    <x v="2"/>
  </r>
  <r>
    <x v="1346"/>
    <x v="2"/>
    <x v="24"/>
    <x v="1"/>
    <x v="1"/>
  </r>
  <r>
    <x v="1347"/>
    <x v="2"/>
    <x v="31"/>
    <x v="1"/>
    <x v="0"/>
  </r>
  <r>
    <x v="1348"/>
    <x v="2"/>
    <x v="27"/>
    <x v="1"/>
    <x v="0"/>
  </r>
  <r>
    <x v="1349"/>
    <x v="2"/>
    <x v="10"/>
    <x v="1"/>
    <x v="1"/>
  </r>
  <r>
    <x v="1350"/>
    <x v="2"/>
    <x v="45"/>
    <x v="0"/>
    <x v="4"/>
  </r>
  <r>
    <x v="1351"/>
    <x v="1"/>
    <x v="21"/>
    <x v="0"/>
    <x v="3"/>
  </r>
  <r>
    <x v="1352"/>
    <x v="2"/>
    <x v="5"/>
    <x v="0"/>
    <x v="4"/>
  </r>
  <r>
    <x v="1353"/>
    <x v="1"/>
    <x v="47"/>
    <x v="1"/>
    <x v="2"/>
  </r>
  <r>
    <x v="1354"/>
    <x v="3"/>
    <x v="30"/>
    <x v="1"/>
    <x v="0"/>
  </r>
  <r>
    <x v="1355"/>
    <x v="3"/>
    <x v="35"/>
    <x v="1"/>
    <x v="2"/>
  </r>
  <r>
    <x v="1356"/>
    <x v="2"/>
    <x v="8"/>
    <x v="0"/>
    <x v="3"/>
  </r>
  <r>
    <x v="1357"/>
    <x v="0"/>
    <x v="36"/>
    <x v="0"/>
    <x v="1"/>
  </r>
  <r>
    <x v="1358"/>
    <x v="2"/>
    <x v="44"/>
    <x v="0"/>
    <x v="3"/>
  </r>
  <r>
    <x v="1359"/>
    <x v="1"/>
    <x v="0"/>
    <x v="1"/>
    <x v="3"/>
  </r>
  <r>
    <x v="1360"/>
    <x v="1"/>
    <x v="0"/>
    <x v="1"/>
    <x v="0"/>
  </r>
  <r>
    <x v="1361"/>
    <x v="2"/>
    <x v="22"/>
    <x v="0"/>
    <x v="3"/>
  </r>
  <r>
    <x v="1362"/>
    <x v="3"/>
    <x v="46"/>
    <x v="0"/>
    <x v="0"/>
  </r>
  <r>
    <x v="1363"/>
    <x v="0"/>
    <x v="38"/>
    <x v="1"/>
    <x v="2"/>
  </r>
  <r>
    <x v="1364"/>
    <x v="2"/>
    <x v="16"/>
    <x v="1"/>
    <x v="3"/>
  </r>
  <r>
    <x v="1365"/>
    <x v="1"/>
    <x v="16"/>
    <x v="1"/>
    <x v="3"/>
  </r>
  <r>
    <x v="1366"/>
    <x v="2"/>
    <x v="16"/>
    <x v="1"/>
    <x v="3"/>
  </r>
  <r>
    <x v="1367"/>
    <x v="1"/>
    <x v="37"/>
    <x v="1"/>
    <x v="4"/>
  </r>
  <r>
    <x v="1368"/>
    <x v="0"/>
    <x v="43"/>
    <x v="1"/>
    <x v="2"/>
  </r>
  <r>
    <x v="1369"/>
    <x v="3"/>
    <x v="6"/>
    <x v="0"/>
    <x v="3"/>
  </r>
  <r>
    <x v="1370"/>
    <x v="1"/>
    <x v="41"/>
    <x v="1"/>
    <x v="4"/>
  </r>
  <r>
    <x v="1371"/>
    <x v="2"/>
    <x v="26"/>
    <x v="1"/>
    <x v="3"/>
  </r>
  <r>
    <x v="1372"/>
    <x v="2"/>
    <x v="11"/>
    <x v="1"/>
    <x v="4"/>
  </r>
  <r>
    <x v="1373"/>
    <x v="2"/>
    <x v="11"/>
    <x v="0"/>
    <x v="4"/>
  </r>
  <r>
    <x v="1374"/>
    <x v="1"/>
    <x v="1"/>
    <x v="1"/>
    <x v="1"/>
  </r>
  <r>
    <x v="1375"/>
    <x v="1"/>
    <x v="47"/>
    <x v="1"/>
    <x v="3"/>
  </r>
  <r>
    <x v="1376"/>
    <x v="3"/>
    <x v="7"/>
    <x v="1"/>
    <x v="1"/>
  </r>
  <r>
    <x v="1377"/>
    <x v="0"/>
    <x v="5"/>
    <x v="1"/>
    <x v="1"/>
  </r>
  <r>
    <x v="1378"/>
    <x v="0"/>
    <x v="19"/>
    <x v="0"/>
    <x v="2"/>
  </r>
  <r>
    <x v="1379"/>
    <x v="3"/>
    <x v="41"/>
    <x v="1"/>
    <x v="1"/>
  </r>
  <r>
    <x v="1380"/>
    <x v="1"/>
    <x v="3"/>
    <x v="1"/>
    <x v="0"/>
  </r>
  <r>
    <x v="1381"/>
    <x v="0"/>
    <x v="2"/>
    <x v="1"/>
    <x v="4"/>
  </r>
  <r>
    <x v="1382"/>
    <x v="1"/>
    <x v="22"/>
    <x v="1"/>
    <x v="3"/>
  </r>
  <r>
    <x v="1383"/>
    <x v="3"/>
    <x v="19"/>
    <x v="0"/>
    <x v="0"/>
  </r>
  <r>
    <x v="1384"/>
    <x v="2"/>
    <x v="7"/>
    <x v="0"/>
    <x v="2"/>
  </r>
  <r>
    <x v="1385"/>
    <x v="0"/>
    <x v="1"/>
    <x v="1"/>
    <x v="1"/>
  </r>
  <r>
    <x v="1386"/>
    <x v="1"/>
    <x v="17"/>
    <x v="1"/>
    <x v="0"/>
  </r>
  <r>
    <x v="1387"/>
    <x v="3"/>
    <x v="13"/>
    <x v="0"/>
    <x v="1"/>
  </r>
  <r>
    <x v="1388"/>
    <x v="2"/>
    <x v="30"/>
    <x v="0"/>
    <x v="1"/>
  </r>
  <r>
    <x v="1389"/>
    <x v="2"/>
    <x v="7"/>
    <x v="0"/>
    <x v="1"/>
  </r>
  <r>
    <x v="1390"/>
    <x v="3"/>
    <x v="25"/>
    <x v="0"/>
    <x v="2"/>
  </r>
  <r>
    <x v="1391"/>
    <x v="1"/>
    <x v="26"/>
    <x v="0"/>
    <x v="2"/>
  </r>
  <r>
    <x v="1392"/>
    <x v="1"/>
    <x v="20"/>
    <x v="1"/>
    <x v="2"/>
  </r>
  <r>
    <x v="1393"/>
    <x v="3"/>
    <x v="24"/>
    <x v="1"/>
    <x v="4"/>
  </r>
  <r>
    <x v="1394"/>
    <x v="1"/>
    <x v="24"/>
    <x v="1"/>
    <x v="1"/>
  </r>
  <r>
    <x v="1395"/>
    <x v="1"/>
    <x v="22"/>
    <x v="1"/>
    <x v="1"/>
  </r>
  <r>
    <x v="1396"/>
    <x v="1"/>
    <x v="5"/>
    <x v="1"/>
    <x v="2"/>
  </r>
  <r>
    <x v="1397"/>
    <x v="2"/>
    <x v="40"/>
    <x v="0"/>
    <x v="0"/>
  </r>
  <r>
    <x v="1398"/>
    <x v="3"/>
    <x v="17"/>
    <x v="1"/>
    <x v="0"/>
  </r>
  <r>
    <x v="1399"/>
    <x v="3"/>
    <x v="23"/>
    <x v="0"/>
    <x v="3"/>
  </r>
  <r>
    <x v="1400"/>
    <x v="2"/>
    <x v="11"/>
    <x v="1"/>
    <x v="3"/>
  </r>
  <r>
    <x v="1401"/>
    <x v="0"/>
    <x v="45"/>
    <x v="1"/>
    <x v="0"/>
  </r>
  <r>
    <x v="1402"/>
    <x v="3"/>
    <x v="8"/>
    <x v="0"/>
    <x v="4"/>
  </r>
  <r>
    <x v="1403"/>
    <x v="1"/>
    <x v="30"/>
    <x v="0"/>
    <x v="0"/>
  </r>
  <r>
    <x v="1404"/>
    <x v="1"/>
    <x v="45"/>
    <x v="0"/>
    <x v="0"/>
  </r>
  <r>
    <x v="1405"/>
    <x v="2"/>
    <x v="8"/>
    <x v="1"/>
    <x v="0"/>
  </r>
  <r>
    <x v="1406"/>
    <x v="3"/>
    <x v="28"/>
    <x v="0"/>
    <x v="0"/>
  </r>
  <r>
    <x v="1407"/>
    <x v="3"/>
    <x v="21"/>
    <x v="1"/>
    <x v="3"/>
  </r>
  <r>
    <x v="1408"/>
    <x v="1"/>
    <x v="19"/>
    <x v="1"/>
    <x v="1"/>
  </r>
  <r>
    <x v="1409"/>
    <x v="2"/>
    <x v="3"/>
    <x v="0"/>
    <x v="4"/>
  </r>
  <r>
    <x v="1410"/>
    <x v="3"/>
    <x v="17"/>
    <x v="1"/>
    <x v="3"/>
  </r>
  <r>
    <x v="1411"/>
    <x v="2"/>
    <x v="33"/>
    <x v="0"/>
    <x v="3"/>
  </r>
  <r>
    <x v="1412"/>
    <x v="3"/>
    <x v="10"/>
    <x v="0"/>
    <x v="2"/>
  </r>
  <r>
    <x v="1413"/>
    <x v="2"/>
    <x v="8"/>
    <x v="1"/>
    <x v="4"/>
  </r>
  <r>
    <x v="1414"/>
    <x v="1"/>
    <x v="10"/>
    <x v="1"/>
    <x v="0"/>
  </r>
  <r>
    <x v="1415"/>
    <x v="1"/>
    <x v="28"/>
    <x v="0"/>
    <x v="2"/>
  </r>
  <r>
    <x v="1416"/>
    <x v="1"/>
    <x v="34"/>
    <x v="1"/>
    <x v="2"/>
  </r>
  <r>
    <x v="1417"/>
    <x v="1"/>
    <x v="20"/>
    <x v="0"/>
    <x v="4"/>
  </r>
  <r>
    <x v="1418"/>
    <x v="0"/>
    <x v="13"/>
    <x v="0"/>
    <x v="1"/>
  </r>
  <r>
    <x v="1419"/>
    <x v="0"/>
    <x v="21"/>
    <x v="0"/>
    <x v="2"/>
  </r>
  <r>
    <x v="1420"/>
    <x v="1"/>
    <x v="7"/>
    <x v="1"/>
    <x v="4"/>
  </r>
  <r>
    <x v="1421"/>
    <x v="1"/>
    <x v="10"/>
    <x v="1"/>
    <x v="0"/>
  </r>
  <r>
    <x v="1422"/>
    <x v="1"/>
    <x v="17"/>
    <x v="1"/>
    <x v="1"/>
  </r>
  <r>
    <x v="1423"/>
    <x v="1"/>
    <x v="41"/>
    <x v="0"/>
    <x v="2"/>
  </r>
  <r>
    <x v="1424"/>
    <x v="3"/>
    <x v="31"/>
    <x v="1"/>
    <x v="1"/>
  </r>
  <r>
    <x v="1425"/>
    <x v="2"/>
    <x v="33"/>
    <x v="0"/>
    <x v="4"/>
  </r>
  <r>
    <x v="1426"/>
    <x v="0"/>
    <x v="31"/>
    <x v="1"/>
    <x v="4"/>
  </r>
  <r>
    <x v="1427"/>
    <x v="1"/>
    <x v="20"/>
    <x v="0"/>
    <x v="1"/>
  </r>
  <r>
    <x v="1428"/>
    <x v="2"/>
    <x v="8"/>
    <x v="0"/>
    <x v="3"/>
  </r>
  <r>
    <x v="1429"/>
    <x v="1"/>
    <x v="47"/>
    <x v="1"/>
    <x v="2"/>
  </r>
  <r>
    <x v="1430"/>
    <x v="1"/>
    <x v="38"/>
    <x v="0"/>
    <x v="3"/>
  </r>
  <r>
    <x v="1431"/>
    <x v="0"/>
    <x v="36"/>
    <x v="0"/>
    <x v="1"/>
  </r>
  <r>
    <x v="1432"/>
    <x v="2"/>
    <x v="24"/>
    <x v="1"/>
    <x v="0"/>
  </r>
  <r>
    <x v="1433"/>
    <x v="0"/>
    <x v="43"/>
    <x v="1"/>
    <x v="1"/>
  </r>
  <r>
    <x v="1434"/>
    <x v="0"/>
    <x v="45"/>
    <x v="1"/>
    <x v="2"/>
  </r>
  <r>
    <x v="1435"/>
    <x v="2"/>
    <x v="12"/>
    <x v="0"/>
    <x v="3"/>
  </r>
  <r>
    <x v="1436"/>
    <x v="0"/>
    <x v="33"/>
    <x v="1"/>
    <x v="3"/>
  </r>
  <r>
    <x v="1437"/>
    <x v="2"/>
    <x v="8"/>
    <x v="1"/>
    <x v="2"/>
  </r>
  <r>
    <x v="1438"/>
    <x v="0"/>
    <x v="44"/>
    <x v="1"/>
    <x v="3"/>
  </r>
  <r>
    <x v="1439"/>
    <x v="3"/>
    <x v="44"/>
    <x v="1"/>
    <x v="1"/>
  </r>
  <r>
    <x v="1440"/>
    <x v="2"/>
    <x v="14"/>
    <x v="0"/>
    <x v="3"/>
  </r>
  <r>
    <x v="1441"/>
    <x v="1"/>
    <x v="6"/>
    <x v="1"/>
    <x v="0"/>
  </r>
  <r>
    <x v="1442"/>
    <x v="3"/>
    <x v="28"/>
    <x v="0"/>
    <x v="1"/>
  </r>
  <r>
    <x v="1443"/>
    <x v="3"/>
    <x v="28"/>
    <x v="1"/>
    <x v="0"/>
  </r>
  <r>
    <x v="1444"/>
    <x v="3"/>
    <x v="6"/>
    <x v="1"/>
    <x v="3"/>
  </r>
  <r>
    <x v="1445"/>
    <x v="3"/>
    <x v="42"/>
    <x v="1"/>
    <x v="1"/>
  </r>
  <r>
    <x v="1446"/>
    <x v="1"/>
    <x v="20"/>
    <x v="1"/>
    <x v="4"/>
  </r>
  <r>
    <x v="1447"/>
    <x v="1"/>
    <x v="6"/>
    <x v="1"/>
    <x v="0"/>
  </r>
  <r>
    <x v="1448"/>
    <x v="3"/>
    <x v="44"/>
    <x v="0"/>
    <x v="0"/>
  </r>
  <r>
    <x v="1449"/>
    <x v="1"/>
    <x v="14"/>
    <x v="0"/>
    <x v="3"/>
  </r>
  <r>
    <x v="1450"/>
    <x v="3"/>
    <x v="8"/>
    <x v="1"/>
    <x v="0"/>
  </r>
  <r>
    <x v="1451"/>
    <x v="3"/>
    <x v="6"/>
    <x v="0"/>
    <x v="3"/>
  </r>
  <r>
    <x v="1452"/>
    <x v="2"/>
    <x v="24"/>
    <x v="0"/>
    <x v="1"/>
  </r>
  <r>
    <x v="1453"/>
    <x v="0"/>
    <x v="10"/>
    <x v="1"/>
    <x v="3"/>
  </r>
  <r>
    <x v="1454"/>
    <x v="3"/>
    <x v="18"/>
    <x v="1"/>
    <x v="4"/>
  </r>
  <r>
    <x v="1455"/>
    <x v="3"/>
    <x v="22"/>
    <x v="1"/>
    <x v="5"/>
  </r>
  <r>
    <x v="1456"/>
    <x v="2"/>
    <x v="16"/>
    <x v="1"/>
    <x v="1"/>
  </r>
  <r>
    <x v="1457"/>
    <x v="1"/>
    <x v="44"/>
    <x v="0"/>
    <x v="1"/>
  </r>
  <r>
    <x v="1458"/>
    <x v="1"/>
    <x v="7"/>
    <x v="1"/>
    <x v="1"/>
  </r>
  <r>
    <x v="1459"/>
    <x v="4"/>
    <x v="9"/>
    <x v="2"/>
    <x v="1"/>
  </r>
  <r>
    <x v="1460"/>
    <x v="1"/>
    <x v="12"/>
    <x v="1"/>
    <x v="3"/>
  </r>
  <r>
    <x v="1461"/>
    <x v="0"/>
    <x v="5"/>
    <x v="1"/>
    <x v="1"/>
  </r>
  <r>
    <x v="1462"/>
    <x v="1"/>
    <x v="13"/>
    <x v="0"/>
    <x v="2"/>
  </r>
  <r>
    <x v="1463"/>
    <x v="0"/>
    <x v="5"/>
    <x v="0"/>
    <x v="1"/>
  </r>
  <r>
    <x v="1464"/>
    <x v="1"/>
    <x v="10"/>
    <x v="1"/>
    <x v="4"/>
  </r>
  <r>
    <x v="1465"/>
    <x v="5"/>
    <x v="46"/>
    <x v="0"/>
    <x v="3"/>
  </r>
  <r>
    <x v="1466"/>
    <x v="0"/>
    <x v="26"/>
    <x v="0"/>
    <x v="2"/>
  </r>
  <r>
    <x v="1467"/>
    <x v="0"/>
    <x v="0"/>
    <x v="0"/>
    <x v="0"/>
  </r>
  <r>
    <x v="1468"/>
    <x v="1"/>
    <x v="45"/>
    <x v="0"/>
    <x v="2"/>
  </r>
  <r>
    <x v="1469"/>
    <x v="2"/>
    <x v="40"/>
    <x v="0"/>
    <x v="4"/>
  </r>
  <r>
    <x v="1470"/>
    <x v="0"/>
    <x v="34"/>
    <x v="1"/>
    <x v="0"/>
  </r>
  <r>
    <x v="1471"/>
    <x v="3"/>
    <x v="45"/>
    <x v="0"/>
    <x v="5"/>
  </r>
  <r>
    <x v="1472"/>
    <x v="3"/>
    <x v="21"/>
    <x v="0"/>
    <x v="2"/>
  </r>
  <r>
    <x v="1473"/>
    <x v="0"/>
    <x v="5"/>
    <x v="1"/>
    <x v="4"/>
  </r>
  <r>
    <x v="1474"/>
    <x v="1"/>
    <x v="40"/>
    <x v="1"/>
    <x v="1"/>
  </r>
  <r>
    <x v="1475"/>
    <x v="2"/>
    <x v="40"/>
    <x v="1"/>
    <x v="3"/>
  </r>
  <r>
    <x v="1476"/>
    <x v="3"/>
    <x v="17"/>
    <x v="1"/>
    <x v="3"/>
  </r>
  <r>
    <x v="1477"/>
    <x v="0"/>
    <x v="16"/>
    <x v="1"/>
    <x v="2"/>
  </r>
  <r>
    <x v="1478"/>
    <x v="1"/>
    <x v="11"/>
    <x v="1"/>
    <x v="4"/>
  </r>
  <r>
    <x v="1479"/>
    <x v="0"/>
    <x v="12"/>
    <x v="0"/>
    <x v="3"/>
  </r>
  <r>
    <x v="1480"/>
    <x v="0"/>
    <x v="21"/>
    <x v="0"/>
    <x v="0"/>
  </r>
  <r>
    <x v="1481"/>
    <x v="2"/>
    <x v="39"/>
    <x v="1"/>
    <x v="0"/>
  </r>
  <r>
    <x v="1482"/>
    <x v="3"/>
    <x v="23"/>
    <x v="0"/>
    <x v="3"/>
  </r>
  <r>
    <x v="1483"/>
    <x v="3"/>
    <x v="11"/>
    <x v="0"/>
    <x v="2"/>
  </r>
  <r>
    <x v="1484"/>
    <x v="3"/>
    <x v="28"/>
    <x v="1"/>
    <x v="0"/>
  </r>
  <r>
    <x v="1485"/>
    <x v="2"/>
    <x v="40"/>
    <x v="1"/>
    <x v="2"/>
  </r>
  <r>
    <x v="1486"/>
    <x v="2"/>
    <x v="11"/>
    <x v="1"/>
    <x v="0"/>
  </r>
  <r>
    <x v="1487"/>
    <x v="2"/>
    <x v="11"/>
    <x v="1"/>
    <x v="3"/>
  </r>
  <r>
    <x v="1488"/>
    <x v="2"/>
    <x v="30"/>
    <x v="0"/>
    <x v="2"/>
  </r>
  <r>
    <x v="1489"/>
    <x v="0"/>
    <x v="30"/>
    <x v="0"/>
    <x v="0"/>
  </r>
  <r>
    <x v="1490"/>
    <x v="1"/>
    <x v="28"/>
    <x v="1"/>
    <x v="0"/>
  </r>
  <r>
    <x v="1491"/>
    <x v="0"/>
    <x v="0"/>
    <x v="1"/>
    <x v="2"/>
  </r>
  <r>
    <x v="1492"/>
    <x v="3"/>
    <x v="21"/>
    <x v="1"/>
    <x v="4"/>
  </r>
  <r>
    <x v="1493"/>
    <x v="2"/>
    <x v="42"/>
    <x v="0"/>
    <x v="0"/>
  </r>
  <r>
    <x v="1494"/>
    <x v="3"/>
    <x v="40"/>
    <x v="1"/>
    <x v="3"/>
  </r>
  <r>
    <x v="1495"/>
    <x v="3"/>
    <x v="31"/>
    <x v="1"/>
    <x v="1"/>
  </r>
  <r>
    <x v="1496"/>
    <x v="3"/>
    <x v="14"/>
    <x v="1"/>
    <x v="4"/>
  </r>
  <r>
    <x v="1497"/>
    <x v="2"/>
    <x v="43"/>
    <x v="0"/>
    <x v="1"/>
  </r>
  <r>
    <x v="1498"/>
    <x v="1"/>
    <x v="26"/>
    <x v="0"/>
    <x v="2"/>
  </r>
  <r>
    <x v="1499"/>
    <x v="4"/>
    <x v="9"/>
    <x v="2"/>
    <x v="0"/>
  </r>
  <r>
    <x v="1500"/>
    <x v="2"/>
    <x v="24"/>
    <x v="1"/>
    <x v="3"/>
  </r>
  <r>
    <x v="1501"/>
    <x v="1"/>
    <x v="12"/>
    <x v="1"/>
    <x v="0"/>
  </r>
  <r>
    <x v="1502"/>
    <x v="1"/>
    <x v="0"/>
    <x v="1"/>
    <x v="0"/>
  </r>
  <r>
    <x v="1503"/>
    <x v="2"/>
    <x v="40"/>
    <x v="1"/>
    <x v="3"/>
  </r>
  <r>
    <x v="1504"/>
    <x v="1"/>
    <x v="14"/>
    <x v="0"/>
    <x v="0"/>
  </r>
  <r>
    <x v="1505"/>
    <x v="2"/>
    <x v="38"/>
    <x v="0"/>
    <x v="2"/>
  </r>
  <r>
    <x v="1506"/>
    <x v="0"/>
    <x v="29"/>
    <x v="0"/>
    <x v="3"/>
  </r>
  <r>
    <x v="1507"/>
    <x v="1"/>
    <x v="43"/>
    <x v="1"/>
    <x v="0"/>
  </r>
  <r>
    <x v="1508"/>
    <x v="2"/>
    <x v="27"/>
    <x v="1"/>
    <x v="1"/>
  </r>
  <r>
    <x v="1509"/>
    <x v="1"/>
    <x v="47"/>
    <x v="1"/>
    <x v="1"/>
  </r>
  <r>
    <x v="1510"/>
    <x v="1"/>
    <x v="7"/>
    <x v="1"/>
    <x v="4"/>
  </r>
  <r>
    <x v="1511"/>
    <x v="1"/>
    <x v="37"/>
    <x v="0"/>
    <x v="3"/>
  </r>
  <r>
    <x v="1512"/>
    <x v="1"/>
    <x v="23"/>
    <x v="1"/>
    <x v="3"/>
  </r>
  <r>
    <x v="1513"/>
    <x v="0"/>
    <x v="6"/>
    <x v="0"/>
    <x v="4"/>
  </r>
  <r>
    <x v="1514"/>
    <x v="2"/>
    <x v="18"/>
    <x v="1"/>
    <x v="0"/>
  </r>
  <r>
    <x v="1515"/>
    <x v="1"/>
    <x v="22"/>
    <x v="1"/>
    <x v="0"/>
  </r>
  <r>
    <x v="1516"/>
    <x v="3"/>
    <x v="42"/>
    <x v="1"/>
    <x v="0"/>
  </r>
  <r>
    <x v="1517"/>
    <x v="3"/>
    <x v="17"/>
    <x v="1"/>
    <x v="2"/>
  </r>
  <r>
    <x v="1518"/>
    <x v="1"/>
    <x v="31"/>
    <x v="0"/>
    <x v="0"/>
  </r>
  <r>
    <x v="1519"/>
    <x v="1"/>
    <x v="41"/>
    <x v="1"/>
    <x v="2"/>
  </r>
  <r>
    <x v="1520"/>
    <x v="3"/>
    <x v="20"/>
    <x v="1"/>
    <x v="0"/>
  </r>
  <r>
    <x v="1521"/>
    <x v="3"/>
    <x v="45"/>
    <x v="1"/>
    <x v="3"/>
  </r>
  <r>
    <x v="1522"/>
    <x v="3"/>
    <x v="6"/>
    <x v="1"/>
    <x v="5"/>
  </r>
  <r>
    <x v="1523"/>
    <x v="2"/>
    <x v="3"/>
    <x v="1"/>
    <x v="1"/>
  </r>
  <r>
    <x v="1524"/>
    <x v="1"/>
    <x v="13"/>
    <x v="1"/>
    <x v="1"/>
  </r>
  <r>
    <x v="1525"/>
    <x v="3"/>
    <x v="4"/>
    <x v="1"/>
    <x v="4"/>
  </r>
  <r>
    <x v="1526"/>
    <x v="1"/>
    <x v="5"/>
    <x v="0"/>
    <x v="1"/>
  </r>
  <r>
    <x v="1527"/>
    <x v="0"/>
    <x v="34"/>
    <x v="1"/>
    <x v="4"/>
  </r>
  <r>
    <x v="1528"/>
    <x v="3"/>
    <x v="20"/>
    <x v="0"/>
    <x v="5"/>
  </r>
  <r>
    <x v="1529"/>
    <x v="1"/>
    <x v="24"/>
    <x v="1"/>
    <x v="0"/>
  </r>
  <r>
    <x v="1530"/>
    <x v="1"/>
    <x v="47"/>
    <x v="1"/>
    <x v="1"/>
  </r>
  <r>
    <x v="1531"/>
    <x v="1"/>
    <x v="41"/>
    <x v="1"/>
    <x v="4"/>
  </r>
  <r>
    <x v="1532"/>
    <x v="0"/>
    <x v="8"/>
    <x v="1"/>
    <x v="4"/>
  </r>
  <r>
    <x v="1533"/>
    <x v="0"/>
    <x v="13"/>
    <x v="1"/>
    <x v="2"/>
  </r>
  <r>
    <x v="1534"/>
    <x v="2"/>
    <x v="36"/>
    <x v="1"/>
    <x v="2"/>
  </r>
  <r>
    <x v="1535"/>
    <x v="0"/>
    <x v="0"/>
    <x v="1"/>
    <x v="1"/>
  </r>
  <r>
    <x v="1536"/>
    <x v="1"/>
    <x v="26"/>
    <x v="0"/>
    <x v="3"/>
  </r>
  <r>
    <x v="1537"/>
    <x v="1"/>
    <x v="42"/>
    <x v="1"/>
    <x v="0"/>
  </r>
  <r>
    <x v="1538"/>
    <x v="3"/>
    <x v="31"/>
    <x v="1"/>
    <x v="0"/>
  </r>
  <r>
    <x v="1539"/>
    <x v="0"/>
    <x v="27"/>
    <x v="1"/>
    <x v="1"/>
  </r>
  <r>
    <x v="1540"/>
    <x v="3"/>
    <x v="28"/>
    <x v="1"/>
    <x v="1"/>
  </r>
  <r>
    <x v="1541"/>
    <x v="1"/>
    <x v="41"/>
    <x v="1"/>
    <x v="1"/>
  </r>
  <r>
    <x v="1542"/>
    <x v="0"/>
    <x v="7"/>
    <x v="1"/>
    <x v="1"/>
  </r>
  <r>
    <x v="1543"/>
    <x v="0"/>
    <x v="43"/>
    <x v="0"/>
    <x v="4"/>
  </r>
  <r>
    <x v="1544"/>
    <x v="3"/>
    <x v="36"/>
    <x v="0"/>
    <x v="3"/>
  </r>
  <r>
    <x v="1545"/>
    <x v="3"/>
    <x v="4"/>
    <x v="1"/>
    <x v="4"/>
  </r>
  <r>
    <x v="1546"/>
    <x v="1"/>
    <x v="17"/>
    <x v="1"/>
    <x v="0"/>
  </r>
  <r>
    <x v="1547"/>
    <x v="2"/>
    <x v="22"/>
    <x v="0"/>
    <x v="1"/>
  </r>
  <r>
    <x v="1548"/>
    <x v="3"/>
    <x v="14"/>
    <x v="0"/>
    <x v="2"/>
  </r>
  <r>
    <x v="1549"/>
    <x v="1"/>
    <x v="14"/>
    <x v="0"/>
    <x v="1"/>
  </r>
  <r>
    <x v="1550"/>
    <x v="0"/>
    <x v="35"/>
    <x v="0"/>
    <x v="1"/>
  </r>
  <r>
    <x v="1551"/>
    <x v="1"/>
    <x v="25"/>
    <x v="0"/>
    <x v="3"/>
  </r>
  <r>
    <x v="1552"/>
    <x v="3"/>
    <x v="31"/>
    <x v="1"/>
    <x v="0"/>
  </r>
  <r>
    <x v="1553"/>
    <x v="0"/>
    <x v="11"/>
    <x v="1"/>
    <x v="4"/>
  </r>
  <r>
    <x v="1554"/>
    <x v="1"/>
    <x v="6"/>
    <x v="1"/>
    <x v="4"/>
  </r>
  <r>
    <x v="1555"/>
    <x v="1"/>
    <x v="26"/>
    <x v="0"/>
    <x v="3"/>
  </r>
  <r>
    <x v="1556"/>
    <x v="2"/>
    <x v="4"/>
    <x v="0"/>
    <x v="4"/>
  </r>
  <r>
    <x v="1557"/>
    <x v="2"/>
    <x v="34"/>
    <x v="1"/>
    <x v="4"/>
  </r>
  <r>
    <x v="1558"/>
    <x v="0"/>
    <x v="32"/>
    <x v="1"/>
    <x v="4"/>
  </r>
  <r>
    <x v="1559"/>
    <x v="3"/>
    <x v="26"/>
    <x v="0"/>
    <x v="2"/>
  </r>
  <r>
    <x v="1560"/>
    <x v="1"/>
    <x v="21"/>
    <x v="1"/>
    <x v="1"/>
  </r>
  <r>
    <x v="1561"/>
    <x v="0"/>
    <x v="34"/>
    <x v="1"/>
    <x v="3"/>
  </r>
  <r>
    <x v="1562"/>
    <x v="1"/>
    <x v="21"/>
    <x v="0"/>
    <x v="0"/>
  </r>
  <r>
    <x v="1563"/>
    <x v="2"/>
    <x v="26"/>
    <x v="1"/>
    <x v="1"/>
  </r>
  <r>
    <x v="1564"/>
    <x v="1"/>
    <x v="28"/>
    <x v="0"/>
    <x v="3"/>
  </r>
  <r>
    <x v="1565"/>
    <x v="3"/>
    <x v="23"/>
    <x v="0"/>
    <x v="3"/>
  </r>
  <r>
    <x v="1566"/>
    <x v="2"/>
    <x v="3"/>
    <x v="1"/>
    <x v="0"/>
  </r>
  <r>
    <x v="1567"/>
    <x v="1"/>
    <x v="22"/>
    <x v="1"/>
    <x v="4"/>
  </r>
  <r>
    <x v="1568"/>
    <x v="1"/>
    <x v="28"/>
    <x v="0"/>
    <x v="2"/>
  </r>
  <r>
    <x v="1569"/>
    <x v="0"/>
    <x v="12"/>
    <x v="0"/>
    <x v="0"/>
  </r>
  <r>
    <x v="1570"/>
    <x v="0"/>
    <x v="37"/>
    <x v="1"/>
    <x v="3"/>
  </r>
  <r>
    <x v="1571"/>
    <x v="1"/>
    <x v="47"/>
    <x v="1"/>
    <x v="5"/>
  </r>
  <r>
    <x v="1572"/>
    <x v="2"/>
    <x v="7"/>
    <x v="0"/>
    <x v="1"/>
  </r>
  <r>
    <x v="1573"/>
    <x v="2"/>
    <x v="12"/>
    <x v="1"/>
    <x v="4"/>
  </r>
  <r>
    <x v="1574"/>
    <x v="3"/>
    <x v="25"/>
    <x v="0"/>
    <x v="2"/>
  </r>
  <r>
    <x v="1575"/>
    <x v="3"/>
    <x v="44"/>
    <x v="1"/>
    <x v="1"/>
  </r>
  <r>
    <x v="1576"/>
    <x v="0"/>
    <x v="30"/>
    <x v="0"/>
    <x v="3"/>
  </r>
  <r>
    <x v="1577"/>
    <x v="0"/>
    <x v="31"/>
    <x v="0"/>
    <x v="0"/>
  </r>
  <r>
    <x v="1578"/>
    <x v="2"/>
    <x v="42"/>
    <x v="0"/>
    <x v="4"/>
  </r>
  <r>
    <x v="1579"/>
    <x v="3"/>
    <x v="42"/>
    <x v="1"/>
    <x v="0"/>
  </r>
  <r>
    <x v="1580"/>
    <x v="0"/>
    <x v="6"/>
    <x v="0"/>
    <x v="4"/>
  </r>
  <r>
    <x v="1581"/>
    <x v="3"/>
    <x v="45"/>
    <x v="1"/>
    <x v="4"/>
  </r>
  <r>
    <x v="1582"/>
    <x v="0"/>
    <x v="3"/>
    <x v="1"/>
    <x v="3"/>
  </r>
  <r>
    <x v="1583"/>
    <x v="2"/>
    <x v="8"/>
    <x v="0"/>
    <x v="1"/>
  </r>
  <r>
    <x v="1584"/>
    <x v="1"/>
    <x v="18"/>
    <x v="0"/>
    <x v="3"/>
  </r>
  <r>
    <x v="1585"/>
    <x v="3"/>
    <x v="26"/>
    <x v="0"/>
    <x v="2"/>
  </r>
  <r>
    <x v="1586"/>
    <x v="5"/>
    <x v="46"/>
    <x v="0"/>
    <x v="0"/>
  </r>
  <r>
    <x v="1587"/>
    <x v="1"/>
    <x v="38"/>
    <x v="0"/>
    <x v="2"/>
  </r>
  <r>
    <x v="1588"/>
    <x v="1"/>
    <x v="2"/>
    <x v="1"/>
    <x v="0"/>
  </r>
  <r>
    <x v="1589"/>
    <x v="1"/>
    <x v="24"/>
    <x v="1"/>
    <x v="4"/>
  </r>
  <r>
    <x v="1590"/>
    <x v="3"/>
    <x v="37"/>
    <x v="1"/>
    <x v="3"/>
  </r>
  <r>
    <x v="1591"/>
    <x v="3"/>
    <x v="30"/>
    <x v="1"/>
    <x v="0"/>
  </r>
  <r>
    <x v="1592"/>
    <x v="2"/>
    <x v="33"/>
    <x v="0"/>
    <x v="2"/>
  </r>
  <r>
    <x v="1593"/>
    <x v="3"/>
    <x v="28"/>
    <x v="0"/>
    <x v="3"/>
  </r>
  <r>
    <x v="1594"/>
    <x v="3"/>
    <x v="45"/>
    <x v="1"/>
    <x v="0"/>
  </r>
  <r>
    <x v="1595"/>
    <x v="1"/>
    <x v="22"/>
    <x v="0"/>
    <x v="1"/>
  </r>
  <r>
    <x v="1596"/>
    <x v="1"/>
    <x v="17"/>
    <x v="1"/>
    <x v="3"/>
  </r>
  <r>
    <x v="1597"/>
    <x v="4"/>
    <x v="9"/>
    <x v="2"/>
    <x v="0"/>
  </r>
  <r>
    <x v="1598"/>
    <x v="0"/>
    <x v="5"/>
    <x v="0"/>
    <x v="0"/>
  </r>
  <r>
    <x v="1599"/>
    <x v="3"/>
    <x v="4"/>
    <x v="1"/>
    <x v="3"/>
  </r>
  <r>
    <x v="1600"/>
    <x v="3"/>
    <x v="23"/>
    <x v="1"/>
    <x v="0"/>
  </r>
  <r>
    <x v="1601"/>
    <x v="2"/>
    <x v="3"/>
    <x v="0"/>
    <x v="1"/>
  </r>
  <r>
    <x v="1602"/>
    <x v="3"/>
    <x v="8"/>
    <x v="0"/>
    <x v="1"/>
  </r>
  <r>
    <x v="1603"/>
    <x v="1"/>
    <x v="17"/>
    <x v="0"/>
    <x v="3"/>
  </r>
  <r>
    <x v="1604"/>
    <x v="1"/>
    <x v="5"/>
    <x v="1"/>
    <x v="3"/>
  </r>
  <r>
    <x v="1605"/>
    <x v="3"/>
    <x v="40"/>
    <x v="0"/>
    <x v="1"/>
  </r>
  <r>
    <x v="1606"/>
    <x v="1"/>
    <x v="21"/>
    <x v="1"/>
    <x v="1"/>
  </r>
  <r>
    <x v="1607"/>
    <x v="0"/>
    <x v="29"/>
    <x v="0"/>
    <x v="0"/>
  </r>
  <r>
    <x v="1608"/>
    <x v="2"/>
    <x v="24"/>
    <x v="1"/>
    <x v="0"/>
  </r>
  <r>
    <x v="1609"/>
    <x v="3"/>
    <x v="6"/>
    <x v="1"/>
    <x v="0"/>
  </r>
  <r>
    <x v="1610"/>
    <x v="1"/>
    <x v="36"/>
    <x v="1"/>
    <x v="4"/>
  </r>
  <r>
    <x v="1611"/>
    <x v="1"/>
    <x v="42"/>
    <x v="0"/>
    <x v="4"/>
  </r>
  <r>
    <x v="1612"/>
    <x v="3"/>
    <x v="8"/>
    <x v="0"/>
    <x v="1"/>
  </r>
  <r>
    <x v="1613"/>
    <x v="1"/>
    <x v="39"/>
    <x v="0"/>
    <x v="5"/>
  </r>
  <r>
    <x v="1614"/>
    <x v="0"/>
    <x v="35"/>
    <x v="1"/>
    <x v="3"/>
  </r>
  <r>
    <x v="1615"/>
    <x v="0"/>
    <x v="34"/>
    <x v="1"/>
    <x v="1"/>
  </r>
  <r>
    <x v="1616"/>
    <x v="2"/>
    <x v="3"/>
    <x v="0"/>
    <x v="2"/>
  </r>
  <r>
    <x v="1617"/>
    <x v="3"/>
    <x v="10"/>
    <x v="0"/>
    <x v="0"/>
  </r>
  <r>
    <x v="1618"/>
    <x v="2"/>
    <x v="14"/>
    <x v="0"/>
    <x v="1"/>
  </r>
  <r>
    <x v="1619"/>
    <x v="3"/>
    <x v="3"/>
    <x v="0"/>
    <x v="2"/>
  </r>
  <r>
    <x v="1620"/>
    <x v="3"/>
    <x v="18"/>
    <x v="1"/>
    <x v="0"/>
  </r>
  <r>
    <x v="1621"/>
    <x v="0"/>
    <x v="35"/>
    <x v="1"/>
    <x v="1"/>
  </r>
  <r>
    <x v="1622"/>
    <x v="3"/>
    <x v="36"/>
    <x v="0"/>
    <x v="3"/>
  </r>
  <r>
    <x v="1623"/>
    <x v="3"/>
    <x v="16"/>
    <x v="1"/>
    <x v="1"/>
  </r>
  <r>
    <x v="1624"/>
    <x v="3"/>
    <x v="18"/>
    <x v="1"/>
    <x v="3"/>
  </r>
  <r>
    <x v="1625"/>
    <x v="0"/>
    <x v="7"/>
    <x v="1"/>
    <x v="1"/>
  </r>
  <r>
    <x v="1626"/>
    <x v="2"/>
    <x v="25"/>
    <x v="1"/>
    <x v="4"/>
  </r>
  <r>
    <x v="1627"/>
    <x v="1"/>
    <x v="2"/>
    <x v="1"/>
    <x v="1"/>
  </r>
  <r>
    <x v="1628"/>
    <x v="0"/>
    <x v="35"/>
    <x v="1"/>
    <x v="1"/>
  </r>
  <r>
    <x v="1629"/>
    <x v="0"/>
    <x v="43"/>
    <x v="1"/>
    <x v="3"/>
  </r>
  <r>
    <x v="1630"/>
    <x v="3"/>
    <x v="10"/>
    <x v="0"/>
    <x v="1"/>
  </r>
  <r>
    <x v="1631"/>
    <x v="0"/>
    <x v="34"/>
    <x v="1"/>
    <x v="3"/>
  </r>
  <r>
    <x v="1632"/>
    <x v="0"/>
    <x v="26"/>
    <x v="0"/>
    <x v="1"/>
  </r>
  <r>
    <x v="1633"/>
    <x v="1"/>
    <x v="41"/>
    <x v="1"/>
    <x v="4"/>
  </r>
  <r>
    <x v="1634"/>
    <x v="2"/>
    <x v="42"/>
    <x v="0"/>
    <x v="1"/>
  </r>
  <r>
    <x v="1635"/>
    <x v="1"/>
    <x v="26"/>
    <x v="0"/>
    <x v="3"/>
  </r>
  <r>
    <x v="1636"/>
    <x v="1"/>
    <x v="26"/>
    <x v="0"/>
    <x v="3"/>
  </r>
  <r>
    <x v="1637"/>
    <x v="1"/>
    <x v="17"/>
    <x v="1"/>
    <x v="4"/>
  </r>
  <r>
    <x v="1638"/>
    <x v="0"/>
    <x v="31"/>
    <x v="1"/>
    <x v="4"/>
  </r>
  <r>
    <x v="1639"/>
    <x v="1"/>
    <x v="30"/>
    <x v="1"/>
    <x v="1"/>
  </r>
  <r>
    <x v="1640"/>
    <x v="1"/>
    <x v="7"/>
    <x v="1"/>
    <x v="3"/>
  </r>
  <r>
    <x v="1641"/>
    <x v="1"/>
    <x v="37"/>
    <x v="0"/>
    <x v="3"/>
  </r>
  <r>
    <x v="1642"/>
    <x v="0"/>
    <x v="8"/>
    <x v="1"/>
    <x v="3"/>
  </r>
  <r>
    <x v="1643"/>
    <x v="1"/>
    <x v="8"/>
    <x v="1"/>
    <x v="3"/>
  </r>
  <r>
    <x v="1644"/>
    <x v="1"/>
    <x v="30"/>
    <x v="1"/>
    <x v="4"/>
  </r>
  <r>
    <x v="1645"/>
    <x v="3"/>
    <x v="14"/>
    <x v="0"/>
    <x v="1"/>
  </r>
  <r>
    <x v="1646"/>
    <x v="1"/>
    <x v="10"/>
    <x v="0"/>
    <x v="3"/>
  </r>
  <r>
    <x v="1647"/>
    <x v="0"/>
    <x v="47"/>
    <x v="1"/>
    <x v="2"/>
  </r>
  <r>
    <x v="1648"/>
    <x v="0"/>
    <x v="34"/>
    <x v="1"/>
    <x v="1"/>
  </r>
  <r>
    <x v="1649"/>
    <x v="0"/>
    <x v="13"/>
    <x v="1"/>
    <x v="0"/>
  </r>
  <r>
    <x v="1650"/>
    <x v="0"/>
    <x v="43"/>
    <x v="0"/>
    <x v="4"/>
  </r>
  <r>
    <x v="1651"/>
    <x v="3"/>
    <x v="39"/>
    <x v="1"/>
    <x v="1"/>
  </r>
  <r>
    <x v="1652"/>
    <x v="1"/>
    <x v="4"/>
    <x v="0"/>
    <x v="1"/>
  </r>
  <r>
    <x v="1653"/>
    <x v="1"/>
    <x v="7"/>
    <x v="1"/>
    <x v="0"/>
  </r>
  <r>
    <x v="1654"/>
    <x v="3"/>
    <x v="40"/>
    <x v="0"/>
    <x v="4"/>
  </r>
  <r>
    <x v="1655"/>
    <x v="0"/>
    <x v="37"/>
    <x v="1"/>
    <x v="2"/>
  </r>
  <r>
    <x v="1656"/>
    <x v="0"/>
    <x v="38"/>
    <x v="0"/>
    <x v="1"/>
  </r>
  <r>
    <x v="1657"/>
    <x v="3"/>
    <x v="44"/>
    <x v="0"/>
    <x v="1"/>
  </r>
  <r>
    <x v="1658"/>
    <x v="2"/>
    <x v="39"/>
    <x v="0"/>
    <x v="0"/>
  </r>
  <r>
    <x v="1659"/>
    <x v="0"/>
    <x v="35"/>
    <x v="1"/>
    <x v="1"/>
  </r>
  <r>
    <x v="1660"/>
    <x v="3"/>
    <x v="17"/>
    <x v="1"/>
    <x v="3"/>
  </r>
  <r>
    <x v="1661"/>
    <x v="1"/>
    <x v="33"/>
    <x v="0"/>
    <x v="4"/>
  </r>
  <r>
    <x v="1662"/>
    <x v="1"/>
    <x v="41"/>
    <x v="1"/>
    <x v="2"/>
  </r>
  <r>
    <x v="1663"/>
    <x v="0"/>
    <x v="32"/>
    <x v="1"/>
    <x v="0"/>
  </r>
  <r>
    <x v="1664"/>
    <x v="1"/>
    <x v="7"/>
    <x v="1"/>
    <x v="1"/>
  </r>
  <r>
    <x v="1665"/>
    <x v="1"/>
    <x v="25"/>
    <x v="1"/>
    <x v="0"/>
  </r>
  <r>
    <x v="1666"/>
    <x v="1"/>
    <x v="1"/>
    <x v="1"/>
    <x v="3"/>
  </r>
  <r>
    <x v="1667"/>
    <x v="2"/>
    <x v="34"/>
    <x v="1"/>
    <x v="3"/>
  </r>
  <r>
    <x v="1668"/>
    <x v="3"/>
    <x v="10"/>
    <x v="1"/>
    <x v="0"/>
  </r>
  <r>
    <x v="1669"/>
    <x v="3"/>
    <x v="0"/>
    <x v="0"/>
    <x v="3"/>
  </r>
  <r>
    <x v="1670"/>
    <x v="0"/>
    <x v="30"/>
    <x v="0"/>
    <x v="0"/>
  </r>
  <r>
    <x v="1671"/>
    <x v="1"/>
    <x v="1"/>
    <x v="1"/>
    <x v="0"/>
  </r>
  <r>
    <x v="1672"/>
    <x v="1"/>
    <x v="22"/>
    <x v="1"/>
    <x v="5"/>
  </r>
  <r>
    <x v="1673"/>
    <x v="1"/>
    <x v="45"/>
    <x v="1"/>
    <x v="1"/>
  </r>
  <r>
    <x v="1674"/>
    <x v="3"/>
    <x v="14"/>
    <x v="0"/>
    <x v="1"/>
  </r>
  <r>
    <x v="1675"/>
    <x v="3"/>
    <x v="6"/>
    <x v="1"/>
    <x v="2"/>
  </r>
  <r>
    <x v="1676"/>
    <x v="2"/>
    <x v="42"/>
    <x v="0"/>
    <x v="0"/>
  </r>
  <r>
    <x v="1677"/>
    <x v="3"/>
    <x v="14"/>
    <x v="0"/>
    <x v="0"/>
  </r>
  <r>
    <x v="1678"/>
    <x v="3"/>
    <x v="20"/>
    <x v="1"/>
    <x v="1"/>
  </r>
  <r>
    <x v="1679"/>
    <x v="1"/>
    <x v="40"/>
    <x v="0"/>
    <x v="0"/>
  </r>
  <r>
    <x v="1680"/>
    <x v="5"/>
    <x v="16"/>
    <x v="0"/>
    <x v="4"/>
  </r>
  <r>
    <x v="1681"/>
    <x v="2"/>
    <x v="31"/>
    <x v="0"/>
    <x v="4"/>
  </r>
  <r>
    <x v="1682"/>
    <x v="3"/>
    <x v="22"/>
    <x v="1"/>
    <x v="2"/>
  </r>
  <r>
    <x v="1683"/>
    <x v="3"/>
    <x v="11"/>
    <x v="1"/>
    <x v="4"/>
  </r>
  <r>
    <x v="1684"/>
    <x v="1"/>
    <x v="0"/>
    <x v="1"/>
    <x v="1"/>
  </r>
  <r>
    <x v="1685"/>
    <x v="4"/>
    <x v="9"/>
    <x v="2"/>
    <x v="0"/>
  </r>
  <r>
    <x v="1686"/>
    <x v="0"/>
    <x v="43"/>
    <x v="0"/>
    <x v="1"/>
  </r>
  <r>
    <x v="1687"/>
    <x v="1"/>
    <x v="16"/>
    <x v="1"/>
    <x v="3"/>
  </r>
  <r>
    <x v="1688"/>
    <x v="2"/>
    <x v="33"/>
    <x v="1"/>
    <x v="3"/>
  </r>
  <r>
    <x v="1689"/>
    <x v="1"/>
    <x v="24"/>
    <x v="1"/>
    <x v="0"/>
  </r>
  <r>
    <x v="1690"/>
    <x v="0"/>
    <x v="27"/>
    <x v="1"/>
    <x v="3"/>
  </r>
  <r>
    <x v="1691"/>
    <x v="3"/>
    <x v="44"/>
    <x v="1"/>
    <x v="2"/>
  </r>
  <r>
    <x v="1692"/>
    <x v="3"/>
    <x v="28"/>
    <x v="0"/>
    <x v="3"/>
  </r>
  <r>
    <x v="1693"/>
    <x v="1"/>
    <x v="6"/>
    <x v="0"/>
    <x v="3"/>
  </r>
  <r>
    <x v="1694"/>
    <x v="2"/>
    <x v="12"/>
    <x v="1"/>
    <x v="1"/>
  </r>
  <r>
    <x v="1695"/>
    <x v="3"/>
    <x v="37"/>
    <x v="1"/>
    <x v="3"/>
  </r>
  <r>
    <x v="1696"/>
    <x v="3"/>
    <x v="42"/>
    <x v="1"/>
    <x v="1"/>
  </r>
  <r>
    <x v="1697"/>
    <x v="5"/>
    <x v="24"/>
    <x v="1"/>
    <x v="4"/>
  </r>
  <r>
    <x v="1698"/>
    <x v="1"/>
    <x v="28"/>
    <x v="0"/>
    <x v="1"/>
  </r>
  <r>
    <x v="1699"/>
    <x v="2"/>
    <x v="6"/>
    <x v="1"/>
    <x v="3"/>
  </r>
  <r>
    <x v="1700"/>
    <x v="1"/>
    <x v="2"/>
    <x v="1"/>
    <x v="1"/>
  </r>
  <r>
    <x v="1701"/>
    <x v="2"/>
    <x v="11"/>
    <x v="1"/>
    <x v="4"/>
  </r>
  <r>
    <x v="1702"/>
    <x v="2"/>
    <x v="22"/>
    <x v="0"/>
    <x v="4"/>
  </r>
  <r>
    <x v="1703"/>
    <x v="1"/>
    <x v="8"/>
    <x v="1"/>
    <x v="3"/>
  </r>
  <r>
    <x v="1704"/>
    <x v="1"/>
    <x v="17"/>
    <x v="1"/>
    <x v="0"/>
  </r>
  <r>
    <x v="1705"/>
    <x v="3"/>
    <x v="40"/>
    <x v="0"/>
    <x v="1"/>
  </r>
  <r>
    <x v="1706"/>
    <x v="1"/>
    <x v="16"/>
    <x v="1"/>
    <x v="0"/>
  </r>
  <r>
    <x v="1707"/>
    <x v="1"/>
    <x v="34"/>
    <x v="1"/>
    <x v="1"/>
  </r>
  <r>
    <x v="1708"/>
    <x v="0"/>
    <x v="25"/>
    <x v="1"/>
    <x v="0"/>
  </r>
  <r>
    <x v="1709"/>
    <x v="1"/>
    <x v="21"/>
    <x v="0"/>
    <x v="3"/>
  </r>
  <r>
    <x v="1710"/>
    <x v="1"/>
    <x v="15"/>
    <x v="1"/>
    <x v="0"/>
  </r>
  <r>
    <x v="1711"/>
    <x v="1"/>
    <x v="28"/>
    <x v="0"/>
    <x v="3"/>
  </r>
  <r>
    <x v="1712"/>
    <x v="0"/>
    <x v="13"/>
    <x v="0"/>
    <x v="4"/>
  </r>
  <r>
    <x v="1713"/>
    <x v="3"/>
    <x v="36"/>
    <x v="0"/>
    <x v="1"/>
  </r>
  <r>
    <x v="1714"/>
    <x v="3"/>
    <x v="28"/>
    <x v="1"/>
    <x v="4"/>
  </r>
  <r>
    <x v="1715"/>
    <x v="2"/>
    <x v="12"/>
    <x v="1"/>
    <x v="2"/>
  </r>
  <r>
    <x v="1716"/>
    <x v="3"/>
    <x v="24"/>
    <x v="0"/>
    <x v="1"/>
  </r>
  <r>
    <x v="1717"/>
    <x v="3"/>
    <x v="21"/>
    <x v="0"/>
    <x v="0"/>
  </r>
  <r>
    <x v="1718"/>
    <x v="2"/>
    <x v="24"/>
    <x v="1"/>
    <x v="3"/>
  </r>
  <r>
    <x v="1719"/>
    <x v="3"/>
    <x v="31"/>
    <x v="1"/>
    <x v="3"/>
  </r>
  <r>
    <x v="1720"/>
    <x v="3"/>
    <x v="13"/>
    <x v="0"/>
    <x v="1"/>
  </r>
  <r>
    <x v="1721"/>
    <x v="3"/>
    <x v="36"/>
    <x v="0"/>
    <x v="1"/>
  </r>
  <r>
    <x v="1722"/>
    <x v="3"/>
    <x v="8"/>
    <x v="0"/>
    <x v="4"/>
  </r>
  <r>
    <x v="1723"/>
    <x v="3"/>
    <x v="45"/>
    <x v="0"/>
    <x v="2"/>
  </r>
  <r>
    <x v="1724"/>
    <x v="0"/>
    <x v="28"/>
    <x v="0"/>
    <x v="3"/>
  </r>
  <r>
    <x v="1725"/>
    <x v="1"/>
    <x v="42"/>
    <x v="0"/>
    <x v="4"/>
  </r>
  <r>
    <x v="1726"/>
    <x v="3"/>
    <x v="33"/>
    <x v="0"/>
    <x v="2"/>
  </r>
  <r>
    <x v="1727"/>
    <x v="2"/>
    <x v="39"/>
    <x v="1"/>
    <x v="2"/>
  </r>
  <r>
    <x v="1728"/>
    <x v="3"/>
    <x v="0"/>
    <x v="0"/>
    <x v="0"/>
  </r>
  <r>
    <x v="1729"/>
    <x v="2"/>
    <x v="23"/>
    <x v="0"/>
    <x v="4"/>
  </r>
  <r>
    <x v="1730"/>
    <x v="0"/>
    <x v="30"/>
    <x v="0"/>
    <x v="0"/>
  </r>
  <r>
    <x v="1731"/>
    <x v="0"/>
    <x v="34"/>
    <x v="1"/>
    <x v="2"/>
  </r>
  <r>
    <x v="1732"/>
    <x v="1"/>
    <x v="6"/>
    <x v="0"/>
    <x v="2"/>
  </r>
  <r>
    <x v="1733"/>
    <x v="3"/>
    <x v="30"/>
    <x v="1"/>
    <x v="2"/>
  </r>
  <r>
    <x v="1734"/>
    <x v="1"/>
    <x v="13"/>
    <x v="1"/>
    <x v="4"/>
  </r>
  <r>
    <x v="1735"/>
    <x v="1"/>
    <x v="6"/>
    <x v="0"/>
    <x v="1"/>
  </r>
  <r>
    <x v="1736"/>
    <x v="1"/>
    <x v="5"/>
    <x v="1"/>
    <x v="4"/>
  </r>
  <r>
    <x v="1737"/>
    <x v="0"/>
    <x v="27"/>
    <x v="0"/>
    <x v="2"/>
  </r>
  <r>
    <x v="1738"/>
    <x v="3"/>
    <x v="31"/>
    <x v="1"/>
    <x v="3"/>
  </r>
  <r>
    <x v="1739"/>
    <x v="0"/>
    <x v="11"/>
    <x v="0"/>
    <x v="4"/>
  </r>
  <r>
    <x v="1740"/>
    <x v="0"/>
    <x v="25"/>
    <x v="1"/>
    <x v="4"/>
  </r>
  <r>
    <x v="1741"/>
    <x v="1"/>
    <x v="42"/>
    <x v="0"/>
    <x v="4"/>
  </r>
  <r>
    <x v="1742"/>
    <x v="1"/>
    <x v="45"/>
    <x v="1"/>
    <x v="0"/>
  </r>
  <r>
    <x v="1743"/>
    <x v="3"/>
    <x v="3"/>
    <x v="0"/>
    <x v="0"/>
  </r>
  <r>
    <x v="1744"/>
    <x v="1"/>
    <x v="33"/>
    <x v="0"/>
    <x v="4"/>
  </r>
  <r>
    <x v="1745"/>
    <x v="0"/>
    <x v="3"/>
    <x v="0"/>
    <x v="2"/>
  </r>
  <r>
    <x v="1746"/>
    <x v="0"/>
    <x v="31"/>
    <x v="0"/>
    <x v="3"/>
  </r>
  <r>
    <x v="1747"/>
    <x v="1"/>
    <x v="29"/>
    <x v="0"/>
    <x v="2"/>
  </r>
  <r>
    <x v="1748"/>
    <x v="3"/>
    <x v="32"/>
    <x v="1"/>
    <x v="0"/>
  </r>
  <r>
    <x v="1749"/>
    <x v="0"/>
    <x v="13"/>
    <x v="1"/>
    <x v="0"/>
  </r>
  <r>
    <x v="1750"/>
    <x v="1"/>
    <x v="2"/>
    <x v="1"/>
    <x v="2"/>
  </r>
  <r>
    <x v="1751"/>
    <x v="2"/>
    <x v="22"/>
    <x v="0"/>
    <x v="0"/>
  </r>
  <r>
    <x v="1752"/>
    <x v="0"/>
    <x v="25"/>
    <x v="1"/>
    <x v="2"/>
  </r>
  <r>
    <x v="1753"/>
    <x v="1"/>
    <x v="16"/>
    <x v="0"/>
    <x v="1"/>
  </r>
  <r>
    <x v="1754"/>
    <x v="1"/>
    <x v="7"/>
    <x v="1"/>
    <x v="1"/>
  </r>
  <r>
    <x v="1755"/>
    <x v="3"/>
    <x v="31"/>
    <x v="0"/>
    <x v="2"/>
  </r>
  <r>
    <x v="1756"/>
    <x v="2"/>
    <x v="0"/>
    <x v="0"/>
    <x v="2"/>
  </r>
  <r>
    <x v="1757"/>
    <x v="1"/>
    <x v="0"/>
    <x v="1"/>
    <x v="2"/>
  </r>
  <r>
    <x v="1758"/>
    <x v="0"/>
    <x v="13"/>
    <x v="0"/>
    <x v="4"/>
  </r>
  <r>
    <x v="1759"/>
    <x v="2"/>
    <x v="40"/>
    <x v="1"/>
    <x v="3"/>
  </r>
  <r>
    <x v="1760"/>
    <x v="3"/>
    <x v="28"/>
    <x v="0"/>
    <x v="1"/>
  </r>
  <r>
    <x v="1761"/>
    <x v="0"/>
    <x v="10"/>
    <x v="0"/>
    <x v="3"/>
  </r>
  <r>
    <x v="1762"/>
    <x v="1"/>
    <x v="6"/>
    <x v="0"/>
    <x v="3"/>
  </r>
  <r>
    <x v="1763"/>
    <x v="2"/>
    <x v="26"/>
    <x v="1"/>
    <x v="0"/>
  </r>
  <r>
    <x v="1764"/>
    <x v="1"/>
    <x v="20"/>
    <x v="1"/>
    <x v="0"/>
  </r>
  <r>
    <x v="1765"/>
    <x v="0"/>
    <x v="26"/>
    <x v="0"/>
    <x v="4"/>
  </r>
  <r>
    <x v="1766"/>
    <x v="0"/>
    <x v="35"/>
    <x v="0"/>
    <x v="0"/>
  </r>
  <r>
    <x v="1767"/>
    <x v="2"/>
    <x v="33"/>
    <x v="0"/>
    <x v="1"/>
  </r>
  <r>
    <x v="1768"/>
    <x v="2"/>
    <x v="4"/>
    <x v="0"/>
    <x v="0"/>
  </r>
  <r>
    <x v="1769"/>
    <x v="3"/>
    <x v="11"/>
    <x v="0"/>
    <x v="2"/>
  </r>
  <r>
    <x v="1770"/>
    <x v="3"/>
    <x v="14"/>
    <x v="0"/>
    <x v="3"/>
  </r>
  <r>
    <x v="1771"/>
    <x v="2"/>
    <x v="15"/>
    <x v="1"/>
    <x v="3"/>
  </r>
  <r>
    <x v="1772"/>
    <x v="3"/>
    <x v="26"/>
    <x v="0"/>
    <x v="3"/>
  </r>
  <r>
    <x v="1773"/>
    <x v="2"/>
    <x v="3"/>
    <x v="0"/>
    <x v="0"/>
  </r>
  <r>
    <x v="1774"/>
    <x v="1"/>
    <x v="25"/>
    <x v="0"/>
    <x v="1"/>
  </r>
  <r>
    <x v="1775"/>
    <x v="1"/>
    <x v="28"/>
    <x v="0"/>
    <x v="3"/>
  </r>
  <r>
    <x v="1776"/>
    <x v="1"/>
    <x v="28"/>
    <x v="0"/>
    <x v="4"/>
  </r>
  <r>
    <x v="1777"/>
    <x v="1"/>
    <x v="32"/>
    <x v="1"/>
    <x v="1"/>
  </r>
  <r>
    <x v="1778"/>
    <x v="2"/>
    <x v="3"/>
    <x v="0"/>
    <x v="1"/>
  </r>
  <r>
    <x v="1779"/>
    <x v="0"/>
    <x v="13"/>
    <x v="1"/>
    <x v="3"/>
  </r>
  <r>
    <x v="1780"/>
    <x v="3"/>
    <x v="46"/>
    <x v="0"/>
    <x v="4"/>
  </r>
  <r>
    <x v="1781"/>
    <x v="1"/>
    <x v="30"/>
    <x v="0"/>
    <x v="1"/>
  </r>
  <r>
    <x v="1782"/>
    <x v="0"/>
    <x v="31"/>
    <x v="0"/>
    <x v="4"/>
  </r>
  <r>
    <x v="1783"/>
    <x v="3"/>
    <x v="46"/>
    <x v="0"/>
    <x v="3"/>
  </r>
  <r>
    <x v="1784"/>
    <x v="0"/>
    <x v="7"/>
    <x v="0"/>
    <x v="2"/>
  </r>
  <r>
    <x v="1785"/>
    <x v="0"/>
    <x v="3"/>
    <x v="1"/>
    <x v="1"/>
  </r>
  <r>
    <x v="1786"/>
    <x v="2"/>
    <x v="16"/>
    <x v="1"/>
    <x v="0"/>
  </r>
  <r>
    <x v="1787"/>
    <x v="3"/>
    <x v="44"/>
    <x v="0"/>
    <x v="3"/>
  </r>
  <r>
    <x v="1788"/>
    <x v="2"/>
    <x v="37"/>
    <x v="0"/>
    <x v="1"/>
  </r>
  <r>
    <x v="1789"/>
    <x v="3"/>
    <x v="7"/>
    <x v="1"/>
    <x v="0"/>
  </r>
  <r>
    <x v="1790"/>
    <x v="0"/>
    <x v="13"/>
    <x v="0"/>
    <x v="0"/>
  </r>
  <r>
    <x v="1791"/>
    <x v="2"/>
    <x v="21"/>
    <x v="0"/>
    <x v="3"/>
  </r>
  <r>
    <x v="1792"/>
    <x v="0"/>
    <x v="35"/>
    <x v="0"/>
    <x v="0"/>
  </r>
  <r>
    <x v="1793"/>
    <x v="0"/>
    <x v="27"/>
    <x v="1"/>
    <x v="1"/>
  </r>
  <r>
    <x v="1794"/>
    <x v="3"/>
    <x v="31"/>
    <x v="0"/>
    <x v="0"/>
  </r>
  <r>
    <x v="1795"/>
    <x v="2"/>
    <x v="42"/>
    <x v="1"/>
    <x v="4"/>
  </r>
  <r>
    <x v="1796"/>
    <x v="1"/>
    <x v="39"/>
    <x v="0"/>
    <x v="4"/>
  </r>
  <r>
    <x v="1797"/>
    <x v="1"/>
    <x v="33"/>
    <x v="1"/>
    <x v="3"/>
  </r>
  <r>
    <x v="1798"/>
    <x v="3"/>
    <x v="23"/>
    <x v="1"/>
    <x v="0"/>
  </r>
  <r>
    <x v="1799"/>
    <x v="0"/>
    <x v="1"/>
    <x v="1"/>
    <x v="3"/>
  </r>
  <r>
    <x v="1800"/>
    <x v="1"/>
    <x v="30"/>
    <x v="0"/>
    <x v="0"/>
  </r>
  <r>
    <x v="1801"/>
    <x v="3"/>
    <x v="42"/>
    <x v="1"/>
    <x v="0"/>
  </r>
  <r>
    <x v="1802"/>
    <x v="2"/>
    <x v="40"/>
    <x v="1"/>
    <x v="1"/>
  </r>
  <r>
    <x v="1803"/>
    <x v="1"/>
    <x v="18"/>
    <x v="0"/>
    <x v="3"/>
  </r>
  <r>
    <x v="1804"/>
    <x v="1"/>
    <x v="46"/>
    <x v="0"/>
    <x v="4"/>
  </r>
  <r>
    <x v="1805"/>
    <x v="1"/>
    <x v="44"/>
    <x v="1"/>
    <x v="4"/>
  </r>
  <r>
    <x v="1806"/>
    <x v="3"/>
    <x v="18"/>
    <x v="1"/>
    <x v="2"/>
  </r>
  <r>
    <x v="1807"/>
    <x v="1"/>
    <x v="28"/>
    <x v="0"/>
    <x v="2"/>
  </r>
  <r>
    <x v="1808"/>
    <x v="2"/>
    <x v="39"/>
    <x v="0"/>
    <x v="5"/>
  </r>
  <r>
    <x v="1809"/>
    <x v="1"/>
    <x v="17"/>
    <x v="1"/>
    <x v="2"/>
  </r>
  <r>
    <x v="1810"/>
    <x v="1"/>
    <x v="41"/>
    <x v="0"/>
    <x v="3"/>
  </r>
  <r>
    <x v="1811"/>
    <x v="1"/>
    <x v="2"/>
    <x v="1"/>
    <x v="4"/>
  </r>
  <r>
    <x v="1812"/>
    <x v="1"/>
    <x v="20"/>
    <x v="0"/>
    <x v="3"/>
  </r>
  <r>
    <x v="1813"/>
    <x v="0"/>
    <x v="28"/>
    <x v="0"/>
    <x v="4"/>
  </r>
  <r>
    <x v="1814"/>
    <x v="1"/>
    <x v="20"/>
    <x v="1"/>
    <x v="2"/>
  </r>
  <r>
    <x v="1815"/>
    <x v="1"/>
    <x v="39"/>
    <x v="0"/>
    <x v="2"/>
  </r>
  <r>
    <x v="1816"/>
    <x v="1"/>
    <x v="47"/>
    <x v="1"/>
    <x v="4"/>
  </r>
  <r>
    <x v="1817"/>
    <x v="2"/>
    <x v="37"/>
    <x v="0"/>
    <x v="3"/>
  </r>
  <r>
    <x v="1818"/>
    <x v="1"/>
    <x v="0"/>
    <x v="1"/>
    <x v="1"/>
  </r>
  <r>
    <x v="1819"/>
    <x v="3"/>
    <x v="7"/>
    <x v="1"/>
    <x v="3"/>
  </r>
  <r>
    <x v="1820"/>
    <x v="3"/>
    <x v="11"/>
    <x v="0"/>
    <x v="4"/>
  </r>
  <r>
    <x v="1821"/>
    <x v="1"/>
    <x v="2"/>
    <x v="1"/>
    <x v="4"/>
  </r>
  <r>
    <x v="1822"/>
    <x v="1"/>
    <x v="0"/>
    <x v="1"/>
    <x v="1"/>
  </r>
  <r>
    <x v="1823"/>
    <x v="3"/>
    <x v="11"/>
    <x v="1"/>
    <x v="2"/>
  </r>
  <r>
    <x v="1824"/>
    <x v="1"/>
    <x v="21"/>
    <x v="1"/>
    <x v="1"/>
  </r>
  <r>
    <x v="1825"/>
    <x v="3"/>
    <x v="19"/>
    <x v="1"/>
    <x v="1"/>
  </r>
  <r>
    <x v="1826"/>
    <x v="1"/>
    <x v="32"/>
    <x v="0"/>
    <x v="3"/>
  </r>
  <r>
    <x v="1827"/>
    <x v="3"/>
    <x v="28"/>
    <x v="0"/>
    <x v="2"/>
  </r>
  <r>
    <x v="1828"/>
    <x v="2"/>
    <x v="38"/>
    <x v="0"/>
    <x v="1"/>
  </r>
  <r>
    <x v="1829"/>
    <x v="2"/>
    <x v="21"/>
    <x v="1"/>
    <x v="0"/>
  </r>
  <r>
    <x v="1830"/>
    <x v="2"/>
    <x v="31"/>
    <x v="0"/>
    <x v="0"/>
  </r>
  <r>
    <x v="1831"/>
    <x v="3"/>
    <x v="30"/>
    <x v="1"/>
    <x v="1"/>
  </r>
  <r>
    <x v="1832"/>
    <x v="2"/>
    <x v="12"/>
    <x v="1"/>
    <x v="0"/>
  </r>
  <r>
    <x v="1833"/>
    <x v="3"/>
    <x v="37"/>
    <x v="0"/>
    <x v="2"/>
  </r>
  <r>
    <x v="1834"/>
    <x v="1"/>
    <x v="11"/>
    <x v="0"/>
    <x v="1"/>
  </r>
  <r>
    <x v="1835"/>
    <x v="3"/>
    <x v="40"/>
    <x v="1"/>
    <x v="1"/>
  </r>
  <r>
    <x v="1836"/>
    <x v="2"/>
    <x v="24"/>
    <x v="1"/>
    <x v="2"/>
  </r>
  <r>
    <x v="1837"/>
    <x v="2"/>
    <x v="10"/>
    <x v="1"/>
    <x v="0"/>
  </r>
  <r>
    <x v="1838"/>
    <x v="2"/>
    <x v="36"/>
    <x v="0"/>
    <x v="1"/>
  </r>
  <r>
    <x v="1839"/>
    <x v="2"/>
    <x v="40"/>
    <x v="0"/>
    <x v="0"/>
  </r>
  <r>
    <x v="1840"/>
    <x v="3"/>
    <x v="24"/>
    <x v="1"/>
    <x v="2"/>
  </r>
  <r>
    <x v="1841"/>
    <x v="0"/>
    <x v="17"/>
    <x v="1"/>
    <x v="0"/>
  </r>
  <r>
    <x v="1842"/>
    <x v="2"/>
    <x v="0"/>
    <x v="0"/>
    <x v="3"/>
  </r>
  <r>
    <x v="1843"/>
    <x v="1"/>
    <x v="19"/>
    <x v="0"/>
    <x v="1"/>
  </r>
  <r>
    <x v="1844"/>
    <x v="3"/>
    <x v="18"/>
    <x v="1"/>
    <x v="1"/>
  </r>
  <r>
    <x v="1845"/>
    <x v="1"/>
    <x v="5"/>
    <x v="1"/>
    <x v="0"/>
  </r>
  <r>
    <x v="1846"/>
    <x v="1"/>
    <x v="10"/>
    <x v="1"/>
    <x v="4"/>
  </r>
  <r>
    <x v="1847"/>
    <x v="1"/>
    <x v="33"/>
    <x v="0"/>
    <x v="0"/>
  </r>
  <r>
    <x v="1848"/>
    <x v="0"/>
    <x v="26"/>
    <x v="0"/>
    <x v="4"/>
  </r>
  <r>
    <x v="1849"/>
    <x v="1"/>
    <x v="37"/>
    <x v="1"/>
    <x v="0"/>
  </r>
  <r>
    <x v="1850"/>
    <x v="2"/>
    <x v="24"/>
    <x v="1"/>
    <x v="4"/>
  </r>
  <r>
    <x v="1851"/>
    <x v="1"/>
    <x v="17"/>
    <x v="1"/>
    <x v="3"/>
  </r>
  <r>
    <x v="1852"/>
    <x v="1"/>
    <x v="10"/>
    <x v="1"/>
    <x v="4"/>
  </r>
  <r>
    <x v="1853"/>
    <x v="1"/>
    <x v="42"/>
    <x v="0"/>
    <x v="4"/>
  </r>
  <r>
    <x v="1854"/>
    <x v="2"/>
    <x v="22"/>
    <x v="0"/>
    <x v="3"/>
  </r>
  <r>
    <x v="1855"/>
    <x v="2"/>
    <x v="43"/>
    <x v="0"/>
    <x v="0"/>
  </r>
  <r>
    <x v="1856"/>
    <x v="3"/>
    <x v="17"/>
    <x v="1"/>
    <x v="1"/>
  </r>
  <r>
    <x v="1857"/>
    <x v="0"/>
    <x v="19"/>
    <x v="0"/>
    <x v="3"/>
  </r>
  <r>
    <x v="1858"/>
    <x v="1"/>
    <x v="33"/>
    <x v="0"/>
    <x v="1"/>
  </r>
  <r>
    <x v="1859"/>
    <x v="1"/>
    <x v="26"/>
    <x v="0"/>
    <x v="4"/>
  </r>
  <r>
    <x v="1860"/>
    <x v="2"/>
    <x v="22"/>
    <x v="0"/>
    <x v="0"/>
  </r>
  <r>
    <x v="1861"/>
    <x v="2"/>
    <x v="37"/>
    <x v="0"/>
    <x v="3"/>
  </r>
  <r>
    <x v="1862"/>
    <x v="3"/>
    <x v="44"/>
    <x v="0"/>
    <x v="2"/>
  </r>
  <r>
    <x v="1863"/>
    <x v="2"/>
    <x v="42"/>
    <x v="1"/>
    <x v="0"/>
  </r>
  <r>
    <x v="1864"/>
    <x v="3"/>
    <x v="45"/>
    <x v="1"/>
    <x v="1"/>
  </r>
  <r>
    <x v="1865"/>
    <x v="3"/>
    <x v="19"/>
    <x v="0"/>
    <x v="1"/>
  </r>
  <r>
    <x v="1866"/>
    <x v="0"/>
    <x v="4"/>
    <x v="1"/>
    <x v="1"/>
  </r>
  <r>
    <x v="1867"/>
    <x v="3"/>
    <x v="22"/>
    <x v="1"/>
    <x v="2"/>
  </r>
  <r>
    <x v="1868"/>
    <x v="1"/>
    <x v="19"/>
    <x v="1"/>
    <x v="1"/>
  </r>
  <r>
    <x v="1869"/>
    <x v="3"/>
    <x v="8"/>
    <x v="0"/>
    <x v="1"/>
  </r>
  <r>
    <x v="1870"/>
    <x v="1"/>
    <x v="37"/>
    <x v="1"/>
    <x v="1"/>
  </r>
  <r>
    <x v="1871"/>
    <x v="1"/>
    <x v="3"/>
    <x v="1"/>
    <x v="0"/>
  </r>
  <r>
    <x v="1872"/>
    <x v="2"/>
    <x v="33"/>
    <x v="0"/>
    <x v="4"/>
  </r>
  <r>
    <x v="1873"/>
    <x v="0"/>
    <x v="43"/>
    <x v="1"/>
    <x v="0"/>
  </r>
  <r>
    <x v="1874"/>
    <x v="3"/>
    <x v="33"/>
    <x v="0"/>
    <x v="4"/>
  </r>
  <r>
    <x v="1875"/>
    <x v="2"/>
    <x v="7"/>
    <x v="0"/>
    <x v="2"/>
  </r>
  <r>
    <x v="1876"/>
    <x v="1"/>
    <x v="17"/>
    <x v="1"/>
    <x v="1"/>
  </r>
  <r>
    <x v="1877"/>
    <x v="2"/>
    <x v="11"/>
    <x v="0"/>
    <x v="1"/>
  </r>
  <r>
    <x v="1878"/>
    <x v="3"/>
    <x v="14"/>
    <x v="0"/>
    <x v="5"/>
  </r>
  <r>
    <x v="1879"/>
    <x v="2"/>
    <x v="38"/>
    <x v="0"/>
    <x v="4"/>
  </r>
  <r>
    <x v="1880"/>
    <x v="1"/>
    <x v="17"/>
    <x v="0"/>
    <x v="2"/>
  </r>
  <r>
    <x v="1881"/>
    <x v="1"/>
    <x v="26"/>
    <x v="0"/>
    <x v="1"/>
  </r>
  <r>
    <x v="1882"/>
    <x v="1"/>
    <x v="36"/>
    <x v="1"/>
    <x v="1"/>
  </r>
  <r>
    <x v="1883"/>
    <x v="1"/>
    <x v="18"/>
    <x v="0"/>
    <x v="1"/>
  </r>
  <r>
    <x v="1884"/>
    <x v="0"/>
    <x v="13"/>
    <x v="1"/>
    <x v="2"/>
  </r>
  <r>
    <x v="1885"/>
    <x v="2"/>
    <x v="38"/>
    <x v="0"/>
    <x v="1"/>
  </r>
  <r>
    <x v="1886"/>
    <x v="2"/>
    <x v="21"/>
    <x v="0"/>
    <x v="2"/>
  </r>
  <r>
    <x v="1887"/>
    <x v="2"/>
    <x v="39"/>
    <x v="1"/>
    <x v="4"/>
  </r>
  <r>
    <x v="1888"/>
    <x v="3"/>
    <x v="44"/>
    <x v="1"/>
    <x v="5"/>
  </r>
  <r>
    <x v="1889"/>
    <x v="0"/>
    <x v="43"/>
    <x v="1"/>
    <x v="1"/>
  </r>
  <r>
    <x v="1890"/>
    <x v="1"/>
    <x v="30"/>
    <x v="1"/>
    <x v="2"/>
  </r>
  <r>
    <x v="1891"/>
    <x v="1"/>
    <x v="30"/>
    <x v="0"/>
    <x v="0"/>
  </r>
  <r>
    <x v="1892"/>
    <x v="1"/>
    <x v="20"/>
    <x v="0"/>
    <x v="3"/>
  </r>
  <r>
    <x v="1893"/>
    <x v="1"/>
    <x v="41"/>
    <x v="1"/>
    <x v="0"/>
  </r>
  <r>
    <x v="1894"/>
    <x v="2"/>
    <x v="17"/>
    <x v="1"/>
    <x v="0"/>
  </r>
  <r>
    <x v="1895"/>
    <x v="1"/>
    <x v="44"/>
    <x v="0"/>
    <x v="3"/>
  </r>
  <r>
    <x v="1896"/>
    <x v="0"/>
    <x v="37"/>
    <x v="1"/>
    <x v="1"/>
  </r>
  <r>
    <x v="1897"/>
    <x v="1"/>
    <x v="36"/>
    <x v="1"/>
    <x v="3"/>
  </r>
  <r>
    <x v="1898"/>
    <x v="2"/>
    <x v="8"/>
    <x v="1"/>
    <x v="1"/>
  </r>
  <r>
    <x v="1899"/>
    <x v="3"/>
    <x v="21"/>
    <x v="0"/>
    <x v="3"/>
  </r>
  <r>
    <x v="1900"/>
    <x v="2"/>
    <x v="23"/>
    <x v="0"/>
    <x v="4"/>
  </r>
  <r>
    <x v="1901"/>
    <x v="1"/>
    <x v="24"/>
    <x v="0"/>
    <x v="4"/>
  </r>
  <r>
    <x v="1902"/>
    <x v="0"/>
    <x v="26"/>
    <x v="0"/>
    <x v="5"/>
  </r>
  <r>
    <x v="1903"/>
    <x v="0"/>
    <x v="32"/>
    <x v="1"/>
    <x v="5"/>
  </r>
  <r>
    <x v="1904"/>
    <x v="2"/>
    <x v="25"/>
    <x v="0"/>
    <x v="0"/>
  </r>
  <r>
    <x v="1905"/>
    <x v="2"/>
    <x v="37"/>
    <x v="0"/>
    <x v="4"/>
  </r>
  <r>
    <x v="1906"/>
    <x v="0"/>
    <x v="14"/>
    <x v="0"/>
    <x v="0"/>
  </r>
  <r>
    <x v="1907"/>
    <x v="0"/>
    <x v="10"/>
    <x v="0"/>
    <x v="1"/>
  </r>
  <r>
    <x v="1908"/>
    <x v="3"/>
    <x v="14"/>
    <x v="0"/>
    <x v="0"/>
  </r>
  <r>
    <x v="1909"/>
    <x v="1"/>
    <x v="7"/>
    <x v="1"/>
    <x v="0"/>
  </r>
  <r>
    <x v="1910"/>
    <x v="2"/>
    <x v="7"/>
    <x v="0"/>
    <x v="0"/>
  </r>
  <r>
    <x v="1911"/>
    <x v="1"/>
    <x v="8"/>
    <x v="1"/>
    <x v="0"/>
  </r>
  <r>
    <x v="1912"/>
    <x v="1"/>
    <x v="22"/>
    <x v="1"/>
    <x v="3"/>
  </r>
  <r>
    <x v="1913"/>
    <x v="0"/>
    <x v="20"/>
    <x v="1"/>
    <x v="0"/>
  </r>
  <r>
    <x v="1914"/>
    <x v="0"/>
    <x v="20"/>
    <x v="1"/>
    <x v="3"/>
  </r>
  <r>
    <x v="1915"/>
    <x v="1"/>
    <x v="42"/>
    <x v="1"/>
    <x v="0"/>
  </r>
  <r>
    <x v="1916"/>
    <x v="1"/>
    <x v="33"/>
    <x v="1"/>
    <x v="3"/>
  </r>
  <r>
    <x v="1917"/>
    <x v="2"/>
    <x v="5"/>
    <x v="0"/>
    <x v="2"/>
  </r>
  <r>
    <x v="1918"/>
    <x v="3"/>
    <x v="4"/>
    <x v="1"/>
    <x v="3"/>
  </r>
  <r>
    <x v="1919"/>
    <x v="2"/>
    <x v="38"/>
    <x v="0"/>
    <x v="1"/>
  </r>
  <r>
    <x v="1920"/>
    <x v="1"/>
    <x v="30"/>
    <x v="0"/>
    <x v="1"/>
  </r>
  <r>
    <x v="1921"/>
    <x v="3"/>
    <x v="45"/>
    <x v="0"/>
    <x v="3"/>
  </r>
  <r>
    <x v="1922"/>
    <x v="1"/>
    <x v="40"/>
    <x v="0"/>
    <x v="4"/>
  </r>
  <r>
    <x v="1923"/>
    <x v="0"/>
    <x v="19"/>
    <x v="1"/>
    <x v="3"/>
  </r>
  <r>
    <x v="1924"/>
    <x v="0"/>
    <x v="37"/>
    <x v="1"/>
    <x v="3"/>
  </r>
  <r>
    <x v="1925"/>
    <x v="1"/>
    <x v="11"/>
    <x v="0"/>
    <x v="3"/>
  </r>
  <r>
    <x v="1926"/>
    <x v="0"/>
    <x v="5"/>
    <x v="1"/>
    <x v="3"/>
  </r>
  <r>
    <x v="1927"/>
    <x v="1"/>
    <x v="7"/>
    <x v="1"/>
    <x v="0"/>
  </r>
  <r>
    <x v="1928"/>
    <x v="2"/>
    <x v="5"/>
    <x v="1"/>
    <x v="0"/>
  </r>
  <r>
    <x v="1929"/>
    <x v="2"/>
    <x v="43"/>
    <x v="0"/>
    <x v="4"/>
  </r>
  <r>
    <x v="1930"/>
    <x v="2"/>
    <x v="31"/>
    <x v="0"/>
    <x v="1"/>
  </r>
  <r>
    <x v="1931"/>
    <x v="3"/>
    <x v="20"/>
    <x v="0"/>
    <x v="2"/>
  </r>
  <r>
    <x v="1932"/>
    <x v="3"/>
    <x v="45"/>
    <x v="0"/>
    <x v="3"/>
  </r>
  <r>
    <x v="1933"/>
    <x v="3"/>
    <x v="22"/>
    <x v="1"/>
    <x v="0"/>
  </r>
  <r>
    <x v="1934"/>
    <x v="3"/>
    <x v="30"/>
    <x v="0"/>
    <x v="0"/>
  </r>
  <r>
    <x v="1935"/>
    <x v="0"/>
    <x v="35"/>
    <x v="0"/>
    <x v="1"/>
  </r>
  <r>
    <x v="1936"/>
    <x v="1"/>
    <x v="23"/>
    <x v="1"/>
    <x v="2"/>
  </r>
  <r>
    <x v="1937"/>
    <x v="2"/>
    <x v="28"/>
    <x v="1"/>
    <x v="2"/>
  </r>
  <r>
    <x v="1938"/>
    <x v="1"/>
    <x v="33"/>
    <x v="0"/>
    <x v="0"/>
  </r>
  <r>
    <x v="1939"/>
    <x v="3"/>
    <x v="28"/>
    <x v="0"/>
    <x v="4"/>
  </r>
  <r>
    <x v="1940"/>
    <x v="2"/>
    <x v="4"/>
    <x v="0"/>
    <x v="1"/>
  </r>
  <r>
    <x v="1941"/>
    <x v="2"/>
    <x v="5"/>
    <x v="1"/>
    <x v="0"/>
  </r>
  <r>
    <x v="1942"/>
    <x v="2"/>
    <x v="24"/>
    <x v="1"/>
    <x v="3"/>
  </r>
  <r>
    <x v="1943"/>
    <x v="0"/>
    <x v="15"/>
    <x v="0"/>
    <x v="3"/>
  </r>
  <r>
    <x v="1944"/>
    <x v="0"/>
    <x v="4"/>
    <x v="1"/>
    <x v="0"/>
  </r>
  <r>
    <x v="1945"/>
    <x v="3"/>
    <x v="17"/>
    <x v="1"/>
    <x v="2"/>
  </r>
  <r>
    <x v="1946"/>
    <x v="3"/>
    <x v="23"/>
    <x v="0"/>
    <x v="0"/>
  </r>
  <r>
    <x v="1947"/>
    <x v="3"/>
    <x v="40"/>
    <x v="1"/>
    <x v="2"/>
  </r>
  <r>
    <x v="1948"/>
    <x v="3"/>
    <x v="44"/>
    <x v="0"/>
    <x v="2"/>
  </r>
  <r>
    <x v="1949"/>
    <x v="0"/>
    <x v="26"/>
    <x v="0"/>
    <x v="3"/>
  </r>
  <r>
    <x v="1950"/>
    <x v="0"/>
    <x v="16"/>
    <x v="1"/>
    <x v="0"/>
  </r>
  <r>
    <x v="1951"/>
    <x v="1"/>
    <x v="6"/>
    <x v="0"/>
    <x v="1"/>
  </r>
  <r>
    <x v="1952"/>
    <x v="1"/>
    <x v="26"/>
    <x v="0"/>
    <x v="0"/>
  </r>
  <r>
    <x v="1953"/>
    <x v="1"/>
    <x v="11"/>
    <x v="1"/>
    <x v="3"/>
  </r>
  <r>
    <x v="1954"/>
    <x v="1"/>
    <x v="21"/>
    <x v="0"/>
    <x v="2"/>
  </r>
  <r>
    <x v="1955"/>
    <x v="0"/>
    <x v="4"/>
    <x v="1"/>
    <x v="2"/>
  </r>
  <r>
    <x v="1956"/>
    <x v="2"/>
    <x v="5"/>
    <x v="1"/>
    <x v="1"/>
  </r>
  <r>
    <x v="1957"/>
    <x v="0"/>
    <x v="30"/>
    <x v="1"/>
    <x v="4"/>
  </r>
  <r>
    <x v="1958"/>
    <x v="0"/>
    <x v="27"/>
    <x v="1"/>
    <x v="2"/>
  </r>
  <r>
    <x v="1959"/>
    <x v="2"/>
    <x v="33"/>
    <x v="0"/>
    <x v="1"/>
  </r>
  <r>
    <x v="1960"/>
    <x v="1"/>
    <x v="0"/>
    <x v="1"/>
    <x v="0"/>
  </r>
  <r>
    <x v="1961"/>
    <x v="3"/>
    <x v="20"/>
    <x v="1"/>
    <x v="0"/>
  </r>
  <r>
    <x v="1962"/>
    <x v="1"/>
    <x v="42"/>
    <x v="0"/>
    <x v="5"/>
  </r>
  <r>
    <x v="1963"/>
    <x v="3"/>
    <x v="22"/>
    <x v="1"/>
    <x v="2"/>
  </r>
  <r>
    <x v="1964"/>
    <x v="0"/>
    <x v="43"/>
    <x v="1"/>
    <x v="3"/>
  </r>
  <r>
    <x v="1965"/>
    <x v="3"/>
    <x v="42"/>
    <x v="1"/>
    <x v="1"/>
  </r>
  <r>
    <x v="1966"/>
    <x v="1"/>
    <x v="18"/>
    <x v="0"/>
    <x v="1"/>
  </r>
  <r>
    <x v="1967"/>
    <x v="2"/>
    <x v="7"/>
    <x v="0"/>
    <x v="1"/>
  </r>
  <r>
    <x v="1968"/>
    <x v="0"/>
    <x v="32"/>
    <x v="1"/>
    <x v="2"/>
  </r>
  <r>
    <x v="1969"/>
    <x v="3"/>
    <x v="13"/>
    <x v="0"/>
    <x v="0"/>
  </r>
  <r>
    <x v="1970"/>
    <x v="0"/>
    <x v="37"/>
    <x v="0"/>
    <x v="3"/>
  </r>
  <r>
    <x v="1971"/>
    <x v="0"/>
    <x v="10"/>
    <x v="0"/>
    <x v="0"/>
  </r>
  <r>
    <x v="1972"/>
    <x v="3"/>
    <x v="16"/>
    <x v="1"/>
    <x v="3"/>
  </r>
  <r>
    <x v="1973"/>
    <x v="0"/>
    <x v="8"/>
    <x v="1"/>
    <x v="3"/>
  </r>
  <r>
    <x v="1974"/>
    <x v="1"/>
    <x v="19"/>
    <x v="1"/>
    <x v="4"/>
  </r>
  <r>
    <x v="1975"/>
    <x v="2"/>
    <x v="31"/>
    <x v="0"/>
    <x v="4"/>
  </r>
  <r>
    <x v="1976"/>
    <x v="0"/>
    <x v="33"/>
    <x v="0"/>
    <x v="2"/>
  </r>
  <r>
    <x v="1977"/>
    <x v="1"/>
    <x v="1"/>
    <x v="1"/>
    <x v="3"/>
  </r>
  <r>
    <x v="1978"/>
    <x v="0"/>
    <x v="1"/>
    <x v="1"/>
    <x v="3"/>
  </r>
  <r>
    <x v="1979"/>
    <x v="3"/>
    <x v="7"/>
    <x v="1"/>
    <x v="4"/>
  </r>
  <r>
    <x v="1980"/>
    <x v="1"/>
    <x v="15"/>
    <x v="1"/>
    <x v="3"/>
  </r>
  <r>
    <x v="1981"/>
    <x v="0"/>
    <x v="18"/>
    <x v="0"/>
    <x v="4"/>
  </r>
  <r>
    <x v="1982"/>
    <x v="0"/>
    <x v="41"/>
    <x v="1"/>
    <x v="3"/>
  </r>
  <r>
    <x v="1983"/>
    <x v="1"/>
    <x v="23"/>
    <x v="0"/>
    <x v="3"/>
  </r>
  <r>
    <x v="1984"/>
    <x v="3"/>
    <x v="0"/>
    <x v="0"/>
    <x v="3"/>
  </r>
  <r>
    <x v="1985"/>
    <x v="0"/>
    <x v="8"/>
    <x v="0"/>
    <x v="2"/>
  </r>
  <r>
    <x v="1986"/>
    <x v="0"/>
    <x v="8"/>
    <x v="1"/>
    <x v="0"/>
  </r>
  <r>
    <x v="1987"/>
    <x v="3"/>
    <x v="31"/>
    <x v="0"/>
    <x v="0"/>
  </r>
  <r>
    <x v="1988"/>
    <x v="1"/>
    <x v="42"/>
    <x v="1"/>
    <x v="0"/>
  </r>
  <r>
    <x v="1989"/>
    <x v="3"/>
    <x v="20"/>
    <x v="0"/>
    <x v="2"/>
  </r>
  <r>
    <x v="1990"/>
    <x v="1"/>
    <x v="46"/>
    <x v="0"/>
    <x v="0"/>
  </r>
  <r>
    <x v="1991"/>
    <x v="3"/>
    <x v="17"/>
    <x v="1"/>
    <x v="0"/>
  </r>
  <r>
    <x v="1992"/>
    <x v="2"/>
    <x v="6"/>
    <x v="1"/>
    <x v="2"/>
  </r>
  <r>
    <x v="1993"/>
    <x v="2"/>
    <x v="22"/>
    <x v="0"/>
    <x v="3"/>
  </r>
  <r>
    <x v="1994"/>
    <x v="3"/>
    <x v="20"/>
    <x v="0"/>
    <x v="3"/>
  </r>
  <r>
    <x v="1995"/>
    <x v="2"/>
    <x v="20"/>
    <x v="0"/>
    <x v="3"/>
  </r>
  <r>
    <x v="1996"/>
    <x v="2"/>
    <x v="5"/>
    <x v="1"/>
    <x v="3"/>
  </r>
  <r>
    <x v="1997"/>
    <x v="2"/>
    <x v="36"/>
    <x v="0"/>
    <x v="2"/>
  </r>
  <r>
    <x v="1998"/>
    <x v="3"/>
    <x v="0"/>
    <x v="0"/>
    <x v="0"/>
  </r>
  <r>
    <x v="1999"/>
    <x v="2"/>
    <x v="39"/>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x v="0"/>
    <x v="0"/>
    <x v="0"/>
    <n v="1"/>
    <n v="1"/>
    <n v="218.04"/>
    <n v="218.04"/>
    <n v="0.09"/>
    <n v="0.09"/>
    <x v="0"/>
    <n v="198.41640000000001"/>
    <x v="0"/>
    <s v="Gold"/>
    <n v="55"/>
    <x v="0"/>
    <s v="Sports"/>
  </r>
  <r>
    <s v="SALE1"/>
    <d v="2023-12-25T00:00:00"/>
    <x v="1"/>
    <x v="1"/>
    <x v="1"/>
    <n v="3"/>
    <n v="3"/>
    <n v="104.47"/>
    <n v="104.47"/>
    <n v="0.27"/>
    <n v="0.27"/>
    <x v="1"/>
    <n v="228.7893"/>
    <x v="1"/>
    <s v="Gold"/>
    <n v="63"/>
    <x v="1"/>
    <s v="Electronics"/>
  </r>
  <r>
    <s v="SALE2"/>
    <d v="2024-06-03T00:00:00"/>
    <x v="2"/>
    <x v="2"/>
    <x v="2"/>
    <n v="4"/>
    <n v="4"/>
    <n v="914.05"/>
    <n v="914.05"/>
    <n v="0.25"/>
    <n v="0.25"/>
    <x v="0"/>
    <n v="2742.15"/>
    <x v="2"/>
    <s v="Gold"/>
    <n v="49"/>
    <x v="1"/>
    <s v="Beauty"/>
  </r>
  <r>
    <s v="SALE3"/>
    <d v="2023-11-29T00:00:00"/>
    <x v="3"/>
    <x v="3"/>
    <x v="2"/>
    <n v="1"/>
    <n v="1"/>
    <n v="921.51"/>
    <n v="921.51"/>
    <n v="0.16"/>
    <n v="0.16"/>
    <x v="2"/>
    <n v="774.0684"/>
    <x v="3"/>
    <s v="Platinum"/>
    <n v="58"/>
    <x v="1"/>
    <s v="Electronics"/>
  </r>
  <r>
    <s v="SALE4"/>
    <d v="2024-01-06T00:00:00"/>
    <x v="4"/>
    <x v="4"/>
    <x v="3"/>
    <n v="3"/>
    <n v="3"/>
    <n v="745.3"/>
    <n v="745.3"/>
    <n v="0.18"/>
    <n v="0.18"/>
    <x v="0"/>
    <n v="1833.4380000000001"/>
    <x v="4"/>
    <s v="Silver"/>
    <n v="28"/>
    <x v="0"/>
    <s v="Beauty"/>
  </r>
  <r>
    <s v="SALE5"/>
    <d v="2024-07-26T00:00:00"/>
    <x v="5"/>
    <x v="5"/>
    <x v="4"/>
    <n v="3"/>
    <n v="3"/>
    <n v="147.01"/>
    <n v="147.01"/>
    <n v="0.19"/>
    <n v="0.19"/>
    <x v="2"/>
    <n v="357.23430000000002"/>
    <x v="5"/>
    <s v="Platinum"/>
    <n v="18"/>
    <x v="1"/>
    <s v="Electronics"/>
  </r>
  <r>
    <s v="SALE6"/>
    <d v="2025-07-12T00:00:00"/>
    <x v="6"/>
    <x v="6"/>
    <x v="5"/>
    <n v="2"/>
    <n v="2"/>
    <n v="785.31"/>
    <n v="785.31"/>
    <n v="0.15"/>
    <n v="0.15"/>
    <x v="1"/>
    <n v="1335.027"/>
    <x v="6"/>
    <s v="Bronze"/>
    <n v="24"/>
    <x v="1"/>
    <s v="Home"/>
  </r>
  <r>
    <s v="SALE7"/>
    <d v="2023-11-18T00:00:00"/>
    <x v="7"/>
    <x v="7"/>
    <x v="2"/>
    <n v="4"/>
    <n v="4"/>
    <n v="342.39"/>
    <n v="342.39"/>
    <n v="0.23"/>
    <n v="0.23"/>
    <x v="1"/>
    <n v="1054.5612000000001"/>
    <x v="7"/>
    <s v="Platinum"/>
    <n v="41"/>
    <x v="1"/>
    <s v="Home"/>
  </r>
  <r>
    <s v="SALE8"/>
    <d v="2025-05-04T00:00:00"/>
    <x v="8"/>
    <x v="8"/>
    <x v="3"/>
    <m/>
    <n v="2"/>
    <n v="448.25"/>
    <n v="448.25"/>
    <n v="7.0000000000000007E-2"/>
    <n v="7.0000000000000007E-2"/>
    <x v="1"/>
    <n v="1250.6175000000001"/>
    <x v="8"/>
    <s v="Platinum"/>
    <n v="60"/>
    <x v="1"/>
    <s v="Home"/>
  </r>
  <r>
    <s v="SALE9"/>
    <d v="2025-07-31T00:00:00"/>
    <x v="9"/>
    <x v="9"/>
    <x v="6"/>
    <n v="2"/>
    <n v="2"/>
    <n v="873.17"/>
    <n v="873.17"/>
    <n v="0.23"/>
    <n v="0.23"/>
    <x v="1"/>
    <n v="1344.6818000000001"/>
    <x v="9"/>
    <s v="Not Found"/>
    <s v="Not Found"/>
    <x v="2"/>
    <s v="Home"/>
  </r>
  <r>
    <s v="SALE10"/>
    <d v="2024-02-13T00:00:00"/>
    <x v="10"/>
    <x v="10"/>
    <x v="7"/>
    <n v="1"/>
    <n v="1"/>
    <n v="278.63"/>
    <n v="278.63"/>
    <n v="7.0000000000000007E-2"/>
    <n v="7.0000000000000007E-2"/>
    <x v="0"/>
    <n v="259.1259"/>
    <x v="10"/>
    <s v="Silver"/>
    <n v="21"/>
    <x v="1"/>
    <s v="Sports"/>
  </r>
  <r>
    <s v="SALE11"/>
    <d v="2025-05-24T00:00:00"/>
    <x v="11"/>
    <x v="11"/>
    <x v="8"/>
    <n v="4"/>
    <n v="4"/>
    <n v="286.92"/>
    <n v="286.92"/>
    <n v="0.17"/>
    <n v="0.17"/>
    <x v="0"/>
    <n v="952.57439999999997"/>
    <x v="11"/>
    <s v="Bronze"/>
    <n v="34"/>
    <x v="1"/>
    <s v="Electronics"/>
  </r>
  <r>
    <s v="SALE12"/>
    <d v="2024-08-24T00:00:00"/>
    <x v="12"/>
    <x v="12"/>
    <x v="5"/>
    <n v="4"/>
    <n v="4"/>
    <n v="644.58000000000004"/>
    <n v="644.58000000000004"/>
    <n v="0.01"/>
    <n v="0.01"/>
    <x v="0"/>
    <n v="2552.5367999999999"/>
    <x v="12"/>
    <s v="Gold"/>
    <n v="41"/>
    <x v="1"/>
    <s v="Sports"/>
  </r>
  <r>
    <s v="SALE13"/>
    <d v="2025-08-06T00:00:00"/>
    <x v="13"/>
    <x v="13"/>
    <x v="9"/>
    <n v="2"/>
    <n v="2"/>
    <n v="316.89999999999998"/>
    <n v="316.89999999999998"/>
    <n v="0.3"/>
    <n v="0.3"/>
    <x v="1"/>
    <n v="443.66"/>
    <x v="13"/>
    <s v="Silver"/>
    <n v="51"/>
    <x v="0"/>
    <s v="Electronics"/>
  </r>
  <r>
    <s v="SALE14"/>
    <d v="2025-06-21T00:00:00"/>
    <x v="14"/>
    <x v="10"/>
    <x v="10"/>
    <n v="4"/>
    <n v="4"/>
    <n v="403.47"/>
    <n v="403.47"/>
    <n v="0.28999999999999998"/>
    <n v="0.28999999999999998"/>
    <x v="1"/>
    <n v="1145.8548000000001"/>
    <x v="14"/>
    <s v="Silver"/>
    <n v="55"/>
    <x v="0"/>
    <s v="Sports"/>
  </r>
  <r>
    <s v="SALE15"/>
    <d v="2024-12-10T00:00:00"/>
    <x v="15"/>
    <x v="14"/>
    <x v="11"/>
    <m/>
    <n v="2"/>
    <n v="871.34"/>
    <n v="871.34"/>
    <n v="0.04"/>
    <n v="0.04"/>
    <x v="2"/>
    <n v="2509.4591999999998"/>
    <x v="15"/>
    <s v="Silver"/>
    <n v="37"/>
    <x v="1"/>
    <s v="Clothing"/>
  </r>
  <r>
    <s v="SALE16"/>
    <d v="2025-09-13T00:00:00"/>
    <x v="16"/>
    <x v="15"/>
    <x v="12"/>
    <n v="2"/>
    <n v="2"/>
    <n v="451.98"/>
    <n v="451.98"/>
    <n v="0.25"/>
    <n v="0.25"/>
    <x v="0"/>
    <n v="677.97"/>
    <x v="16"/>
    <s v="Gold"/>
    <n v="38"/>
    <x v="0"/>
    <s v="Sports"/>
  </r>
  <r>
    <s v="SALE17"/>
    <d v="2024-12-11T00:00:00"/>
    <x v="17"/>
    <x v="16"/>
    <x v="5"/>
    <n v="2"/>
    <n v="2"/>
    <n v="502.69"/>
    <n v="502.69"/>
    <n v="0.23"/>
    <n v="0.23"/>
    <x v="0"/>
    <n v="774.14260000000002"/>
    <x v="17"/>
    <s v="Platinum"/>
    <n v="22"/>
    <x v="1"/>
    <s v="Home"/>
  </r>
  <r>
    <s v="SALE18"/>
    <d v="2024-08-13T00:00:00"/>
    <x v="18"/>
    <x v="11"/>
    <x v="5"/>
    <n v="2"/>
    <n v="2"/>
    <n v="559.23"/>
    <n v="559.23"/>
    <n v="0.25"/>
    <n v="0.25"/>
    <x v="2"/>
    <n v="838.84500000000003"/>
    <x v="18"/>
    <s v="Gold"/>
    <n v="43"/>
    <x v="1"/>
    <s v="Electronics"/>
  </r>
  <r>
    <s v="SALE19"/>
    <d v="2024-03-18T00:00:00"/>
    <x v="19"/>
    <x v="17"/>
    <x v="13"/>
    <n v="4"/>
    <n v="4"/>
    <m/>
    <n v="513.98477215823721"/>
    <n v="0.04"/>
    <n v="0.04"/>
    <x v="2"/>
    <n v="1782.4512"/>
    <x v="19"/>
    <s v="Platinum"/>
    <n v="58"/>
    <x v="1"/>
    <s v="Beauty"/>
  </r>
  <r>
    <s v="SALE20"/>
    <d v="2025-07-05T00:00:00"/>
    <x v="20"/>
    <x v="18"/>
    <x v="1"/>
    <n v="3"/>
    <n v="3"/>
    <n v="986.04"/>
    <n v="986.04"/>
    <n v="0.27"/>
    <n v="0.27"/>
    <x v="2"/>
    <n v="2159.4276"/>
    <x v="20"/>
    <s v="Bronze"/>
    <n v="62"/>
    <x v="1"/>
    <s v="Sports"/>
  </r>
  <r>
    <s v="SALE21"/>
    <d v="2024-06-04T00:00:00"/>
    <x v="21"/>
    <x v="19"/>
    <x v="14"/>
    <n v="1"/>
    <n v="1"/>
    <n v="589.55999999999995"/>
    <n v="589.55999999999995"/>
    <n v="0.22"/>
    <n v="0.22"/>
    <x v="0"/>
    <n v="459.85680000000002"/>
    <x v="21"/>
    <s v="Silver"/>
    <n v="25"/>
    <x v="1"/>
    <s v="Electronics"/>
  </r>
  <r>
    <s v="SALE22"/>
    <d v="2024-04-12T00:00:00"/>
    <x v="22"/>
    <x v="20"/>
    <x v="15"/>
    <n v="3"/>
    <n v="3"/>
    <n v="979.42"/>
    <n v="979.42"/>
    <n v="0.03"/>
    <n v="0.03"/>
    <x v="1"/>
    <n v="2850.1122"/>
    <x v="22"/>
    <s v="Gold"/>
    <n v="33"/>
    <x v="1"/>
    <s v="Clothing"/>
  </r>
  <r>
    <s v="SALE23"/>
    <d v="2024-06-23T00:00:00"/>
    <x v="23"/>
    <x v="21"/>
    <x v="2"/>
    <n v="1"/>
    <n v="1"/>
    <n v="719.28"/>
    <n v="719.28"/>
    <n v="0.08"/>
    <n v="0.08"/>
    <x v="0"/>
    <n v="661.73760000000004"/>
    <x v="23"/>
    <s v="Platinum"/>
    <n v="34"/>
    <x v="1"/>
    <s v="Beauty"/>
  </r>
  <r>
    <s v="SALE24"/>
    <d v="2025-09-08T00:00:00"/>
    <x v="24"/>
    <x v="22"/>
    <x v="16"/>
    <n v="3"/>
    <n v="3"/>
    <n v="77.599999999999994"/>
    <n v="77.599999999999994"/>
    <n v="7.0000000000000007E-2"/>
    <n v="7.0000000000000007E-2"/>
    <x v="0"/>
    <n v="216.50399999999999"/>
    <x v="24"/>
    <s v="Silver"/>
    <n v="53"/>
    <x v="0"/>
    <s v="Electronics"/>
  </r>
  <r>
    <s v="SALE25"/>
    <d v="2024-09-17T00:00:00"/>
    <x v="25"/>
    <x v="23"/>
    <x v="0"/>
    <n v="4"/>
    <n v="4"/>
    <n v="852.71"/>
    <n v="852.71"/>
    <n v="0.14000000000000001"/>
    <n v="0.14000000000000001"/>
    <x v="1"/>
    <n v="2933.3224"/>
    <x v="25"/>
    <s v="Silver"/>
    <n v="50"/>
    <x v="0"/>
    <s v="Clothing"/>
  </r>
  <r>
    <s v="SALE26"/>
    <d v="2024-01-03T00:00:00"/>
    <x v="26"/>
    <x v="24"/>
    <x v="2"/>
    <n v="4"/>
    <n v="4"/>
    <n v="156.16"/>
    <n v="156.16"/>
    <m/>
    <n v="0.1"/>
    <x v="0"/>
    <n v="599.65440000000001"/>
    <x v="26"/>
    <s v="Platinum"/>
    <n v="42"/>
    <x v="1"/>
    <s v="Electronics"/>
  </r>
  <r>
    <s v="SALE27"/>
    <d v="2025-02-22T00:00:00"/>
    <x v="27"/>
    <x v="25"/>
    <x v="2"/>
    <n v="3"/>
    <n v="3"/>
    <n v="815.49"/>
    <n v="815.49"/>
    <n v="0.17"/>
    <n v="0.17"/>
    <x v="0"/>
    <n v="2030.5700999999999"/>
    <x v="27"/>
    <s v="Platinum"/>
    <n v="30"/>
    <x v="0"/>
    <s v="Electronics"/>
  </r>
  <r>
    <s v="SALE28"/>
    <d v="2025-09-23T00:00:00"/>
    <x v="28"/>
    <x v="26"/>
    <x v="17"/>
    <n v="2"/>
    <n v="2"/>
    <n v="74.209999999999994"/>
    <n v="74.209999999999994"/>
    <n v="0.11"/>
    <n v="0.11"/>
    <x v="1"/>
    <n v="132.09379999999999"/>
    <x v="28"/>
    <s v="Bronze"/>
    <n v="42"/>
    <x v="1"/>
    <s v="Electronics"/>
  </r>
  <r>
    <s v="SALE29"/>
    <d v="2024-01-11T00:00:00"/>
    <x v="14"/>
    <x v="8"/>
    <x v="0"/>
    <m/>
    <n v="2"/>
    <n v="451.67"/>
    <n v="451.67"/>
    <n v="0.15"/>
    <n v="0.15"/>
    <x v="0"/>
    <n v="1535.6780000000001"/>
    <x v="29"/>
    <s v="Silver"/>
    <n v="55"/>
    <x v="0"/>
    <s v="Home"/>
  </r>
  <r>
    <s v="SALE30"/>
    <d v="2023-10-18T00:00:00"/>
    <x v="29"/>
    <x v="23"/>
    <x v="12"/>
    <n v="1"/>
    <n v="1"/>
    <n v="429.38"/>
    <n v="429.38"/>
    <n v="0.13"/>
    <n v="0.13"/>
    <x v="1"/>
    <n v="373.56060000000002"/>
    <x v="30"/>
    <s v="Platinum"/>
    <n v="27"/>
    <x v="1"/>
    <s v="Clothing"/>
  </r>
  <r>
    <s v="SALE31"/>
    <d v="2024-10-28T00:00:00"/>
    <x v="30"/>
    <x v="27"/>
    <x v="18"/>
    <n v="2"/>
    <n v="2"/>
    <n v="148.96"/>
    <n v="148.96"/>
    <n v="0.03"/>
    <n v="0.03"/>
    <x v="2"/>
    <n v="288.98239999999998"/>
    <x v="31"/>
    <s v="Gold"/>
    <n v="23"/>
    <x v="1"/>
    <s v="Clothing"/>
  </r>
  <r>
    <s v="SALE32"/>
    <d v="2024-11-01T00:00:00"/>
    <x v="31"/>
    <x v="28"/>
    <x v="2"/>
    <n v="4"/>
    <n v="4"/>
    <n v="313.83"/>
    <n v="313.83"/>
    <n v="0.08"/>
    <n v="0.08"/>
    <x v="0"/>
    <n v="1154.8943999999999"/>
    <x v="32"/>
    <s v="Bronze"/>
    <n v="54"/>
    <x v="0"/>
    <s v="Clothing"/>
  </r>
  <r>
    <s v="SALE33"/>
    <d v="2024-11-24T00:00:00"/>
    <x v="32"/>
    <x v="21"/>
    <x v="16"/>
    <n v="2"/>
    <n v="2"/>
    <n v="717.31"/>
    <n v="717.31"/>
    <n v="0.15"/>
    <n v="0.15"/>
    <x v="0"/>
    <n v="1219.4269999999999"/>
    <x v="33"/>
    <s v="Platinum"/>
    <n v="62"/>
    <x v="1"/>
    <s v="Beauty"/>
  </r>
  <r>
    <s v="SALE34"/>
    <d v="2023-10-16T00:00:00"/>
    <x v="33"/>
    <x v="29"/>
    <x v="8"/>
    <m/>
    <n v="2"/>
    <n v="873.22"/>
    <n v="873.22"/>
    <n v="0.18"/>
    <n v="0.18"/>
    <x v="0"/>
    <n v="2148.1212"/>
    <x v="34"/>
    <s v="Gold"/>
    <n v="39"/>
    <x v="0"/>
    <s v="Home"/>
  </r>
  <r>
    <s v="SALE35"/>
    <d v="2025-08-09T00:00:00"/>
    <x v="34"/>
    <x v="30"/>
    <x v="0"/>
    <n v="4"/>
    <n v="4"/>
    <n v="109.36"/>
    <n v="109.36"/>
    <n v="0.19"/>
    <n v="0.19"/>
    <x v="2"/>
    <n v="354.32639999999998"/>
    <x v="35"/>
    <s v="Platinum"/>
    <n v="46"/>
    <x v="0"/>
    <s v="OTHERS"/>
  </r>
  <r>
    <s v="SALE36"/>
    <d v="2024-12-09T00:00:00"/>
    <x v="35"/>
    <x v="23"/>
    <x v="4"/>
    <n v="3"/>
    <n v="3"/>
    <n v="559.52"/>
    <n v="559.52"/>
    <n v="0.16"/>
    <n v="0.16"/>
    <x v="1"/>
    <n v="1409.9903999999999"/>
    <x v="36"/>
    <s v="Gold"/>
    <n v="19"/>
    <x v="1"/>
    <s v="Clothing"/>
  </r>
  <r>
    <s v="SALE37"/>
    <d v="2024-02-07T00:00:00"/>
    <x v="36"/>
    <x v="31"/>
    <x v="1"/>
    <n v="3"/>
    <n v="3"/>
    <n v="121.76"/>
    <n v="121.76"/>
    <n v="0.27"/>
    <n v="0.27"/>
    <x v="1"/>
    <n v="266.65440000000001"/>
    <x v="37"/>
    <s v="Platinum"/>
    <n v="59"/>
    <x v="1"/>
    <s v="Home"/>
  </r>
  <r>
    <s v="SALE38"/>
    <d v="2024-03-27T00:00:00"/>
    <x v="37"/>
    <x v="9"/>
    <x v="13"/>
    <n v="4"/>
    <n v="4"/>
    <n v="735.32"/>
    <n v="735.32"/>
    <n v="0.06"/>
    <n v="0.06"/>
    <x v="2"/>
    <n v="2764.8031999999998"/>
    <x v="38"/>
    <s v="Gold"/>
    <n v="29"/>
    <x v="0"/>
    <s v="Home"/>
  </r>
  <r>
    <s v="SALE39"/>
    <d v="2023-12-04T00:00:00"/>
    <x v="38"/>
    <x v="32"/>
    <x v="0"/>
    <n v="2"/>
    <n v="2"/>
    <n v="600.73"/>
    <n v="600.73"/>
    <n v="0.08"/>
    <n v="0.08"/>
    <x v="0"/>
    <n v="1105.3432"/>
    <x v="39"/>
    <s v="Platinum"/>
    <n v="27"/>
    <x v="0"/>
    <s v="Beauty"/>
  </r>
  <r>
    <s v="SALE40"/>
    <d v="2024-07-13T00:00:00"/>
    <x v="39"/>
    <x v="33"/>
    <x v="12"/>
    <n v="2"/>
    <n v="2"/>
    <n v="873.86"/>
    <n v="873.86"/>
    <n v="7.0000000000000007E-2"/>
    <n v="7.0000000000000007E-2"/>
    <x v="2"/>
    <n v="1625.3796"/>
    <x v="40"/>
    <s v="Gold"/>
    <n v="39"/>
    <x v="1"/>
    <s v="Electronics"/>
  </r>
  <r>
    <s v="SALE41"/>
    <d v="2023-11-11T00:00:00"/>
    <x v="40"/>
    <x v="34"/>
    <x v="2"/>
    <n v="3"/>
    <n v="3"/>
    <n v="342.47"/>
    <n v="342.47"/>
    <n v="0.08"/>
    <n v="0.08"/>
    <x v="1"/>
    <n v="945.21720000000016"/>
    <x v="41"/>
    <s v="Gold"/>
    <n v="36"/>
    <x v="0"/>
    <s v="Clothing"/>
  </r>
  <r>
    <s v="SALE42"/>
    <d v="2024-12-23T00:00:00"/>
    <x v="41"/>
    <x v="35"/>
    <x v="11"/>
    <n v="2"/>
    <n v="2"/>
    <n v="915.15"/>
    <n v="915.15"/>
    <n v="0.16"/>
    <n v="0.16"/>
    <x v="1"/>
    <n v="1537.452"/>
    <x v="42"/>
    <s v="Platinum"/>
    <n v="37"/>
    <x v="0"/>
    <s v="Home"/>
  </r>
  <r>
    <s v="SALE43"/>
    <d v="2025-01-20T00:00:00"/>
    <x v="42"/>
    <x v="9"/>
    <x v="1"/>
    <m/>
    <n v="2"/>
    <n v="863.11"/>
    <n v="863.11"/>
    <n v="0.28000000000000003"/>
    <n v="0.28000000000000003"/>
    <x v="1"/>
    <n v="1864.3176000000001"/>
    <x v="43"/>
    <s v="Platinum"/>
    <n v="26"/>
    <x v="1"/>
    <s v="Home"/>
  </r>
  <r>
    <s v="SALE44"/>
    <d v="2024-09-03T00:00:00"/>
    <x v="43"/>
    <x v="19"/>
    <x v="18"/>
    <n v="2"/>
    <n v="2"/>
    <n v="209.32"/>
    <n v="209.32"/>
    <n v="0.23"/>
    <n v="0.23"/>
    <x v="2"/>
    <n v="322.3528"/>
    <x v="44"/>
    <s v="Platinum"/>
    <n v="47"/>
    <x v="0"/>
    <s v="Electronics"/>
  </r>
  <r>
    <s v="SALE45"/>
    <d v="2024-11-10T00:00:00"/>
    <x v="44"/>
    <x v="4"/>
    <x v="2"/>
    <n v="4"/>
    <n v="4"/>
    <n v="288.60000000000002"/>
    <n v="288.60000000000002"/>
    <n v="0.09"/>
    <n v="0.09"/>
    <x v="1"/>
    <n v="1050.5039999999999"/>
    <x v="45"/>
    <s v="Gold"/>
    <n v="21"/>
    <x v="1"/>
    <s v="Beauty"/>
  </r>
  <r>
    <s v="SALE46"/>
    <d v="2024-10-05T00:00:00"/>
    <x v="45"/>
    <x v="36"/>
    <x v="9"/>
    <n v="1"/>
    <n v="1"/>
    <n v="418.69"/>
    <n v="418.69"/>
    <n v="0.06"/>
    <n v="0.06"/>
    <x v="1"/>
    <n v="393.5686"/>
    <x v="46"/>
    <s v="Gold"/>
    <n v="29"/>
    <x v="1"/>
    <s v="Home"/>
  </r>
  <r>
    <s v="SALE47"/>
    <d v="2024-06-23T00:00:00"/>
    <x v="46"/>
    <x v="37"/>
    <x v="19"/>
    <n v="1"/>
    <n v="1"/>
    <n v="135.78"/>
    <n v="135.78"/>
    <n v="0.14000000000000001"/>
    <n v="0.14000000000000001"/>
    <x v="1"/>
    <n v="116.77079999999999"/>
    <x v="47"/>
    <s v="Gold"/>
    <n v="53"/>
    <x v="1"/>
    <s v="Home"/>
  </r>
  <r>
    <s v="SALE48"/>
    <d v="2023-10-19T00:00:00"/>
    <x v="43"/>
    <x v="38"/>
    <x v="1"/>
    <n v="1"/>
    <n v="1"/>
    <n v="517.13"/>
    <n v="517.13"/>
    <n v="0.28000000000000003"/>
    <n v="0.28000000000000003"/>
    <x v="0"/>
    <n v="372.33359999999999"/>
    <x v="48"/>
    <s v="Platinum"/>
    <n v="47"/>
    <x v="0"/>
    <s v="Sports"/>
  </r>
  <r>
    <s v="SALE49"/>
    <d v="2024-11-11T00:00:00"/>
    <x v="47"/>
    <x v="39"/>
    <x v="9"/>
    <n v="2"/>
    <n v="2"/>
    <n v="384.66"/>
    <n v="384.66"/>
    <n v="0.08"/>
    <n v="0.08"/>
    <x v="2"/>
    <n v="707.77440000000013"/>
    <x v="49"/>
    <s v="Bronze"/>
    <n v="60"/>
    <x v="0"/>
    <s v="Home"/>
  </r>
  <r>
    <s v="SALE50"/>
    <d v="2023-12-31T00:00:00"/>
    <x v="45"/>
    <x v="40"/>
    <x v="11"/>
    <n v="3"/>
    <n v="3"/>
    <n v="83.7"/>
    <n v="83.7"/>
    <n v="0.24"/>
    <n v="0.24"/>
    <x v="1"/>
    <n v="190.83600000000001"/>
    <x v="50"/>
    <s v="Gold"/>
    <n v="29"/>
    <x v="1"/>
    <s v="Sports"/>
  </r>
  <r>
    <s v="SALE51"/>
    <d v="2025-02-01T00:00:00"/>
    <x v="48"/>
    <x v="20"/>
    <x v="4"/>
    <n v="3"/>
    <n v="3"/>
    <n v="76.569999999999993"/>
    <n v="76.569999999999993"/>
    <n v="0.26"/>
    <n v="0.26"/>
    <x v="0"/>
    <n v="169.9854"/>
    <x v="51"/>
    <s v="Bronze"/>
    <n v="37"/>
    <x v="0"/>
    <s v="Clothing"/>
  </r>
  <r>
    <s v="SALE52"/>
    <d v="2025-08-25T00:00:00"/>
    <x v="28"/>
    <x v="41"/>
    <x v="16"/>
    <n v="3"/>
    <n v="3"/>
    <m/>
    <n v="513.98477215823721"/>
    <m/>
    <n v="0.1"/>
    <x v="0"/>
    <n v="486.06330000000003"/>
    <x v="52"/>
    <s v="Bronze"/>
    <n v="42"/>
    <x v="1"/>
    <s v="Beauty"/>
  </r>
  <r>
    <s v="SALE53"/>
    <d v="2025-01-20T00:00:00"/>
    <x v="49"/>
    <x v="42"/>
    <x v="2"/>
    <n v="1"/>
    <n v="1"/>
    <n v="900.35"/>
    <n v="900.35"/>
    <n v="0.13"/>
    <n v="0.13"/>
    <x v="2"/>
    <n v="783.30449999999996"/>
    <x v="53"/>
    <s v="Bronze"/>
    <n v="58"/>
    <x v="0"/>
    <s v="Sports"/>
  </r>
  <r>
    <s v="SALE54"/>
    <d v="2025-02-18T00:00:00"/>
    <x v="50"/>
    <x v="43"/>
    <x v="15"/>
    <n v="4"/>
    <n v="4"/>
    <n v="428.09"/>
    <n v="428.09"/>
    <n v="7.0000000000000007E-2"/>
    <n v="7.0000000000000007E-2"/>
    <x v="0"/>
    <n v="1592.4947999999999"/>
    <x v="54"/>
    <s v="Platinum"/>
    <n v="62"/>
    <x v="1"/>
    <s v="Electronics"/>
  </r>
  <r>
    <s v="SALE55"/>
    <d v="2024-10-24T00:00:00"/>
    <x v="51"/>
    <x v="2"/>
    <x v="19"/>
    <n v="2"/>
    <n v="2"/>
    <n v="559.71"/>
    <n v="559.71"/>
    <n v="0.3"/>
    <n v="0.3"/>
    <x v="2"/>
    <n v="783.59400000000005"/>
    <x v="55"/>
    <s v="Platinum"/>
    <n v="46"/>
    <x v="0"/>
    <s v="Beauty"/>
  </r>
  <r>
    <s v="SALE56"/>
    <d v="2023-12-22T00:00:00"/>
    <x v="52"/>
    <x v="13"/>
    <x v="16"/>
    <n v="2"/>
    <n v="2"/>
    <n v="833.7"/>
    <n v="833.7"/>
    <n v="0.06"/>
    <n v="0.06"/>
    <x v="1"/>
    <n v="1567.356"/>
    <x v="56"/>
    <s v="Bronze"/>
    <n v="61"/>
    <x v="1"/>
    <s v="Electronics"/>
  </r>
  <r>
    <s v="SALE57"/>
    <d v="2024-06-19T00:00:00"/>
    <x v="1"/>
    <x v="44"/>
    <x v="7"/>
    <n v="2"/>
    <n v="2"/>
    <n v="680.16"/>
    <n v="680.16"/>
    <n v="0.28000000000000003"/>
    <n v="0.28000000000000003"/>
    <x v="0"/>
    <n v="979.43039999999996"/>
    <x v="57"/>
    <s v="Gold"/>
    <n v="63"/>
    <x v="1"/>
    <s v="Beauty"/>
  </r>
  <r>
    <s v="SALE58"/>
    <d v="2024-12-07T00:00:00"/>
    <x v="53"/>
    <x v="5"/>
    <x v="4"/>
    <n v="4"/>
    <n v="4"/>
    <n v="733.42"/>
    <n v="733.42"/>
    <m/>
    <n v="0.1"/>
    <x v="1"/>
    <n v="2552.3015999999998"/>
    <x v="58"/>
    <s v="Silver"/>
    <n v="22"/>
    <x v="1"/>
    <s v="Electronics"/>
  </r>
  <r>
    <s v="SALE59"/>
    <d v="2023-11-27T00:00:00"/>
    <x v="54"/>
    <x v="41"/>
    <x v="19"/>
    <n v="1"/>
    <n v="1"/>
    <n v="996.33"/>
    <n v="996.33"/>
    <n v="0.23"/>
    <n v="0.23"/>
    <x v="1"/>
    <n v="767.17410000000007"/>
    <x v="59"/>
    <s v="Bronze"/>
    <n v="51"/>
    <x v="0"/>
    <s v="Beauty"/>
  </r>
  <r>
    <s v="SALE60"/>
    <d v="2025-07-16T00:00:00"/>
    <x v="55"/>
    <x v="45"/>
    <x v="15"/>
    <n v="1"/>
    <n v="1"/>
    <n v="198.83"/>
    <n v="198.83"/>
    <n v="0.09"/>
    <n v="0.09"/>
    <x v="2"/>
    <n v="180.93530000000001"/>
    <x v="60"/>
    <s v="Gold"/>
    <n v="36"/>
    <x v="0"/>
    <s v="Sports"/>
  </r>
  <r>
    <s v="SALE61"/>
    <d v="2025-02-28T00:00:00"/>
    <x v="19"/>
    <x v="46"/>
    <x v="4"/>
    <n v="1"/>
    <n v="1"/>
    <n v="374.92"/>
    <n v="374.92"/>
    <n v="0.18"/>
    <n v="0.18"/>
    <x v="1"/>
    <n v="307.43439999999998"/>
    <x v="61"/>
    <s v="Platinum"/>
    <n v="58"/>
    <x v="1"/>
    <s v="Sports"/>
  </r>
  <r>
    <s v="SALE62"/>
    <d v="2024-08-11T00:00:00"/>
    <x v="9"/>
    <x v="47"/>
    <x v="9"/>
    <n v="1"/>
    <n v="1"/>
    <n v="468.94"/>
    <n v="468.94"/>
    <n v="0.12"/>
    <n v="0.12"/>
    <x v="0"/>
    <n v="412.66719999999998"/>
    <x v="62"/>
    <s v="Not Found"/>
    <s v="Not Found"/>
    <x v="2"/>
    <s v="Electronics"/>
  </r>
  <r>
    <s v="SALE63"/>
    <d v="2025-09-27T00:00:00"/>
    <x v="56"/>
    <x v="41"/>
    <x v="18"/>
    <n v="2"/>
    <n v="2"/>
    <n v="121.37"/>
    <n v="121.37"/>
    <n v="0.05"/>
    <n v="0.05"/>
    <x v="0"/>
    <n v="230.60300000000001"/>
    <x v="63"/>
    <s v="Gold"/>
    <n v="62"/>
    <x v="1"/>
    <s v="Beauty"/>
  </r>
  <r>
    <s v="SALE64"/>
    <d v="2025-09-14T00:00:00"/>
    <x v="57"/>
    <x v="27"/>
    <x v="15"/>
    <n v="3"/>
    <n v="3"/>
    <n v="480.06"/>
    <n v="480.06"/>
    <n v="0.01"/>
    <n v="0.01"/>
    <x v="0"/>
    <m/>
    <x v="64"/>
    <s v="Gold"/>
    <n v="21"/>
    <x v="0"/>
    <s v="Clothing"/>
  </r>
  <r>
    <s v="SALE65"/>
    <d v="2023-12-30T00:00:00"/>
    <x v="58"/>
    <x v="8"/>
    <x v="1"/>
    <n v="2"/>
    <n v="2"/>
    <n v="856.57"/>
    <n v="856.57"/>
    <n v="0.24"/>
    <n v="0.24"/>
    <x v="0"/>
    <n v="1301.9864"/>
    <x v="65"/>
    <s v="Silver"/>
    <n v="37"/>
    <x v="0"/>
    <s v="Home"/>
  </r>
  <r>
    <s v="SALE66"/>
    <d v="2023-10-14T00:00:00"/>
    <x v="59"/>
    <x v="25"/>
    <x v="17"/>
    <n v="4"/>
    <n v="4"/>
    <n v="814.25"/>
    <n v="814.25"/>
    <n v="0.18"/>
    <n v="0.18"/>
    <x v="0"/>
    <n v="2670.74"/>
    <x v="66"/>
    <s v="Silver"/>
    <n v="45"/>
    <x v="1"/>
    <s v="Electronics"/>
  </r>
  <r>
    <s v="SALE67"/>
    <d v="2023-11-25T00:00:00"/>
    <x v="60"/>
    <x v="21"/>
    <x v="17"/>
    <n v="1"/>
    <n v="1"/>
    <n v="989.17"/>
    <n v="989.17"/>
    <n v="0.2"/>
    <n v="0.2"/>
    <x v="1"/>
    <n v="791.33600000000001"/>
    <x v="67"/>
    <s v="Gold"/>
    <n v="48"/>
    <x v="0"/>
    <s v="Beauty"/>
  </r>
  <r>
    <s v="SALE68"/>
    <d v="2023-12-10T00:00:00"/>
    <x v="61"/>
    <x v="18"/>
    <x v="15"/>
    <n v="4"/>
    <n v="4"/>
    <n v="62.48"/>
    <n v="62.48"/>
    <n v="0.18"/>
    <n v="0.18"/>
    <x v="0"/>
    <n v="204.93440000000001"/>
    <x v="68"/>
    <s v="Bronze"/>
    <n v="28"/>
    <x v="0"/>
    <s v="Sports"/>
  </r>
  <r>
    <s v="SALE69"/>
    <d v="2025-08-28T00:00:00"/>
    <x v="62"/>
    <x v="26"/>
    <x v="9"/>
    <n v="4"/>
    <n v="4"/>
    <n v="561.24"/>
    <n v="561.24"/>
    <n v="0.24"/>
    <n v="0.24"/>
    <x v="0"/>
    <n v="1706.1695999999999"/>
    <x v="69"/>
    <s v="Silver"/>
    <n v="35"/>
    <x v="0"/>
    <s v="Electronics"/>
  </r>
  <r>
    <s v="SALE70"/>
    <d v="2025-07-11T00:00:00"/>
    <x v="63"/>
    <x v="17"/>
    <x v="3"/>
    <n v="3"/>
    <n v="3"/>
    <n v="92.24"/>
    <n v="92.24"/>
    <n v="0.28000000000000003"/>
    <n v="0.28000000000000003"/>
    <x v="2"/>
    <m/>
    <x v="70"/>
    <s v="Platinum"/>
    <n v="51"/>
    <x v="0"/>
    <s v="Beauty"/>
  </r>
  <r>
    <s v="SALE71"/>
    <d v="2025-08-20T00:00:00"/>
    <x v="64"/>
    <x v="18"/>
    <x v="8"/>
    <n v="2"/>
    <n v="2"/>
    <n v="668.3"/>
    <n v="668.3"/>
    <n v="7.0000000000000007E-2"/>
    <n v="7.0000000000000007E-2"/>
    <x v="0"/>
    <n v="1243.038"/>
    <x v="71"/>
    <s v="Platinum"/>
    <n v="36"/>
    <x v="1"/>
    <s v="Sports"/>
  </r>
  <r>
    <s v="SALE72"/>
    <d v="2024-08-29T00:00:00"/>
    <x v="0"/>
    <x v="48"/>
    <x v="3"/>
    <n v="1"/>
    <n v="1"/>
    <n v="553.82000000000005"/>
    <n v="553.82000000000005"/>
    <n v="0.09"/>
    <n v="0.09"/>
    <x v="0"/>
    <n v="503.97620000000012"/>
    <x v="72"/>
    <s v="Gold"/>
    <n v="55"/>
    <x v="0"/>
    <s v="Sports"/>
  </r>
  <r>
    <s v="SALE73"/>
    <d v="2024-11-30T00:00:00"/>
    <x v="65"/>
    <x v="49"/>
    <x v="19"/>
    <n v="2"/>
    <n v="2"/>
    <n v="556.42999999999995"/>
    <n v="556.42999999999995"/>
    <n v="0.13"/>
    <n v="0.13"/>
    <x v="0"/>
    <n v="968.18819999999994"/>
    <x v="73"/>
    <s v="UNKNOWN"/>
    <n v="27"/>
    <x v="1"/>
    <s v="Sports"/>
  </r>
  <r>
    <s v="SALE74"/>
    <d v="2025-10-12T00:00:00"/>
    <x v="66"/>
    <x v="42"/>
    <x v="2"/>
    <n v="1"/>
    <n v="1"/>
    <n v="184.98"/>
    <n v="184.98"/>
    <n v="0.1"/>
    <n v="0.1"/>
    <x v="2"/>
    <n v="166.482"/>
    <x v="74"/>
    <s v="Bronze"/>
    <n v="23"/>
    <x v="0"/>
    <s v="Sports"/>
  </r>
  <r>
    <s v="SALE75"/>
    <d v="2024-07-27T00:00:00"/>
    <x v="67"/>
    <x v="0"/>
    <x v="18"/>
    <n v="4"/>
    <n v="4"/>
    <n v="700.18"/>
    <n v="700.18"/>
    <n v="0.23"/>
    <n v="0.23"/>
    <x v="0"/>
    <n v="2156.5544"/>
    <x v="75"/>
    <s v="Silver"/>
    <n v="52"/>
    <x v="0"/>
    <s v="Sports"/>
  </r>
  <r>
    <s v="SALE76"/>
    <d v="2023-12-25T00:00:00"/>
    <x v="68"/>
    <x v="3"/>
    <x v="15"/>
    <n v="2"/>
    <n v="2"/>
    <n v="686.31"/>
    <n v="686.31"/>
    <n v="0.25"/>
    <n v="0.25"/>
    <x v="0"/>
    <n v="1029.4649999999999"/>
    <x v="76"/>
    <s v="Platinum"/>
    <n v="46"/>
    <x v="1"/>
    <s v="Electronics"/>
  </r>
  <r>
    <s v="SALE77"/>
    <d v="2025-05-23T00:00:00"/>
    <x v="69"/>
    <x v="22"/>
    <x v="10"/>
    <n v="1"/>
    <n v="1"/>
    <n v="687.82"/>
    <n v="687.82"/>
    <n v="0.27"/>
    <n v="0.27"/>
    <x v="2"/>
    <n v="502.10860000000002"/>
    <x v="77"/>
    <s v="Bronze"/>
    <n v="29"/>
    <x v="1"/>
    <s v="Electronics"/>
  </r>
  <r>
    <s v="SALE78"/>
    <d v="2024-11-13T00:00:00"/>
    <x v="70"/>
    <x v="50"/>
    <x v="2"/>
    <n v="2"/>
    <n v="2"/>
    <n v="900.55"/>
    <n v="900.55"/>
    <n v="0.16"/>
    <n v="0.16"/>
    <x v="0"/>
    <n v="1512.924"/>
    <x v="78"/>
    <s v="Platinum"/>
    <n v="38"/>
    <x v="0"/>
    <s v="Beauty"/>
  </r>
  <r>
    <s v="SALE79"/>
    <d v="2023-12-08T00:00:00"/>
    <x v="71"/>
    <x v="39"/>
    <x v="17"/>
    <n v="1"/>
    <n v="1"/>
    <n v="341.17"/>
    <n v="341.17"/>
    <n v="0.15"/>
    <n v="0.15"/>
    <x v="0"/>
    <n v="289.99450000000002"/>
    <x v="79"/>
    <s v="Platinum"/>
    <n v="53"/>
    <x v="1"/>
    <s v="Home"/>
  </r>
  <r>
    <s v="SALE80"/>
    <d v="2025-08-16T00:00:00"/>
    <x v="72"/>
    <x v="40"/>
    <x v="2"/>
    <n v="1"/>
    <n v="1"/>
    <n v="442.27"/>
    <n v="442.27"/>
    <n v="0.06"/>
    <n v="0.06"/>
    <x v="2"/>
    <n v="415.73379999999997"/>
    <x v="80"/>
    <s v="Silver"/>
    <n v="48"/>
    <x v="0"/>
    <s v="Sports"/>
  </r>
  <r>
    <s v="SALE81"/>
    <d v="2024-11-20T00:00:00"/>
    <x v="73"/>
    <x v="51"/>
    <x v="11"/>
    <n v="1"/>
    <n v="1"/>
    <n v="363.73"/>
    <n v="363.73"/>
    <n v="0.25"/>
    <n v="0.25"/>
    <x v="1"/>
    <n v="272.79750000000001"/>
    <x v="81"/>
    <s v="Bronze"/>
    <n v="32"/>
    <x v="0"/>
    <s v="Beauty"/>
  </r>
  <r>
    <s v="SALE82"/>
    <d v="2024-08-14T00:00:00"/>
    <x v="74"/>
    <x v="52"/>
    <x v="1"/>
    <n v="2"/>
    <n v="2"/>
    <n v="601.33000000000004"/>
    <n v="601.33000000000004"/>
    <n v="0.16"/>
    <n v="0.16"/>
    <x v="1"/>
    <n v="1010.2344000000001"/>
    <x v="82"/>
    <s v="Bronze"/>
    <n v="44"/>
    <x v="1"/>
    <s v="Clothing"/>
  </r>
  <r>
    <s v="SALE83"/>
    <d v="2024-05-15T00:00:00"/>
    <x v="75"/>
    <x v="53"/>
    <x v="14"/>
    <n v="4"/>
    <n v="4"/>
    <n v="34.39"/>
    <n v="34.39"/>
    <n v="0.03"/>
    <n v="0.03"/>
    <x v="1"/>
    <n v="133.4332"/>
    <x v="83"/>
    <s v="Bronze"/>
    <n v="34"/>
    <x v="0"/>
    <s v="Sports"/>
  </r>
  <r>
    <s v="SALE84"/>
    <d v="2023-12-08T00:00:00"/>
    <x v="62"/>
    <x v="54"/>
    <x v="1"/>
    <n v="1"/>
    <n v="1"/>
    <n v="773.57"/>
    <n v="773.57"/>
    <n v="0.05"/>
    <n v="0.05"/>
    <x v="2"/>
    <m/>
    <x v="84"/>
    <s v="Silver"/>
    <n v="35"/>
    <x v="0"/>
    <s v="Clothing"/>
  </r>
  <r>
    <s v="SALE85"/>
    <d v="2023-12-22T00:00:00"/>
    <x v="76"/>
    <x v="12"/>
    <x v="4"/>
    <n v="4"/>
    <n v="4"/>
    <n v="127.1"/>
    <n v="127.1"/>
    <n v="0.24"/>
    <n v="0.24"/>
    <x v="2"/>
    <n v="386.38400000000001"/>
    <x v="85"/>
    <s v="Platinum"/>
    <n v="24"/>
    <x v="0"/>
    <s v="Sports"/>
  </r>
  <r>
    <s v="SALE86"/>
    <d v="2024-09-10T00:00:00"/>
    <x v="77"/>
    <x v="42"/>
    <x v="0"/>
    <n v="3"/>
    <n v="3"/>
    <n v="899.58"/>
    <n v="899.58"/>
    <n v="0.28000000000000003"/>
    <n v="0.28000000000000003"/>
    <x v="1"/>
    <n v="1943.0927999999999"/>
    <x v="86"/>
    <s v="Platinum"/>
    <n v="23"/>
    <x v="1"/>
    <s v="Sports"/>
  </r>
  <r>
    <s v="SALE87"/>
    <d v="2025-04-08T00:00:00"/>
    <x v="78"/>
    <x v="55"/>
    <x v="15"/>
    <n v="3"/>
    <n v="3"/>
    <n v="964.39"/>
    <n v="964.39"/>
    <n v="0.04"/>
    <n v="0.04"/>
    <x v="0"/>
    <n v="2777.4432000000002"/>
    <x v="87"/>
    <s v="Bronze"/>
    <n v="62"/>
    <x v="1"/>
    <s v="Clothing"/>
  </r>
  <r>
    <s v="SALE88"/>
    <d v="2024-10-23T00:00:00"/>
    <x v="79"/>
    <x v="48"/>
    <x v="6"/>
    <n v="2"/>
    <n v="2"/>
    <n v="217.83"/>
    <n v="217.83"/>
    <n v="0.14000000000000001"/>
    <n v="0.14000000000000001"/>
    <x v="1"/>
    <n v="374.66759999999999"/>
    <x v="88"/>
    <s v="Platinum"/>
    <n v="18"/>
    <x v="0"/>
    <s v="Sports"/>
  </r>
  <r>
    <s v="SALE89"/>
    <d v="2025-07-10T00:00:00"/>
    <x v="80"/>
    <x v="53"/>
    <x v="8"/>
    <n v="4"/>
    <n v="4"/>
    <n v="187.71"/>
    <n v="187.71"/>
    <n v="0.06"/>
    <n v="0.06"/>
    <x v="2"/>
    <n v="705.78959999999995"/>
    <x v="89"/>
    <s v="Bronze"/>
    <n v="46"/>
    <x v="0"/>
    <s v="Sports"/>
  </r>
  <r>
    <s v="SALE90"/>
    <d v="2024-10-12T00:00:00"/>
    <x v="81"/>
    <x v="9"/>
    <x v="14"/>
    <n v="2"/>
    <n v="2"/>
    <n v="350.12"/>
    <n v="350.12"/>
    <n v="0.12"/>
    <n v="0.12"/>
    <x v="2"/>
    <n v="616.21119999999996"/>
    <x v="90"/>
    <s v="Bronze"/>
    <n v="53"/>
    <x v="0"/>
    <s v="Home"/>
  </r>
  <r>
    <s v="SALE91"/>
    <d v="2024-01-21T00:00:00"/>
    <x v="82"/>
    <x v="30"/>
    <x v="8"/>
    <n v="4"/>
    <n v="4"/>
    <n v="102.19"/>
    <n v="102.19"/>
    <n v="0.17"/>
    <n v="0.17"/>
    <x v="1"/>
    <n v="339.27080000000001"/>
    <x v="91"/>
    <s v="Gold"/>
    <n v="23"/>
    <x v="1"/>
    <s v="OTHERS"/>
  </r>
  <r>
    <s v="SALE92"/>
    <d v="2024-02-28T00:00:00"/>
    <x v="69"/>
    <x v="56"/>
    <x v="5"/>
    <n v="1"/>
    <n v="1"/>
    <n v="696.53"/>
    <n v="696.53"/>
    <n v="0.17"/>
    <n v="0.17"/>
    <x v="0"/>
    <n v="578.11989999999992"/>
    <x v="92"/>
    <s v="Bronze"/>
    <n v="29"/>
    <x v="1"/>
    <s v="Home"/>
  </r>
  <r>
    <s v="SALE93"/>
    <d v="2024-12-31T00:00:00"/>
    <x v="10"/>
    <x v="46"/>
    <x v="5"/>
    <n v="2"/>
    <n v="2"/>
    <n v="327.52"/>
    <n v="327.52"/>
    <n v="0.15"/>
    <n v="0.15"/>
    <x v="1"/>
    <n v="556.78399999999999"/>
    <x v="93"/>
    <s v="Silver"/>
    <n v="21"/>
    <x v="1"/>
    <s v="Sports"/>
  </r>
  <r>
    <s v="SALE94"/>
    <d v="2024-08-26T00:00:00"/>
    <x v="83"/>
    <x v="0"/>
    <x v="12"/>
    <n v="2"/>
    <n v="2"/>
    <n v="569.36"/>
    <n v="569.36"/>
    <n v="0.01"/>
    <n v="0.01"/>
    <x v="1"/>
    <m/>
    <x v="94"/>
    <s v="Platinum"/>
    <n v="64"/>
    <x v="0"/>
    <s v="Sports"/>
  </r>
  <r>
    <s v="SALE95"/>
    <d v="2024-09-21T00:00:00"/>
    <x v="84"/>
    <x v="8"/>
    <x v="16"/>
    <n v="2"/>
    <n v="2"/>
    <n v="68.290000000000006"/>
    <n v="68.290000000000006"/>
    <n v="0.14000000000000001"/>
    <n v="0.14000000000000001"/>
    <x v="2"/>
    <n v="117.4588"/>
    <x v="95"/>
    <s v="Bronze"/>
    <n v="21"/>
    <x v="1"/>
    <s v="Home"/>
  </r>
  <r>
    <s v="SALE96"/>
    <d v="2024-08-19T00:00:00"/>
    <x v="85"/>
    <x v="57"/>
    <x v="15"/>
    <n v="1"/>
    <n v="1"/>
    <n v="842.9"/>
    <n v="842.9"/>
    <n v="0.06"/>
    <n v="0.06"/>
    <x v="2"/>
    <n v="792.32599999999991"/>
    <x v="96"/>
    <s v="Bronze"/>
    <n v="19"/>
    <x v="0"/>
    <s v="Sports"/>
  </r>
  <r>
    <s v="SALE97"/>
    <d v="2024-10-22T00:00:00"/>
    <x v="86"/>
    <x v="58"/>
    <x v="0"/>
    <n v="3"/>
    <n v="3"/>
    <n v="751.94"/>
    <n v="751.94"/>
    <n v="0.26"/>
    <n v="0.26"/>
    <x v="1"/>
    <n v="1669.3068000000001"/>
    <x v="97"/>
    <s v="Gold"/>
    <n v="22"/>
    <x v="1"/>
    <s v="OTHERS"/>
  </r>
  <r>
    <s v="SALE98"/>
    <d v="2024-10-15T00:00:00"/>
    <x v="87"/>
    <x v="6"/>
    <x v="4"/>
    <n v="4"/>
    <n v="4"/>
    <n v="476.28"/>
    <n v="476.28"/>
    <n v="0.17"/>
    <n v="0.17"/>
    <x v="0"/>
    <n v="1581.2496000000001"/>
    <x v="98"/>
    <s v="Bronze"/>
    <n v="34"/>
    <x v="1"/>
    <s v="Home"/>
  </r>
  <r>
    <s v="SALE99"/>
    <d v="2024-07-06T00:00:00"/>
    <x v="88"/>
    <x v="59"/>
    <x v="0"/>
    <n v="3"/>
    <n v="3"/>
    <n v="541.99"/>
    <n v="541.99"/>
    <n v="0.24"/>
    <n v="0.24"/>
    <x v="2"/>
    <n v="1235.7372"/>
    <x v="99"/>
    <s v="Bronze"/>
    <n v="60"/>
    <x v="0"/>
    <s v="Sports"/>
  </r>
  <r>
    <s v="SALE100"/>
    <d v="2025-01-20T00:00:00"/>
    <x v="89"/>
    <x v="9"/>
    <x v="3"/>
    <n v="2"/>
    <n v="2"/>
    <n v="401.5"/>
    <n v="401.5"/>
    <n v="0.18"/>
    <n v="0.18"/>
    <x v="0"/>
    <n v="658.46"/>
    <x v="100"/>
    <s v="Platinum"/>
    <n v="20"/>
    <x v="1"/>
    <s v="Home"/>
  </r>
  <r>
    <s v="SALE101"/>
    <d v="2024-06-10T00:00:00"/>
    <x v="42"/>
    <x v="60"/>
    <x v="13"/>
    <n v="3"/>
    <n v="3"/>
    <n v="359.56"/>
    <n v="359.56"/>
    <n v="0.17"/>
    <n v="0.17"/>
    <x v="1"/>
    <n v="895.30439999999999"/>
    <x v="101"/>
    <s v="Platinum"/>
    <n v="26"/>
    <x v="1"/>
    <s v="Clothing"/>
  </r>
  <r>
    <s v="SALE102"/>
    <d v="2024-09-17T00:00:00"/>
    <x v="90"/>
    <x v="61"/>
    <x v="18"/>
    <n v="2"/>
    <n v="2"/>
    <n v="471.88"/>
    <n v="471.88"/>
    <n v="0.24"/>
    <n v="0.24"/>
    <x v="1"/>
    <n v="717.25760000000002"/>
    <x v="102"/>
    <s v="Silver"/>
    <n v="36"/>
    <x v="0"/>
    <s v="Home"/>
  </r>
  <r>
    <s v="SALE103"/>
    <d v="2025-09-07T00:00:00"/>
    <x v="91"/>
    <x v="13"/>
    <x v="5"/>
    <n v="4"/>
    <n v="4"/>
    <n v="925.19"/>
    <n v="925.19"/>
    <n v="0.19"/>
    <n v="0.19"/>
    <x v="1"/>
    <n v="2997.615600000001"/>
    <x v="103"/>
    <s v="Silver"/>
    <n v="23"/>
    <x v="1"/>
    <s v="Electronics"/>
  </r>
  <r>
    <s v="SALE104"/>
    <d v="2024-02-08T00:00:00"/>
    <x v="92"/>
    <x v="56"/>
    <x v="19"/>
    <n v="2"/>
    <n v="2"/>
    <n v="879.63"/>
    <n v="879.63"/>
    <n v="7.0000000000000007E-2"/>
    <n v="7.0000000000000007E-2"/>
    <x v="2"/>
    <n v="1636.1117999999999"/>
    <x v="104"/>
    <s v="Silver"/>
    <n v="54"/>
    <x v="1"/>
    <s v="Home"/>
  </r>
  <r>
    <s v="SALE105"/>
    <d v="2023-10-15T00:00:00"/>
    <x v="93"/>
    <x v="29"/>
    <x v="1"/>
    <n v="2"/>
    <n v="2"/>
    <n v="418.23"/>
    <n v="418.23"/>
    <n v="0.28000000000000003"/>
    <n v="0.28000000000000003"/>
    <x v="0"/>
    <n v="602.25120000000004"/>
    <x v="105"/>
    <s v="Platinum"/>
    <n v="29"/>
    <x v="1"/>
    <s v="Home"/>
  </r>
  <r>
    <s v="SALE106"/>
    <d v="2025-08-22T00:00:00"/>
    <x v="59"/>
    <x v="46"/>
    <x v="14"/>
    <n v="3"/>
    <n v="3"/>
    <n v="551.72"/>
    <n v="551.72"/>
    <n v="0.03"/>
    <n v="0.03"/>
    <x v="2"/>
    <n v="1605.5052000000001"/>
    <x v="106"/>
    <s v="Silver"/>
    <n v="45"/>
    <x v="1"/>
    <s v="Sports"/>
  </r>
  <r>
    <s v="SALE107"/>
    <d v="2024-02-01T00:00:00"/>
    <x v="94"/>
    <x v="56"/>
    <x v="4"/>
    <n v="4"/>
    <n v="4"/>
    <n v="525.61"/>
    <n v="525.61"/>
    <n v="0.02"/>
    <n v="0.02"/>
    <x v="1"/>
    <n v="2060.3912"/>
    <x v="107"/>
    <s v="Silver"/>
    <n v="46"/>
    <x v="1"/>
    <s v="Home"/>
  </r>
  <r>
    <s v="SALE108"/>
    <d v="2025-05-08T00:00:00"/>
    <x v="95"/>
    <x v="62"/>
    <x v="13"/>
    <n v="3"/>
    <n v="3"/>
    <n v="815.3"/>
    <n v="815.3"/>
    <n v="0.03"/>
    <n v="0.03"/>
    <x v="0"/>
    <n v="2372.5230000000001"/>
    <x v="108"/>
    <s v="Platinum"/>
    <n v="21"/>
    <x v="0"/>
    <s v="Sports"/>
  </r>
  <r>
    <s v="SALE109"/>
    <d v="2025-03-22T00:00:00"/>
    <x v="96"/>
    <x v="52"/>
    <x v="6"/>
    <n v="3"/>
    <n v="3"/>
    <n v="376.46"/>
    <n v="376.46"/>
    <n v="0.09"/>
    <n v="0.09"/>
    <x v="2"/>
    <n v="1027.7357999999999"/>
    <x v="109"/>
    <s v="Gold"/>
    <n v="61"/>
    <x v="0"/>
    <s v="Clothing"/>
  </r>
  <r>
    <s v="SALE110"/>
    <d v="2025-07-13T00:00:00"/>
    <x v="69"/>
    <x v="63"/>
    <x v="2"/>
    <n v="4"/>
    <n v="4"/>
    <n v="239.83"/>
    <n v="239.83"/>
    <n v="0.08"/>
    <n v="0.08"/>
    <x v="0"/>
    <n v="882.57440000000008"/>
    <x v="110"/>
    <s v="Bronze"/>
    <n v="29"/>
    <x v="1"/>
    <s v="Electronics"/>
  </r>
  <r>
    <s v="SALE111"/>
    <d v="2025-05-21T00:00:00"/>
    <x v="97"/>
    <x v="64"/>
    <x v="0"/>
    <n v="2"/>
    <n v="2"/>
    <n v="845.71"/>
    <n v="845.71"/>
    <n v="0.01"/>
    <n v="0.01"/>
    <x v="1"/>
    <n v="1674.5057999999999"/>
    <x v="111"/>
    <s v="Bronze"/>
    <n v="40"/>
    <x v="0"/>
    <s v="Electronics"/>
  </r>
  <r>
    <s v="SALE112"/>
    <d v="2025-02-17T00:00:00"/>
    <x v="98"/>
    <x v="3"/>
    <x v="13"/>
    <n v="3"/>
    <n v="3"/>
    <n v="948.69"/>
    <n v="948.69"/>
    <n v="0.28999999999999998"/>
    <n v="0.28999999999999998"/>
    <x v="0"/>
    <n v="2020.7097000000001"/>
    <x v="112"/>
    <s v="Bronze"/>
    <n v="58"/>
    <x v="1"/>
    <s v="Electronics"/>
  </r>
  <r>
    <s v="SALE113"/>
    <d v="2024-05-01T00:00:00"/>
    <x v="1"/>
    <x v="16"/>
    <x v="15"/>
    <n v="1"/>
    <n v="1"/>
    <n v="281.97000000000003"/>
    <n v="281.97000000000003"/>
    <n v="0.2"/>
    <n v="0.2"/>
    <x v="1"/>
    <n v="225.57599999999999"/>
    <x v="113"/>
    <s v="Gold"/>
    <n v="63"/>
    <x v="1"/>
    <s v="Home"/>
  </r>
  <r>
    <s v="SALE114"/>
    <d v="2024-07-09T00:00:00"/>
    <x v="7"/>
    <x v="52"/>
    <x v="5"/>
    <n v="2"/>
    <n v="2"/>
    <n v="731.01"/>
    <n v="731.01"/>
    <n v="0.05"/>
    <n v="0.05"/>
    <x v="1"/>
    <n v="1388.9190000000001"/>
    <x v="114"/>
    <s v="Platinum"/>
    <n v="41"/>
    <x v="1"/>
    <s v="Clothing"/>
  </r>
  <r>
    <s v="SALE115"/>
    <d v="2025-09-25T00:00:00"/>
    <x v="99"/>
    <x v="65"/>
    <x v="4"/>
    <n v="4"/>
    <n v="4"/>
    <n v="930.85"/>
    <n v="930.85"/>
    <n v="0.13"/>
    <n v="0.13"/>
    <x v="1"/>
    <n v="3239.3580000000002"/>
    <x v="115"/>
    <s v="Silver"/>
    <n v="42"/>
    <x v="0"/>
    <s v="Clothing"/>
  </r>
  <r>
    <s v="SALE116"/>
    <d v="2024-05-08T00:00:00"/>
    <x v="100"/>
    <x v="58"/>
    <x v="2"/>
    <n v="4"/>
    <n v="4"/>
    <n v="770.77"/>
    <n v="770.77"/>
    <n v="0.22"/>
    <n v="0.22"/>
    <x v="0"/>
    <n v="2404.8024"/>
    <x v="116"/>
    <s v="Gold"/>
    <n v="33"/>
    <x v="0"/>
    <s v="OTHERS"/>
  </r>
  <r>
    <s v="SALE117"/>
    <d v="2024-09-19T00:00:00"/>
    <x v="101"/>
    <x v="54"/>
    <x v="5"/>
    <n v="3"/>
    <n v="3"/>
    <n v="479.63"/>
    <n v="479.63"/>
    <n v="0.3"/>
    <n v="0.3"/>
    <x v="1"/>
    <n v="1007.223"/>
    <x v="117"/>
    <s v="Silver"/>
    <n v="58"/>
    <x v="0"/>
    <s v="Clothing"/>
  </r>
  <r>
    <s v="SALE118"/>
    <d v="2024-04-23T00:00:00"/>
    <x v="102"/>
    <x v="11"/>
    <x v="19"/>
    <n v="1"/>
    <n v="1"/>
    <n v="165"/>
    <n v="165"/>
    <n v="0.3"/>
    <n v="0.3"/>
    <x v="2"/>
    <n v="115.5"/>
    <x v="118"/>
    <s v="Gold"/>
    <n v="50"/>
    <x v="1"/>
    <s v="Electronics"/>
  </r>
  <r>
    <s v="SALE119"/>
    <d v="2024-07-30T00:00:00"/>
    <x v="103"/>
    <x v="46"/>
    <x v="2"/>
    <n v="2"/>
    <n v="2"/>
    <n v="151.51"/>
    <n v="151.51"/>
    <n v="0.28999999999999998"/>
    <n v="0.28999999999999998"/>
    <x v="2"/>
    <n v="215.14420000000001"/>
    <x v="119"/>
    <s v="Bronze"/>
    <n v="43"/>
    <x v="0"/>
    <s v="Sports"/>
  </r>
  <r>
    <s v="SALE120"/>
    <d v="2023-12-14T00:00:00"/>
    <x v="104"/>
    <x v="45"/>
    <x v="1"/>
    <n v="2"/>
    <n v="2"/>
    <n v="872.93"/>
    <n v="872.93"/>
    <n v="0.28999999999999998"/>
    <n v="0.28999999999999998"/>
    <x v="2"/>
    <n v="1239.5606"/>
    <x v="120"/>
    <s v="Bronze"/>
    <n v="22"/>
    <x v="1"/>
    <s v="Sports"/>
  </r>
  <r>
    <s v="SALE121"/>
    <d v="2024-09-23T00:00:00"/>
    <x v="105"/>
    <x v="62"/>
    <x v="15"/>
    <n v="3"/>
    <n v="3"/>
    <n v="432.4"/>
    <n v="432.4"/>
    <n v="0.04"/>
    <n v="0.04"/>
    <x v="0"/>
    <n v="1245.3119999999999"/>
    <x v="121"/>
    <s v="Gold"/>
    <n v="25"/>
    <x v="0"/>
    <s v="Sports"/>
  </r>
  <r>
    <s v="SALE122"/>
    <d v="2025-08-17T00:00:00"/>
    <x v="94"/>
    <x v="57"/>
    <x v="4"/>
    <n v="2"/>
    <n v="2"/>
    <n v="197.76"/>
    <n v="197.76"/>
    <n v="0.04"/>
    <n v="0.04"/>
    <x v="0"/>
    <n v="379.69920000000002"/>
    <x v="122"/>
    <s v="Silver"/>
    <n v="46"/>
    <x v="1"/>
    <s v="Sports"/>
  </r>
  <r>
    <s v="SALE123"/>
    <d v="2025-01-17T00:00:00"/>
    <x v="22"/>
    <x v="43"/>
    <x v="17"/>
    <n v="3"/>
    <n v="3"/>
    <n v="334.6"/>
    <n v="334.6"/>
    <n v="0.11"/>
    <n v="0.11"/>
    <x v="1"/>
    <n v="893.38200000000006"/>
    <x v="123"/>
    <s v="Gold"/>
    <n v="33"/>
    <x v="1"/>
    <s v="Electronics"/>
  </r>
  <r>
    <s v="SALE124"/>
    <d v="2025-04-30T00:00:00"/>
    <x v="98"/>
    <x v="66"/>
    <x v="0"/>
    <n v="2"/>
    <n v="2"/>
    <n v="44.35"/>
    <n v="44.35"/>
    <n v="0.2"/>
    <n v="0.2"/>
    <x v="2"/>
    <n v="70.960000000000008"/>
    <x v="124"/>
    <s v="Bronze"/>
    <n v="58"/>
    <x v="1"/>
    <s v="Home"/>
  </r>
  <r>
    <s v="SALE125"/>
    <d v="2024-11-02T00:00:00"/>
    <x v="106"/>
    <x v="67"/>
    <x v="16"/>
    <n v="1"/>
    <n v="1"/>
    <n v="846.31"/>
    <n v="846.31"/>
    <n v="0.05"/>
    <n v="0.05"/>
    <x v="1"/>
    <n v="803.9944999999999"/>
    <x v="125"/>
    <s v="Silver"/>
    <n v="35"/>
    <x v="0"/>
    <s v="Electronics"/>
  </r>
  <r>
    <s v="SALE126"/>
    <d v="2025-08-15T00:00:00"/>
    <x v="87"/>
    <x v="68"/>
    <x v="18"/>
    <n v="1"/>
    <n v="1"/>
    <n v="996.48"/>
    <n v="996.48"/>
    <n v="7.0000000000000007E-2"/>
    <n v="7.0000000000000007E-2"/>
    <x v="2"/>
    <n v="926.7263999999999"/>
    <x v="126"/>
    <s v="Bronze"/>
    <n v="34"/>
    <x v="1"/>
    <s v="Home"/>
  </r>
  <r>
    <s v="SALE127"/>
    <d v="2025-09-16T00:00:00"/>
    <x v="107"/>
    <x v="47"/>
    <x v="16"/>
    <n v="3"/>
    <n v="3"/>
    <n v="949.19"/>
    <n v="949.19"/>
    <n v="0.03"/>
    <n v="0.03"/>
    <x v="2"/>
    <n v="2762.1428999999998"/>
    <x v="127"/>
    <s v="Platinum"/>
    <n v="22"/>
    <x v="1"/>
    <s v="Electronics"/>
  </r>
  <r>
    <s v="SALE128"/>
    <d v="2024-02-25T00:00:00"/>
    <x v="108"/>
    <x v="32"/>
    <x v="11"/>
    <n v="2"/>
    <n v="2"/>
    <n v="724.97"/>
    <n v="724.97"/>
    <n v="0.1"/>
    <n v="0.1"/>
    <x v="0"/>
    <n v="1304.9459999999999"/>
    <x v="128"/>
    <s v="Platinum"/>
    <n v="62"/>
    <x v="1"/>
    <s v="Beauty"/>
  </r>
  <r>
    <s v="SALE129"/>
    <d v="2025-03-07T00:00:00"/>
    <x v="109"/>
    <x v="55"/>
    <x v="9"/>
    <n v="1"/>
    <n v="1"/>
    <n v="783.25"/>
    <n v="783.25"/>
    <n v="0.3"/>
    <n v="0.3"/>
    <x v="0"/>
    <n v="548.27499999999998"/>
    <x v="129"/>
    <s v="Silver"/>
    <n v="49"/>
    <x v="0"/>
    <s v="Clothing"/>
  </r>
  <r>
    <s v="SALE130"/>
    <d v="2024-07-22T00:00:00"/>
    <x v="110"/>
    <x v="53"/>
    <x v="0"/>
    <n v="1"/>
    <n v="1"/>
    <n v="942.38"/>
    <n v="942.38"/>
    <n v="0.17"/>
    <n v="0.17"/>
    <x v="0"/>
    <n v="782.17539999999997"/>
    <x v="130"/>
    <s v="Bronze"/>
    <n v="38"/>
    <x v="0"/>
    <s v="Sports"/>
  </r>
  <r>
    <s v="SALE131"/>
    <d v="2024-06-01T00:00:00"/>
    <x v="111"/>
    <x v="69"/>
    <x v="19"/>
    <n v="3"/>
    <n v="3"/>
    <n v="298.35000000000002"/>
    <n v="298.35000000000002"/>
    <n v="0.05"/>
    <n v="0.05"/>
    <x v="2"/>
    <n v="850.29750000000001"/>
    <x v="131"/>
    <s v="Bronze"/>
    <n v="56"/>
    <x v="0"/>
    <s v="Electronics"/>
  </r>
  <r>
    <s v="SALE132"/>
    <d v="2025-01-05T00:00:00"/>
    <x v="112"/>
    <x v="70"/>
    <x v="18"/>
    <n v="4"/>
    <n v="4"/>
    <n v="950.04"/>
    <n v="950.04"/>
    <n v="0.13"/>
    <n v="0.13"/>
    <x v="1"/>
    <n v="3306.1392000000001"/>
    <x v="132"/>
    <s v="Silver"/>
    <n v="39"/>
    <x v="1"/>
    <s v="Electronics"/>
  </r>
  <r>
    <s v="SALE133"/>
    <d v="2025-09-10T00:00:00"/>
    <x v="113"/>
    <x v="71"/>
    <x v="5"/>
    <n v="2"/>
    <n v="2"/>
    <n v="267.19"/>
    <n v="267.19"/>
    <n v="7.0000000000000007E-2"/>
    <n v="7.0000000000000007E-2"/>
    <x v="0"/>
    <n v="496.97340000000003"/>
    <x v="133"/>
    <s v="Bronze"/>
    <n v="62"/>
    <x v="1"/>
    <s v="Sports"/>
  </r>
  <r>
    <s v="SALE134"/>
    <d v="2025-06-19T00:00:00"/>
    <x v="114"/>
    <x v="72"/>
    <x v="10"/>
    <n v="4"/>
    <n v="4"/>
    <n v="72.63"/>
    <n v="72.63"/>
    <n v="0.06"/>
    <n v="0.06"/>
    <x v="1"/>
    <n v="273.08879999999999"/>
    <x v="134"/>
    <s v="Bronze"/>
    <n v="25"/>
    <x v="1"/>
    <s v="Home"/>
  </r>
  <r>
    <s v="SALE135"/>
    <d v="2024-09-09T00:00:00"/>
    <x v="115"/>
    <x v="27"/>
    <x v="3"/>
    <n v="3"/>
    <n v="3"/>
    <n v="576.52"/>
    <n v="576.52"/>
    <n v="0.22"/>
    <n v="0.22"/>
    <x v="2"/>
    <n v="1349.0568000000001"/>
    <x v="135"/>
    <s v="Gold"/>
    <n v="18"/>
    <x v="1"/>
    <s v="Clothing"/>
  </r>
  <r>
    <s v="SALE136"/>
    <d v="2025-04-04T00:00:00"/>
    <x v="116"/>
    <x v="51"/>
    <x v="11"/>
    <n v="3"/>
    <n v="3"/>
    <n v="849.36"/>
    <n v="849.36"/>
    <n v="0.03"/>
    <n v="0.03"/>
    <x v="0"/>
    <n v="2471.6376"/>
    <x v="136"/>
    <s v="Bronze"/>
    <n v="31"/>
    <x v="0"/>
    <s v="Beauty"/>
  </r>
  <r>
    <s v="SALE137"/>
    <d v="2024-04-10T00:00:00"/>
    <x v="117"/>
    <x v="57"/>
    <x v="16"/>
    <n v="1"/>
    <n v="1"/>
    <n v="245.85"/>
    <n v="245.85"/>
    <n v="0.18"/>
    <n v="0.18"/>
    <x v="2"/>
    <n v="201.59700000000001"/>
    <x v="137"/>
    <s v="Bronze"/>
    <n v="53"/>
    <x v="0"/>
    <s v="Sports"/>
  </r>
  <r>
    <s v="SALE138"/>
    <d v="2024-10-24T00:00:00"/>
    <x v="118"/>
    <x v="0"/>
    <x v="15"/>
    <n v="3"/>
    <n v="3"/>
    <n v="237.68"/>
    <n v="237.68"/>
    <n v="0.1"/>
    <n v="0.1"/>
    <x v="2"/>
    <n v="641.73599999999999"/>
    <x v="138"/>
    <s v="Bronze"/>
    <n v="33"/>
    <x v="1"/>
    <s v="Sports"/>
  </r>
  <r>
    <s v="SALE139"/>
    <d v="2025-04-09T00:00:00"/>
    <x v="119"/>
    <x v="51"/>
    <x v="7"/>
    <n v="4"/>
    <n v="4"/>
    <n v="715.85"/>
    <n v="715.85"/>
    <n v="0.25"/>
    <n v="0.25"/>
    <x v="1"/>
    <n v="2147.5500000000002"/>
    <x v="139"/>
    <s v="Bronze"/>
    <n v="40"/>
    <x v="1"/>
    <s v="Beauty"/>
  </r>
  <r>
    <s v="SALE140"/>
    <d v="2023-11-25T00:00:00"/>
    <x v="120"/>
    <x v="64"/>
    <x v="3"/>
    <n v="2"/>
    <n v="2"/>
    <n v="478.85"/>
    <n v="478.85"/>
    <n v="0.01"/>
    <n v="0.01"/>
    <x v="2"/>
    <n v="948.12300000000005"/>
    <x v="140"/>
    <s v="Platinum"/>
    <n v="44"/>
    <x v="1"/>
    <s v="Electronics"/>
  </r>
  <r>
    <s v="SALE141"/>
    <d v="2025-03-02T00:00:00"/>
    <x v="121"/>
    <x v="44"/>
    <x v="6"/>
    <n v="1"/>
    <n v="1"/>
    <n v="503.95"/>
    <n v="503.95"/>
    <n v="0.26"/>
    <n v="0.26"/>
    <x v="2"/>
    <n v="372.923"/>
    <x v="141"/>
    <s v="Gold"/>
    <n v="51"/>
    <x v="0"/>
    <s v="Beauty"/>
  </r>
  <r>
    <s v="SALE142"/>
    <d v="2024-10-08T00:00:00"/>
    <x v="122"/>
    <x v="73"/>
    <x v="18"/>
    <n v="2"/>
    <n v="2"/>
    <n v="975.48"/>
    <n v="975.48"/>
    <n v="0.26"/>
    <n v="0.26"/>
    <x v="2"/>
    <n v="1443.7103999999999"/>
    <x v="142"/>
    <s v="Bronze"/>
    <n v="27"/>
    <x v="0"/>
    <s v="Beauty"/>
  </r>
  <r>
    <s v="SALE143"/>
    <d v="2025-08-15T00:00:00"/>
    <x v="123"/>
    <x v="13"/>
    <x v="9"/>
    <n v="4"/>
    <n v="4"/>
    <n v="450.12"/>
    <n v="450.12"/>
    <n v="0.28999999999999998"/>
    <n v="0.28999999999999998"/>
    <x v="2"/>
    <n v="1278.3407999999999"/>
    <x v="143"/>
    <s v="Platinum"/>
    <n v="51"/>
    <x v="1"/>
    <s v="Electronics"/>
  </r>
  <r>
    <s v="SALE144"/>
    <d v="2024-06-05T00:00:00"/>
    <x v="15"/>
    <x v="14"/>
    <x v="2"/>
    <n v="3"/>
    <n v="3"/>
    <n v="237.24"/>
    <n v="237.24"/>
    <n v="0.24"/>
    <n v="0.24"/>
    <x v="1"/>
    <n v="540.90719999999999"/>
    <x v="144"/>
    <s v="Silver"/>
    <n v="37"/>
    <x v="1"/>
    <s v="Clothing"/>
  </r>
  <r>
    <s v="SALE145"/>
    <d v="2024-08-18T00:00:00"/>
    <x v="124"/>
    <x v="59"/>
    <x v="10"/>
    <n v="2"/>
    <n v="2"/>
    <n v="536.84"/>
    <n v="536.84"/>
    <n v="0.09"/>
    <n v="0.09"/>
    <x v="2"/>
    <n v="977.04880000000014"/>
    <x v="145"/>
    <s v="Gold"/>
    <n v="29"/>
    <x v="1"/>
    <s v="Sports"/>
  </r>
  <r>
    <s v="SALE146"/>
    <d v="2024-11-30T00:00:00"/>
    <x v="13"/>
    <x v="14"/>
    <x v="12"/>
    <n v="3"/>
    <n v="3"/>
    <n v="584.41"/>
    <n v="584.41"/>
    <n v="0"/>
    <n v="0"/>
    <x v="2"/>
    <n v="1753.23"/>
    <x v="146"/>
    <s v="Silver"/>
    <n v="51"/>
    <x v="0"/>
    <s v="Clothing"/>
  </r>
  <r>
    <s v="SALE147"/>
    <d v="2024-11-21T00:00:00"/>
    <x v="125"/>
    <x v="74"/>
    <x v="12"/>
    <n v="1"/>
    <n v="1"/>
    <n v="653.87"/>
    <n v="653.87"/>
    <n v="0.14000000000000001"/>
    <n v="0.14000000000000001"/>
    <x v="1"/>
    <n v="562.32820000000004"/>
    <x v="147"/>
    <s v="Platinum"/>
    <n v="29"/>
    <x v="0"/>
    <s v="Sports"/>
  </r>
  <r>
    <s v="SALE148"/>
    <d v="2025-08-09T00:00:00"/>
    <x v="4"/>
    <x v="72"/>
    <x v="6"/>
    <n v="1"/>
    <n v="1"/>
    <n v="652.03"/>
    <n v="652.03"/>
    <n v="0.27"/>
    <n v="0.27"/>
    <x v="0"/>
    <n v="475.9819"/>
    <x v="148"/>
    <s v="Silver"/>
    <n v="28"/>
    <x v="0"/>
    <s v="Home"/>
  </r>
  <r>
    <s v="SALE149"/>
    <d v="2024-07-29T00:00:00"/>
    <x v="126"/>
    <x v="23"/>
    <x v="18"/>
    <n v="3"/>
    <n v="3"/>
    <n v="513.36"/>
    <n v="513.36"/>
    <n v="7.0000000000000007E-2"/>
    <n v="7.0000000000000007E-2"/>
    <x v="2"/>
    <n v="1432.2744"/>
    <x v="149"/>
    <s v="Gold"/>
    <n v="28"/>
    <x v="1"/>
    <s v="Clothing"/>
  </r>
  <r>
    <s v="SALE150"/>
    <d v="2024-05-21T00:00:00"/>
    <x v="127"/>
    <x v="40"/>
    <x v="3"/>
    <n v="4"/>
    <n v="4"/>
    <n v="355.64"/>
    <n v="355.64"/>
    <n v="0.16"/>
    <n v="0.16"/>
    <x v="2"/>
    <n v="1194.9503999999999"/>
    <x v="150"/>
    <s v="Silver"/>
    <n v="24"/>
    <x v="1"/>
    <s v="Sports"/>
  </r>
  <r>
    <s v="SALE151"/>
    <d v="2024-10-29T00:00:00"/>
    <x v="128"/>
    <x v="26"/>
    <x v="2"/>
    <n v="4"/>
    <n v="4"/>
    <n v="535.4"/>
    <n v="535.4"/>
    <n v="0.26"/>
    <n v="0.26"/>
    <x v="1"/>
    <n v="1584.7840000000001"/>
    <x v="151"/>
    <s v="Silver"/>
    <n v="33"/>
    <x v="1"/>
    <s v="Electronics"/>
  </r>
  <r>
    <s v="SALE152"/>
    <d v="2025-05-21T00:00:00"/>
    <x v="129"/>
    <x v="20"/>
    <x v="12"/>
    <n v="2"/>
    <n v="2"/>
    <n v="108.74"/>
    <n v="108.74"/>
    <n v="0.11"/>
    <n v="0.11"/>
    <x v="1"/>
    <n v="193.55719999999999"/>
    <x v="152"/>
    <s v="Gold"/>
    <n v="56"/>
    <x v="1"/>
    <s v="Clothing"/>
  </r>
  <r>
    <s v="SALE153"/>
    <d v="2024-10-14T00:00:00"/>
    <x v="130"/>
    <x v="75"/>
    <x v="12"/>
    <n v="3"/>
    <n v="3"/>
    <n v="591.98"/>
    <n v="591.98"/>
    <n v="0.16"/>
    <n v="0.16"/>
    <x v="0"/>
    <n v="1491.7896000000001"/>
    <x v="153"/>
    <s v="Silver"/>
    <n v="53"/>
    <x v="1"/>
    <s v="Electronics"/>
  </r>
  <r>
    <s v="SALE154"/>
    <d v="2024-11-17T00:00:00"/>
    <x v="131"/>
    <x v="70"/>
    <x v="17"/>
    <n v="1"/>
    <n v="1"/>
    <n v="345.06"/>
    <n v="345.06"/>
    <n v="0.13"/>
    <n v="0.13"/>
    <x v="2"/>
    <n v="300.2022"/>
    <x v="154"/>
    <s v="Gold"/>
    <n v="18"/>
    <x v="1"/>
    <s v="Electronics"/>
  </r>
  <r>
    <s v="SALE155"/>
    <d v="2025-03-29T00:00:00"/>
    <x v="132"/>
    <x v="47"/>
    <x v="18"/>
    <n v="4"/>
    <n v="4"/>
    <n v="986.41"/>
    <n v="986.41"/>
    <n v="0.22"/>
    <n v="0.22"/>
    <x v="0"/>
    <n v="3077.5992000000001"/>
    <x v="155"/>
    <s v="Bronze"/>
    <n v="56"/>
    <x v="1"/>
    <s v="Electronics"/>
  </r>
  <r>
    <s v="SALE156"/>
    <d v="2024-07-21T00:00:00"/>
    <x v="133"/>
    <x v="2"/>
    <x v="6"/>
    <n v="2"/>
    <n v="2"/>
    <n v="921.52"/>
    <n v="921.52"/>
    <n v="0"/>
    <n v="0"/>
    <x v="1"/>
    <n v="1843.04"/>
    <x v="156"/>
    <s v="Platinum"/>
    <n v="54"/>
    <x v="0"/>
    <s v="Beauty"/>
  </r>
  <r>
    <s v="SALE157"/>
    <d v="2025-08-14T00:00:00"/>
    <x v="90"/>
    <x v="76"/>
    <x v="3"/>
    <n v="1"/>
    <n v="1"/>
    <n v="83.1"/>
    <n v="83.1"/>
    <n v="0.04"/>
    <n v="0.04"/>
    <x v="1"/>
    <n v="79.775999999999996"/>
    <x v="157"/>
    <s v="Silver"/>
    <n v="36"/>
    <x v="0"/>
    <s v="Home"/>
  </r>
  <r>
    <s v="SALE158"/>
    <d v="2024-11-05T00:00:00"/>
    <x v="89"/>
    <x v="77"/>
    <x v="19"/>
    <n v="2"/>
    <n v="2"/>
    <n v="60.98"/>
    <n v="60.98"/>
    <n v="0.23"/>
    <n v="0.23"/>
    <x v="1"/>
    <n v="93.909199999999998"/>
    <x v="158"/>
    <s v="Platinum"/>
    <n v="20"/>
    <x v="1"/>
    <s v="Sports"/>
  </r>
  <r>
    <s v="SALE159"/>
    <d v="2024-06-11T00:00:00"/>
    <x v="134"/>
    <x v="41"/>
    <x v="9"/>
    <n v="2"/>
    <n v="2"/>
    <n v="122.23"/>
    <n v="122.23"/>
    <n v="0.21"/>
    <n v="0.21"/>
    <x v="2"/>
    <n v="193.1234"/>
    <x v="159"/>
    <s v="Bronze"/>
    <n v="43"/>
    <x v="1"/>
    <s v="Beauty"/>
  </r>
  <r>
    <s v="SALE160"/>
    <d v="2025-09-18T00:00:00"/>
    <x v="135"/>
    <x v="7"/>
    <x v="14"/>
    <n v="2"/>
    <n v="2"/>
    <n v="623.38"/>
    <n v="623.38"/>
    <n v="0.13"/>
    <n v="0.13"/>
    <x v="0"/>
    <n v="1084.6812"/>
    <x v="160"/>
    <s v="Silver"/>
    <n v="59"/>
    <x v="0"/>
    <s v="Home"/>
  </r>
  <r>
    <s v="SALE161"/>
    <d v="2025-03-13T00:00:00"/>
    <x v="63"/>
    <x v="7"/>
    <x v="6"/>
    <n v="1"/>
    <n v="1"/>
    <n v="479.58"/>
    <n v="479.58"/>
    <n v="0.05"/>
    <n v="0.05"/>
    <x v="1"/>
    <n v="455.60099999999989"/>
    <x v="161"/>
    <s v="Platinum"/>
    <n v="51"/>
    <x v="0"/>
    <s v="Home"/>
  </r>
  <r>
    <s v="SALE162"/>
    <d v="2023-12-16T00:00:00"/>
    <x v="83"/>
    <x v="78"/>
    <x v="16"/>
    <n v="3"/>
    <n v="3"/>
    <n v="369.32"/>
    <n v="369.32"/>
    <n v="0.14000000000000001"/>
    <n v="0.14000000000000001"/>
    <x v="1"/>
    <n v="952.84559999999999"/>
    <x v="162"/>
    <s v="Platinum"/>
    <n v="64"/>
    <x v="0"/>
    <s v="Sports"/>
  </r>
  <r>
    <s v="SALE163"/>
    <d v="2025-07-13T00:00:00"/>
    <x v="136"/>
    <x v="79"/>
    <x v="8"/>
    <n v="1"/>
    <n v="1"/>
    <n v="488.31"/>
    <n v="488.31"/>
    <n v="0.03"/>
    <n v="0.03"/>
    <x v="1"/>
    <n v="473.66070000000002"/>
    <x v="163"/>
    <s v="Gold"/>
    <n v="37"/>
    <x v="0"/>
    <s v="Beauty"/>
  </r>
  <r>
    <s v="SALE164"/>
    <d v="2024-05-06T00:00:00"/>
    <x v="16"/>
    <x v="59"/>
    <x v="18"/>
    <n v="4"/>
    <n v="4"/>
    <n v="164.04"/>
    <n v="164.04"/>
    <n v="0.26"/>
    <n v="0.26"/>
    <x v="0"/>
    <n v="485.55839999999989"/>
    <x v="164"/>
    <s v="Gold"/>
    <n v="38"/>
    <x v="0"/>
    <s v="Sports"/>
  </r>
  <r>
    <s v="SALE165"/>
    <d v="2024-08-04T00:00:00"/>
    <x v="137"/>
    <x v="31"/>
    <x v="1"/>
    <n v="3"/>
    <n v="3"/>
    <n v="707.95"/>
    <n v="707.95"/>
    <n v="0.18"/>
    <n v="0.18"/>
    <x v="1"/>
    <n v="1741.557"/>
    <x v="165"/>
    <s v="Silver"/>
    <n v="56"/>
    <x v="1"/>
    <s v="Home"/>
  </r>
  <r>
    <s v="SALE166"/>
    <d v="2023-12-09T00:00:00"/>
    <x v="138"/>
    <x v="20"/>
    <x v="2"/>
    <n v="4"/>
    <n v="4"/>
    <n v="714.47"/>
    <n v="714.47"/>
    <n v="0.18"/>
    <n v="0.18"/>
    <x v="2"/>
    <n v="2343.4616000000001"/>
    <x v="166"/>
    <s v="Bronze"/>
    <n v="19"/>
    <x v="1"/>
    <s v="Clothing"/>
  </r>
  <r>
    <s v="SALE167"/>
    <d v="2025-07-28T00:00:00"/>
    <x v="139"/>
    <x v="29"/>
    <x v="4"/>
    <n v="4"/>
    <n v="4"/>
    <n v="422.09"/>
    <n v="422.09"/>
    <n v="0.04"/>
    <n v="0.04"/>
    <x v="0"/>
    <n v="1620.8255999999999"/>
    <x v="167"/>
    <s v="Silver"/>
    <n v="26"/>
    <x v="1"/>
    <s v="Home"/>
  </r>
  <r>
    <s v="SALE168"/>
    <d v="2024-06-19T00:00:00"/>
    <x v="140"/>
    <x v="37"/>
    <x v="11"/>
    <n v="1"/>
    <n v="1"/>
    <n v="998.19"/>
    <n v="998.19"/>
    <n v="0.2"/>
    <n v="0.2"/>
    <x v="0"/>
    <n v="798.55200000000013"/>
    <x v="168"/>
    <s v="Bronze"/>
    <n v="38"/>
    <x v="0"/>
    <s v="Home"/>
  </r>
  <r>
    <s v="SALE169"/>
    <d v="2024-01-22T00:00:00"/>
    <x v="141"/>
    <x v="18"/>
    <x v="4"/>
    <n v="2"/>
    <n v="2"/>
    <n v="343.42"/>
    <n v="343.42"/>
    <n v="0.12"/>
    <n v="0.12"/>
    <x v="2"/>
    <n v="604.41920000000005"/>
    <x v="169"/>
    <s v="Gold"/>
    <n v="37"/>
    <x v="1"/>
    <s v="Sports"/>
  </r>
  <r>
    <s v="SALE170"/>
    <d v="2024-04-08T00:00:00"/>
    <x v="142"/>
    <x v="13"/>
    <x v="16"/>
    <n v="1"/>
    <n v="1"/>
    <n v="152.16999999999999"/>
    <n v="152.16999999999999"/>
    <n v="0.28000000000000003"/>
    <n v="0.28000000000000003"/>
    <x v="2"/>
    <n v="109.5624"/>
    <x v="170"/>
    <s v="Platinum"/>
    <n v="57"/>
    <x v="0"/>
    <s v="Electronics"/>
  </r>
  <r>
    <s v="SALE171"/>
    <d v="2025-05-18T00:00:00"/>
    <x v="143"/>
    <x v="2"/>
    <x v="19"/>
    <n v="1"/>
    <n v="1"/>
    <n v="325.08"/>
    <n v="325.08"/>
    <n v="0.26"/>
    <n v="0.26"/>
    <x v="1"/>
    <n v="240.5592"/>
    <x v="171"/>
    <s v="Platinum"/>
    <n v="56"/>
    <x v="0"/>
    <s v="Beauty"/>
  </r>
  <r>
    <s v="SALE172"/>
    <d v="2023-12-07T00:00:00"/>
    <x v="33"/>
    <x v="41"/>
    <x v="15"/>
    <n v="2"/>
    <n v="2"/>
    <n v="827.92"/>
    <n v="827.92"/>
    <n v="0.25"/>
    <n v="0.25"/>
    <x v="2"/>
    <n v="1241.8800000000001"/>
    <x v="172"/>
    <s v="Gold"/>
    <n v="39"/>
    <x v="0"/>
    <s v="Beauty"/>
  </r>
  <r>
    <s v="SALE173"/>
    <d v="2024-01-23T00:00:00"/>
    <x v="144"/>
    <x v="33"/>
    <x v="17"/>
    <n v="2"/>
    <n v="2"/>
    <n v="593.47"/>
    <n v="593.47"/>
    <n v="0.1"/>
    <n v="0.1"/>
    <x v="2"/>
    <n v="1068.2460000000001"/>
    <x v="173"/>
    <s v="Bronze"/>
    <n v="46"/>
    <x v="1"/>
    <s v="Electronics"/>
  </r>
  <r>
    <s v="SALE174"/>
    <d v="2023-12-07T00:00:00"/>
    <x v="145"/>
    <x v="42"/>
    <x v="4"/>
    <n v="4"/>
    <n v="4"/>
    <n v="756.28"/>
    <n v="756.28"/>
    <n v="0.05"/>
    <n v="0.05"/>
    <x v="2"/>
    <n v="2873.864"/>
    <x v="174"/>
    <s v="Platinum"/>
    <n v="56"/>
    <x v="1"/>
    <s v="Sports"/>
  </r>
  <r>
    <s v="SALE175"/>
    <d v="2024-12-15T00:00:00"/>
    <x v="146"/>
    <x v="80"/>
    <x v="8"/>
    <n v="2"/>
    <n v="2"/>
    <n v="707.65"/>
    <n v="707.65"/>
    <n v="0.14000000000000001"/>
    <n v="0.14000000000000001"/>
    <x v="0"/>
    <n v="1217.1579999999999"/>
    <x v="175"/>
    <s v="Gold"/>
    <n v="39"/>
    <x v="1"/>
    <s v="Home"/>
  </r>
  <r>
    <s v="SALE176"/>
    <d v="2024-03-20T00:00:00"/>
    <x v="147"/>
    <x v="60"/>
    <x v="10"/>
    <n v="1"/>
    <n v="1"/>
    <n v="857.35"/>
    <n v="857.35"/>
    <n v="0.28000000000000003"/>
    <n v="0.28000000000000003"/>
    <x v="1"/>
    <n v="617.29200000000003"/>
    <x v="176"/>
    <s v="Silver"/>
    <n v="45"/>
    <x v="0"/>
    <s v="Clothing"/>
  </r>
  <r>
    <s v="SALE177"/>
    <d v="2025-01-13T00:00:00"/>
    <x v="148"/>
    <x v="76"/>
    <x v="2"/>
    <n v="1"/>
    <n v="1"/>
    <n v="79"/>
    <n v="79"/>
    <n v="0.04"/>
    <n v="0.04"/>
    <x v="1"/>
    <n v="75.84"/>
    <x v="177"/>
    <s v="Not Found"/>
    <s v="Not Found"/>
    <x v="2"/>
    <s v="Home"/>
  </r>
  <r>
    <s v="SALE178"/>
    <d v="2025-08-16T00:00:00"/>
    <x v="149"/>
    <x v="32"/>
    <x v="3"/>
    <n v="4"/>
    <n v="4"/>
    <n v="638.91"/>
    <n v="638.91"/>
    <n v="0"/>
    <n v="0"/>
    <x v="2"/>
    <n v="2555.64"/>
    <x v="178"/>
    <s v="Silver"/>
    <n v="27"/>
    <x v="1"/>
    <s v="Beauty"/>
  </r>
  <r>
    <s v="SALE179"/>
    <d v="2025-06-04T00:00:00"/>
    <x v="150"/>
    <x v="49"/>
    <x v="6"/>
    <n v="2"/>
    <n v="2"/>
    <n v="522.16999999999996"/>
    <n v="522.16999999999996"/>
    <n v="0.27"/>
    <n v="0.27"/>
    <x v="0"/>
    <n v="762.36819999999989"/>
    <x v="179"/>
    <s v="Platinum"/>
    <n v="34"/>
    <x v="1"/>
    <s v="Sports"/>
  </r>
  <r>
    <s v="SALE180"/>
    <d v="2023-11-05T00:00:00"/>
    <x v="151"/>
    <x v="11"/>
    <x v="18"/>
    <n v="3"/>
    <n v="3"/>
    <n v="954.29"/>
    <n v="954.29"/>
    <n v="0.27"/>
    <n v="0.27"/>
    <x v="0"/>
    <n v="2089.8951000000002"/>
    <x v="180"/>
    <s v="Gold"/>
    <n v="59"/>
    <x v="0"/>
    <s v="Electronics"/>
  </r>
  <r>
    <s v="SALE181"/>
    <d v="2025-02-22T00:00:00"/>
    <x v="152"/>
    <x v="9"/>
    <x v="13"/>
    <n v="3"/>
    <n v="3"/>
    <n v="53.92"/>
    <n v="53.92"/>
    <n v="0.15"/>
    <n v="0.15"/>
    <x v="1"/>
    <n v="137.49600000000001"/>
    <x v="181"/>
    <s v="Silver"/>
    <n v="34"/>
    <x v="1"/>
    <s v="Home"/>
  </r>
  <r>
    <s v="SALE182"/>
    <d v="2025-04-06T00:00:00"/>
    <x v="21"/>
    <x v="13"/>
    <x v="6"/>
    <n v="4"/>
    <n v="4"/>
    <n v="741.88"/>
    <n v="741.88"/>
    <n v="0.02"/>
    <n v="0.02"/>
    <x v="2"/>
    <n v="2908.1696000000002"/>
    <x v="182"/>
    <s v="Silver"/>
    <n v="25"/>
    <x v="1"/>
    <s v="Electronics"/>
  </r>
  <r>
    <s v="SALE183"/>
    <d v="2024-10-29T00:00:00"/>
    <x v="153"/>
    <x v="54"/>
    <x v="0"/>
    <n v="1"/>
    <n v="1"/>
    <n v="547.09"/>
    <n v="547.09"/>
    <n v="0.01"/>
    <n v="0.01"/>
    <x v="1"/>
    <n v="541.6191"/>
    <x v="183"/>
    <s v="Platinum"/>
    <n v="25"/>
    <x v="0"/>
    <s v="Clothing"/>
  </r>
  <r>
    <s v="SALE184"/>
    <d v="2025-01-29T00:00:00"/>
    <x v="154"/>
    <x v="41"/>
    <x v="0"/>
    <n v="1"/>
    <n v="1"/>
    <n v="789.35"/>
    <n v="789.35"/>
    <n v="0.14000000000000001"/>
    <n v="0.14000000000000001"/>
    <x v="1"/>
    <n v="678.84100000000001"/>
    <x v="184"/>
    <s v="Silver"/>
    <n v="42"/>
    <x v="1"/>
    <s v="Beauty"/>
  </r>
  <r>
    <s v="SALE185"/>
    <d v="2024-03-03T00:00:00"/>
    <x v="155"/>
    <x v="81"/>
    <x v="0"/>
    <n v="3"/>
    <n v="3"/>
    <n v="476.78"/>
    <n v="476.78"/>
    <n v="0.09"/>
    <n v="0.09"/>
    <x v="2"/>
    <n v="1301.6094000000001"/>
    <x v="185"/>
    <s v="Bronze"/>
    <n v="27"/>
    <x v="1"/>
    <s v="Beauty"/>
  </r>
  <r>
    <s v="SALE186"/>
    <d v="2024-11-04T00:00:00"/>
    <x v="32"/>
    <x v="29"/>
    <x v="14"/>
    <n v="2"/>
    <n v="2"/>
    <n v="504.26"/>
    <n v="504.26"/>
    <n v="0.04"/>
    <n v="0.04"/>
    <x v="1"/>
    <n v="968.17919999999992"/>
    <x v="186"/>
    <s v="Platinum"/>
    <n v="62"/>
    <x v="1"/>
    <s v="Home"/>
  </r>
  <r>
    <s v="SALE187"/>
    <d v="2024-09-03T00:00:00"/>
    <x v="156"/>
    <x v="82"/>
    <x v="16"/>
    <n v="2"/>
    <n v="2"/>
    <n v="549.33000000000004"/>
    <n v="549.33000000000004"/>
    <n v="0.01"/>
    <n v="0.01"/>
    <x v="2"/>
    <n v="1087.6733999999999"/>
    <x v="187"/>
    <s v="Gold"/>
    <n v="48"/>
    <x v="1"/>
    <s v="Sports"/>
  </r>
  <r>
    <s v="SALE188"/>
    <d v="2024-04-29T00:00:00"/>
    <x v="157"/>
    <x v="83"/>
    <x v="0"/>
    <n v="3"/>
    <n v="3"/>
    <n v="620.22"/>
    <n v="620.22"/>
    <n v="0.04"/>
    <n v="0.04"/>
    <x v="0"/>
    <n v="1786.2336"/>
    <x v="188"/>
    <s v="Gold"/>
    <n v="20"/>
    <x v="1"/>
    <s v="Clothing"/>
  </r>
  <r>
    <s v="SALE189"/>
    <d v="2024-04-29T00:00:00"/>
    <x v="158"/>
    <x v="54"/>
    <x v="0"/>
    <n v="1"/>
    <n v="1"/>
    <n v="580.76"/>
    <n v="580.76"/>
    <n v="0.1"/>
    <n v="0.1"/>
    <x v="2"/>
    <n v="522.68399999999997"/>
    <x v="189"/>
    <s v="Silver"/>
    <n v="29"/>
    <x v="1"/>
    <s v="Clothing"/>
  </r>
  <r>
    <s v="SALE190"/>
    <d v="2025-04-28T00:00:00"/>
    <x v="159"/>
    <x v="51"/>
    <x v="11"/>
    <n v="3"/>
    <n v="3"/>
    <n v="444.55"/>
    <n v="444.55"/>
    <n v="0.14000000000000001"/>
    <n v="0.14000000000000001"/>
    <x v="1"/>
    <n v="1146.9390000000001"/>
    <x v="190"/>
    <s v="Silver"/>
    <n v="50"/>
    <x v="1"/>
    <s v="Beauty"/>
  </r>
  <r>
    <s v="SALE191"/>
    <d v="2024-06-16T00:00:00"/>
    <x v="160"/>
    <x v="54"/>
    <x v="14"/>
    <n v="1"/>
    <n v="1"/>
    <n v="804.9"/>
    <n v="804.9"/>
    <n v="0.03"/>
    <n v="0.03"/>
    <x v="1"/>
    <n v="780.75299999999993"/>
    <x v="191"/>
    <s v="Gold"/>
    <n v="43"/>
    <x v="0"/>
    <s v="Clothing"/>
  </r>
  <r>
    <s v="SALE192"/>
    <d v="2024-11-21T00:00:00"/>
    <x v="161"/>
    <x v="80"/>
    <x v="7"/>
    <n v="3"/>
    <n v="3"/>
    <n v="361.65"/>
    <n v="361.65"/>
    <n v="0.15"/>
    <n v="0.15"/>
    <x v="2"/>
    <n v="922.20749999999987"/>
    <x v="192"/>
    <s v="Bronze"/>
    <n v="53"/>
    <x v="0"/>
    <s v="Home"/>
  </r>
  <r>
    <s v="SALE193"/>
    <d v="2025-04-16T00:00:00"/>
    <x v="58"/>
    <x v="84"/>
    <x v="5"/>
    <n v="1"/>
    <n v="1"/>
    <n v="271.76"/>
    <n v="271.76"/>
    <n v="0.03"/>
    <n v="0.03"/>
    <x v="0"/>
    <n v="263.60719999999998"/>
    <x v="193"/>
    <s v="Silver"/>
    <n v="37"/>
    <x v="0"/>
    <s v="Home"/>
  </r>
  <r>
    <s v="SALE194"/>
    <d v="2024-11-22T00:00:00"/>
    <x v="162"/>
    <x v="2"/>
    <x v="15"/>
    <n v="3"/>
    <n v="3"/>
    <n v="958.15"/>
    <n v="958.15"/>
    <n v="0.24"/>
    <n v="0.24"/>
    <x v="2"/>
    <n v="2184.5819999999999"/>
    <x v="194"/>
    <s v="Platinum"/>
    <n v="64"/>
    <x v="1"/>
    <s v="Beauty"/>
  </r>
  <r>
    <s v="SALE195"/>
    <d v="2023-12-30T00:00:00"/>
    <x v="115"/>
    <x v="17"/>
    <x v="1"/>
    <n v="1"/>
    <n v="1"/>
    <n v="889.19"/>
    <n v="889.19"/>
    <n v="0.03"/>
    <n v="0.03"/>
    <x v="0"/>
    <n v="862.51430000000005"/>
    <x v="195"/>
    <s v="Gold"/>
    <n v="18"/>
    <x v="1"/>
    <s v="Beauty"/>
  </r>
  <r>
    <s v="SALE196"/>
    <d v="2025-09-04T00:00:00"/>
    <x v="9"/>
    <x v="71"/>
    <x v="9"/>
    <n v="4"/>
    <n v="4"/>
    <n v="689.67"/>
    <n v="689.67"/>
    <n v="0.05"/>
    <n v="0.05"/>
    <x v="2"/>
    <n v="2620.7460000000001"/>
    <x v="196"/>
    <s v="Not Found"/>
    <s v="Not Found"/>
    <x v="2"/>
    <s v="Sports"/>
  </r>
  <r>
    <s v="SALE197"/>
    <d v="2023-10-28T00:00:00"/>
    <x v="163"/>
    <x v="38"/>
    <x v="19"/>
    <n v="1"/>
    <n v="1"/>
    <n v="541.24"/>
    <n v="541.24"/>
    <n v="0.03"/>
    <n v="0.03"/>
    <x v="1"/>
    <n v="525.00279999999998"/>
    <x v="197"/>
    <s v="Platinum"/>
    <n v="33"/>
    <x v="1"/>
    <s v="Sports"/>
  </r>
  <r>
    <s v="SALE198"/>
    <d v="2024-11-04T00:00:00"/>
    <x v="164"/>
    <x v="82"/>
    <x v="16"/>
    <n v="1"/>
    <n v="1"/>
    <n v="454.71"/>
    <n v="454.71"/>
    <n v="0.16"/>
    <n v="0.16"/>
    <x v="1"/>
    <n v="381.95639999999997"/>
    <x v="198"/>
    <s v="Bronze"/>
    <n v="64"/>
    <x v="1"/>
    <s v="Sports"/>
  </r>
  <r>
    <s v="SALE199"/>
    <d v="2024-12-20T00:00:00"/>
    <x v="165"/>
    <x v="73"/>
    <x v="3"/>
    <n v="2"/>
    <n v="2"/>
    <n v="397.63"/>
    <n v="397.63"/>
    <n v="0.26"/>
    <n v="0.26"/>
    <x v="0"/>
    <n v="588.49239999999998"/>
    <x v="199"/>
    <s v="Bronze"/>
    <n v="35"/>
    <x v="1"/>
    <s v="Beauty"/>
  </r>
  <r>
    <s v="SALE200"/>
    <d v="2025-03-09T00:00:00"/>
    <x v="166"/>
    <x v="50"/>
    <x v="16"/>
    <n v="3"/>
    <n v="3"/>
    <n v="748.56"/>
    <n v="748.56"/>
    <n v="0.26"/>
    <n v="0.26"/>
    <x v="1"/>
    <n v="1661.8032000000001"/>
    <x v="200"/>
    <s v="Gold"/>
    <n v="18"/>
    <x v="0"/>
    <s v="Beauty"/>
  </r>
  <r>
    <s v="SALE201"/>
    <d v="2025-03-26T00:00:00"/>
    <x v="20"/>
    <x v="9"/>
    <x v="5"/>
    <n v="1"/>
    <n v="1"/>
    <n v="885.72"/>
    <n v="885.72"/>
    <n v="0.15"/>
    <n v="0.15"/>
    <x v="0"/>
    <n v="752.86199999999997"/>
    <x v="201"/>
    <s v="Bronze"/>
    <n v="62"/>
    <x v="1"/>
    <s v="Home"/>
  </r>
  <r>
    <s v="SALE202"/>
    <d v="2025-04-03T00:00:00"/>
    <x v="140"/>
    <x v="85"/>
    <x v="8"/>
    <n v="4"/>
    <n v="4"/>
    <n v="408.07"/>
    <n v="408.07"/>
    <n v="0.28000000000000003"/>
    <n v="0.28000000000000003"/>
    <x v="2"/>
    <n v="1175.2416000000001"/>
    <x v="202"/>
    <s v="Bronze"/>
    <n v="38"/>
    <x v="0"/>
    <s v="Electronics"/>
  </r>
  <r>
    <s v="SALE203"/>
    <d v="2024-02-05T00:00:00"/>
    <x v="167"/>
    <x v="13"/>
    <x v="11"/>
    <n v="2"/>
    <n v="2"/>
    <n v="597.07000000000005"/>
    <n v="597.07000000000005"/>
    <n v="0.28000000000000003"/>
    <n v="0.28000000000000003"/>
    <x v="1"/>
    <n v="859.7808"/>
    <x v="203"/>
    <s v="Silver"/>
    <n v="42"/>
    <x v="0"/>
    <s v="Electronics"/>
  </r>
  <r>
    <s v="SALE204"/>
    <d v="2024-06-22T00:00:00"/>
    <x v="128"/>
    <x v="22"/>
    <x v="11"/>
    <n v="3"/>
    <n v="3"/>
    <n v="723.47"/>
    <n v="723.47"/>
    <n v="0.12"/>
    <n v="0.12"/>
    <x v="2"/>
    <n v="1909.9608000000001"/>
    <x v="204"/>
    <s v="Silver"/>
    <n v="33"/>
    <x v="1"/>
    <s v="Electronics"/>
  </r>
  <r>
    <s v="SALE205"/>
    <d v="2025-08-14T00:00:00"/>
    <x v="168"/>
    <x v="12"/>
    <x v="3"/>
    <n v="1"/>
    <n v="1"/>
    <n v="479.93"/>
    <n v="479.93"/>
    <n v="0.22"/>
    <n v="0.22"/>
    <x v="0"/>
    <n v="374.34539999999998"/>
    <x v="205"/>
    <s v="Platinum"/>
    <n v="47"/>
    <x v="1"/>
    <s v="Sports"/>
  </r>
  <r>
    <s v="SALE206"/>
    <d v="2024-06-02T00:00:00"/>
    <x v="129"/>
    <x v="13"/>
    <x v="9"/>
    <n v="4"/>
    <n v="4"/>
    <n v="362.81"/>
    <n v="362.81"/>
    <n v="0.21"/>
    <n v="0.21"/>
    <x v="2"/>
    <n v="1146.4795999999999"/>
    <x v="206"/>
    <s v="Gold"/>
    <n v="56"/>
    <x v="1"/>
    <s v="Electronics"/>
  </r>
  <r>
    <s v="SALE207"/>
    <d v="2024-12-14T00:00:00"/>
    <x v="169"/>
    <x v="29"/>
    <x v="0"/>
    <n v="1"/>
    <n v="1"/>
    <n v="127.11"/>
    <n v="127.11"/>
    <n v="0.01"/>
    <n v="0.01"/>
    <x v="1"/>
    <n v="125.8389"/>
    <x v="207"/>
    <s v="Platinum"/>
    <n v="54"/>
    <x v="1"/>
    <s v="Home"/>
  </r>
  <r>
    <s v="SALE208"/>
    <d v="2024-04-29T00:00:00"/>
    <x v="170"/>
    <x v="13"/>
    <x v="1"/>
    <n v="4"/>
    <n v="4"/>
    <n v="931.26"/>
    <n v="931.26"/>
    <n v="0.04"/>
    <n v="0.04"/>
    <x v="0"/>
    <n v="3576.0383999999999"/>
    <x v="208"/>
    <s v="Silver"/>
    <n v="46"/>
    <x v="1"/>
    <s v="Electronics"/>
  </r>
  <r>
    <s v="SALE209"/>
    <d v="2023-10-25T00:00:00"/>
    <x v="171"/>
    <x v="22"/>
    <x v="2"/>
    <n v="1"/>
    <n v="1"/>
    <n v="620.80999999999995"/>
    <n v="620.80999999999995"/>
    <n v="0.04"/>
    <n v="0.04"/>
    <x v="1"/>
    <n v="595.97759999999994"/>
    <x v="209"/>
    <s v="Platinum"/>
    <n v="21"/>
    <x v="1"/>
    <s v="Electronics"/>
  </r>
  <r>
    <s v="SALE210"/>
    <d v="2024-07-24T00:00:00"/>
    <x v="18"/>
    <x v="57"/>
    <x v="17"/>
    <n v="1"/>
    <n v="1"/>
    <n v="823.26"/>
    <n v="823.26"/>
    <n v="0.27"/>
    <n v="0.27"/>
    <x v="2"/>
    <n v="600.97979999999995"/>
    <x v="210"/>
    <s v="Gold"/>
    <n v="43"/>
    <x v="1"/>
    <s v="Sports"/>
  </r>
  <r>
    <s v="SALE211"/>
    <d v="2025-05-30T00:00:00"/>
    <x v="172"/>
    <x v="16"/>
    <x v="2"/>
    <n v="3"/>
    <n v="3"/>
    <n v="681.01"/>
    <n v="681.01"/>
    <n v="0.27"/>
    <n v="0.27"/>
    <x v="2"/>
    <n v="1491.4119000000001"/>
    <x v="211"/>
    <s v="Platinum"/>
    <n v="55"/>
    <x v="1"/>
    <s v="Home"/>
  </r>
  <r>
    <s v="SALE212"/>
    <d v="2025-10-12T00:00:00"/>
    <x v="173"/>
    <x v="6"/>
    <x v="12"/>
    <n v="4"/>
    <n v="4"/>
    <n v="119.83"/>
    <n v="119.83"/>
    <n v="0.13"/>
    <n v="0.13"/>
    <x v="0"/>
    <n v="417.00839999999999"/>
    <x v="212"/>
    <s v="Bronze"/>
    <n v="42"/>
    <x v="1"/>
    <s v="Home"/>
  </r>
  <r>
    <s v="SALE213"/>
    <d v="2024-01-23T00:00:00"/>
    <x v="132"/>
    <x v="36"/>
    <x v="17"/>
    <n v="1"/>
    <n v="1"/>
    <n v="575.66"/>
    <n v="575.66"/>
    <n v="0.03"/>
    <n v="0.03"/>
    <x v="1"/>
    <n v="558.39019999999994"/>
    <x v="213"/>
    <s v="Bronze"/>
    <n v="56"/>
    <x v="1"/>
    <s v="Home"/>
  </r>
  <r>
    <s v="SALE214"/>
    <d v="2025-10-13T00:00:00"/>
    <x v="174"/>
    <x v="70"/>
    <x v="9"/>
    <n v="1"/>
    <n v="1"/>
    <n v="775.84"/>
    <n v="775.84"/>
    <n v="0.26"/>
    <n v="0.26"/>
    <x v="0"/>
    <n v="574.12160000000006"/>
    <x v="214"/>
    <s v="Bronze"/>
    <n v="46"/>
    <x v="0"/>
    <s v="Electronics"/>
  </r>
  <r>
    <s v="SALE215"/>
    <d v="2024-03-05T00:00:00"/>
    <x v="13"/>
    <x v="66"/>
    <x v="11"/>
    <n v="3"/>
    <n v="3"/>
    <n v="318.43"/>
    <n v="318.43"/>
    <n v="0.05"/>
    <n v="0.05"/>
    <x v="0"/>
    <n v="907.52549999999997"/>
    <x v="215"/>
    <s v="Silver"/>
    <n v="51"/>
    <x v="0"/>
    <s v="Home"/>
  </r>
  <r>
    <s v="SALE216"/>
    <d v="2025-07-16T00:00:00"/>
    <x v="175"/>
    <x v="18"/>
    <x v="2"/>
    <n v="3"/>
    <n v="3"/>
    <n v="141.6"/>
    <n v="141.6"/>
    <n v="0.08"/>
    <n v="0.08"/>
    <x v="2"/>
    <n v="390.81599999999997"/>
    <x v="216"/>
    <s v="Bronze"/>
    <n v="31"/>
    <x v="0"/>
    <s v="Sports"/>
  </r>
  <r>
    <s v="SALE217"/>
    <d v="2023-10-20T00:00:00"/>
    <x v="176"/>
    <x v="5"/>
    <x v="12"/>
    <n v="1"/>
    <n v="1"/>
    <n v="332.82"/>
    <n v="332.82"/>
    <n v="0.14000000000000001"/>
    <n v="0.14000000000000001"/>
    <x v="1"/>
    <n v="286.22519999999997"/>
    <x v="217"/>
    <s v="Bronze"/>
    <n v="32"/>
    <x v="1"/>
    <s v="Electronics"/>
  </r>
  <r>
    <s v="SALE218"/>
    <d v="2024-06-04T00:00:00"/>
    <x v="177"/>
    <x v="18"/>
    <x v="8"/>
    <n v="4"/>
    <n v="4"/>
    <n v="640.97"/>
    <n v="640.97"/>
    <n v="0.11"/>
    <n v="0.11"/>
    <x v="2"/>
    <n v="2281.8532"/>
    <x v="218"/>
    <s v="Bronze"/>
    <n v="58"/>
    <x v="0"/>
    <s v="Sports"/>
  </r>
  <r>
    <s v="SALE219"/>
    <d v="2023-10-26T00:00:00"/>
    <x v="43"/>
    <x v="64"/>
    <x v="10"/>
    <n v="4"/>
    <n v="4"/>
    <n v="75.37"/>
    <n v="75.37"/>
    <n v="0.02"/>
    <n v="0.02"/>
    <x v="2"/>
    <n v="295.4504"/>
    <x v="219"/>
    <s v="Platinum"/>
    <n v="47"/>
    <x v="0"/>
    <s v="Electronics"/>
  </r>
  <r>
    <s v="SALE220"/>
    <d v="2025-04-07T00:00:00"/>
    <x v="178"/>
    <x v="30"/>
    <x v="14"/>
    <n v="3"/>
    <n v="3"/>
    <n v="434.55"/>
    <n v="434.55"/>
    <n v="0.08"/>
    <n v="0.08"/>
    <x v="2"/>
    <n v="1199.3579999999999"/>
    <x v="220"/>
    <s v="Gold"/>
    <n v="61"/>
    <x v="1"/>
    <s v="OTHERS"/>
  </r>
  <r>
    <s v="SALE221"/>
    <d v="2025-03-13T00:00:00"/>
    <x v="179"/>
    <x v="33"/>
    <x v="7"/>
    <n v="4"/>
    <n v="4"/>
    <n v="652.28"/>
    <n v="652.28"/>
    <n v="0.15"/>
    <n v="0.15"/>
    <x v="0"/>
    <n v="2217.752"/>
    <x v="221"/>
    <s v="Silver"/>
    <n v="35"/>
    <x v="0"/>
    <s v="Electronics"/>
  </r>
  <r>
    <s v="SALE222"/>
    <d v="2024-07-07T00:00:00"/>
    <x v="59"/>
    <x v="3"/>
    <x v="1"/>
    <n v="3"/>
    <n v="3"/>
    <n v="207.8"/>
    <n v="207.8"/>
    <n v="0.15"/>
    <n v="0.15"/>
    <x v="0"/>
    <n v="529.8900000000001"/>
    <x v="222"/>
    <s v="Silver"/>
    <n v="45"/>
    <x v="1"/>
    <s v="Electronics"/>
  </r>
  <r>
    <s v="SALE223"/>
    <d v="2024-03-10T00:00:00"/>
    <x v="180"/>
    <x v="86"/>
    <x v="10"/>
    <n v="4"/>
    <n v="4"/>
    <n v="385.5"/>
    <n v="385.5"/>
    <n v="0.03"/>
    <n v="0.03"/>
    <x v="1"/>
    <n v="1495.74"/>
    <x v="223"/>
    <s v="Bronze"/>
    <n v="23"/>
    <x v="1"/>
    <s v="Sports"/>
  </r>
  <r>
    <s v="SALE224"/>
    <d v="2025-09-15T00:00:00"/>
    <x v="181"/>
    <x v="15"/>
    <x v="16"/>
    <n v="3"/>
    <n v="3"/>
    <n v="548.19000000000005"/>
    <n v="548.19000000000005"/>
    <n v="0.12"/>
    <n v="0.12"/>
    <x v="0"/>
    <n v="1447.2216000000001"/>
    <x v="224"/>
    <s v="Platinum"/>
    <n v="30"/>
    <x v="1"/>
    <s v="Sports"/>
  </r>
  <r>
    <s v="SALE225"/>
    <d v="2024-11-11T00:00:00"/>
    <x v="182"/>
    <x v="78"/>
    <x v="11"/>
    <n v="3"/>
    <n v="3"/>
    <n v="927.6"/>
    <n v="927.6"/>
    <n v="0.09"/>
    <n v="0.09"/>
    <x v="0"/>
    <n v="2532.348"/>
    <x v="225"/>
    <s v="Platinum"/>
    <n v="24"/>
    <x v="1"/>
    <s v="Sports"/>
  </r>
  <r>
    <s v="SALE226"/>
    <d v="2025-01-09T00:00:00"/>
    <x v="176"/>
    <x v="86"/>
    <x v="0"/>
    <n v="4"/>
    <n v="4"/>
    <n v="585.04"/>
    <n v="585.04"/>
    <n v="0.22"/>
    <n v="0.22"/>
    <x v="1"/>
    <n v="1825.3248000000001"/>
    <x v="226"/>
    <s v="Bronze"/>
    <n v="32"/>
    <x v="1"/>
    <s v="Sports"/>
  </r>
  <r>
    <s v="SALE227"/>
    <d v="2024-04-24T00:00:00"/>
    <x v="148"/>
    <x v="11"/>
    <x v="17"/>
    <n v="2"/>
    <n v="2"/>
    <n v="999.89"/>
    <n v="999.89"/>
    <n v="0.09"/>
    <n v="0.09"/>
    <x v="0"/>
    <n v="1819.7998"/>
    <x v="227"/>
    <s v="Not Found"/>
    <s v="Not Found"/>
    <x v="2"/>
    <s v="Electronics"/>
  </r>
  <r>
    <s v="SALE228"/>
    <d v="2023-12-24T00:00:00"/>
    <x v="183"/>
    <x v="28"/>
    <x v="0"/>
    <n v="2"/>
    <n v="2"/>
    <n v="848.98"/>
    <n v="848.98"/>
    <n v="0.04"/>
    <n v="0.04"/>
    <x v="1"/>
    <n v="1630.0416"/>
    <x v="228"/>
    <s v="Platinum"/>
    <n v="62"/>
    <x v="1"/>
    <s v="Clothing"/>
  </r>
  <r>
    <s v="SALE229"/>
    <d v="2024-02-26T00:00:00"/>
    <x v="48"/>
    <x v="17"/>
    <x v="7"/>
    <n v="3"/>
    <n v="3"/>
    <n v="769.56"/>
    <n v="769.56"/>
    <n v="0.08"/>
    <n v="0.08"/>
    <x v="0"/>
    <n v="2123.9856"/>
    <x v="229"/>
    <s v="Bronze"/>
    <n v="37"/>
    <x v="0"/>
    <s v="Beauty"/>
  </r>
  <r>
    <s v="SALE230"/>
    <d v="2025-01-19T00:00:00"/>
    <x v="184"/>
    <x v="70"/>
    <x v="13"/>
    <n v="3"/>
    <n v="3"/>
    <n v="449.88"/>
    <n v="449.88"/>
    <n v="0.1"/>
    <n v="0.1"/>
    <x v="1"/>
    <n v="1214.6759999999999"/>
    <x v="230"/>
    <s v="Gold"/>
    <n v="45"/>
    <x v="1"/>
    <s v="Electronics"/>
  </r>
  <r>
    <s v="SALE231"/>
    <d v="2025-07-25T00:00:00"/>
    <x v="185"/>
    <x v="20"/>
    <x v="18"/>
    <n v="4"/>
    <n v="4"/>
    <n v="383.74"/>
    <n v="383.74"/>
    <n v="0.01"/>
    <n v="0.01"/>
    <x v="0"/>
    <n v="1519.6104"/>
    <x v="231"/>
    <s v="Gold"/>
    <n v="22"/>
    <x v="0"/>
    <s v="Clothing"/>
  </r>
  <r>
    <s v="SALE232"/>
    <d v="2024-04-27T00:00:00"/>
    <x v="28"/>
    <x v="87"/>
    <x v="15"/>
    <n v="4"/>
    <n v="4"/>
    <n v="794.97"/>
    <n v="794.97"/>
    <n v="0.24"/>
    <n v="0.24"/>
    <x v="1"/>
    <n v="2416.7087999999999"/>
    <x v="232"/>
    <s v="Bronze"/>
    <n v="42"/>
    <x v="1"/>
    <s v="Clothing"/>
  </r>
  <r>
    <s v="SALE233"/>
    <d v="2025-08-11T00:00:00"/>
    <x v="81"/>
    <x v="29"/>
    <x v="3"/>
    <n v="1"/>
    <n v="1"/>
    <n v="989.63"/>
    <n v="989.63"/>
    <n v="0.05"/>
    <n v="0.05"/>
    <x v="1"/>
    <n v="940.1484999999999"/>
    <x v="233"/>
    <s v="Bronze"/>
    <n v="53"/>
    <x v="0"/>
    <s v="Home"/>
  </r>
  <r>
    <s v="SALE234"/>
    <d v="2025-03-15T00:00:00"/>
    <x v="41"/>
    <x v="59"/>
    <x v="6"/>
    <n v="1"/>
    <n v="1"/>
    <n v="447.16"/>
    <n v="447.16"/>
    <n v="0.22"/>
    <n v="0.22"/>
    <x v="2"/>
    <n v="348.78480000000002"/>
    <x v="234"/>
    <s v="Platinum"/>
    <n v="37"/>
    <x v="0"/>
    <s v="Sports"/>
  </r>
  <r>
    <s v="SALE235"/>
    <d v="2025-01-14T00:00:00"/>
    <x v="46"/>
    <x v="32"/>
    <x v="16"/>
    <n v="1"/>
    <n v="1"/>
    <n v="946.9"/>
    <n v="946.9"/>
    <n v="0.28999999999999998"/>
    <n v="0.28999999999999998"/>
    <x v="2"/>
    <n v="672.29899999999998"/>
    <x v="235"/>
    <s v="Gold"/>
    <n v="53"/>
    <x v="1"/>
    <s v="Beauty"/>
  </r>
  <r>
    <s v="SALE236"/>
    <d v="2025-06-01T00:00:00"/>
    <x v="186"/>
    <x v="53"/>
    <x v="6"/>
    <n v="4"/>
    <n v="4"/>
    <n v="469.68"/>
    <n v="469.68"/>
    <n v="0.19"/>
    <n v="0.19"/>
    <x v="0"/>
    <n v="1521.7632000000001"/>
    <x v="236"/>
    <s v="Bronze"/>
    <n v="64"/>
    <x v="0"/>
    <s v="Sports"/>
  </r>
  <r>
    <s v="SALE237"/>
    <d v="2024-09-24T00:00:00"/>
    <x v="187"/>
    <x v="77"/>
    <x v="1"/>
    <n v="4"/>
    <n v="4"/>
    <n v="320.64"/>
    <n v="320.64"/>
    <n v="0.2"/>
    <n v="0.2"/>
    <x v="2"/>
    <n v="1026.048"/>
    <x v="237"/>
    <s v="Gold"/>
    <n v="21"/>
    <x v="0"/>
    <s v="Sports"/>
  </r>
  <r>
    <s v="SALE238"/>
    <d v="2023-11-23T00:00:00"/>
    <x v="163"/>
    <x v="5"/>
    <x v="3"/>
    <n v="1"/>
    <n v="1"/>
    <n v="594.44000000000005"/>
    <n v="594.44000000000005"/>
    <n v="0.21"/>
    <n v="0.21"/>
    <x v="0"/>
    <n v="469.60759999999999"/>
    <x v="238"/>
    <s v="Platinum"/>
    <n v="33"/>
    <x v="1"/>
    <s v="Electronics"/>
  </r>
  <r>
    <s v="SALE239"/>
    <d v="2025-07-23T00:00:00"/>
    <x v="188"/>
    <x v="56"/>
    <x v="2"/>
    <n v="3"/>
    <n v="3"/>
    <n v="91.7"/>
    <n v="91.7"/>
    <n v="0.08"/>
    <n v="0.08"/>
    <x v="2"/>
    <n v="253.09200000000001"/>
    <x v="239"/>
    <s v="Platinum"/>
    <n v="44"/>
    <x v="0"/>
    <s v="Home"/>
  </r>
  <r>
    <s v="SALE240"/>
    <d v="2025-09-17T00:00:00"/>
    <x v="189"/>
    <x v="85"/>
    <x v="18"/>
    <n v="3"/>
    <n v="3"/>
    <n v="741.33"/>
    <n v="741.33"/>
    <n v="0.03"/>
    <n v="0.03"/>
    <x v="0"/>
    <n v="2157.2703000000001"/>
    <x v="240"/>
    <s v="Silver"/>
    <n v="41"/>
    <x v="0"/>
    <s v="Electronics"/>
  </r>
  <r>
    <s v="SALE241"/>
    <d v="2025-04-07T00:00:00"/>
    <x v="22"/>
    <x v="30"/>
    <x v="12"/>
    <n v="1"/>
    <n v="1"/>
    <n v="922.78"/>
    <n v="922.78"/>
    <n v="0.28999999999999998"/>
    <n v="0.28999999999999998"/>
    <x v="2"/>
    <n v="655.17379999999991"/>
    <x v="241"/>
    <s v="Gold"/>
    <n v="33"/>
    <x v="1"/>
    <s v="OTHERS"/>
  </r>
  <r>
    <s v="SALE242"/>
    <d v="2024-01-21T00:00:00"/>
    <x v="88"/>
    <x v="67"/>
    <x v="9"/>
    <n v="1"/>
    <n v="1"/>
    <n v="394.35"/>
    <n v="394.35"/>
    <n v="0.09"/>
    <n v="0.09"/>
    <x v="1"/>
    <n v="358.85849999999999"/>
    <x v="242"/>
    <s v="Bronze"/>
    <n v="60"/>
    <x v="0"/>
    <s v="Electronics"/>
  </r>
  <r>
    <s v="SALE243"/>
    <d v="2024-07-07T00:00:00"/>
    <x v="190"/>
    <x v="15"/>
    <x v="19"/>
    <n v="2"/>
    <n v="2"/>
    <n v="703.95"/>
    <n v="703.95"/>
    <n v="0.03"/>
    <n v="0.03"/>
    <x v="0"/>
    <n v="1365.663"/>
    <x v="243"/>
    <s v="Bronze"/>
    <n v="58"/>
    <x v="0"/>
    <s v="Sports"/>
  </r>
  <r>
    <s v="SALE244"/>
    <d v="2025-05-03T00:00:00"/>
    <x v="27"/>
    <x v="66"/>
    <x v="6"/>
    <n v="4"/>
    <n v="4"/>
    <n v="452.67"/>
    <n v="452.67"/>
    <n v="0.28000000000000003"/>
    <n v="0.28000000000000003"/>
    <x v="1"/>
    <n v="1303.6895999999999"/>
    <x v="244"/>
    <s v="Platinum"/>
    <n v="30"/>
    <x v="0"/>
    <s v="Home"/>
  </r>
  <r>
    <s v="SALE245"/>
    <d v="2024-02-27T00:00:00"/>
    <x v="191"/>
    <x v="67"/>
    <x v="4"/>
    <n v="2"/>
    <n v="2"/>
    <n v="377.3"/>
    <n v="377.3"/>
    <n v="0.15"/>
    <n v="0.15"/>
    <x v="1"/>
    <n v="641.41"/>
    <x v="245"/>
    <s v="Bronze"/>
    <n v="36"/>
    <x v="1"/>
    <s v="Electronics"/>
  </r>
  <r>
    <s v="SALE246"/>
    <d v="2025-07-08T00:00:00"/>
    <x v="33"/>
    <x v="1"/>
    <x v="4"/>
    <n v="2"/>
    <n v="2"/>
    <n v="130.47999999999999"/>
    <n v="130.47999999999999"/>
    <n v="0.23"/>
    <n v="0.23"/>
    <x v="1"/>
    <n v="200.9392"/>
    <x v="246"/>
    <s v="Gold"/>
    <n v="39"/>
    <x v="0"/>
    <s v="Electronics"/>
  </r>
  <r>
    <s v="SALE247"/>
    <d v="2025-03-13T00:00:00"/>
    <x v="15"/>
    <x v="32"/>
    <x v="18"/>
    <n v="1"/>
    <n v="1"/>
    <n v="809.45"/>
    <n v="809.45"/>
    <n v="0.09"/>
    <n v="0.09"/>
    <x v="2"/>
    <n v="736.59950000000003"/>
    <x v="247"/>
    <s v="Silver"/>
    <n v="37"/>
    <x v="1"/>
    <s v="Beauty"/>
  </r>
  <r>
    <s v="SALE248"/>
    <d v="2025-04-21T00:00:00"/>
    <x v="192"/>
    <x v="49"/>
    <x v="11"/>
    <n v="3"/>
    <n v="3"/>
    <n v="499.12"/>
    <n v="499.12"/>
    <n v="0.05"/>
    <n v="0.05"/>
    <x v="1"/>
    <n v="1422.492"/>
    <x v="248"/>
    <s v="Bronze"/>
    <n v="48"/>
    <x v="1"/>
    <s v="Sports"/>
  </r>
  <r>
    <s v="SALE249"/>
    <d v="2024-11-10T00:00:00"/>
    <x v="193"/>
    <x v="88"/>
    <x v="0"/>
    <n v="2"/>
    <n v="2"/>
    <n v="894.58"/>
    <n v="894.58"/>
    <n v="0.25"/>
    <n v="0.25"/>
    <x v="0"/>
    <n v="1341.87"/>
    <x v="249"/>
    <s v="Silver"/>
    <n v="52"/>
    <x v="1"/>
    <s v="Home"/>
  </r>
  <r>
    <s v="SALE250"/>
    <d v="2024-08-09T00:00:00"/>
    <x v="87"/>
    <x v="28"/>
    <x v="11"/>
    <n v="4"/>
    <n v="4"/>
    <n v="578.39"/>
    <n v="578.39"/>
    <n v="0.01"/>
    <n v="0.01"/>
    <x v="0"/>
    <n v="2290.4243999999999"/>
    <x v="250"/>
    <s v="Bronze"/>
    <n v="34"/>
    <x v="1"/>
    <s v="Clothing"/>
  </r>
  <r>
    <s v="SALE251"/>
    <d v="2024-03-05T00:00:00"/>
    <x v="144"/>
    <x v="89"/>
    <x v="1"/>
    <n v="4"/>
    <n v="4"/>
    <n v="982.45"/>
    <n v="982.45"/>
    <n v="0.2"/>
    <n v="0.2"/>
    <x v="1"/>
    <n v="3143.84"/>
    <x v="251"/>
    <s v="Bronze"/>
    <n v="46"/>
    <x v="1"/>
    <s v="Sports"/>
  </r>
  <r>
    <s v="SALE252"/>
    <d v="2025-09-25T00:00:00"/>
    <x v="194"/>
    <x v="24"/>
    <x v="12"/>
    <n v="1"/>
    <n v="1"/>
    <n v="549.52"/>
    <n v="549.52"/>
    <n v="0.1"/>
    <n v="0.1"/>
    <x v="1"/>
    <n v="494.56799999999998"/>
    <x v="252"/>
    <s v="Bronze"/>
    <n v="29"/>
    <x v="0"/>
    <s v="Electronics"/>
  </r>
  <r>
    <s v="SALE253"/>
    <d v="2025-08-07T00:00:00"/>
    <x v="195"/>
    <x v="80"/>
    <x v="14"/>
    <n v="2"/>
    <n v="2"/>
    <n v="239.92"/>
    <n v="239.92"/>
    <n v="0.16"/>
    <n v="0.16"/>
    <x v="0"/>
    <n v="403.06560000000002"/>
    <x v="253"/>
    <s v="Platinum"/>
    <n v="59"/>
    <x v="1"/>
    <s v="Home"/>
  </r>
  <r>
    <s v="SALE254"/>
    <d v="2024-02-16T00:00:00"/>
    <x v="196"/>
    <x v="80"/>
    <x v="16"/>
    <n v="2"/>
    <n v="2"/>
    <n v="878.05"/>
    <n v="878.05"/>
    <n v="0.11"/>
    <n v="0.11"/>
    <x v="1"/>
    <n v="1562.9290000000001"/>
    <x v="254"/>
    <s v="Bronze"/>
    <n v="53"/>
    <x v="0"/>
    <s v="Home"/>
  </r>
  <r>
    <s v="SALE255"/>
    <d v="2025-03-30T00:00:00"/>
    <x v="197"/>
    <x v="55"/>
    <x v="11"/>
    <n v="3"/>
    <n v="3"/>
    <n v="546.96"/>
    <n v="546.96"/>
    <n v="0.19"/>
    <n v="0.19"/>
    <x v="0"/>
    <n v="1329.1128000000001"/>
    <x v="255"/>
    <s v="Bronze"/>
    <n v="34"/>
    <x v="0"/>
    <s v="Clothing"/>
  </r>
  <r>
    <s v="SALE256"/>
    <d v="2025-02-18T00:00:00"/>
    <x v="198"/>
    <x v="53"/>
    <x v="15"/>
    <n v="2"/>
    <n v="2"/>
    <n v="71.77"/>
    <n v="71.77"/>
    <n v="0.22"/>
    <n v="0.22"/>
    <x v="0"/>
    <n v="111.96120000000001"/>
    <x v="256"/>
    <s v="Platinum"/>
    <n v="42"/>
    <x v="0"/>
    <s v="Sports"/>
  </r>
  <r>
    <s v="SALE257"/>
    <d v="2025-03-01T00:00:00"/>
    <x v="199"/>
    <x v="10"/>
    <x v="8"/>
    <n v="2"/>
    <n v="2"/>
    <n v="679.86"/>
    <n v="679.86"/>
    <n v="0.22"/>
    <n v="0.22"/>
    <x v="2"/>
    <n v="1060.5816"/>
    <x v="257"/>
    <s v="Silver"/>
    <n v="32"/>
    <x v="1"/>
    <s v="Sports"/>
  </r>
  <r>
    <s v="SALE258"/>
    <d v="2024-01-09T00:00:00"/>
    <x v="200"/>
    <x v="68"/>
    <x v="1"/>
    <n v="1"/>
    <n v="1"/>
    <n v="222.94"/>
    <n v="222.94"/>
    <n v="0.19"/>
    <n v="0.19"/>
    <x v="0"/>
    <n v="180.5814"/>
    <x v="258"/>
    <s v="Silver"/>
    <n v="29"/>
    <x v="0"/>
    <s v="Home"/>
  </r>
  <r>
    <s v="SALE259"/>
    <d v="2025-04-26T00:00:00"/>
    <x v="201"/>
    <x v="68"/>
    <x v="17"/>
    <n v="2"/>
    <n v="2"/>
    <n v="355.3"/>
    <n v="355.3"/>
    <m/>
    <n v="0.1"/>
    <x v="1"/>
    <n v="589.798"/>
    <x v="259"/>
    <s v="Gold"/>
    <n v="19"/>
    <x v="0"/>
    <s v="Home"/>
  </r>
  <r>
    <s v="SALE260"/>
    <d v="2024-07-24T00:00:00"/>
    <x v="202"/>
    <x v="41"/>
    <x v="12"/>
    <n v="4"/>
    <n v="4"/>
    <n v="611.29999999999995"/>
    <n v="611.29999999999995"/>
    <n v="0.11"/>
    <n v="0.11"/>
    <x v="1"/>
    <n v="2176.2280000000001"/>
    <x v="260"/>
    <s v="Bronze"/>
    <n v="21"/>
    <x v="0"/>
    <s v="Beauty"/>
  </r>
  <r>
    <s v="SALE261"/>
    <d v="2025-03-26T00:00:00"/>
    <x v="203"/>
    <x v="90"/>
    <x v="2"/>
    <n v="4"/>
    <n v="4"/>
    <n v="849.21"/>
    <n v="849.21"/>
    <n v="7.0000000000000007E-2"/>
    <n v="7.0000000000000007E-2"/>
    <x v="0"/>
    <n v="3159.0612000000001"/>
    <x v="261"/>
    <s v="Gold"/>
    <n v="64"/>
    <x v="1"/>
    <s v="Electronics"/>
  </r>
  <r>
    <s v="SALE262"/>
    <d v="2025-02-25T00:00:00"/>
    <x v="204"/>
    <x v="63"/>
    <x v="4"/>
    <n v="3"/>
    <n v="3"/>
    <n v="553.12"/>
    <n v="553.12"/>
    <n v="0.28000000000000003"/>
    <n v="0.28000000000000003"/>
    <x v="2"/>
    <n v="1194.7392"/>
    <x v="262"/>
    <s v="Platinum"/>
    <n v="50"/>
    <x v="1"/>
    <s v="Electronics"/>
  </r>
  <r>
    <s v="SALE263"/>
    <d v="2025-06-18T00:00:00"/>
    <x v="205"/>
    <x v="52"/>
    <x v="11"/>
    <n v="2"/>
    <n v="2"/>
    <n v="903.08"/>
    <n v="903.08"/>
    <n v="0.18"/>
    <n v="0.18"/>
    <x v="2"/>
    <n v="1481.0512000000001"/>
    <x v="263"/>
    <s v="Gold"/>
    <n v="46"/>
    <x v="1"/>
    <s v="Clothing"/>
  </r>
  <r>
    <s v="SALE264"/>
    <d v="2024-12-22T00:00:00"/>
    <x v="151"/>
    <x v="30"/>
    <x v="19"/>
    <n v="4"/>
    <n v="4"/>
    <n v="640.23"/>
    <n v="640.23"/>
    <n v="0.06"/>
    <n v="0.06"/>
    <x v="2"/>
    <n v="2407.2647999999999"/>
    <x v="264"/>
    <s v="Gold"/>
    <n v="59"/>
    <x v="0"/>
    <s v="OTHERS"/>
  </r>
  <r>
    <s v="SALE265"/>
    <d v="2025-06-28T00:00:00"/>
    <x v="206"/>
    <x v="39"/>
    <x v="16"/>
    <n v="1"/>
    <n v="1"/>
    <n v="518"/>
    <n v="518"/>
    <n v="0.25"/>
    <n v="0.25"/>
    <x v="0"/>
    <n v="388.5"/>
    <x v="265"/>
    <s v="Bronze"/>
    <n v="30"/>
    <x v="0"/>
    <s v="Home"/>
  </r>
  <r>
    <s v="SALE266"/>
    <d v="2024-05-25T00:00:00"/>
    <x v="207"/>
    <x v="91"/>
    <x v="5"/>
    <n v="4"/>
    <n v="4"/>
    <n v="779.25"/>
    <n v="779.25"/>
    <n v="0.25"/>
    <n v="0.25"/>
    <x v="0"/>
    <n v="2337.75"/>
    <x v="266"/>
    <s v="Silver"/>
    <n v="51"/>
    <x v="1"/>
    <s v="Beauty"/>
  </r>
  <r>
    <s v="SALE267"/>
    <d v="2025-05-30T00:00:00"/>
    <x v="208"/>
    <x v="50"/>
    <x v="4"/>
    <n v="2"/>
    <n v="2"/>
    <n v="467.75"/>
    <n v="467.75"/>
    <n v="0.26"/>
    <n v="0.26"/>
    <x v="0"/>
    <n v="692.27"/>
    <x v="267"/>
    <s v="Platinum"/>
    <n v="36"/>
    <x v="0"/>
    <s v="Beauty"/>
  </r>
  <r>
    <s v="SALE268"/>
    <d v="2024-09-20T00:00:00"/>
    <x v="82"/>
    <x v="64"/>
    <x v="14"/>
    <n v="3"/>
    <n v="3"/>
    <m/>
    <n v="513.98477215823721"/>
    <n v="0.06"/>
    <n v="0.06"/>
    <x v="0"/>
    <n v="315.24779999999998"/>
    <x v="268"/>
    <s v="Gold"/>
    <n v="23"/>
    <x v="1"/>
    <s v="Electronics"/>
  </r>
  <r>
    <s v="SALE269"/>
    <d v="2025-05-26T00:00:00"/>
    <x v="209"/>
    <x v="92"/>
    <x v="6"/>
    <n v="4"/>
    <n v="4"/>
    <n v="747.01"/>
    <n v="747.01"/>
    <n v="0.13"/>
    <n v="0.13"/>
    <x v="1"/>
    <n v="2599.5947999999999"/>
    <x v="269"/>
    <s v="Gold"/>
    <n v="47"/>
    <x v="1"/>
    <s v="Clothing"/>
  </r>
  <r>
    <s v="SALE270"/>
    <d v="2025-03-19T00:00:00"/>
    <x v="210"/>
    <x v="41"/>
    <x v="18"/>
    <n v="4"/>
    <n v="4"/>
    <n v="461.83"/>
    <n v="461.83"/>
    <n v="0.28000000000000003"/>
    <n v="0.28000000000000003"/>
    <x v="1"/>
    <n v="1330.0704000000001"/>
    <x v="270"/>
    <s v="Gold"/>
    <n v="29"/>
    <x v="0"/>
    <s v="Beauty"/>
  </r>
  <r>
    <s v="SALE271"/>
    <d v="2025-04-03T00:00:00"/>
    <x v="211"/>
    <x v="7"/>
    <x v="2"/>
    <n v="2"/>
    <n v="2"/>
    <n v="105.15"/>
    <n v="105.15"/>
    <n v="0.06"/>
    <n v="0.06"/>
    <x v="0"/>
    <n v="197.68199999999999"/>
    <x v="271"/>
    <s v="Gold"/>
    <n v="54"/>
    <x v="0"/>
    <s v="Home"/>
  </r>
  <r>
    <s v="SALE272"/>
    <d v="2025-02-05T00:00:00"/>
    <x v="153"/>
    <x v="34"/>
    <x v="0"/>
    <n v="3"/>
    <n v="3"/>
    <n v="610.24"/>
    <n v="610.24"/>
    <n v="0.17"/>
    <n v="0.17"/>
    <x v="2"/>
    <n v="1519.4975999999999"/>
    <x v="272"/>
    <s v="Platinum"/>
    <n v="25"/>
    <x v="0"/>
    <s v="Clothing"/>
  </r>
  <r>
    <s v="SALE273"/>
    <d v="2025-01-10T00:00:00"/>
    <x v="212"/>
    <x v="1"/>
    <x v="2"/>
    <n v="1"/>
    <n v="1"/>
    <n v="872.12"/>
    <n v="872.12"/>
    <n v="7.0000000000000007E-2"/>
    <n v="7.0000000000000007E-2"/>
    <x v="1"/>
    <n v="811.07159999999999"/>
    <x v="273"/>
    <s v="Silver"/>
    <n v="47"/>
    <x v="1"/>
    <s v="Electronics"/>
  </r>
  <r>
    <s v="SALE274"/>
    <d v="2024-01-25T00:00:00"/>
    <x v="207"/>
    <x v="31"/>
    <x v="8"/>
    <n v="1"/>
    <n v="1"/>
    <n v="406.79"/>
    <n v="406.79"/>
    <n v="0.03"/>
    <n v="0.03"/>
    <x v="2"/>
    <n v="394.58629999999999"/>
    <x v="274"/>
    <s v="Silver"/>
    <n v="51"/>
    <x v="1"/>
    <s v="Home"/>
  </r>
  <r>
    <s v="SALE275"/>
    <d v="2025-10-02T00:00:00"/>
    <x v="61"/>
    <x v="59"/>
    <x v="7"/>
    <n v="1"/>
    <n v="1"/>
    <n v="606.01"/>
    <n v="606.01"/>
    <n v="0.04"/>
    <n v="0.04"/>
    <x v="1"/>
    <n v="581.76959999999997"/>
    <x v="275"/>
    <s v="Bronze"/>
    <n v="28"/>
    <x v="0"/>
    <s v="Sports"/>
  </r>
  <r>
    <s v="SALE276"/>
    <d v="2024-07-10T00:00:00"/>
    <x v="116"/>
    <x v="53"/>
    <x v="3"/>
    <n v="4"/>
    <n v="4"/>
    <n v="322.58"/>
    <n v="322.58"/>
    <n v="0.06"/>
    <n v="0.06"/>
    <x v="0"/>
    <n v="1212.9007999999999"/>
    <x v="276"/>
    <s v="Bronze"/>
    <n v="31"/>
    <x v="0"/>
    <s v="Sports"/>
  </r>
  <r>
    <s v="SALE277"/>
    <d v="2025-01-04T00:00:00"/>
    <x v="213"/>
    <x v="25"/>
    <x v="14"/>
    <n v="4"/>
    <n v="4"/>
    <n v="463.17"/>
    <n v="463.17"/>
    <n v="0.06"/>
    <n v="0.06"/>
    <x v="1"/>
    <n v="1741.5192"/>
    <x v="277"/>
    <s v="Bronze"/>
    <n v="32"/>
    <x v="0"/>
    <s v="Electronics"/>
  </r>
  <r>
    <s v="SALE278"/>
    <d v="2025-05-21T00:00:00"/>
    <x v="214"/>
    <x v="60"/>
    <x v="4"/>
    <n v="4"/>
    <n v="4"/>
    <n v="285.82"/>
    <n v="285.82"/>
    <n v="0.18"/>
    <n v="0.18"/>
    <x v="1"/>
    <n v="937.4896"/>
    <x v="278"/>
    <s v="Gold"/>
    <n v="34"/>
    <x v="0"/>
    <s v="Clothing"/>
  </r>
  <r>
    <s v="SALE279"/>
    <d v="2025-07-30T00:00:00"/>
    <x v="215"/>
    <x v="92"/>
    <x v="19"/>
    <n v="3"/>
    <n v="3"/>
    <n v="995.38"/>
    <n v="995.38"/>
    <n v="0.1"/>
    <n v="0.1"/>
    <x v="1"/>
    <n v="2687.5259999999998"/>
    <x v="279"/>
    <s v="Gold"/>
    <n v="58"/>
    <x v="1"/>
    <s v="Clothing"/>
  </r>
  <r>
    <s v="SALE280"/>
    <d v="2025-04-10T00:00:00"/>
    <x v="97"/>
    <x v="85"/>
    <x v="2"/>
    <n v="1"/>
    <n v="1"/>
    <n v="329.31"/>
    <n v="329.31"/>
    <n v="0.09"/>
    <n v="0.09"/>
    <x v="0"/>
    <n v="299.6721"/>
    <x v="280"/>
    <s v="Bronze"/>
    <n v="40"/>
    <x v="0"/>
    <s v="Electronics"/>
  </r>
  <r>
    <s v="SALE281"/>
    <d v="2024-07-02T00:00:00"/>
    <x v="216"/>
    <x v="44"/>
    <x v="9"/>
    <n v="3"/>
    <n v="3"/>
    <n v="64.2"/>
    <n v="64.2"/>
    <n v="0.08"/>
    <n v="0.08"/>
    <x v="2"/>
    <n v="177.19200000000001"/>
    <x v="281"/>
    <s v="Platinum"/>
    <n v="23"/>
    <x v="0"/>
    <s v="Beauty"/>
  </r>
  <r>
    <s v="SALE282"/>
    <d v="2025-06-21T00:00:00"/>
    <x v="217"/>
    <x v="75"/>
    <x v="13"/>
    <n v="3"/>
    <n v="3"/>
    <n v="697.13"/>
    <n v="697.13"/>
    <n v="0.25"/>
    <n v="0.25"/>
    <x v="2"/>
    <n v="1568.5425"/>
    <x v="282"/>
    <s v="Silver"/>
    <n v="60"/>
    <x v="1"/>
    <s v="Electronics"/>
  </r>
  <r>
    <s v="SALE283"/>
    <d v="2024-12-13T00:00:00"/>
    <x v="128"/>
    <x v="93"/>
    <x v="3"/>
    <n v="3"/>
    <n v="3"/>
    <n v="134.30000000000001"/>
    <n v="134.30000000000001"/>
    <n v="0.14000000000000001"/>
    <n v="0.14000000000000001"/>
    <x v="0"/>
    <n v="346.49400000000003"/>
    <x v="283"/>
    <s v="Silver"/>
    <n v="33"/>
    <x v="1"/>
    <s v="Sports"/>
  </r>
  <r>
    <s v="SALE284"/>
    <d v="2024-08-14T00:00:00"/>
    <x v="218"/>
    <x v="94"/>
    <x v="13"/>
    <n v="1"/>
    <n v="1"/>
    <n v="520.92999999999995"/>
    <n v="520.92999999999995"/>
    <n v="0.15"/>
    <n v="0.15"/>
    <x v="0"/>
    <n v="442.79050000000001"/>
    <x v="284"/>
    <s v="Platinum"/>
    <n v="63"/>
    <x v="1"/>
    <s v="Home"/>
  </r>
  <r>
    <s v="SALE285"/>
    <d v="2025-03-05T00:00:00"/>
    <x v="219"/>
    <x v="46"/>
    <x v="4"/>
    <n v="2"/>
    <n v="2"/>
    <n v="350.12"/>
    <n v="350.12"/>
    <n v="0.21"/>
    <n v="0.21"/>
    <x v="2"/>
    <n v="553.18960000000004"/>
    <x v="285"/>
    <s v="Platinum"/>
    <n v="46"/>
    <x v="1"/>
    <s v="Sports"/>
  </r>
  <r>
    <s v="SALE286"/>
    <d v="2024-01-17T00:00:00"/>
    <x v="220"/>
    <x v="70"/>
    <x v="12"/>
    <n v="3"/>
    <n v="3"/>
    <n v="807.95"/>
    <n v="807.95"/>
    <n v="0.1"/>
    <n v="0.1"/>
    <x v="1"/>
    <n v="2181.4650000000011"/>
    <x v="286"/>
    <s v="Silver"/>
    <n v="18"/>
    <x v="0"/>
    <s v="Electronics"/>
  </r>
  <r>
    <s v="SALE287"/>
    <d v="2025-08-20T00:00:00"/>
    <x v="41"/>
    <x v="48"/>
    <x v="16"/>
    <n v="4"/>
    <n v="4"/>
    <n v="766.03"/>
    <n v="766.03"/>
    <n v="0.28999999999999998"/>
    <n v="0.28999999999999998"/>
    <x v="1"/>
    <n v="2175.5252"/>
    <x v="287"/>
    <s v="Platinum"/>
    <n v="37"/>
    <x v="0"/>
    <s v="Sports"/>
  </r>
  <r>
    <s v="SALE288"/>
    <d v="2024-04-04T00:00:00"/>
    <x v="91"/>
    <x v="71"/>
    <x v="2"/>
    <n v="3"/>
    <n v="3"/>
    <n v="545.1"/>
    <n v="545.1"/>
    <n v="0.08"/>
    <n v="0.08"/>
    <x v="2"/>
    <n v="1504.4760000000001"/>
    <x v="288"/>
    <s v="Silver"/>
    <n v="23"/>
    <x v="1"/>
    <s v="Sports"/>
  </r>
  <r>
    <s v="SALE289"/>
    <d v="2024-05-26T00:00:00"/>
    <x v="221"/>
    <x v="15"/>
    <x v="4"/>
    <n v="1"/>
    <n v="1"/>
    <n v="203.61"/>
    <n v="203.61"/>
    <n v="0.24"/>
    <n v="0.24"/>
    <x v="2"/>
    <n v="154.74359999999999"/>
    <x v="289"/>
    <s v="Bronze"/>
    <n v="50"/>
    <x v="0"/>
    <s v="Sports"/>
  </r>
  <r>
    <s v="SALE290"/>
    <d v="2025-07-18T00:00:00"/>
    <x v="222"/>
    <x v="0"/>
    <x v="10"/>
    <n v="4"/>
    <n v="4"/>
    <n v="493.8"/>
    <n v="493.8"/>
    <n v="0.24"/>
    <n v="0.24"/>
    <x v="2"/>
    <n v="1501.152"/>
    <x v="290"/>
    <s v="Bronze"/>
    <n v="64"/>
    <x v="1"/>
    <s v="Sports"/>
  </r>
  <r>
    <s v="SALE291"/>
    <d v="2024-07-12T00:00:00"/>
    <x v="223"/>
    <x v="89"/>
    <x v="1"/>
    <n v="1"/>
    <n v="1"/>
    <n v="640.54999999999995"/>
    <n v="640.54999999999995"/>
    <n v="0.25"/>
    <n v="0.25"/>
    <x v="0"/>
    <n v="480.41250000000002"/>
    <x v="291"/>
    <s v="Platinum"/>
    <n v="60"/>
    <x v="1"/>
    <s v="Sports"/>
  </r>
  <r>
    <s v="SALE292"/>
    <d v="2024-09-10T00:00:00"/>
    <x v="97"/>
    <x v="1"/>
    <x v="5"/>
    <n v="1"/>
    <n v="1"/>
    <n v="702.53"/>
    <n v="702.53"/>
    <n v="0.3"/>
    <n v="0.3"/>
    <x v="0"/>
    <n v="491.77100000000002"/>
    <x v="292"/>
    <s v="Bronze"/>
    <n v="40"/>
    <x v="0"/>
    <s v="Electronics"/>
  </r>
  <r>
    <s v="SALE293"/>
    <d v="2025-06-18T00:00:00"/>
    <x v="224"/>
    <x v="11"/>
    <x v="2"/>
    <n v="4"/>
    <n v="4"/>
    <n v="139.94"/>
    <n v="139.94"/>
    <n v="0.24"/>
    <n v="0.24"/>
    <x v="0"/>
    <n v="425.41759999999999"/>
    <x v="293"/>
    <s v="Silver"/>
    <n v="29"/>
    <x v="0"/>
    <s v="Electronics"/>
  </r>
  <r>
    <s v="SALE294"/>
    <d v="2024-12-28T00:00:00"/>
    <x v="107"/>
    <x v="46"/>
    <x v="2"/>
    <n v="2"/>
    <n v="2"/>
    <n v="230.85"/>
    <n v="230.85"/>
    <n v="0.18"/>
    <n v="0.18"/>
    <x v="0"/>
    <n v="378.59399999999999"/>
    <x v="294"/>
    <s v="Platinum"/>
    <n v="22"/>
    <x v="1"/>
    <s v="Sports"/>
  </r>
  <r>
    <s v="SALE295"/>
    <d v="2024-09-21T00:00:00"/>
    <x v="225"/>
    <x v="65"/>
    <x v="1"/>
    <n v="4"/>
    <n v="4"/>
    <n v="626.35"/>
    <n v="626.35"/>
    <n v="0.25"/>
    <n v="0.25"/>
    <x v="2"/>
    <n v="1879.05"/>
    <x v="295"/>
    <s v="Silver"/>
    <n v="20"/>
    <x v="1"/>
    <s v="Clothing"/>
  </r>
  <r>
    <s v="SALE296"/>
    <d v="2024-05-22T00:00:00"/>
    <x v="196"/>
    <x v="89"/>
    <x v="7"/>
    <n v="4"/>
    <n v="4"/>
    <n v="108.55"/>
    <n v="108.55"/>
    <n v="0.18"/>
    <n v="0.18"/>
    <x v="1"/>
    <n v="356.04399999999998"/>
    <x v="296"/>
    <s v="Bronze"/>
    <n v="53"/>
    <x v="0"/>
    <s v="Sports"/>
  </r>
  <r>
    <s v="SALE297"/>
    <d v="2025-08-02T00:00:00"/>
    <x v="226"/>
    <x v="53"/>
    <x v="8"/>
    <n v="4"/>
    <n v="4"/>
    <n v="353.67"/>
    <n v="353.67"/>
    <n v="0.03"/>
    <n v="0.03"/>
    <x v="2"/>
    <n v="1372.2396000000001"/>
    <x v="297"/>
    <s v="Bronze"/>
    <n v="29"/>
    <x v="1"/>
    <s v="Sports"/>
  </r>
  <r>
    <s v="SALE298"/>
    <d v="2024-10-18T00:00:00"/>
    <x v="10"/>
    <x v="64"/>
    <x v="8"/>
    <n v="4"/>
    <n v="4"/>
    <n v="61.98"/>
    <n v="61.98"/>
    <n v="0.16"/>
    <n v="0.16"/>
    <x v="0"/>
    <n v="208.25280000000001"/>
    <x v="298"/>
    <s v="Silver"/>
    <n v="21"/>
    <x v="1"/>
    <s v="Electronics"/>
  </r>
  <r>
    <s v="SALE299"/>
    <d v="2024-02-26T00:00:00"/>
    <x v="188"/>
    <x v="62"/>
    <x v="12"/>
    <n v="2"/>
    <n v="2"/>
    <n v="873.1"/>
    <n v="873.1"/>
    <n v="0.12"/>
    <n v="0.12"/>
    <x v="1"/>
    <n v="1536.6559999999999"/>
    <x v="299"/>
    <s v="Platinum"/>
    <n v="44"/>
    <x v="0"/>
    <s v="Sports"/>
  </r>
  <r>
    <s v="SALE300"/>
    <d v="2023-12-08T00:00:00"/>
    <x v="227"/>
    <x v="21"/>
    <x v="10"/>
    <n v="4"/>
    <n v="4"/>
    <n v="889.47"/>
    <n v="889.47"/>
    <n v="0.24"/>
    <n v="0.24"/>
    <x v="0"/>
    <n v="2703.9888000000001"/>
    <x v="300"/>
    <s v="Bronze"/>
    <n v="54"/>
    <x v="0"/>
    <s v="Beauty"/>
  </r>
  <r>
    <s v="SALE301"/>
    <d v="2024-10-31T00:00:00"/>
    <x v="29"/>
    <x v="1"/>
    <x v="19"/>
    <n v="3"/>
    <n v="3"/>
    <n v="803.76"/>
    <n v="803.76"/>
    <n v="0.19"/>
    <n v="0.19"/>
    <x v="2"/>
    <n v="1953.1368"/>
    <x v="301"/>
    <s v="Platinum"/>
    <n v="27"/>
    <x v="1"/>
    <s v="Electronics"/>
  </r>
  <r>
    <s v="SALE302"/>
    <d v="2024-11-28T00:00:00"/>
    <x v="228"/>
    <x v="28"/>
    <x v="3"/>
    <n v="2"/>
    <n v="2"/>
    <n v="865.14"/>
    <n v="865.14"/>
    <n v="0.2"/>
    <n v="0.2"/>
    <x v="1"/>
    <n v="1384.2239999999999"/>
    <x v="302"/>
    <s v="Bronze"/>
    <n v="45"/>
    <x v="0"/>
    <s v="Clothing"/>
  </r>
  <r>
    <s v="SALE303"/>
    <d v="2025-06-05T00:00:00"/>
    <x v="90"/>
    <x v="45"/>
    <x v="11"/>
    <n v="2"/>
    <n v="2"/>
    <n v="916.49"/>
    <n v="916.49"/>
    <n v="0.3"/>
    <n v="0.3"/>
    <x v="2"/>
    <n v="1283.086"/>
    <x v="303"/>
    <s v="Silver"/>
    <n v="36"/>
    <x v="0"/>
    <s v="Sports"/>
  </r>
  <r>
    <s v="SALE304"/>
    <d v="2024-11-19T00:00:00"/>
    <x v="229"/>
    <x v="69"/>
    <x v="18"/>
    <n v="3"/>
    <n v="3"/>
    <n v="781.39"/>
    <n v="781.39"/>
    <n v="0.12"/>
    <n v="0.12"/>
    <x v="0"/>
    <n v="2062.8696"/>
    <x v="304"/>
    <s v="Platinum"/>
    <n v="19"/>
    <x v="0"/>
    <s v="Electronics"/>
  </r>
  <r>
    <s v="SALE305"/>
    <d v="2024-05-19T00:00:00"/>
    <x v="225"/>
    <x v="48"/>
    <x v="18"/>
    <n v="4"/>
    <n v="4"/>
    <n v="619.74"/>
    <n v="619.74"/>
    <n v="0.13"/>
    <n v="0.13"/>
    <x v="2"/>
    <n v="2156.6952000000001"/>
    <x v="305"/>
    <s v="Silver"/>
    <n v="20"/>
    <x v="1"/>
    <s v="Sports"/>
  </r>
  <r>
    <s v="SALE306"/>
    <d v="2025-01-22T00:00:00"/>
    <x v="230"/>
    <x v="85"/>
    <x v="7"/>
    <n v="2"/>
    <n v="2"/>
    <n v="837.76"/>
    <n v="837.76"/>
    <n v="0.03"/>
    <n v="0.03"/>
    <x v="2"/>
    <n v="1625.2544"/>
    <x v="306"/>
    <s v="Gold"/>
    <n v="21"/>
    <x v="0"/>
    <s v="Electronics"/>
  </r>
  <r>
    <s v="SALE307"/>
    <d v="2025-07-04T00:00:00"/>
    <x v="231"/>
    <x v="64"/>
    <x v="8"/>
    <n v="3"/>
    <n v="3"/>
    <n v="135.94"/>
    <n v="135.94"/>
    <n v="0.2"/>
    <n v="0.2"/>
    <x v="0"/>
    <n v="326.25599999999997"/>
    <x v="307"/>
    <s v="Gold"/>
    <n v="46"/>
    <x v="0"/>
    <s v="Electronics"/>
  </r>
  <r>
    <s v="SALE308"/>
    <d v="2025-05-19T00:00:00"/>
    <x v="232"/>
    <x v="1"/>
    <x v="8"/>
    <n v="4"/>
    <n v="4"/>
    <n v="396.53"/>
    <n v="396.53"/>
    <n v="7.0000000000000007E-2"/>
    <n v="7.0000000000000007E-2"/>
    <x v="1"/>
    <n v="1475.0916"/>
    <x v="308"/>
    <s v="Bronze"/>
    <n v="40"/>
    <x v="0"/>
    <s v="Electronics"/>
  </r>
  <r>
    <s v="SALE309"/>
    <d v="2023-12-04T00:00:00"/>
    <x v="233"/>
    <x v="35"/>
    <x v="7"/>
    <n v="2"/>
    <n v="2"/>
    <n v="722.45"/>
    <n v="722.45"/>
    <n v="0.22"/>
    <n v="0.22"/>
    <x v="1"/>
    <n v="1127.0219999999999"/>
    <x v="309"/>
    <s v="Bronze"/>
    <n v="50"/>
    <x v="1"/>
    <s v="Home"/>
  </r>
  <r>
    <s v="SALE310"/>
    <d v="2024-07-31T00:00:00"/>
    <x v="234"/>
    <x v="91"/>
    <x v="17"/>
    <n v="2"/>
    <n v="2"/>
    <n v="138.41"/>
    <n v="138.41"/>
    <n v="0.02"/>
    <n v="0.02"/>
    <x v="0"/>
    <n v="271.28359999999998"/>
    <x v="310"/>
    <s v="Silver"/>
    <n v="54"/>
    <x v="1"/>
    <s v="Beauty"/>
  </r>
  <r>
    <s v="SALE311"/>
    <d v="2025-01-22T00:00:00"/>
    <x v="56"/>
    <x v="61"/>
    <x v="17"/>
    <n v="4"/>
    <n v="4"/>
    <n v="741.51"/>
    <n v="741.51"/>
    <n v="0.09"/>
    <n v="0.09"/>
    <x v="2"/>
    <n v="2699.0963999999999"/>
    <x v="311"/>
    <s v="Gold"/>
    <n v="62"/>
    <x v="1"/>
    <s v="Home"/>
  </r>
  <r>
    <s v="SALE312"/>
    <d v="2024-11-15T00:00:00"/>
    <x v="193"/>
    <x v="61"/>
    <x v="1"/>
    <n v="2"/>
    <n v="2"/>
    <n v="588.9"/>
    <n v="588.9"/>
    <n v="0.19"/>
    <n v="0.19"/>
    <x v="1"/>
    <n v="954.01800000000003"/>
    <x v="312"/>
    <s v="Silver"/>
    <n v="52"/>
    <x v="1"/>
    <s v="Home"/>
  </r>
  <r>
    <s v="SALE313"/>
    <d v="2024-04-07T00:00:00"/>
    <x v="235"/>
    <x v="57"/>
    <x v="17"/>
    <n v="1"/>
    <n v="1"/>
    <n v="88.92"/>
    <n v="88.92"/>
    <n v="0.19"/>
    <n v="0.19"/>
    <x v="1"/>
    <n v="72.025200000000012"/>
    <x v="313"/>
    <s v="Silver"/>
    <n v="41"/>
    <x v="0"/>
    <s v="Sports"/>
  </r>
  <r>
    <s v="SALE314"/>
    <d v="2024-02-17T00:00:00"/>
    <x v="208"/>
    <x v="86"/>
    <x v="9"/>
    <n v="1"/>
    <n v="1"/>
    <n v="299.13"/>
    <n v="299.13"/>
    <n v="0.1"/>
    <n v="0.1"/>
    <x v="2"/>
    <n v="269.21699999999998"/>
    <x v="314"/>
    <s v="Platinum"/>
    <n v="36"/>
    <x v="0"/>
    <s v="Sports"/>
  </r>
  <r>
    <s v="SALE315"/>
    <d v="2024-05-21T00:00:00"/>
    <x v="5"/>
    <x v="25"/>
    <x v="0"/>
    <n v="2"/>
    <n v="2"/>
    <n v="548.29999999999995"/>
    <n v="548.29999999999995"/>
    <n v="0.23"/>
    <n v="0.23"/>
    <x v="0"/>
    <n v="844.38199999999995"/>
    <x v="315"/>
    <s v="Platinum"/>
    <n v="18"/>
    <x v="1"/>
    <s v="Electronics"/>
  </r>
  <r>
    <s v="SALE316"/>
    <d v="2024-05-23T00:00:00"/>
    <x v="217"/>
    <x v="59"/>
    <x v="15"/>
    <n v="3"/>
    <n v="3"/>
    <n v="977.55"/>
    <n v="977.55"/>
    <n v="0.02"/>
    <n v="0.02"/>
    <x v="1"/>
    <n v="2873.9969999999989"/>
    <x v="316"/>
    <s v="Silver"/>
    <n v="60"/>
    <x v="1"/>
    <s v="Sports"/>
  </r>
  <r>
    <s v="SALE317"/>
    <d v="2025-06-15T00:00:00"/>
    <x v="3"/>
    <x v="38"/>
    <x v="14"/>
    <n v="1"/>
    <n v="1"/>
    <n v="459.42"/>
    <n v="459.42"/>
    <n v="0.28000000000000003"/>
    <n v="0.28000000000000003"/>
    <x v="2"/>
    <n v="330.7824"/>
    <x v="317"/>
    <s v="Platinum"/>
    <n v="58"/>
    <x v="1"/>
    <s v="Sports"/>
  </r>
  <r>
    <s v="SALE318"/>
    <d v="2025-01-06T00:00:00"/>
    <x v="236"/>
    <x v="95"/>
    <x v="5"/>
    <n v="2"/>
    <n v="2"/>
    <n v="123.19"/>
    <n v="123.19"/>
    <n v="0.19"/>
    <n v="0.19"/>
    <x v="0"/>
    <n v="199.56780000000001"/>
    <x v="318"/>
    <s v="Silver"/>
    <n v="58"/>
    <x v="0"/>
    <s v="Clothing"/>
  </r>
  <r>
    <s v="SALE319"/>
    <d v="2025-08-10T00:00:00"/>
    <x v="237"/>
    <x v="76"/>
    <x v="12"/>
    <n v="1"/>
    <n v="1"/>
    <n v="222.95"/>
    <n v="222.95"/>
    <n v="0.02"/>
    <n v="0.02"/>
    <x v="1"/>
    <n v="218.49100000000001"/>
    <x v="319"/>
    <s v="Gold"/>
    <n v="60"/>
    <x v="1"/>
    <s v="Home"/>
  </r>
  <r>
    <s v="SALE320"/>
    <d v="2025-07-02T00:00:00"/>
    <x v="238"/>
    <x v="79"/>
    <x v="5"/>
    <n v="3"/>
    <n v="3"/>
    <n v="601.92999999999995"/>
    <n v="601.92999999999995"/>
    <n v="0.14000000000000001"/>
    <n v="0.14000000000000001"/>
    <x v="0"/>
    <n v="1552.9793999999999"/>
    <x v="320"/>
    <s v="Bronze"/>
    <n v="34"/>
    <x v="1"/>
    <s v="Beauty"/>
  </r>
  <r>
    <s v="SALE321"/>
    <d v="2024-03-29T00:00:00"/>
    <x v="239"/>
    <x v="20"/>
    <x v="17"/>
    <n v="1"/>
    <n v="1"/>
    <n v="564.1"/>
    <n v="564.1"/>
    <n v="0.03"/>
    <n v="0.03"/>
    <x v="0"/>
    <n v="547.17700000000002"/>
    <x v="321"/>
    <s v="Silver"/>
    <n v="47"/>
    <x v="1"/>
    <s v="Clothing"/>
  </r>
  <r>
    <s v="SALE322"/>
    <d v="2025-01-15T00:00:00"/>
    <x v="50"/>
    <x v="61"/>
    <x v="3"/>
    <n v="1"/>
    <n v="1"/>
    <n v="516.62"/>
    <n v="516.62"/>
    <n v="0.18"/>
    <n v="0.18"/>
    <x v="0"/>
    <n v="423.62840000000011"/>
    <x v="322"/>
    <s v="Platinum"/>
    <n v="62"/>
    <x v="1"/>
    <s v="Home"/>
  </r>
  <r>
    <s v="SALE323"/>
    <d v="2024-07-24T00:00:00"/>
    <x v="240"/>
    <x v="81"/>
    <x v="18"/>
    <n v="1"/>
    <n v="1"/>
    <n v="934.75"/>
    <n v="934.75"/>
    <n v="0.11"/>
    <n v="0.11"/>
    <x v="1"/>
    <n v="831.92750000000001"/>
    <x v="323"/>
    <s v="Platinum"/>
    <n v="59"/>
    <x v="1"/>
    <s v="Beauty"/>
  </r>
  <r>
    <s v="SALE324"/>
    <d v="2024-04-25T00:00:00"/>
    <x v="241"/>
    <x v="24"/>
    <x v="4"/>
    <n v="4"/>
    <n v="4"/>
    <n v="548.44000000000005"/>
    <n v="548.44000000000005"/>
    <n v="0.05"/>
    <n v="0.05"/>
    <x v="1"/>
    <n v="2084.0720000000001"/>
    <x v="324"/>
    <s v="Gold"/>
    <n v="43"/>
    <x v="1"/>
    <s v="Electronics"/>
  </r>
  <r>
    <s v="SALE325"/>
    <d v="2025-04-17T00:00:00"/>
    <x v="199"/>
    <x v="92"/>
    <x v="0"/>
    <n v="3"/>
    <n v="3"/>
    <n v="361.11"/>
    <n v="361.11"/>
    <n v="0.06"/>
    <n v="0.06"/>
    <x v="0"/>
    <n v="1018.3302"/>
    <x v="325"/>
    <s v="Silver"/>
    <n v="32"/>
    <x v="1"/>
    <s v="Clothing"/>
  </r>
  <r>
    <s v="SALE326"/>
    <d v="2025-09-24T00:00:00"/>
    <x v="8"/>
    <x v="26"/>
    <x v="8"/>
    <n v="2"/>
    <n v="2"/>
    <n v="610.37"/>
    <n v="610.37"/>
    <n v="0.1"/>
    <n v="0.1"/>
    <x v="1"/>
    <n v="1098.6659999999999"/>
    <x v="326"/>
    <s v="Platinum"/>
    <n v="60"/>
    <x v="1"/>
    <s v="Electronics"/>
  </r>
  <r>
    <s v="SALE327"/>
    <d v="2023-11-10T00:00:00"/>
    <x v="159"/>
    <x v="69"/>
    <x v="9"/>
    <n v="1"/>
    <n v="1"/>
    <n v="272.2"/>
    <n v="272.2"/>
    <n v="0.3"/>
    <n v="0.3"/>
    <x v="0"/>
    <n v="190.54"/>
    <x v="327"/>
    <s v="Silver"/>
    <n v="50"/>
    <x v="1"/>
    <s v="Electronics"/>
  </r>
  <r>
    <s v="SALE328"/>
    <d v="2024-02-27T00:00:00"/>
    <x v="240"/>
    <x v="25"/>
    <x v="16"/>
    <n v="3"/>
    <n v="3"/>
    <n v="573.1"/>
    <n v="573.1"/>
    <n v="0.16"/>
    <n v="0.16"/>
    <x v="2"/>
    <n v="1444.212"/>
    <x v="328"/>
    <s v="Platinum"/>
    <n v="59"/>
    <x v="1"/>
    <s v="Electronics"/>
  </r>
  <r>
    <s v="SALE329"/>
    <d v="2025-04-09T00:00:00"/>
    <x v="242"/>
    <x v="96"/>
    <x v="6"/>
    <n v="4"/>
    <n v="4"/>
    <n v="24.72"/>
    <n v="24.72"/>
    <n v="0.28000000000000003"/>
    <n v="0.28000000000000003"/>
    <x v="0"/>
    <n v="71.193599999999989"/>
    <x v="329"/>
    <s v="Bronze"/>
    <n v="54"/>
    <x v="0"/>
    <s v="Beauty"/>
  </r>
  <r>
    <s v="SALE330"/>
    <d v="2024-07-05T00:00:00"/>
    <x v="243"/>
    <x v="93"/>
    <x v="11"/>
    <n v="3"/>
    <n v="3"/>
    <n v="268.89"/>
    <n v="268.89"/>
    <n v="7.0000000000000007E-2"/>
    <n v="7.0000000000000007E-2"/>
    <x v="2"/>
    <n v="750.20309999999995"/>
    <x v="330"/>
    <s v="Silver"/>
    <n v="64"/>
    <x v="0"/>
    <s v="Sports"/>
  </r>
  <r>
    <s v="SALE331"/>
    <d v="2025-08-21T00:00:00"/>
    <x v="99"/>
    <x v="88"/>
    <x v="11"/>
    <n v="1"/>
    <n v="1"/>
    <n v="78.5"/>
    <n v="78.5"/>
    <n v="0.17"/>
    <n v="0.17"/>
    <x v="2"/>
    <n v="65.155000000000001"/>
    <x v="331"/>
    <s v="Silver"/>
    <n v="42"/>
    <x v="0"/>
    <s v="Home"/>
  </r>
  <r>
    <s v="SALE332"/>
    <d v="2025-06-07T00:00:00"/>
    <x v="244"/>
    <x v="14"/>
    <x v="5"/>
    <n v="3"/>
    <n v="3"/>
    <n v="399.42"/>
    <n v="399.42"/>
    <n v="0.02"/>
    <n v="0.02"/>
    <x v="0"/>
    <n v="1174.2947999999999"/>
    <x v="332"/>
    <s v="Bronze"/>
    <n v="62"/>
    <x v="1"/>
    <s v="Clothing"/>
  </r>
  <r>
    <s v="SALE333"/>
    <d v="2025-08-22T00:00:00"/>
    <x v="245"/>
    <x v="45"/>
    <x v="12"/>
    <n v="3"/>
    <n v="3"/>
    <n v="455.82"/>
    <n v="455.82"/>
    <n v="0.01"/>
    <n v="0.01"/>
    <x v="1"/>
    <n v="1353.7854"/>
    <x v="333"/>
    <s v="Silver"/>
    <n v="36"/>
    <x v="0"/>
    <s v="Sports"/>
  </r>
  <r>
    <s v="SALE334"/>
    <d v="2024-11-13T00:00:00"/>
    <x v="116"/>
    <x v="57"/>
    <x v="3"/>
    <n v="2"/>
    <n v="2"/>
    <n v="613.23"/>
    <n v="613.23"/>
    <n v="0.15"/>
    <n v="0.15"/>
    <x v="1"/>
    <n v="1042.491"/>
    <x v="334"/>
    <s v="Bronze"/>
    <n v="31"/>
    <x v="0"/>
    <s v="Sports"/>
  </r>
  <r>
    <s v="SALE335"/>
    <d v="2024-01-18T00:00:00"/>
    <x v="246"/>
    <x v="95"/>
    <x v="7"/>
    <n v="4"/>
    <n v="4"/>
    <n v="971.9"/>
    <n v="971.9"/>
    <n v="0.28000000000000003"/>
    <n v="0.28000000000000003"/>
    <x v="1"/>
    <n v="2799.0720000000001"/>
    <x v="335"/>
    <s v="Silver"/>
    <n v="62"/>
    <x v="1"/>
    <s v="Clothing"/>
  </r>
  <r>
    <s v="SALE336"/>
    <d v="2024-08-15T00:00:00"/>
    <x v="247"/>
    <x v="77"/>
    <x v="4"/>
    <n v="3"/>
    <n v="3"/>
    <n v="884.92"/>
    <n v="884.92"/>
    <n v="0.06"/>
    <n v="0.06"/>
    <x v="1"/>
    <n v="2495.4744000000001"/>
    <x v="336"/>
    <s v="Platinum"/>
    <n v="27"/>
    <x v="1"/>
    <s v="Sports"/>
  </r>
  <r>
    <s v="SALE337"/>
    <d v="2025-09-21T00:00:00"/>
    <x v="98"/>
    <x v="67"/>
    <x v="11"/>
    <n v="1"/>
    <n v="1"/>
    <n v="125"/>
    <n v="125"/>
    <n v="0.23"/>
    <n v="0.23"/>
    <x v="0"/>
    <n v="96.25"/>
    <x v="337"/>
    <s v="Bronze"/>
    <n v="58"/>
    <x v="1"/>
    <s v="Electronics"/>
  </r>
  <r>
    <s v="SALE338"/>
    <d v="2024-06-22T00:00:00"/>
    <x v="147"/>
    <x v="31"/>
    <x v="10"/>
    <n v="2"/>
    <n v="2"/>
    <n v="188.25"/>
    <n v="188.25"/>
    <n v="0.08"/>
    <n v="0.08"/>
    <x v="1"/>
    <n v="346.38"/>
    <x v="338"/>
    <s v="Silver"/>
    <n v="45"/>
    <x v="0"/>
    <s v="Home"/>
  </r>
  <r>
    <s v="SALE339"/>
    <d v="2024-01-12T00:00:00"/>
    <x v="248"/>
    <x v="54"/>
    <x v="16"/>
    <n v="4"/>
    <n v="4"/>
    <n v="344.12"/>
    <n v="344.12"/>
    <n v="0.25"/>
    <n v="0.25"/>
    <x v="1"/>
    <n v="1032.3599999999999"/>
    <x v="339"/>
    <s v="Platinum"/>
    <n v="35"/>
    <x v="0"/>
    <s v="Clothing"/>
  </r>
  <r>
    <s v="SALE340"/>
    <d v="2023-10-19T00:00:00"/>
    <x v="234"/>
    <x v="53"/>
    <x v="12"/>
    <n v="3"/>
    <n v="3"/>
    <n v="997.95"/>
    <n v="997.95"/>
    <n v="0.09"/>
    <n v="0.09"/>
    <x v="2"/>
    <n v="2724.4034999999999"/>
    <x v="340"/>
    <s v="Silver"/>
    <n v="54"/>
    <x v="1"/>
    <s v="Sports"/>
  </r>
  <r>
    <s v="SALE341"/>
    <d v="2025-03-11T00:00:00"/>
    <x v="249"/>
    <x v="75"/>
    <x v="10"/>
    <n v="3"/>
    <n v="3"/>
    <n v="121.64"/>
    <n v="121.64"/>
    <n v="7.0000000000000007E-2"/>
    <n v="7.0000000000000007E-2"/>
    <x v="1"/>
    <n v="339.37560000000002"/>
    <x v="341"/>
    <s v="Gold"/>
    <n v="24"/>
    <x v="0"/>
    <s v="Electronics"/>
  </r>
  <r>
    <s v="SALE342"/>
    <d v="2024-09-22T00:00:00"/>
    <x v="70"/>
    <x v="88"/>
    <x v="15"/>
    <n v="2"/>
    <n v="2"/>
    <n v="692.72"/>
    <n v="692.72"/>
    <n v="0.13"/>
    <n v="0.13"/>
    <x v="1"/>
    <n v="1205.3327999999999"/>
    <x v="342"/>
    <s v="Platinum"/>
    <n v="38"/>
    <x v="0"/>
    <s v="Home"/>
  </r>
  <r>
    <s v="SALE343"/>
    <d v="2024-11-27T00:00:00"/>
    <x v="250"/>
    <x v="10"/>
    <x v="12"/>
    <n v="3"/>
    <n v="3"/>
    <n v="794.59"/>
    <n v="794.59"/>
    <n v="0.03"/>
    <n v="0.03"/>
    <x v="1"/>
    <n v="2312.2568999999999"/>
    <x v="343"/>
    <s v="UNKNOWN"/>
    <n v="31"/>
    <x v="0"/>
    <s v="Sports"/>
  </r>
  <r>
    <s v="SALE344"/>
    <d v="2023-10-25T00:00:00"/>
    <x v="251"/>
    <x v="33"/>
    <x v="11"/>
    <n v="1"/>
    <n v="1"/>
    <n v="907.95"/>
    <n v="907.95"/>
    <n v="0.1"/>
    <n v="0.1"/>
    <x v="1"/>
    <n v="817.15500000000009"/>
    <x v="344"/>
    <s v="Silver"/>
    <n v="53"/>
    <x v="1"/>
    <s v="Electronics"/>
  </r>
  <r>
    <s v="SALE345"/>
    <d v="2025-10-10T00:00:00"/>
    <x v="86"/>
    <x v="57"/>
    <x v="6"/>
    <n v="2"/>
    <n v="2"/>
    <n v="660.81"/>
    <n v="660.81"/>
    <n v="0.18"/>
    <n v="0.18"/>
    <x v="0"/>
    <n v="1083.7284"/>
    <x v="345"/>
    <s v="Gold"/>
    <n v="22"/>
    <x v="1"/>
    <s v="Sports"/>
  </r>
  <r>
    <s v="SALE346"/>
    <d v="2025-09-15T00:00:00"/>
    <x v="252"/>
    <x v="69"/>
    <x v="2"/>
    <n v="3"/>
    <n v="3"/>
    <n v="564.94000000000005"/>
    <n v="564.94000000000005"/>
    <n v="0.22"/>
    <n v="0.22"/>
    <x v="2"/>
    <n v="1321.9595999999999"/>
    <x v="346"/>
    <s v="Silver"/>
    <n v="23"/>
    <x v="0"/>
    <s v="Electronics"/>
  </r>
  <r>
    <s v="SALE347"/>
    <d v="2024-09-06T00:00:00"/>
    <x v="76"/>
    <x v="5"/>
    <x v="10"/>
    <n v="2"/>
    <n v="2"/>
    <n v="280.37"/>
    <n v="280.37"/>
    <n v="0.22"/>
    <n v="0.22"/>
    <x v="2"/>
    <n v="437.37720000000002"/>
    <x v="347"/>
    <s v="Platinum"/>
    <n v="24"/>
    <x v="0"/>
    <s v="Electronics"/>
  </r>
  <r>
    <s v="SALE348"/>
    <d v="2024-07-16T00:00:00"/>
    <x v="61"/>
    <x v="57"/>
    <x v="0"/>
    <n v="2"/>
    <n v="2"/>
    <n v="85.23"/>
    <n v="85.23"/>
    <n v="0.13"/>
    <n v="0.13"/>
    <x v="0"/>
    <n v="148.30019999999999"/>
    <x v="348"/>
    <s v="Bronze"/>
    <n v="28"/>
    <x v="0"/>
    <s v="Sports"/>
  </r>
  <r>
    <s v="SALE349"/>
    <d v="2025-04-01T00:00:00"/>
    <x v="212"/>
    <x v="16"/>
    <x v="13"/>
    <n v="2"/>
    <n v="2"/>
    <n v="563.29999999999995"/>
    <n v="563.29999999999995"/>
    <n v="0.26"/>
    <n v="0.26"/>
    <x v="0"/>
    <n v="833.68399999999997"/>
    <x v="349"/>
    <s v="Silver"/>
    <n v="47"/>
    <x v="1"/>
    <s v="Home"/>
  </r>
  <r>
    <s v="SALE350"/>
    <d v="2024-01-18T00:00:00"/>
    <x v="153"/>
    <x v="61"/>
    <x v="14"/>
    <n v="2"/>
    <n v="2"/>
    <n v="827.81"/>
    <n v="827.81"/>
    <n v="0.04"/>
    <n v="0.04"/>
    <x v="1"/>
    <n v="1589.3951999999999"/>
    <x v="350"/>
    <s v="Platinum"/>
    <n v="25"/>
    <x v="0"/>
    <s v="Home"/>
  </r>
  <r>
    <s v="SALE351"/>
    <d v="2024-11-25T00:00:00"/>
    <x v="96"/>
    <x v="21"/>
    <x v="14"/>
    <n v="3"/>
    <n v="3"/>
    <n v="877.71"/>
    <n v="877.71"/>
    <n v="0.12"/>
    <n v="0.12"/>
    <x v="1"/>
    <n v="2317.1543999999999"/>
    <x v="351"/>
    <s v="Gold"/>
    <n v="61"/>
    <x v="0"/>
    <s v="Beauty"/>
  </r>
  <r>
    <s v="SALE352"/>
    <d v="2024-11-07T00:00:00"/>
    <x v="99"/>
    <x v="71"/>
    <x v="11"/>
    <n v="4"/>
    <n v="4"/>
    <n v="488.56"/>
    <n v="488.56"/>
    <n v="0.26"/>
    <n v="0.26"/>
    <x v="2"/>
    <n v="1446.1376"/>
    <x v="352"/>
    <s v="Silver"/>
    <n v="42"/>
    <x v="0"/>
    <s v="Sports"/>
  </r>
  <r>
    <s v="SALE353"/>
    <d v="2024-07-28T00:00:00"/>
    <x v="253"/>
    <x v="60"/>
    <x v="18"/>
    <n v="4"/>
    <n v="4"/>
    <n v="175.91"/>
    <n v="175.91"/>
    <n v="0.13"/>
    <n v="0.13"/>
    <x v="1"/>
    <n v="612.16679999999997"/>
    <x v="353"/>
    <s v="Silver"/>
    <n v="64"/>
    <x v="0"/>
    <s v="Clothing"/>
  </r>
  <r>
    <s v="SALE354"/>
    <d v="2024-04-16T00:00:00"/>
    <x v="201"/>
    <x v="72"/>
    <x v="2"/>
    <n v="4"/>
    <n v="4"/>
    <n v="289.66000000000003"/>
    <n v="289.66000000000003"/>
    <n v="0.25"/>
    <n v="0.25"/>
    <x v="2"/>
    <n v="868.98"/>
    <x v="354"/>
    <s v="Gold"/>
    <n v="19"/>
    <x v="0"/>
    <s v="Home"/>
  </r>
  <r>
    <s v="SALE355"/>
    <d v="2024-01-13T00:00:00"/>
    <x v="254"/>
    <x v="5"/>
    <x v="10"/>
    <n v="2"/>
    <n v="2"/>
    <n v="899.27"/>
    <n v="899.27"/>
    <n v="0.17"/>
    <n v="0.17"/>
    <x v="0"/>
    <n v="1492.7882"/>
    <x v="355"/>
    <s v="Platinum"/>
    <n v="31"/>
    <x v="0"/>
    <s v="Electronics"/>
  </r>
  <r>
    <s v="SALE356"/>
    <d v="2024-01-08T00:00:00"/>
    <x v="10"/>
    <x v="97"/>
    <x v="8"/>
    <n v="1"/>
    <n v="1"/>
    <n v="691.38"/>
    <n v="691.38"/>
    <n v="0.11"/>
    <n v="0.11"/>
    <x v="2"/>
    <n v="615.32820000000004"/>
    <x v="356"/>
    <s v="Silver"/>
    <n v="21"/>
    <x v="1"/>
    <s v="Clothing"/>
  </r>
  <r>
    <s v="SALE357"/>
    <d v="2024-09-29T00:00:00"/>
    <x v="255"/>
    <x v="16"/>
    <x v="6"/>
    <n v="3"/>
    <n v="3"/>
    <n v="158.72"/>
    <n v="158.72"/>
    <n v="0.13"/>
    <n v="0.13"/>
    <x v="0"/>
    <n v="414.25920000000002"/>
    <x v="357"/>
    <s v="Platinum"/>
    <n v="47"/>
    <x v="1"/>
    <s v="Home"/>
  </r>
  <r>
    <s v="SALE358"/>
    <d v="2024-05-01T00:00:00"/>
    <x v="256"/>
    <x v="17"/>
    <x v="9"/>
    <n v="4"/>
    <n v="4"/>
    <n v="537.15"/>
    <n v="537.15"/>
    <n v="0.06"/>
    <n v="0.06"/>
    <x v="2"/>
    <n v="2019.684"/>
    <x v="358"/>
    <s v="Silver"/>
    <n v="48"/>
    <x v="0"/>
    <s v="Beauty"/>
  </r>
  <r>
    <s v="SALE359"/>
    <d v="2024-07-07T00:00:00"/>
    <x v="222"/>
    <x v="89"/>
    <x v="11"/>
    <n v="3"/>
    <n v="3"/>
    <n v="771.7"/>
    <n v="771.7"/>
    <n v="0.05"/>
    <n v="0.05"/>
    <x v="2"/>
    <n v="2199.3449999999998"/>
    <x v="359"/>
    <s v="Bronze"/>
    <n v="64"/>
    <x v="1"/>
    <s v="Sports"/>
  </r>
  <r>
    <s v="SALE360"/>
    <d v="2024-11-14T00:00:00"/>
    <x v="140"/>
    <x v="12"/>
    <x v="8"/>
    <n v="4"/>
    <n v="4"/>
    <n v="677.25"/>
    <n v="677.25"/>
    <n v="0.14000000000000001"/>
    <n v="0.14000000000000001"/>
    <x v="1"/>
    <n v="2329.7399999999998"/>
    <x v="360"/>
    <s v="Bronze"/>
    <n v="38"/>
    <x v="0"/>
    <s v="Sports"/>
  </r>
  <r>
    <s v="SALE361"/>
    <d v="2025-04-16T00:00:00"/>
    <x v="257"/>
    <x v="24"/>
    <x v="19"/>
    <n v="1"/>
    <n v="1"/>
    <n v="645.48"/>
    <n v="645.48"/>
    <n v="0.26"/>
    <n v="0.26"/>
    <x v="2"/>
    <n v="477.65519999999998"/>
    <x v="361"/>
    <s v="Bronze"/>
    <n v="34"/>
    <x v="1"/>
    <s v="Electronics"/>
  </r>
  <r>
    <s v="SALE362"/>
    <d v="2025-07-18T00:00:00"/>
    <x v="258"/>
    <x v="78"/>
    <x v="17"/>
    <n v="2"/>
    <n v="2"/>
    <n v="934"/>
    <n v="934"/>
    <n v="0.3"/>
    <n v="0.3"/>
    <x v="2"/>
    <n v="1307.5999999999999"/>
    <x v="362"/>
    <s v="Platinum"/>
    <n v="34"/>
    <x v="0"/>
    <s v="Sports"/>
  </r>
  <r>
    <s v="SALE363"/>
    <d v="2025-02-24T00:00:00"/>
    <x v="159"/>
    <x v="54"/>
    <x v="17"/>
    <n v="1"/>
    <n v="1"/>
    <n v="669.53"/>
    <n v="669.53"/>
    <n v="0.2"/>
    <n v="0.2"/>
    <x v="0"/>
    <n v="535.62400000000002"/>
    <x v="363"/>
    <s v="Silver"/>
    <n v="50"/>
    <x v="1"/>
    <s v="Clothing"/>
  </r>
  <r>
    <s v="SALE364"/>
    <d v="2025-03-07T00:00:00"/>
    <x v="188"/>
    <x v="68"/>
    <x v="14"/>
    <n v="1"/>
    <n v="1"/>
    <n v="213.69"/>
    <n v="213.69"/>
    <n v="0.28000000000000003"/>
    <n v="0.28000000000000003"/>
    <x v="2"/>
    <n v="153.85679999999999"/>
    <x v="364"/>
    <s v="Platinum"/>
    <n v="44"/>
    <x v="0"/>
    <s v="Home"/>
  </r>
  <r>
    <s v="SALE365"/>
    <d v="2025-02-18T00:00:00"/>
    <x v="259"/>
    <x v="39"/>
    <x v="12"/>
    <n v="2"/>
    <n v="2"/>
    <n v="99.1"/>
    <n v="99.1"/>
    <n v="0.2"/>
    <n v="0.2"/>
    <x v="1"/>
    <n v="158.56"/>
    <x v="365"/>
    <s v="Gold"/>
    <n v="29"/>
    <x v="0"/>
    <s v="Home"/>
  </r>
  <r>
    <s v="SALE366"/>
    <d v="2024-06-26T00:00:00"/>
    <x v="260"/>
    <x v="92"/>
    <x v="9"/>
    <n v="1"/>
    <n v="1"/>
    <n v="628.98"/>
    <n v="628.98"/>
    <n v="0.03"/>
    <n v="0.03"/>
    <x v="2"/>
    <n v="610.11059999999998"/>
    <x v="366"/>
    <s v="Silver"/>
    <n v="45"/>
    <x v="0"/>
    <s v="Clothing"/>
  </r>
  <r>
    <s v="SALE367"/>
    <d v="2025-02-23T00:00:00"/>
    <x v="245"/>
    <x v="94"/>
    <x v="5"/>
    <n v="3"/>
    <n v="3"/>
    <n v="944.64"/>
    <n v="944.64"/>
    <n v="0.26"/>
    <n v="0.26"/>
    <x v="0"/>
    <n v="2097.1008000000002"/>
    <x v="367"/>
    <s v="Silver"/>
    <n v="36"/>
    <x v="0"/>
    <s v="Home"/>
  </r>
  <r>
    <s v="SALE368"/>
    <d v="2025-06-15T00:00:00"/>
    <x v="198"/>
    <x v="47"/>
    <x v="18"/>
    <n v="2"/>
    <n v="2"/>
    <n v="121.7"/>
    <n v="121.7"/>
    <n v="0.06"/>
    <n v="0.06"/>
    <x v="2"/>
    <n v="228.79599999999999"/>
    <x v="368"/>
    <s v="Platinum"/>
    <n v="42"/>
    <x v="0"/>
    <s v="Electronics"/>
  </r>
  <r>
    <s v="SALE369"/>
    <d v="2023-10-18T00:00:00"/>
    <x v="164"/>
    <x v="15"/>
    <x v="0"/>
    <n v="4"/>
    <n v="4"/>
    <n v="269.49"/>
    <n v="269.49"/>
    <n v="7.0000000000000007E-2"/>
    <n v="7.0000000000000007E-2"/>
    <x v="1"/>
    <n v="1002.5028"/>
    <x v="369"/>
    <s v="Bronze"/>
    <n v="64"/>
    <x v="1"/>
    <s v="Sports"/>
  </r>
  <r>
    <s v="SALE370"/>
    <d v="2025-03-17T00:00:00"/>
    <x v="179"/>
    <x v="62"/>
    <x v="14"/>
    <n v="1"/>
    <n v="1"/>
    <n v="678.2"/>
    <n v="678.2"/>
    <n v="0.14000000000000001"/>
    <n v="0.14000000000000001"/>
    <x v="0"/>
    <n v="583.25200000000007"/>
    <x v="370"/>
    <s v="Silver"/>
    <n v="35"/>
    <x v="0"/>
    <s v="Sports"/>
  </r>
  <r>
    <s v="SALE371"/>
    <d v="2024-08-16T00:00:00"/>
    <x v="104"/>
    <x v="64"/>
    <x v="13"/>
    <n v="1"/>
    <n v="1"/>
    <n v="752.45"/>
    <n v="752.45"/>
    <n v="0.21"/>
    <n v="0.21"/>
    <x v="2"/>
    <n v="594.43550000000005"/>
    <x v="371"/>
    <s v="Bronze"/>
    <n v="22"/>
    <x v="1"/>
    <s v="Electronics"/>
  </r>
  <r>
    <s v="SALE372"/>
    <d v="2024-03-22T00:00:00"/>
    <x v="65"/>
    <x v="32"/>
    <x v="13"/>
    <n v="2"/>
    <n v="2"/>
    <n v="209.66"/>
    <n v="209.66"/>
    <n v="0.21"/>
    <n v="0.21"/>
    <x v="0"/>
    <n v="331.26280000000003"/>
    <x v="372"/>
    <s v="UNKNOWN"/>
    <n v="27"/>
    <x v="1"/>
    <s v="Beauty"/>
  </r>
  <r>
    <s v="SALE373"/>
    <d v="2025-01-31T00:00:00"/>
    <x v="261"/>
    <x v="0"/>
    <x v="12"/>
    <n v="2"/>
    <n v="2"/>
    <n v="739.95"/>
    <n v="739.95"/>
    <n v="0.1"/>
    <n v="0.1"/>
    <x v="2"/>
    <n v="1331.91"/>
    <x v="373"/>
    <s v="Silver"/>
    <n v="18"/>
    <x v="1"/>
    <s v="Sports"/>
  </r>
  <r>
    <s v="SALE374"/>
    <d v="2023-12-16T00:00:00"/>
    <x v="262"/>
    <x v="49"/>
    <x v="10"/>
    <n v="1"/>
    <n v="1"/>
    <n v="496.19"/>
    <n v="496.19"/>
    <n v="0.08"/>
    <n v="0.08"/>
    <x v="2"/>
    <n v="456.4948"/>
    <x v="374"/>
    <s v="Gold"/>
    <n v="19"/>
    <x v="0"/>
    <s v="Sports"/>
  </r>
  <r>
    <s v="SALE375"/>
    <d v="2025-04-09T00:00:00"/>
    <x v="197"/>
    <x v="93"/>
    <x v="18"/>
    <n v="1"/>
    <n v="1"/>
    <n v="306.36"/>
    <n v="306.36"/>
    <n v="0.01"/>
    <n v="0.01"/>
    <x v="1"/>
    <n v="303.29640000000001"/>
    <x v="375"/>
    <s v="Bronze"/>
    <n v="34"/>
    <x v="0"/>
    <s v="Sports"/>
  </r>
  <r>
    <s v="SALE376"/>
    <d v="2024-01-18T00:00:00"/>
    <x v="263"/>
    <x v="78"/>
    <x v="5"/>
    <n v="4"/>
    <n v="4"/>
    <n v="693.16"/>
    <n v="693.16"/>
    <n v="0.05"/>
    <n v="0.05"/>
    <x v="1"/>
    <n v="2634.0079999999998"/>
    <x v="376"/>
    <s v="Platinum"/>
    <n v="44"/>
    <x v="1"/>
    <s v="Sports"/>
  </r>
  <r>
    <s v="SALE377"/>
    <d v="2025-03-28T00:00:00"/>
    <x v="264"/>
    <x v="50"/>
    <x v="15"/>
    <n v="1"/>
    <n v="1"/>
    <n v="995.52"/>
    <n v="995.52"/>
    <n v="0.22"/>
    <n v="0.22"/>
    <x v="1"/>
    <n v="776.50559999999996"/>
    <x v="377"/>
    <s v="Gold"/>
    <n v="54"/>
    <x v="0"/>
    <s v="Beauty"/>
  </r>
  <r>
    <s v="SALE378"/>
    <d v="2024-08-31T00:00:00"/>
    <x v="265"/>
    <x v="84"/>
    <x v="14"/>
    <n v="4"/>
    <n v="4"/>
    <n v="241.32"/>
    <n v="241.32"/>
    <n v="0.28999999999999998"/>
    <n v="0.28999999999999998"/>
    <x v="2"/>
    <n v="685.34879999999998"/>
    <x v="378"/>
    <s v="Platinum"/>
    <n v="64"/>
    <x v="1"/>
    <s v="Home"/>
  </r>
  <r>
    <s v="SALE379"/>
    <d v="2023-11-10T00:00:00"/>
    <x v="19"/>
    <x v="36"/>
    <x v="8"/>
    <n v="3"/>
    <n v="3"/>
    <n v="636.03"/>
    <n v="636.03"/>
    <n v="0.06"/>
    <n v="0.06"/>
    <x v="2"/>
    <n v="1793.6045999999999"/>
    <x v="379"/>
    <s v="Platinum"/>
    <n v="58"/>
    <x v="1"/>
    <s v="Home"/>
  </r>
  <r>
    <s v="SALE380"/>
    <d v="2023-12-15T00:00:00"/>
    <x v="181"/>
    <x v="83"/>
    <x v="12"/>
    <n v="4"/>
    <n v="4"/>
    <n v="603.30999999999995"/>
    <n v="603.30999999999995"/>
    <n v="0.15"/>
    <n v="0.15"/>
    <x v="0"/>
    <n v="2051.2539999999999"/>
    <x v="380"/>
    <s v="Platinum"/>
    <n v="30"/>
    <x v="1"/>
    <s v="Clothing"/>
  </r>
  <r>
    <s v="SALE381"/>
    <d v="2024-05-15T00:00:00"/>
    <x v="178"/>
    <x v="41"/>
    <x v="15"/>
    <n v="3"/>
    <n v="3"/>
    <n v="437.96"/>
    <n v="437.96"/>
    <n v="0.27"/>
    <n v="0.27"/>
    <x v="2"/>
    <n v="959.13239999999985"/>
    <x v="381"/>
    <s v="Gold"/>
    <n v="61"/>
    <x v="1"/>
    <s v="Beauty"/>
  </r>
  <r>
    <s v="SALE382"/>
    <d v="2024-01-31T00:00:00"/>
    <x v="266"/>
    <x v="13"/>
    <x v="5"/>
    <n v="2"/>
    <n v="2"/>
    <n v="56.91"/>
    <n v="56.91"/>
    <n v="0.08"/>
    <n v="0.08"/>
    <x v="2"/>
    <n v="104.7144"/>
    <x v="382"/>
    <s v="Platinum"/>
    <n v="54"/>
    <x v="0"/>
    <s v="Electronics"/>
  </r>
  <r>
    <s v="SALE383"/>
    <d v="2023-12-06T00:00:00"/>
    <x v="159"/>
    <x v="3"/>
    <x v="16"/>
    <n v="1"/>
    <n v="1"/>
    <n v="141.79"/>
    <n v="141.79"/>
    <n v="0.1"/>
    <n v="0.1"/>
    <x v="0"/>
    <n v="127.611"/>
    <x v="383"/>
    <s v="Silver"/>
    <n v="50"/>
    <x v="1"/>
    <s v="Electronics"/>
  </r>
  <r>
    <s v="SALE384"/>
    <d v="2024-01-11T00:00:00"/>
    <x v="60"/>
    <x v="93"/>
    <x v="10"/>
    <n v="4"/>
    <n v="4"/>
    <n v="355.14"/>
    <n v="355.14"/>
    <n v="0.16"/>
    <n v="0.16"/>
    <x v="2"/>
    <n v="1193.2704000000001"/>
    <x v="384"/>
    <s v="Gold"/>
    <n v="48"/>
    <x v="0"/>
    <s v="Sports"/>
  </r>
  <r>
    <s v="SALE385"/>
    <d v="2025-09-07T00:00:00"/>
    <x v="225"/>
    <x v="48"/>
    <x v="16"/>
    <n v="4"/>
    <n v="4"/>
    <n v="960.38"/>
    <n v="960.38"/>
    <n v="0.15"/>
    <n v="0.15"/>
    <x v="2"/>
    <n v="3265.2919999999999"/>
    <x v="385"/>
    <s v="Silver"/>
    <n v="20"/>
    <x v="1"/>
    <s v="Sports"/>
  </r>
  <r>
    <s v="SALE386"/>
    <d v="2024-05-21T00:00:00"/>
    <x v="47"/>
    <x v="20"/>
    <x v="9"/>
    <n v="3"/>
    <n v="3"/>
    <n v="847.21"/>
    <n v="847.21"/>
    <n v="0.06"/>
    <n v="0.06"/>
    <x v="1"/>
    <n v="2389.1322"/>
    <x v="386"/>
    <s v="Bronze"/>
    <n v="60"/>
    <x v="0"/>
    <s v="Clothing"/>
  </r>
  <r>
    <s v="SALE387"/>
    <d v="2025-08-23T00:00:00"/>
    <x v="149"/>
    <x v="61"/>
    <x v="15"/>
    <n v="4"/>
    <n v="4"/>
    <n v="773.81"/>
    <n v="773.81"/>
    <n v="0.08"/>
    <n v="0.08"/>
    <x v="2"/>
    <n v="2847.6208000000001"/>
    <x v="387"/>
    <s v="Silver"/>
    <n v="27"/>
    <x v="1"/>
    <s v="Home"/>
  </r>
  <r>
    <s v="SALE388"/>
    <d v="2025-05-03T00:00:00"/>
    <x v="267"/>
    <x v="81"/>
    <x v="9"/>
    <n v="1"/>
    <n v="1"/>
    <n v="664.71"/>
    <n v="664.71"/>
    <n v="0.1"/>
    <n v="0.1"/>
    <x v="1"/>
    <n v="598.23900000000003"/>
    <x v="388"/>
    <s v="UNKNOWN"/>
    <n v="55"/>
    <x v="0"/>
    <s v="Beauty"/>
  </r>
  <r>
    <s v="SALE389"/>
    <d v="2023-11-03T00:00:00"/>
    <x v="268"/>
    <x v="92"/>
    <x v="4"/>
    <n v="4"/>
    <n v="4"/>
    <n v="482.06"/>
    <n v="482.06"/>
    <n v="7.0000000000000007E-2"/>
    <n v="7.0000000000000007E-2"/>
    <x v="1"/>
    <n v="1793.2632000000001"/>
    <x v="389"/>
    <s v="Gold"/>
    <n v="39"/>
    <x v="1"/>
    <s v="Clothing"/>
  </r>
  <r>
    <s v="SALE390"/>
    <d v="2025-03-26T00:00:00"/>
    <x v="269"/>
    <x v="71"/>
    <x v="0"/>
    <n v="4"/>
    <n v="4"/>
    <n v="995.55"/>
    <n v="995.55"/>
    <n v="0.19"/>
    <n v="0.19"/>
    <x v="1"/>
    <n v="3225.5819999999999"/>
    <x v="390"/>
    <s v="Platinum"/>
    <n v="43"/>
    <x v="0"/>
    <s v="Sports"/>
  </r>
  <r>
    <s v="SALE391"/>
    <d v="2024-07-05T00:00:00"/>
    <x v="206"/>
    <x v="47"/>
    <x v="13"/>
    <n v="2"/>
    <n v="2"/>
    <n v="153.84"/>
    <n v="153.84"/>
    <n v="0.27"/>
    <n v="0.27"/>
    <x v="1"/>
    <n v="224.60640000000001"/>
    <x v="391"/>
    <s v="Bronze"/>
    <n v="30"/>
    <x v="0"/>
    <s v="Electronics"/>
  </r>
  <r>
    <s v="SALE392"/>
    <d v="2025-05-12T00:00:00"/>
    <x v="175"/>
    <x v="36"/>
    <x v="16"/>
    <n v="3"/>
    <n v="3"/>
    <n v="362.11"/>
    <n v="362.11"/>
    <n v="0.23"/>
    <n v="0.23"/>
    <x v="2"/>
    <n v="836.47409999999991"/>
    <x v="392"/>
    <s v="Bronze"/>
    <n v="31"/>
    <x v="0"/>
    <s v="Home"/>
  </r>
  <r>
    <s v="SALE393"/>
    <d v="2024-09-26T00:00:00"/>
    <x v="167"/>
    <x v="19"/>
    <x v="2"/>
    <n v="3"/>
    <n v="3"/>
    <n v="112.26"/>
    <n v="112.26"/>
    <n v="0.11"/>
    <n v="0.11"/>
    <x v="0"/>
    <n v="299.73419999999999"/>
    <x v="393"/>
    <s v="Silver"/>
    <n v="42"/>
    <x v="0"/>
    <s v="Electronics"/>
  </r>
  <r>
    <s v="SALE394"/>
    <d v="2024-03-27T00:00:00"/>
    <x v="43"/>
    <x v="32"/>
    <x v="12"/>
    <n v="2"/>
    <n v="2"/>
    <n v="962.81"/>
    <n v="962.81"/>
    <n v="0.06"/>
    <n v="0.06"/>
    <x v="2"/>
    <n v="1810.0827999999999"/>
    <x v="394"/>
    <s v="Platinum"/>
    <n v="47"/>
    <x v="0"/>
    <s v="Beauty"/>
  </r>
  <r>
    <s v="SALE395"/>
    <d v="2024-01-17T00:00:00"/>
    <x v="26"/>
    <x v="39"/>
    <x v="6"/>
    <n v="4"/>
    <n v="4"/>
    <n v="276.23"/>
    <n v="276.23"/>
    <n v="0.12"/>
    <n v="0.12"/>
    <x v="0"/>
    <n v="972.32960000000003"/>
    <x v="395"/>
    <s v="Platinum"/>
    <n v="42"/>
    <x v="1"/>
    <s v="Home"/>
  </r>
  <r>
    <s v="SALE396"/>
    <d v="2024-04-25T00:00:00"/>
    <x v="270"/>
    <x v="97"/>
    <x v="7"/>
    <n v="3"/>
    <n v="3"/>
    <n v="991.37"/>
    <n v="991.37"/>
    <n v="0.1"/>
    <n v="0.1"/>
    <x v="1"/>
    <n v="2676.6990000000001"/>
    <x v="396"/>
    <s v="Platinum"/>
    <n v="49"/>
    <x v="1"/>
    <s v="Clothing"/>
  </r>
  <r>
    <s v="SALE397"/>
    <d v="2025-09-29T00:00:00"/>
    <x v="64"/>
    <x v="39"/>
    <x v="13"/>
    <n v="3"/>
    <n v="3"/>
    <n v="977.47"/>
    <n v="977.47"/>
    <n v="0.05"/>
    <n v="0.05"/>
    <x v="0"/>
    <n v="2785.7894999999999"/>
    <x v="397"/>
    <s v="Platinum"/>
    <n v="36"/>
    <x v="1"/>
    <s v="Home"/>
  </r>
  <r>
    <s v="SALE398"/>
    <d v="2025-07-06T00:00:00"/>
    <x v="271"/>
    <x v="32"/>
    <x v="18"/>
    <n v="2"/>
    <n v="2"/>
    <n v="308.7"/>
    <n v="308.7"/>
    <n v="0.2"/>
    <n v="0.2"/>
    <x v="1"/>
    <n v="493.92"/>
    <x v="398"/>
    <s v="Silver"/>
    <n v="26"/>
    <x v="1"/>
    <s v="Beauty"/>
  </r>
  <r>
    <s v="SALE399"/>
    <d v="2024-10-14T00:00:00"/>
    <x v="65"/>
    <x v="96"/>
    <x v="9"/>
    <n v="2"/>
    <n v="2"/>
    <n v="733.87"/>
    <n v="733.87"/>
    <n v="0.1"/>
    <n v="0.1"/>
    <x v="1"/>
    <n v="1320.9659999999999"/>
    <x v="399"/>
    <s v="UNKNOWN"/>
    <n v="27"/>
    <x v="1"/>
    <s v="Beauty"/>
  </r>
  <r>
    <s v="SALE400"/>
    <d v="2023-10-28T00:00:00"/>
    <x v="50"/>
    <x v="46"/>
    <x v="9"/>
    <n v="2"/>
    <n v="2"/>
    <n v="22.47"/>
    <n v="22.47"/>
    <n v="0.22"/>
    <n v="0.22"/>
    <x v="1"/>
    <n v="35.053199999999997"/>
    <x v="400"/>
    <s v="Platinum"/>
    <n v="62"/>
    <x v="1"/>
    <s v="Sports"/>
  </r>
  <r>
    <s v="SALE401"/>
    <d v="2024-03-29T00:00:00"/>
    <x v="14"/>
    <x v="71"/>
    <x v="13"/>
    <n v="4"/>
    <n v="4"/>
    <n v="651.36"/>
    <n v="651.36"/>
    <n v="0.13"/>
    <n v="0.13"/>
    <x v="0"/>
    <n v="2266.7328000000002"/>
    <x v="401"/>
    <s v="Silver"/>
    <n v="55"/>
    <x v="0"/>
    <s v="Sports"/>
  </r>
  <r>
    <s v="SALE402"/>
    <d v="2025-06-09T00:00:00"/>
    <x v="272"/>
    <x v="66"/>
    <x v="15"/>
    <n v="1"/>
    <n v="1"/>
    <n v="753.39"/>
    <n v="753.39"/>
    <n v="0.04"/>
    <n v="0.04"/>
    <x v="2"/>
    <n v="723.25439999999992"/>
    <x v="402"/>
    <s v="Bronze"/>
    <n v="28"/>
    <x v="1"/>
    <s v="Home"/>
  </r>
  <r>
    <s v="SALE403"/>
    <d v="2024-10-11T00:00:00"/>
    <x v="114"/>
    <x v="51"/>
    <x v="18"/>
    <n v="4"/>
    <n v="4"/>
    <n v="849.17"/>
    <n v="849.17"/>
    <n v="0.12"/>
    <n v="0.12"/>
    <x v="2"/>
    <n v="2989.0783999999999"/>
    <x v="403"/>
    <s v="Bronze"/>
    <n v="25"/>
    <x v="1"/>
    <s v="Beauty"/>
  </r>
  <r>
    <s v="SALE404"/>
    <d v="2024-07-22T00:00:00"/>
    <x v="273"/>
    <x v="42"/>
    <x v="6"/>
    <n v="4"/>
    <n v="4"/>
    <n v="585.45000000000005"/>
    <n v="585.45000000000005"/>
    <n v="0.25"/>
    <n v="0.25"/>
    <x v="2"/>
    <n v="1756.35"/>
    <x v="404"/>
    <s v="Gold"/>
    <n v="34"/>
    <x v="1"/>
    <s v="Sports"/>
  </r>
  <r>
    <s v="SALE405"/>
    <d v="2024-12-02T00:00:00"/>
    <x v="22"/>
    <x v="28"/>
    <x v="9"/>
    <n v="1"/>
    <n v="1"/>
    <n v="745.15"/>
    <n v="745.15"/>
    <n v="0.25"/>
    <n v="0.25"/>
    <x v="2"/>
    <n v="558.86249999999995"/>
    <x v="405"/>
    <s v="Gold"/>
    <n v="33"/>
    <x v="1"/>
    <s v="Clothing"/>
  </r>
  <r>
    <s v="SALE406"/>
    <d v="2023-11-14T00:00:00"/>
    <x v="274"/>
    <x v="8"/>
    <x v="17"/>
    <n v="1"/>
    <n v="1"/>
    <n v="848.69"/>
    <n v="848.69"/>
    <n v="0.04"/>
    <n v="0.04"/>
    <x v="2"/>
    <n v="814.74239999999998"/>
    <x v="406"/>
    <s v="Gold"/>
    <n v="61"/>
    <x v="1"/>
    <s v="Home"/>
  </r>
  <r>
    <s v="SALE407"/>
    <d v="2024-02-14T00:00:00"/>
    <x v="275"/>
    <x v="7"/>
    <x v="7"/>
    <n v="2"/>
    <n v="2"/>
    <n v="247.67"/>
    <n v="247.67"/>
    <n v="0.1"/>
    <n v="0.1"/>
    <x v="1"/>
    <n v="445.80599999999998"/>
    <x v="407"/>
    <s v="Bronze"/>
    <n v="59"/>
    <x v="1"/>
    <s v="Home"/>
  </r>
  <r>
    <s v="SALE408"/>
    <d v="2024-06-22T00:00:00"/>
    <x v="276"/>
    <x v="1"/>
    <x v="0"/>
    <n v="3"/>
    <n v="3"/>
    <n v="220.51"/>
    <n v="220.51"/>
    <n v="0.02"/>
    <n v="0.02"/>
    <x v="1"/>
    <n v="648.29939999999999"/>
    <x v="408"/>
    <s v="Gold"/>
    <n v="55"/>
    <x v="1"/>
    <s v="Electronics"/>
  </r>
  <r>
    <s v="SALE409"/>
    <d v="2025-06-29T00:00:00"/>
    <x v="78"/>
    <x v="5"/>
    <x v="9"/>
    <n v="4"/>
    <n v="4"/>
    <n v="370.63"/>
    <n v="370.63"/>
    <n v="0.08"/>
    <n v="0.08"/>
    <x v="0"/>
    <n v="1363.9184"/>
    <x v="409"/>
    <s v="Bronze"/>
    <n v="62"/>
    <x v="1"/>
    <s v="Electronics"/>
  </r>
  <r>
    <s v="SALE410"/>
    <d v="2025-02-18T00:00:00"/>
    <x v="277"/>
    <x v="35"/>
    <x v="12"/>
    <n v="4"/>
    <n v="4"/>
    <n v="349.84"/>
    <n v="349.84"/>
    <n v="0.11"/>
    <n v="0.11"/>
    <x v="0"/>
    <n v="1245.4304"/>
    <x v="410"/>
    <s v="Bronze"/>
    <n v="40"/>
    <x v="1"/>
    <s v="Home"/>
  </r>
  <r>
    <s v="SALE411"/>
    <d v="2025-06-15T00:00:00"/>
    <x v="278"/>
    <x v="11"/>
    <x v="18"/>
    <n v="1"/>
    <n v="1"/>
    <n v="770.87"/>
    <n v="770.87"/>
    <n v="0.1"/>
    <n v="0.1"/>
    <x v="2"/>
    <n v="693.78300000000002"/>
    <x v="411"/>
    <s v="Gold"/>
    <n v="45"/>
    <x v="0"/>
    <s v="Electronics"/>
  </r>
  <r>
    <s v="SALE412"/>
    <d v="2024-08-14T00:00:00"/>
    <x v="232"/>
    <x v="8"/>
    <x v="1"/>
    <n v="3"/>
    <n v="3"/>
    <n v="507.33"/>
    <n v="507.33"/>
    <n v="0.06"/>
    <n v="0.06"/>
    <x v="1"/>
    <n v="1430.6705999999999"/>
    <x v="412"/>
    <s v="Bronze"/>
    <n v="40"/>
    <x v="0"/>
    <s v="Home"/>
  </r>
  <r>
    <s v="SALE413"/>
    <d v="2025-07-25T00:00:00"/>
    <x v="169"/>
    <x v="73"/>
    <x v="11"/>
    <n v="1"/>
    <n v="1"/>
    <n v="87.78"/>
    <n v="87.78"/>
    <n v="0.06"/>
    <n v="0.06"/>
    <x v="0"/>
    <n v="82.513199999999998"/>
    <x v="413"/>
    <s v="Platinum"/>
    <n v="54"/>
    <x v="1"/>
    <s v="Beauty"/>
  </r>
  <r>
    <s v="SALE414"/>
    <d v="2025-01-09T00:00:00"/>
    <x v="279"/>
    <x v="47"/>
    <x v="5"/>
    <n v="2"/>
    <n v="2"/>
    <n v="772.24"/>
    <n v="772.24"/>
    <n v="0.22"/>
    <n v="0.22"/>
    <x v="0"/>
    <n v="1204.6944000000001"/>
    <x v="414"/>
    <s v="Platinum"/>
    <n v="29"/>
    <x v="1"/>
    <s v="Electronics"/>
  </r>
  <r>
    <s v="SALE415"/>
    <d v="2025-06-05T00:00:00"/>
    <x v="234"/>
    <x v="7"/>
    <x v="7"/>
    <n v="1"/>
    <n v="1"/>
    <n v="108.27"/>
    <n v="108.27"/>
    <n v="0.1"/>
    <n v="0.1"/>
    <x v="2"/>
    <n v="97.442999999999998"/>
    <x v="415"/>
    <s v="Silver"/>
    <n v="54"/>
    <x v="1"/>
    <s v="Home"/>
  </r>
  <r>
    <s v="SALE416"/>
    <d v="2024-12-07T00:00:00"/>
    <x v="268"/>
    <x v="48"/>
    <x v="1"/>
    <n v="2"/>
    <n v="2"/>
    <n v="839.24"/>
    <n v="839.24"/>
    <n v="0.21"/>
    <n v="0.21"/>
    <x v="1"/>
    <n v="1325.9992"/>
    <x v="416"/>
    <s v="Gold"/>
    <n v="39"/>
    <x v="1"/>
    <s v="Sports"/>
  </r>
  <r>
    <s v="SALE417"/>
    <d v="2024-02-09T00:00:00"/>
    <x v="280"/>
    <x v="87"/>
    <x v="15"/>
    <n v="2"/>
    <n v="2"/>
    <n v="466.27"/>
    <n v="466.27"/>
    <n v="0.11"/>
    <n v="0.11"/>
    <x v="1"/>
    <n v="829.9606"/>
    <x v="417"/>
    <s v="Silver"/>
    <n v="27"/>
    <x v="1"/>
    <s v="Clothing"/>
  </r>
  <r>
    <s v="SALE418"/>
    <d v="2025-10-12T00:00:00"/>
    <x v="31"/>
    <x v="85"/>
    <x v="7"/>
    <n v="3"/>
    <n v="3"/>
    <n v="969.83"/>
    <n v="969.83"/>
    <n v="0.02"/>
    <n v="0.02"/>
    <x v="0"/>
    <n v="2851.3002000000001"/>
    <x v="418"/>
    <s v="Bronze"/>
    <n v="54"/>
    <x v="0"/>
    <s v="Electronics"/>
  </r>
  <r>
    <s v="SALE419"/>
    <d v="2025-06-16T00:00:00"/>
    <x v="222"/>
    <x v="52"/>
    <x v="12"/>
    <n v="2"/>
    <n v="2"/>
    <n v="782.11"/>
    <n v="782.11"/>
    <n v="0.17"/>
    <n v="0.17"/>
    <x v="1"/>
    <n v="1298.3026"/>
    <x v="419"/>
    <s v="Bronze"/>
    <n v="64"/>
    <x v="1"/>
    <s v="Clothing"/>
  </r>
  <r>
    <s v="SALE420"/>
    <d v="2025-09-21T00:00:00"/>
    <x v="231"/>
    <x v="43"/>
    <x v="19"/>
    <n v="2"/>
    <n v="2"/>
    <n v="74.63"/>
    <n v="74.63"/>
    <n v="0.01"/>
    <n v="0.01"/>
    <x v="1"/>
    <n v="147.76740000000001"/>
    <x v="420"/>
    <s v="Gold"/>
    <n v="46"/>
    <x v="0"/>
    <s v="Electronics"/>
  </r>
  <r>
    <s v="SALE421"/>
    <d v="2025-09-09T00:00:00"/>
    <x v="95"/>
    <x v="65"/>
    <x v="16"/>
    <n v="3"/>
    <n v="3"/>
    <n v="522.78"/>
    <n v="522.78"/>
    <n v="0.25"/>
    <n v="0.25"/>
    <x v="1"/>
    <n v="1176.2550000000001"/>
    <x v="421"/>
    <s v="Platinum"/>
    <n v="21"/>
    <x v="0"/>
    <s v="Clothing"/>
  </r>
  <r>
    <s v="SALE422"/>
    <d v="2025-07-15T00:00:00"/>
    <x v="94"/>
    <x v="26"/>
    <x v="10"/>
    <n v="1"/>
    <n v="1"/>
    <n v="206.45"/>
    <n v="206.45"/>
    <n v="0.15"/>
    <n v="0.15"/>
    <x v="1"/>
    <n v="175.48249999999999"/>
    <x v="422"/>
    <s v="Silver"/>
    <n v="46"/>
    <x v="1"/>
    <s v="Electronics"/>
  </r>
  <r>
    <s v="SALE423"/>
    <d v="2024-10-15T00:00:00"/>
    <x v="281"/>
    <x v="20"/>
    <x v="3"/>
    <n v="1"/>
    <n v="1"/>
    <n v="815.53"/>
    <n v="815.53"/>
    <n v="0.3"/>
    <n v="0.3"/>
    <x v="1"/>
    <n v="570.87099999999998"/>
    <x v="423"/>
    <s v="Platinum"/>
    <n v="46"/>
    <x v="0"/>
    <s v="Clothing"/>
  </r>
  <r>
    <s v="SALE424"/>
    <d v="2023-10-21T00:00:00"/>
    <x v="65"/>
    <x v="29"/>
    <x v="13"/>
    <n v="1"/>
    <n v="1"/>
    <n v="823.61"/>
    <n v="823.61"/>
    <n v="0.28000000000000003"/>
    <n v="0.28000000000000003"/>
    <x v="2"/>
    <n v="592.99919999999997"/>
    <x v="424"/>
    <s v="UNKNOWN"/>
    <n v="27"/>
    <x v="1"/>
    <s v="Home"/>
  </r>
  <r>
    <s v="SALE425"/>
    <d v="2025-05-30T00:00:00"/>
    <x v="151"/>
    <x v="72"/>
    <x v="11"/>
    <n v="2"/>
    <n v="2"/>
    <n v="209.96"/>
    <n v="209.96"/>
    <n v="0"/>
    <n v="0"/>
    <x v="0"/>
    <n v="419.92"/>
    <x v="425"/>
    <s v="Gold"/>
    <n v="59"/>
    <x v="0"/>
    <s v="Home"/>
  </r>
  <r>
    <s v="SALE426"/>
    <d v="2024-06-19T00:00:00"/>
    <x v="143"/>
    <x v="90"/>
    <x v="9"/>
    <n v="4"/>
    <n v="4"/>
    <n v="897.93"/>
    <n v="897.93"/>
    <n v="0.05"/>
    <n v="0.05"/>
    <x v="2"/>
    <n v="3412.134"/>
    <x v="426"/>
    <s v="Platinum"/>
    <n v="56"/>
    <x v="0"/>
    <s v="Electronics"/>
  </r>
  <r>
    <s v="SALE427"/>
    <d v="2024-12-20T00:00:00"/>
    <x v="282"/>
    <x v="81"/>
    <x v="6"/>
    <n v="4"/>
    <n v="4"/>
    <n v="925.95"/>
    <n v="925.95"/>
    <n v="0.16"/>
    <n v="0.16"/>
    <x v="2"/>
    <n v="3111.192"/>
    <x v="427"/>
    <s v="Bronze"/>
    <n v="60"/>
    <x v="0"/>
    <s v="Beauty"/>
  </r>
  <r>
    <s v="SALE428"/>
    <d v="2024-08-16T00:00:00"/>
    <x v="42"/>
    <x v="69"/>
    <x v="16"/>
    <n v="2"/>
    <n v="2"/>
    <n v="573.09"/>
    <n v="573.09"/>
    <n v="0.03"/>
    <n v="0.03"/>
    <x v="2"/>
    <n v="1111.7945999999999"/>
    <x v="428"/>
    <s v="Platinum"/>
    <n v="26"/>
    <x v="1"/>
    <s v="Electronics"/>
  </r>
  <r>
    <s v="SALE429"/>
    <d v="2025-03-15T00:00:00"/>
    <x v="79"/>
    <x v="84"/>
    <x v="5"/>
    <n v="4"/>
    <n v="4"/>
    <n v="149.83000000000001"/>
    <n v="149.83000000000001"/>
    <n v="0.02"/>
    <n v="0.02"/>
    <x v="0"/>
    <n v="587.33360000000005"/>
    <x v="429"/>
    <s v="Platinum"/>
    <n v="18"/>
    <x v="0"/>
    <s v="Home"/>
  </r>
  <r>
    <s v="SALE430"/>
    <d v="2024-06-02T00:00:00"/>
    <x v="283"/>
    <x v="69"/>
    <x v="7"/>
    <n v="3"/>
    <n v="3"/>
    <n v="287.70999999999998"/>
    <n v="287.70999999999998"/>
    <n v="0.03"/>
    <n v="0.03"/>
    <x v="2"/>
    <n v="837.23609999999985"/>
    <x v="430"/>
    <s v="Platinum"/>
    <n v="26"/>
    <x v="1"/>
    <s v="Electronics"/>
  </r>
  <r>
    <s v="SALE431"/>
    <d v="2025-07-22T00:00:00"/>
    <x v="18"/>
    <x v="22"/>
    <x v="16"/>
    <n v="2"/>
    <n v="2"/>
    <n v="849.8"/>
    <n v="849.8"/>
    <n v="0.06"/>
    <n v="0.06"/>
    <x v="2"/>
    <n v="1597.624"/>
    <x v="431"/>
    <s v="Gold"/>
    <n v="43"/>
    <x v="1"/>
    <s v="Electronics"/>
  </r>
  <r>
    <s v="SALE432"/>
    <d v="2025-03-09T00:00:00"/>
    <x v="6"/>
    <x v="89"/>
    <x v="0"/>
    <n v="3"/>
    <n v="3"/>
    <n v="482.58"/>
    <n v="482.58"/>
    <n v="0.28000000000000003"/>
    <n v="0.28000000000000003"/>
    <x v="1"/>
    <n v="1042.3728000000001"/>
    <x v="432"/>
    <s v="Bronze"/>
    <n v="24"/>
    <x v="1"/>
    <s v="Sports"/>
  </r>
  <r>
    <s v="SALE433"/>
    <d v="2025-02-11T00:00:00"/>
    <x v="284"/>
    <x v="4"/>
    <x v="17"/>
    <n v="2"/>
    <n v="2"/>
    <n v="64.7"/>
    <n v="64.7"/>
    <n v="0"/>
    <n v="0"/>
    <x v="0"/>
    <n v="129.4"/>
    <x v="433"/>
    <s v="Bronze"/>
    <n v="30"/>
    <x v="0"/>
    <s v="Beauty"/>
  </r>
  <r>
    <s v="SALE434"/>
    <d v="2023-12-06T00:00:00"/>
    <x v="28"/>
    <x v="23"/>
    <x v="3"/>
    <n v="3"/>
    <n v="3"/>
    <n v="589.83000000000004"/>
    <n v="589.83000000000004"/>
    <n v="0.26"/>
    <n v="0.26"/>
    <x v="0"/>
    <n v="1309.4226000000001"/>
    <x v="434"/>
    <s v="Bronze"/>
    <n v="42"/>
    <x v="1"/>
    <s v="Clothing"/>
  </r>
  <r>
    <s v="SALE435"/>
    <d v="2025-08-20T00:00:00"/>
    <x v="285"/>
    <x v="58"/>
    <x v="11"/>
    <n v="4"/>
    <n v="4"/>
    <n v="758.49"/>
    <n v="758.49"/>
    <n v="0.16"/>
    <n v="0.16"/>
    <x v="2"/>
    <n v="2548.5264000000002"/>
    <x v="435"/>
    <s v="Gold"/>
    <n v="58"/>
    <x v="0"/>
    <s v="OTHERS"/>
  </r>
  <r>
    <s v="SALE436"/>
    <d v="2024-09-20T00:00:00"/>
    <x v="286"/>
    <x v="92"/>
    <x v="18"/>
    <n v="4"/>
    <n v="4"/>
    <n v="747.56"/>
    <n v="747.56"/>
    <n v="0.09"/>
    <n v="0.09"/>
    <x v="2"/>
    <n v="2721.1183999999998"/>
    <x v="436"/>
    <s v="Gold"/>
    <n v="37"/>
    <x v="1"/>
    <s v="Clothing"/>
  </r>
  <r>
    <s v="SALE437"/>
    <d v="2025-06-05T00:00:00"/>
    <x v="73"/>
    <x v="43"/>
    <x v="1"/>
    <n v="3"/>
    <n v="3"/>
    <n v="551.22"/>
    <n v="551.22"/>
    <n v="0.12"/>
    <n v="0.12"/>
    <x v="1"/>
    <n v="1455.2208000000001"/>
    <x v="437"/>
    <s v="Bronze"/>
    <n v="32"/>
    <x v="0"/>
    <s v="Electronics"/>
  </r>
  <r>
    <s v="SALE438"/>
    <d v="2025-06-03T00:00:00"/>
    <x v="287"/>
    <x v="20"/>
    <x v="7"/>
    <n v="2"/>
    <n v="2"/>
    <n v="527.05999999999995"/>
    <n v="527.05999999999995"/>
    <n v="0.17"/>
    <n v="0.17"/>
    <x v="1"/>
    <n v="874.91959999999983"/>
    <x v="438"/>
    <s v="Gold"/>
    <n v="46"/>
    <x v="1"/>
    <s v="Clothing"/>
  </r>
  <r>
    <s v="SALE439"/>
    <d v="2025-01-13T00:00:00"/>
    <x v="288"/>
    <x v="85"/>
    <x v="3"/>
    <n v="4"/>
    <n v="4"/>
    <n v="875.41"/>
    <n v="875.41"/>
    <n v="0.27"/>
    <n v="0.27"/>
    <x v="0"/>
    <n v="2556.1972000000001"/>
    <x v="439"/>
    <s v="Gold"/>
    <n v="24"/>
    <x v="0"/>
    <s v="Electronics"/>
  </r>
  <r>
    <s v="SALE440"/>
    <d v="2025-03-20T00:00:00"/>
    <x v="69"/>
    <x v="65"/>
    <x v="6"/>
    <n v="2"/>
    <n v="2"/>
    <n v="226.43"/>
    <n v="226.43"/>
    <n v="0.03"/>
    <n v="0.03"/>
    <x v="0"/>
    <n v="439.27420000000001"/>
    <x v="440"/>
    <s v="Bronze"/>
    <n v="29"/>
    <x v="1"/>
    <s v="Clothing"/>
  </r>
  <r>
    <s v="SALE441"/>
    <d v="2024-07-07T00:00:00"/>
    <x v="67"/>
    <x v="29"/>
    <x v="3"/>
    <n v="2"/>
    <n v="2"/>
    <n v="285.39"/>
    <n v="285.39"/>
    <n v="0.1"/>
    <n v="0.1"/>
    <x v="0"/>
    <n v="513.702"/>
    <x v="441"/>
    <s v="Silver"/>
    <n v="52"/>
    <x v="0"/>
    <s v="Home"/>
  </r>
  <r>
    <s v="SALE442"/>
    <d v="2025-09-29T00:00:00"/>
    <x v="159"/>
    <x v="75"/>
    <x v="10"/>
    <n v="2"/>
    <n v="2"/>
    <n v="298.01"/>
    <n v="298.01"/>
    <n v="0.05"/>
    <n v="0.05"/>
    <x v="0"/>
    <n v="566.21899999999994"/>
    <x v="442"/>
    <s v="Silver"/>
    <n v="50"/>
    <x v="1"/>
    <s v="Electronics"/>
  </r>
  <r>
    <s v="SALE443"/>
    <d v="2024-11-30T00:00:00"/>
    <x v="287"/>
    <x v="43"/>
    <x v="5"/>
    <n v="4"/>
    <n v="4"/>
    <n v="753.49"/>
    <n v="753.49"/>
    <n v="0.26"/>
    <n v="0.26"/>
    <x v="2"/>
    <n v="2230.3303999999998"/>
    <x v="443"/>
    <s v="Gold"/>
    <n v="46"/>
    <x v="1"/>
    <s v="Electronics"/>
  </r>
  <r>
    <s v="SALE444"/>
    <d v="2024-06-17T00:00:00"/>
    <x v="289"/>
    <x v="36"/>
    <x v="18"/>
    <n v="2"/>
    <n v="2"/>
    <n v="130.38999999999999"/>
    <n v="130.38999999999999"/>
    <n v="0.17"/>
    <n v="0.17"/>
    <x v="1"/>
    <n v="216.44739999999999"/>
    <x v="444"/>
    <s v="Platinum"/>
    <n v="23"/>
    <x v="1"/>
    <s v="Home"/>
  </r>
  <r>
    <s v="SALE445"/>
    <d v="2025-02-21T00:00:00"/>
    <x v="290"/>
    <x v="62"/>
    <x v="11"/>
    <n v="4"/>
    <n v="4"/>
    <n v="164.02"/>
    <n v="164.02"/>
    <n v="0.01"/>
    <n v="0.01"/>
    <x v="1"/>
    <n v="649.51920000000007"/>
    <x v="445"/>
    <s v="Bronze"/>
    <n v="33"/>
    <x v="0"/>
    <s v="Sports"/>
  </r>
  <r>
    <s v="SALE446"/>
    <d v="2024-09-16T00:00:00"/>
    <x v="112"/>
    <x v="35"/>
    <x v="5"/>
    <n v="2"/>
    <n v="2"/>
    <n v="527.51"/>
    <n v="527.51"/>
    <n v="0.18"/>
    <n v="0.18"/>
    <x v="1"/>
    <n v="865.1164"/>
    <x v="446"/>
    <s v="Silver"/>
    <n v="39"/>
    <x v="1"/>
    <s v="Home"/>
  </r>
  <r>
    <s v="SALE447"/>
    <d v="2025-10-09T00:00:00"/>
    <x v="73"/>
    <x v="71"/>
    <x v="13"/>
    <n v="3"/>
    <n v="3"/>
    <n v="628.17999999999995"/>
    <n v="628.17999999999995"/>
    <n v="0.26"/>
    <n v="0.26"/>
    <x v="0"/>
    <n v="1394.5596"/>
    <x v="447"/>
    <s v="Bronze"/>
    <n v="32"/>
    <x v="0"/>
    <s v="Sports"/>
  </r>
  <r>
    <s v="SALE448"/>
    <d v="2024-09-18T00:00:00"/>
    <x v="59"/>
    <x v="6"/>
    <x v="0"/>
    <n v="1"/>
    <n v="1"/>
    <n v="862.31"/>
    <n v="862.31"/>
    <n v="0.06"/>
    <n v="0.06"/>
    <x v="0"/>
    <n v="810.57139999999993"/>
    <x v="448"/>
    <s v="Silver"/>
    <n v="45"/>
    <x v="1"/>
    <s v="Home"/>
  </r>
  <r>
    <s v="SALE449"/>
    <d v="2025-05-29T00:00:00"/>
    <x v="291"/>
    <x v="50"/>
    <x v="7"/>
    <n v="2"/>
    <n v="2"/>
    <n v="541.39"/>
    <n v="541.39"/>
    <n v="0.03"/>
    <n v="0.03"/>
    <x v="2"/>
    <n v="1050.2965999999999"/>
    <x v="449"/>
    <s v="Gold"/>
    <n v="61"/>
    <x v="1"/>
    <s v="Beauty"/>
  </r>
  <r>
    <s v="SALE450"/>
    <d v="2025-06-03T00:00:00"/>
    <x v="292"/>
    <x v="3"/>
    <x v="9"/>
    <n v="3"/>
    <n v="3"/>
    <n v="761.8"/>
    <n v="761.8"/>
    <n v="0.06"/>
    <n v="0.06"/>
    <x v="2"/>
    <n v="2148.2759999999989"/>
    <x v="450"/>
    <s v="Platinum"/>
    <n v="41"/>
    <x v="1"/>
    <s v="Electronics"/>
  </r>
  <r>
    <s v="SALE451"/>
    <d v="2024-08-04T00:00:00"/>
    <x v="293"/>
    <x v="2"/>
    <x v="17"/>
    <n v="4"/>
    <n v="4"/>
    <n v="829.36"/>
    <n v="829.36"/>
    <n v="0.11"/>
    <n v="0.11"/>
    <x v="1"/>
    <n v="2952.5216"/>
    <x v="451"/>
    <s v="Platinum"/>
    <n v="42"/>
    <x v="1"/>
    <s v="Beauty"/>
  </r>
  <r>
    <s v="SALE452"/>
    <d v="2024-06-17T00:00:00"/>
    <x v="53"/>
    <x v="34"/>
    <x v="9"/>
    <n v="2"/>
    <n v="2"/>
    <n v="425.06"/>
    <n v="425.06"/>
    <n v="0.09"/>
    <n v="0.09"/>
    <x v="1"/>
    <n v="773.60919999999999"/>
    <x v="452"/>
    <s v="Silver"/>
    <n v="22"/>
    <x v="1"/>
    <s v="Clothing"/>
  </r>
  <r>
    <s v="SALE453"/>
    <d v="2024-01-20T00:00:00"/>
    <x v="294"/>
    <x v="76"/>
    <x v="6"/>
    <n v="2"/>
    <n v="2"/>
    <n v="911.14"/>
    <n v="911.14"/>
    <n v="0.1"/>
    <n v="0.1"/>
    <x v="0"/>
    <n v="1640.0519999999999"/>
    <x v="453"/>
    <s v="Platinum"/>
    <n v="39"/>
    <x v="0"/>
    <s v="Home"/>
  </r>
  <r>
    <s v="SALE454"/>
    <d v="2025-09-06T00:00:00"/>
    <x v="42"/>
    <x v="88"/>
    <x v="2"/>
    <n v="3"/>
    <n v="3"/>
    <n v="811.96"/>
    <n v="811.96"/>
    <n v="0.28999999999999998"/>
    <n v="0.28999999999999998"/>
    <x v="0"/>
    <n v="1729.4748"/>
    <x v="454"/>
    <s v="Platinum"/>
    <n v="26"/>
    <x v="1"/>
    <s v="Home"/>
  </r>
  <r>
    <s v="SALE455"/>
    <d v="2024-03-29T00:00:00"/>
    <x v="66"/>
    <x v="45"/>
    <x v="15"/>
    <n v="2"/>
    <n v="2"/>
    <n v="780.05"/>
    <n v="780.05"/>
    <n v="0.12"/>
    <n v="0.12"/>
    <x v="2"/>
    <n v="1372.8879999999999"/>
    <x v="455"/>
    <s v="Bronze"/>
    <n v="23"/>
    <x v="0"/>
    <s v="Sports"/>
  </r>
  <r>
    <s v="SALE456"/>
    <d v="2024-08-23T00:00:00"/>
    <x v="295"/>
    <x v="79"/>
    <x v="11"/>
    <n v="4"/>
    <n v="4"/>
    <n v="315.95"/>
    <n v="315.95"/>
    <n v="0.19"/>
    <n v="0.19"/>
    <x v="2"/>
    <n v="1023.678"/>
    <x v="456"/>
    <s v="Gold"/>
    <n v="50"/>
    <x v="1"/>
    <s v="Beauty"/>
  </r>
  <r>
    <s v="SALE457"/>
    <d v="2025-05-19T00:00:00"/>
    <x v="296"/>
    <x v="40"/>
    <x v="11"/>
    <n v="2"/>
    <n v="2"/>
    <n v="810.17"/>
    <n v="810.17"/>
    <n v="0.27"/>
    <n v="0.27"/>
    <x v="0"/>
    <n v="1182.8481999999999"/>
    <x v="457"/>
    <s v="Bronze"/>
    <n v="32"/>
    <x v="1"/>
    <s v="Sports"/>
  </r>
  <r>
    <s v="SALE458"/>
    <d v="2024-04-07T00:00:00"/>
    <x v="297"/>
    <x v="94"/>
    <x v="5"/>
    <n v="3"/>
    <n v="3"/>
    <n v="505.01"/>
    <n v="505.01"/>
    <n v="0.02"/>
    <n v="0.02"/>
    <x v="1"/>
    <n v="1484.7293999999999"/>
    <x v="458"/>
    <s v="Gold"/>
    <n v="44"/>
    <x v="1"/>
    <s v="Home"/>
  </r>
  <r>
    <s v="SALE459"/>
    <d v="2024-01-24T00:00:00"/>
    <x v="1"/>
    <x v="18"/>
    <x v="1"/>
    <n v="2"/>
    <n v="2"/>
    <n v="736.75"/>
    <n v="736.75"/>
    <n v="0.18"/>
    <n v="0.18"/>
    <x v="0"/>
    <n v="1208.27"/>
    <x v="459"/>
    <s v="Gold"/>
    <n v="63"/>
    <x v="1"/>
    <s v="Sports"/>
  </r>
  <r>
    <s v="SALE460"/>
    <d v="2024-01-20T00:00:00"/>
    <x v="250"/>
    <x v="25"/>
    <x v="11"/>
    <n v="4"/>
    <n v="4"/>
    <n v="700.31"/>
    <n v="700.31"/>
    <n v="0.2"/>
    <n v="0.2"/>
    <x v="1"/>
    <n v="2240.9920000000002"/>
    <x v="460"/>
    <s v="UNKNOWN"/>
    <n v="31"/>
    <x v="0"/>
    <s v="Electronics"/>
  </r>
  <r>
    <s v="SALE461"/>
    <d v="2023-12-10T00:00:00"/>
    <x v="298"/>
    <x v="52"/>
    <x v="19"/>
    <n v="4"/>
    <n v="4"/>
    <n v="202.46"/>
    <n v="202.46"/>
    <n v="0.24"/>
    <n v="0.24"/>
    <x v="0"/>
    <n v="615.47840000000008"/>
    <x v="461"/>
    <s v="Silver"/>
    <n v="43"/>
    <x v="1"/>
    <s v="Clothing"/>
  </r>
  <r>
    <s v="SALE462"/>
    <d v="2023-12-19T00:00:00"/>
    <x v="299"/>
    <x v="72"/>
    <x v="8"/>
    <n v="2"/>
    <n v="2"/>
    <n v="291.83999999999997"/>
    <n v="291.83999999999997"/>
    <n v="0.25"/>
    <n v="0.25"/>
    <x v="1"/>
    <n v="437.76"/>
    <x v="462"/>
    <s v="Silver"/>
    <n v="38"/>
    <x v="0"/>
    <s v="Home"/>
  </r>
  <r>
    <s v="SALE463"/>
    <d v="2023-11-22T00:00:00"/>
    <x v="300"/>
    <x v="0"/>
    <x v="3"/>
    <n v="2"/>
    <n v="2"/>
    <n v="261.48"/>
    <n v="261.48"/>
    <n v="0.17"/>
    <n v="0.17"/>
    <x v="0"/>
    <n v="434.05680000000001"/>
    <x v="463"/>
    <s v="Bronze"/>
    <n v="21"/>
    <x v="0"/>
    <s v="Sports"/>
  </r>
  <r>
    <s v="SALE464"/>
    <d v="2025-10-08T00:00:00"/>
    <x v="301"/>
    <x v="14"/>
    <x v="7"/>
    <n v="1"/>
    <n v="1"/>
    <n v="850.83"/>
    <n v="850.83"/>
    <n v="0.28000000000000003"/>
    <n v="0.28000000000000003"/>
    <x v="1"/>
    <n v="612.59760000000006"/>
    <x v="464"/>
    <s v="Silver"/>
    <n v="29"/>
    <x v="0"/>
    <s v="Clothing"/>
  </r>
  <r>
    <s v="SALE465"/>
    <d v="2025-02-23T00:00:00"/>
    <x v="131"/>
    <x v="54"/>
    <x v="11"/>
    <n v="1"/>
    <n v="1"/>
    <n v="83.83"/>
    <n v="83.83"/>
    <n v="0.05"/>
    <n v="0.05"/>
    <x v="0"/>
    <n v="79.638499999999993"/>
    <x v="465"/>
    <s v="Gold"/>
    <n v="18"/>
    <x v="1"/>
    <s v="Clothing"/>
  </r>
  <r>
    <s v="SALE466"/>
    <d v="2025-02-25T00:00:00"/>
    <x v="279"/>
    <x v="12"/>
    <x v="9"/>
    <n v="3"/>
    <n v="3"/>
    <n v="649.95000000000005"/>
    <n v="649.95000000000005"/>
    <n v="0.28000000000000003"/>
    <n v="0.28000000000000003"/>
    <x v="2"/>
    <n v="1403.8920000000001"/>
    <x v="466"/>
    <s v="Platinum"/>
    <n v="29"/>
    <x v="1"/>
    <s v="Sports"/>
  </r>
  <r>
    <s v="SALE467"/>
    <d v="2024-09-30T00:00:00"/>
    <x v="302"/>
    <x v="78"/>
    <x v="16"/>
    <n v="4"/>
    <n v="4"/>
    <n v="934.96"/>
    <n v="934.96"/>
    <n v="0.18"/>
    <n v="0.18"/>
    <x v="1"/>
    <n v="3066.6687999999999"/>
    <x v="467"/>
    <s v="Platinum"/>
    <n v="40"/>
    <x v="1"/>
    <s v="Sports"/>
  </r>
  <r>
    <s v="SALE468"/>
    <d v="2023-12-19T00:00:00"/>
    <x v="271"/>
    <x v="53"/>
    <x v="7"/>
    <n v="1"/>
    <n v="1"/>
    <n v="880.89"/>
    <n v="880.89"/>
    <n v="0.13"/>
    <n v="0.13"/>
    <x v="2"/>
    <n v="766.37429999999995"/>
    <x v="468"/>
    <s v="Silver"/>
    <n v="26"/>
    <x v="1"/>
    <s v="Sports"/>
  </r>
  <r>
    <s v="SALE469"/>
    <d v="2024-11-18T00:00:00"/>
    <x v="292"/>
    <x v="24"/>
    <x v="2"/>
    <n v="4"/>
    <n v="4"/>
    <n v="610.6"/>
    <n v="610.6"/>
    <n v="0.1"/>
    <n v="0.1"/>
    <x v="1"/>
    <n v="2198.16"/>
    <x v="469"/>
    <s v="Platinum"/>
    <n v="41"/>
    <x v="1"/>
    <s v="Electronics"/>
  </r>
  <r>
    <s v="SALE470"/>
    <d v="2025-09-12T00:00:00"/>
    <x v="178"/>
    <x v="77"/>
    <x v="14"/>
    <n v="1"/>
    <n v="1"/>
    <n v="514.19000000000005"/>
    <n v="514.19000000000005"/>
    <n v="0.2"/>
    <n v="0.2"/>
    <x v="0"/>
    <n v="411.35200000000009"/>
    <x v="470"/>
    <s v="Gold"/>
    <n v="61"/>
    <x v="1"/>
    <s v="Sports"/>
  </r>
  <r>
    <s v="SALE471"/>
    <d v="2025-01-31T00:00:00"/>
    <x v="122"/>
    <x v="92"/>
    <x v="13"/>
    <n v="1"/>
    <n v="1"/>
    <n v="546.20000000000005"/>
    <n v="546.20000000000005"/>
    <n v="0.22"/>
    <n v="0.22"/>
    <x v="1"/>
    <n v="426.03600000000012"/>
    <x v="471"/>
    <s v="Bronze"/>
    <n v="27"/>
    <x v="0"/>
    <s v="Clothing"/>
  </r>
  <r>
    <s v="SALE472"/>
    <d v="2024-10-26T00:00:00"/>
    <x v="303"/>
    <x v="92"/>
    <x v="6"/>
    <n v="3"/>
    <n v="3"/>
    <n v="416.01"/>
    <n v="416.01"/>
    <n v="0.02"/>
    <n v="0.02"/>
    <x v="0"/>
    <n v="1223.0694000000001"/>
    <x v="472"/>
    <s v="Platinum"/>
    <n v="45"/>
    <x v="1"/>
    <s v="Clothing"/>
  </r>
  <r>
    <s v="SALE473"/>
    <d v="2025-07-26T00:00:00"/>
    <x v="304"/>
    <x v="1"/>
    <x v="15"/>
    <n v="1"/>
    <n v="1"/>
    <n v="30.94"/>
    <n v="30.94"/>
    <n v="0.21"/>
    <n v="0.21"/>
    <x v="2"/>
    <n v="24.442599999999999"/>
    <x v="473"/>
    <s v="Bronze"/>
    <n v="52"/>
    <x v="1"/>
    <s v="Electronics"/>
  </r>
  <r>
    <s v="SALE474"/>
    <d v="2025-08-06T00:00:00"/>
    <x v="27"/>
    <x v="87"/>
    <x v="9"/>
    <n v="3"/>
    <n v="3"/>
    <n v="666.39"/>
    <n v="666.39"/>
    <n v="0.21"/>
    <n v="0.21"/>
    <x v="2"/>
    <n v="1579.3443"/>
    <x v="474"/>
    <s v="Platinum"/>
    <n v="30"/>
    <x v="0"/>
    <s v="Clothing"/>
  </r>
  <r>
    <s v="SALE475"/>
    <d v="2025-05-20T00:00:00"/>
    <x v="305"/>
    <x v="82"/>
    <x v="15"/>
    <n v="2"/>
    <n v="2"/>
    <n v="145.26"/>
    <n v="145.26"/>
    <n v="0.19"/>
    <n v="0.19"/>
    <x v="1"/>
    <n v="235.3212"/>
    <x v="475"/>
    <s v="Silver"/>
    <n v="25"/>
    <x v="1"/>
    <s v="Sports"/>
  </r>
  <r>
    <s v="SALE476"/>
    <d v="2024-03-13T00:00:00"/>
    <x v="208"/>
    <x v="52"/>
    <x v="3"/>
    <n v="4"/>
    <n v="4"/>
    <n v="940.77"/>
    <n v="940.77"/>
    <n v="0.24"/>
    <n v="0.24"/>
    <x v="2"/>
    <n v="2859.9407999999999"/>
    <x v="476"/>
    <s v="Platinum"/>
    <n v="36"/>
    <x v="0"/>
    <s v="Clothing"/>
  </r>
  <r>
    <s v="SALE477"/>
    <d v="2025-02-12T00:00:00"/>
    <x v="262"/>
    <x v="54"/>
    <x v="1"/>
    <n v="1"/>
    <n v="1"/>
    <n v="708.88"/>
    <n v="708.88"/>
    <n v="0.09"/>
    <n v="0.09"/>
    <x v="0"/>
    <n v="645.08080000000007"/>
    <x v="477"/>
    <s v="Gold"/>
    <n v="19"/>
    <x v="0"/>
    <s v="Clothing"/>
  </r>
  <r>
    <s v="SALE478"/>
    <d v="2025-09-24T00:00:00"/>
    <x v="132"/>
    <x v="37"/>
    <x v="17"/>
    <n v="1"/>
    <n v="1"/>
    <n v="790.73"/>
    <n v="790.73"/>
    <n v="0.24"/>
    <n v="0.24"/>
    <x v="1"/>
    <n v="600.95479999999998"/>
    <x v="478"/>
    <s v="Bronze"/>
    <n v="56"/>
    <x v="1"/>
    <s v="Home"/>
  </r>
  <r>
    <s v="SALE479"/>
    <d v="2024-10-09T00:00:00"/>
    <x v="194"/>
    <x v="5"/>
    <x v="11"/>
    <n v="3"/>
    <n v="3"/>
    <n v="635.13"/>
    <n v="635.13"/>
    <n v="0.09"/>
    <n v="0.09"/>
    <x v="1"/>
    <n v="1733.9049"/>
    <x v="479"/>
    <s v="Bronze"/>
    <n v="29"/>
    <x v="0"/>
    <s v="Electronics"/>
  </r>
  <r>
    <s v="SALE480"/>
    <d v="2023-11-03T00:00:00"/>
    <x v="176"/>
    <x v="47"/>
    <x v="7"/>
    <n v="1"/>
    <n v="1"/>
    <n v="744.88"/>
    <n v="744.88"/>
    <n v="0.15"/>
    <n v="0.15"/>
    <x v="2"/>
    <n v="633.14800000000002"/>
    <x v="480"/>
    <s v="Bronze"/>
    <n v="32"/>
    <x v="1"/>
    <s v="Electronics"/>
  </r>
  <r>
    <s v="SALE481"/>
    <d v="2025-03-29T00:00:00"/>
    <x v="79"/>
    <x v="77"/>
    <x v="8"/>
    <n v="3"/>
    <n v="3"/>
    <n v="205.34"/>
    <n v="205.34"/>
    <n v="0.25"/>
    <n v="0.25"/>
    <x v="0"/>
    <n v="462.01499999999999"/>
    <x v="481"/>
    <s v="Platinum"/>
    <n v="18"/>
    <x v="0"/>
    <s v="Sports"/>
  </r>
  <r>
    <s v="SALE482"/>
    <d v="2025-07-13T00:00:00"/>
    <x v="100"/>
    <x v="35"/>
    <x v="2"/>
    <n v="2"/>
    <n v="2"/>
    <n v="756.8"/>
    <n v="756.8"/>
    <n v="0.15"/>
    <n v="0.15"/>
    <x v="0"/>
    <n v="1286.56"/>
    <x v="482"/>
    <s v="Gold"/>
    <n v="33"/>
    <x v="0"/>
    <s v="Home"/>
  </r>
  <r>
    <s v="SALE483"/>
    <d v="2024-01-17T00:00:00"/>
    <x v="197"/>
    <x v="39"/>
    <x v="15"/>
    <n v="1"/>
    <n v="1"/>
    <n v="771.73"/>
    <n v="771.73"/>
    <n v="0.2"/>
    <n v="0.2"/>
    <x v="0"/>
    <n v="617.38400000000001"/>
    <x v="483"/>
    <s v="Bronze"/>
    <n v="34"/>
    <x v="0"/>
    <s v="Home"/>
  </r>
  <r>
    <s v="SALE484"/>
    <d v="2024-12-13T00:00:00"/>
    <x v="232"/>
    <x v="73"/>
    <x v="1"/>
    <n v="1"/>
    <n v="1"/>
    <n v="440.19"/>
    <n v="440.19"/>
    <n v="0.03"/>
    <n v="0.03"/>
    <x v="1"/>
    <n v="426.98430000000002"/>
    <x v="484"/>
    <s v="Bronze"/>
    <n v="40"/>
    <x v="0"/>
    <s v="Beauty"/>
  </r>
  <r>
    <s v="SALE485"/>
    <d v="2025-09-19T00:00:00"/>
    <x v="234"/>
    <x v="83"/>
    <x v="17"/>
    <n v="2"/>
    <n v="2"/>
    <n v="409"/>
    <n v="409"/>
    <n v="0.17"/>
    <n v="0.17"/>
    <x v="0"/>
    <n v="678.93999999999994"/>
    <x v="485"/>
    <s v="Silver"/>
    <n v="54"/>
    <x v="1"/>
    <s v="Clothing"/>
  </r>
  <r>
    <s v="SALE486"/>
    <d v="2024-02-11T00:00:00"/>
    <x v="110"/>
    <x v="48"/>
    <x v="12"/>
    <n v="3"/>
    <n v="3"/>
    <n v="134.58000000000001"/>
    <n v="134.58000000000001"/>
    <n v="0.04"/>
    <n v="0.04"/>
    <x v="2"/>
    <n v="387.59039999999999"/>
    <x v="486"/>
    <s v="Bronze"/>
    <n v="38"/>
    <x v="0"/>
    <s v="Sports"/>
  </r>
  <r>
    <s v="SALE487"/>
    <d v="2025-06-03T00:00:00"/>
    <x v="14"/>
    <x v="11"/>
    <x v="4"/>
    <n v="4"/>
    <n v="4"/>
    <n v="284.44"/>
    <n v="284.44"/>
    <n v="0.02"/>
    <n v="0.02"/>
    <x v="0"/>
    <n v="1115.0047999999999"/>
    <x v="487"/>
    <s v="Silver"/>
    <n v="55"/>
    <x v="0"/>
    <s v="Electronics"/>
  </r>
  <r>
    <s v="SALE488"/>
    <d v="2025-03-10T00:00:00"/>
    <x v="131"/>
    <x v="78"/>
    <x v="13"/>
    <n v="4"/>
    <n v="4"/>
    <n v="922.69"/>
    <n v="922.69"/>
    <n v="0.16"/>
    <n v="0.16"/>
    <x v="0"/>
    <n v="3100.2384000000002"/>
    <x v="488"/>
    <s v="Gold"/>
    <n v="18"/>
    <x v="1"/>
    <s v="Sports"/>
  </r>
  <r>
    <s v="SALE489"/>
    <d v="2024-12-18T00:00:00"/>
    <x v="185"/>
    <x v="14"/>
    <x v="16"/>
    <n v="2"/>
    <n v="2"/>
    <n v="992.55"/>
    <n v="992.55"/>
    <n v="0.28000000000000003"/>
    <n v="0.28000000000000003"/>
    <x v="0"/>
    <n v="1429.2719999999999"/>
    <x v="489"/>
    <s v="Gold"/>
    <n v="22"/>
    <x v="0"/>
    <s v="Clothing"/>
  </r>
  <r>
    <s v="SALE490"/>
    <d v="2024-03-20T00:00:00"/>
    <x v="306"/>
    <x v="41"/>
    <x v="14"/>
    <n v="1"/>
    <n v="1"/>
    <n v="170.43"/>
    <n v="170.43"/>
    <n v="0.03"/>
    <n v="0.03"/>
    <x v="0"/>
    <n v="165.31710000000001"/>
    <x v="490"/>
    <s v="Silver"/>
    <n v="60"/>
    <x v="1"/>
    <s v="Beauty"/>
  </r>
  <r>
    <s v="SALE491"/>
    <d v="2024-06-19T00:00:00"/>
    <x v="307"/>
    <x v="18"/>
    <x v="17"/>
    <n v="3"/>
    <n v="3"/>
    <n v="480.51"/>
    <n v="480.51"/>
    <n v="0.03"/>
    <n v="0.03"/>
    <x v="0"/>
    <n v="1398.2841000000001"/>
    <x v="491"/>
    <s v="Platinum"/>
    <n v="50"/>
    <x v="0"/>
    <s v="Sports"/>
  </r>
  <r>
    <s v="SALE492"/>
    <d v="2024-12-06T00:00:00"/>
    <x v="308"/>
    <x v="2"/>
    <x v="4"/>
    <n v="2"/>
    <n v="2"/>
    <n v="955.66"/>
    <n v="955.66"/>
    <n v="0.28999999999999998"/>
    <n v="0.28999999999999998"/>
    <x v="2"/>
    <n v="1357.0372"/>
    <x v="492"/>
    <s v="Bronze"/>
    <n v="46"/>
    <x v="0"/>
    <s v="Beauty"/>
  </r>
  <r>
    <s v="SALE493"/>
    <d v="2025-07-25T00:00:00"/>
    <x v="231"/>
    <x v="18"/>
    <x v="6"/>
    <n v="2"/>
    <n v="2"/>
    <n v="488.02"/>
    <n v="488.02"/>
    <n v="0.27"/>
    <n v="0.27"/>
    <x v="1"/>
    <n v="712.50919999999996"/>
    <x v="493"/>
    <s v="Gold"/>
    <n v="46"/>
    <x v="0"/>
    <s v="Sports"/>
  </r>
  <r>
    <s v="SALE494"/>
    <d v="2024-07-28T00:00:00"/>
    <x v="195"/>
    <x v="97"/>
    <x v="6"/>
    <n v="1"/>
    <n v="1"/>
    <n v="917.17"/>
    <n v="917.17"/>
    <n v="0.13"/>
    <n v="0.13"/>
    <x v="2"/>
    <n v="797.93790000000001"/>
    <x v="494"/>
    <s v="Platinum"/>
    <n v="59"/>
    <x v="1"/>
    <s v="Clothing"/>
  </r>
  <r>
    <s v="SALE495"/>
    <d v="2024-10-03T00:00:00"/>
    <x v="49"/>
    <x v="67"/>
    <x v="3"/>
    <n v="2"/>
    <n v="2"/>
    <n v="406.46"/>
    <n v="406.46"/>
    <n v="0.3"/>
    <n v="0.3"/>
    <x v="1"/>
    <n v="569.04399999999998"/>
    <x v="495"/>
    <s v="Bronze"/>
    <n v="58"/>
    <x v="0"/>
    <s v="Electronics"/>
  </r>
  <r>
    <s v="SALE496"/>
    <d v="2023-11-08T00:00:00"/>
    <x v="309"/>
    <x v="98"/>
    <x v="6"/>
    <n v="2"/>
    <n v="2"/>
    <n v="264.39"/>
    <n v="264.39"/>
    <n v="0.11"/>
    <n v="0.11"/>
    <x v="2"/>
    <n v="470.61419999999998"/>
    <x v="496"/>
    <s v="Platinum"/>
    <n v="27"/>
    <x v="1"/>
    <s v="Sports"/>
  </r>
  <r>
    <s v="SALE497"/>
    <d v="2025-04-07T00:00:00"/>
    <x v="226"/>
    <x v="88"/>
    <x v="9"/>
    <n v="1"/>
    <n v="1"/>
    <n v="414.97"/>
    <n v="414.97"/>
    <n v="0.22"/>
    <n v="0.22"/>
    <x v="1"/>
    <n v="323.67660000000001"/>
    <x v="497"/>
    <s v="Bronze"/>
    <n v="29"/>
    <x v="1"/>
    <s v="Home"/>
  </r>
  <r>
    <s v="SALE498"/>
    <d v="2023-12-20T00:00:00"/>
    <x v="310"/>
    <x v="60"/>
    <x v="18"/>
    <n v="2"/>
    <n v="2"/>
    <n v="583.51"/>
    <n v="583.51"/>
    <n v="0.2"/>
    <n v="0.2"/>
    <x v="2"/>
    <n v="933.61599999999999"/>
    <x v="498"/>
    <s v="Gold"/>
    <n v="32"/>
    <x v="1"/>
    <s v="Clothing"/>
  </r>
  <r>
    <s v="SALE499"/>
    <d v="2025-09-11T00:00:00"/>
    <x v="311"/>
    <x v="45"/>
    <x v="1"/>
    <n v="1"/>
    <n v="1"/>
    <n v="659.27"/>
    <n v="659.27"/>
    <n v="0.15"/>
    <n v="0.15"/>
    <x v="1"/>
    <n v="560.37950000000001"/>
    <x v="499"/>
    <s v="Gold"/>
    <n v="28"/>
    <x v="1"/>
    <s v="Sports"/>
  </r>
  <r>
    <s v="SALE500"/>
    <d v="2024-12-01T00:00:00"/>
    <x v="312"/>
    <x v="95"/>
    <x v="5"/>
    <n v="4"/>
    <n v="4"/>
    <n v="106.66"/>
    <n v="106.66"/>
    <n v="0.2"/>
    <n v="0.2"/>
    <x v="2"/>
    <n v="341.31200000000001"/>
    <x v="500"/>
    <s v="Platinum"/>
    <n v="41"/>
    <x v="1"/>
    <s v="Clothing"/>
  </r>
  <r>
    <s v="SALE501"/>
    <d v="2024-11-21T00:00:00"/>
    <x v="300"/>
    <x v="31"/>
    <x v="3"/>
    <n v="4"/>
    <n v="4"/>
    <n v="168.55"/>
    <n v="168.55"/>
    <n v="0.15"/>
    <n v="0.15"/>
    <x v="1"/>
    <n v="573.07000000000005"/>
    <x v="501"/>
    <s v="Bronze"/>
    <n v="21"/>
    <x v="0"/>
    <s v="Home"/>
  </r>
  <r>
    <s v="SALE502"/>
    <d v="2025-08-30T00:00:00"/>
    <x v="289"/>
    <x v="38"/>
    <x v="17"/>
    <n v="1"/>
    <n v="1"/>
    <n v="230.53"/>
    <n v="230.53"/>
    <n v="0.06"/>
    <n v="0.06"/>
    <x v="2"/>
    <n v="216.69820000000001"/>
    <x v="502"/>
    <s v="Platinum"/>
    <n v="23"/>
    <x v="1"/>
    <s v="Sports"/>
  </r>
  <r>
    <s v="SALE503"/>
    <d v="2025-08-20T00:00:00"/>
    <x v="69"/>
    <x v="59"/>
    <x v="8"/>
    <n v="2"/>
    <n v="2"/>
    <n v="355.41"/>
    <n v="355.41"/>
    <n v="0.13"/>
    <n v="0.13"/>
    <x v="2"/>
    <n v="618.41340000000002"/>
    <x v="503"/>
    <s v="Bronze"/>
    <n v="29"/>
    <x v="1"/>
    <s v="Sports"/>
  </r>
  <r>
    <s v="SALE504"/>
    <d v="2025-10-13T00:00:00"/>
    <x v="313"/>
    <x v="44"/>
    <x v="17"/>
    <n v="3"/>
    <n v="3"/>
    <n v="843.44"/>
    <n v="843.44"/>
    <n v="0.22"/>
    <n v="0.22"/>
    <x v="0"/>
    <n v="1973.6496"/>
    <x v="504"/>
    <s v="Gold"/>
    <n v="36"/>
    <x v="1"/>
    <s v="Beauty"/>
  </r>
  <r>
    <s v="SALE505"/>
    <d v="2024-01-15T00:00:00"/>
    <x v="300"/>
    <x v="98"/>
    <x v="8"/>
    <n v="1"/>
    <n v="1"/>
    <n v="301.60000000000002"/>
    <n v="301.60000000000002"/>
    <n v="0.27"/>
    <n v="0.27"/>
    <x v="0"/>
    <n v="220.16800000000001"/>
    <x v="505"/>
    <s v="Bronze"/>
    <n v="21"/>
    <x v="0"/>
    <s v="Sports"/>
  </r>
  <r>
    <s v="SALE506"/>
    <d v="2025-04-25T00:00:00"/>
    <x v="229"/>
    <x v="41"/>
    <x v="17"/>
    <n v="3"/>
    <n v="3"/>
    <n v="21.59"/>
    <n v="21.59"/>
    <n v="0.16"/>
    <n v="0.16"/>
    <x v="2"/>
    <n v="54.406799999999997"/>
    <x v="506"/>
    <s v="Platinum"/>
    <n v="19"/>
    <x v="0"/>
    <s v="Beauty"/>
  </r>
  <r>
    <s v="SALE507"/>
    <d v="2024-02-24T00:00:00"/>
    <x v="314"/>
    <x v="26"/>
    <x v="17"/>
    <n v="4"/>
    <n v="4"/>
    <n v="284.24"/>
    <n v="284.24"/>
    <n v="0.09"/>
    <n v="0.09"/>
    <x v="0"/>
    <n v="1034.6335999999999"/>
    <x v="507"/>
    <s v="Platinum"/>
    <n v="63"/>
    <x v="1"/>
    <s v="Electronics"/>
  </r>
  <r>
    <s v="SALE508"/>
    <d v="2024-12-30T00:00:00"/>
    <x v="23"/>
    <x v="23"/>
    <x v="11"/>
    <n v="1"/>
    <n v="1"/>
    <n v="191.6"/>
    <n v="191.6"/>
    <n v="0.27"/>
    <n v="0.27"/>
    <x v="1"/>
    <n v="139.86799999999999"/>
    <x v="508"/>
    <s v="Platinum"/>
    <n v="34"/>
    <x v="1"/>
    <s v="Clothing"/>
  </r>
  <r>
    <s v="SALE509"/>
    <d v="2025-04-15T00:00:00"/>
    <x v="315"/>
    <x v="36"/>
    <x v="18"/>
    <n v="2"/>
    <n v="2"/>
    <n v="616.97"/>
    <n v="616.97"/>
    <n v="0.22"/>
    <n v="0.22"/>
    <x v="0"/>
    <n v="962.47320000000002"/>
    <x v="509"/>
    <s v="Platinum"/>
    <n v="35"/>
    <x v="0"/>
    <s v="Home"/>
  </r>
  <r>
    <s v="SALE510"/>
    <d v="2024-10-15T00:00:00"/>
    <x v="64"/>
    <x v="77"/>
    <x v="15"/>
    <n v="3"/>
    <n v="3"/>
    <n v="125.68"/>
    <n v="125.68"/>
    <n v="0.26"/>
    <n v="0.26"/>
    <x v="2"/>
    <n v="279.00959999999998"/>
    <x v="510"/>
    <s v="Platinum"/>
    <n v="36"/>
    <x v="1"/>
    <s v="Sports"/>
  </r>
  <r>
    <s v="SALE511"/>
    <d v="2025-01-19T00:00:00"/>
    <x v="316"/>
    <x v="19"/>
    <x v="5"/>
    <n v="3"/>
    <n v="3"/>
    <n v="307.48"/>
    <n v="307.48"/>
    <n v="0.24"/>
    <n v="0.24"/>
    <x v="0"/>
    <n v="701.0544000000001"/>
    <x v="511"/>
    <s v="Silver"/>
    <n v="52"/>
    <x v="1"/>
    <s v="Electronics"/>
  </r>
  <r>
    <s v="SALE512"/>
    <d v="2024-07-22T00:00:00"/>
    <x v="83"/>
    <x v="95"/>
    <x v="12"/>
    <n v="1"/>
    <n v="1"/>
    <n v="505.23"/>
    <n v="505.23"/>
    <n v="0.11"/>
    <n v="0.11"/>
    <x v="0"/>
    <n v="449.65469999999999"/>
    <x v="512"/>
    <s v="Platinum"/>
    <n v="64"/>
    <x v="0"/>
    <s v="Clothing"/>
  </r>
  <r>
    <s v="SALE513"/>
    <d v="2025-03-19T00:00:00"/>
    <x v="317"/>
    <x v="49"/>
    <x v="9"/>
    <n v="1"/>
    <n v="1"/>
    <n v="853.12"/>
    <n v="853.12"/>
    <n v="0.19"/>
    <n v="0.19"/>
    <x v="2"/>
    <n v="691.02719999999999"/>
    <x v="513"/>
    <s v="Platinum"/>
    <n v="63"/>
    <x v="1"/>
    <s v="Sports"/>
  </r>
  <r>
    <s v="SALE514"/>
    <d v="2024-01-21T00:00:00"/>
    <x v="298"/>
    <x v="90"/>
    <x v="4"/>
    <n v="4"/>
    <n v="4"/>
    <n v="191.65"/>
    <n v="191.65"/>
    <n v="0.19"/>
    <n v="0.19"/>
    <x v="1"/>
    <n v="620.94600000000003"/>
    <x v="514"/>
    <s v="Silver"/>
    <n v="43"/>
    <x v="1"/>
    <s v="Electronics"/>
  </r>
  <r>
    <s v="SALE515"/>
    <d v="2023-12-26T00:00:00"/>
    <x v="318"/>
    <x v="44"/>
    <x v="0"/>
    <n v="1"/>
    <n v="1"/>
    <n v="169.69"/>
    <n v="169.69"/>
    <n v="0.22"/>
    <n v="0.22"/>
    <x v="0"/>
    <n v="132.35820000000001"/>
    <x v="515"/>
    <s v="Platinum"/>
    <n v="41"/>
    <x v="1"/>
    <s v="Beauty"/>
  </r>
  <r>
    <s v="SALE516"/>
    <d v="2024-03-21T00:00:00"/>
    <x v="143"/>
    <x v="85"/>
    <x v="7"/>
    <n v="1"/>
    <n v="1"/>
    <n v="145.43"/>
    <n v="145.43"/>
    <n v="0.08"/>
    <n v="0.08"/>
    <x v="0"/>
    <n v="133.79560000000001"/>
    <x v="516"/>
    <s v="Platinum"/>
    <n v="56"/>
    <x v="0"/>
    <s v="Electronics"/>
  </r>
  <r>
    <s v="SALE517"/>
    <d v="2024-12-07T00:00:00"/>
    <x v="42"/>
    <x v="47"/>
    <x v="18"/>
    <n v="4"/>
    <n v="4"/>
    <n v="828.35"/>
    <n v="828.35"/>
    <n v="0.17"/>
    <n v="0.17"/>
    <x v="0"/>
    <n v="2750.1219999999998"/>
    <x v="517"/>
    <s v="Platinum"/>
    <n v="26"/>
    <x v="1"/>
    <s v="Electronics"/>
  </r>
  <r>
    <s v="SALE518"/>
    <d v="2024-11-02T00:00:00"/>
    <x v="319"/>
    <x v="98"/>
    <x v="4"/>
    <n v="3"/>
    <n v="3"/>
    <n v="268.76"/>
    <n v="268.76"/>
    <n v="0.01"/>
    <n v="0.01"/>
    <x v="1"/>
    <n v="798.21719999999993"/>
    <x v="518"/>
    <s v="Gold"/>
    <n v="60"/>
    <x v="0"/>
    <s v="Sports"/>
  </r>
  <r>
    <s v="SALE519"/>
    <d v="2024-07-22T00:00:00"/>
    <x v="320"/>
    <x v="12"/>
    <x v="6"/>
    <n v="4"/>
    <n v="4"/>
    <n v="370.09"/>
    <n v="370.09"/>
    <n v="0.22"/>
    <n v="0.22"/>
    <x v="2"/>
    <n v="1154.6808000000001"/>
    <x v="519"/>
    <s v="Silver"/>
    <n v="59"/>
    <x v="0"/>
    <s v="Sports"/>
  </r>
  <r>
    <s v="SALE520"/>
    <d v="2023-10-30T00:00:00"/>
    <x v="73"/>
    <x v="36"/>
    <x v="16"/>
    <n v="3"/>
    <n v="3"/>
    <n v="679.22"/>
    <n v="679.22"/>
    <n v="0.11"/>
    <n v="0.11"/>
    <x v="1"/>
    <n v="1813.5174"/>
    <x v="520"/>
    <s v="Bronze"/>
    <n v="32"/>
    <x v="0"/>
    <s v="Home"/>
  </r>
  <r>
    <s v="SALE521"/>
    <d v="2024-05-21T00:00:00"/>
    <x v="141"/>
    <x v="78"/>
    <x v="6"/>
    <n v="3"/>
    <n v="3"/>
    <n v="780.69"/>
    <n v="780.69"/>
    <n v="0.1"/>
    <n v="0.1"/>
    <x v="2"/>
    <n v="2107.8629999999998"/>
    <x v="521"/>
    <s v="Gold"/>
    <n v="37"/>
    <x v="1"/>
    <s v="Sports"/>
  </r>
  <r>
    <s v="SALE522"/>
    <d v="2025-04-19T00:00:00"/>
    <x v="321"/>
    <x v="63"/>
    <x v="17"/>
    <n v="2"/>
    <n v="2"/>
    <n v="42.97"/>
    <n v="42.97"/>
    <n v="0.18"/>
    <n v="0.18"/>
    <x v="1"/>
    <n v="70.470799999999997"/>
    <x v="522"/>
    <s v="Silver"/>
    <n v="27"/>
    <x v="1"/>
    <s v="Electronics"/>
  </r>
  <r>
    <s v="SALE523"/>
    <d v="2024-12-13T00:00:00"/>
    <x v="322"/>
    <x v="74"/>
    <x v="6"/>
    <n v="4"/>
    <n v="4"/>
    <n v="854.37"/>
    <n v="854.37"/>
    <n v="7.0000000000000007E-2"/>
    <n v="7.0000000000000007E-2"/>
    <x v="1"/>
    <n v="3178.2564000000002"/>
    <x v="523"/>
    <s v="Silver"/>
    <n v="22"/>
    <x v="0"/>
    <s v="Sports"/>
  </r>
  <r>
    <s v="SALE524"/>
    <d v="2025-04-27T00:00:00"/>
    <x v="323"/>
    <x v="10"/>
    <x v="9"/>
    <n v="2"/>
    <n v="2"/>
    <n v="409.52"/>
    <n v="409.52"/>
    <n v="0.06"/>
    <n v="0.06"/>
    <x v="2"/>
    <n v="769.8975999999999"/>
    <x v="524"/>
    <s v="Platinum"/>
    <n v="53"/>
    <x v="1"/>
    <s v="Sports"/>
  </r>
  <r>
    <s v="SALE525"/>
    <d v="2024-10-04T00:00:00"/>
    <x v="112"/>
    <x v="1"/>
    <x v="15"/>
    <n v="2"/>
    <n v="2"/>
    <n v="407.46"/>
    <n v="407.46"/>
    <n v="0.21"/>
    <n v="0.21"/>
    <x v="0"/>
    <n v="643.78679999999997"/>
    <x v="525"/>
    <s v="Silver"/>
    <n v="39"/>
    <x v="1"/>
    <s v="Electronics"/>
  </r>
  <r>
    <s v="SALE526"/>
    <d v="2025-07-18T00:00:00"/>
    <x v="324"/>
    <x v="83"/>
    <x v="2"/>
    <n v="1"/>
    <n v="1"/>
    <n v="728.84"/>
    <n v="728.84"/>
    <n v="0.28000000000000003"/>
    <n v="0.28000000000000003"/>
    <x v="1"/>
    <n v="524.76480000000004"/>
    <x v="526"/>
    <s v="Gold"/>
    <n v="52"/>
    <x v="1"/>
    <s v="Clothing"/>
  </r>
  <r>
    <s v="SALE527"/>
    <d v="2024-03-11T00:00:00"/>
    <x v="32"/>
    <x v="36"/>
    <x v="16"/>
    <n v="4"/>
    <n v="4"/>
    <n v="467.24"/>
    <n v="467.24"/>
    <n v="0.08"/>
    <n v="0.08"/>
    <x v="1"/>
    <n v="1719.4431999999999"/>
    <x v="527"/>
    <s v="Platinum"/>
    <n v="62"/>
    <x v="1"/>
    <s v="Home"/>
  </r>
  <r>
    <s v="SALE528"/>
    <d v="2024-06-14T00:00:00"/>
    <x v="325"/>
    <x v="31"/>
    <x v="19"/>
    <n v="1"/>
    <n v="1"/>
    <n v="57.94"/>
    <n v="57.94"/>
    <n v="0.13"/>
    <n v="0.13"/>
    <x v="1"/>
    <n v="50.407799999999988"/>
    <x v="528"/>
    <s v="Platinum"/>
    <n v="44"/>
    <x v="1"/>
    <s v="Home"/>
  </r>
  <r>
    <s v="SALE529"/>
    <d v="2024-02-16T00:00:00"/>
    <x v="33"/>
    <x v="2"/>
    <x v="1"/>
    <n v="1"/>
    <n v="1"/>
    <n v="540.1"/>
    <n v="540.1"/>
    <n v="0.22"/>
    <n v="0.22"/>
    <x v="0"/>
    <n v="421.27800000000002"/>
    <x v="529"/>
    <s v="Gold"/>
    <n v="39"/>
    <x v="0"/>
    <s v="Beauty"/>
  </r>
  <r>
    <s v="SALE530"/>
    <d v="2024-09-17T00:00:00"/>
    <x v="259"/>
    <x v="67"/>
    <x v="12"/>
    <n v="4"/>
    <n v="4"/>
    <n v="816.28"/>
    <n v="816.28"/>
    <n v="0.15"/>
    <n v="0.15"/>
    <x v="2"/>
    <n v="2775.3519999999999"/>
    <x v="530"/>
    <s v="Gold"/>
    <n v="29"/>
    <x v="0"/>
    <s v="Electronics"/>
  </r>
  <r>
    <s v="SALE531"/>
    <d v="2025-08-26T00:00:00"/>
    <x v="118"/>
    <x v="63"/>
    <x v="2"/>
    <n v="4"/>
    <n v="4"/>
    <n v="727.49"/>
    <n v="727.49"/>
    <n v="0.11"/>
    <n v="0.11"/>
    <x v="0"/>
    <n v="2589.8643999999999"/>
    <x v="531"/>
    <s v="Bronze"/>
    <n v="33"/>
    <x v="1"/>
    <s v="Electronics"/>
  </r>
  <r>
    <s v="SALE532"/>
    <d v="2024-06-04T00:00:00"/>
    <x v="120"/>
    <x v="56"/>
    <x v="13"/>
    <n v="4"/>
    <n v="4"/>
    <n v="817.92"/>
    <n v="817.92"/>
    <n v="0.21"/>
    <n v="0.21"/>
    <x v="0"/>
    <n v="2584.6271999999999"/>
    <x v="532"/>
    <s v="Platinum"/>
    <n v="44"/>
    <x v="1"/>
    <s v="Home"/>
  </r>
  <r>
    <s v="SALE533"/>
    <d v="2024-10-13T00:00:00"/>
    <x v="88"/>
    <x v="48"/>
    <x v="4"/>
    <n v="2"/>
    <n v="2"/>
    <n v="358.45"/>
    <n v="358.45"/>
    <n v="7.0000000000000007E-2"/>
    <n v="7.0000000000000007E-2"/>
    <x v="2"/>
    <n v="666.71699999999998"/>
    <x v="533"/>
    <s v="Bronze"/>
    <n v="60"/>
    <x v="0"/>
    <s v="Sports"/>
  </r>
  <r>
    <s v="SALE534"/>
    <d v="2025-02-09T00:00:00"/>
    <x v="114"/>
    <x v="72"/>
    <x v="11"/>
    <n v="1"/>
    <n v="1"/>
    <n v="972.06"/>
    <n v="972.06"/>
    <n v="0.3"/>
    <n v="0.3"/>
    <x v="2"/>
    <n v="680.44199999999989"/>
    <x v="534"/>
    <s v="Bronze"/>
    <n v="25"/>
    <x v="1"/>
    <s v="Home"/>
  </r>
  <r>
    <s v="SALE535"/>
    <d v="2023-12-21T00:00:00"/>
    <x v="326"/>
    <x v="30"/>
    <x v="6"/>
    <n v="1"/>
    <n v="1"/>
    <n v="791.36"/>
    <n v="791.36"/>
    <n v="0.06"/>
    <n v="0.06"/>
    <x v="1"/>
    <n v="743.87839999999994"/>
    <x v="535"/>
    <s v="Gold"/>
    <n v="48"/>
    <x v="1"/>
    <s v="OTHERS"/>
  </r>
  <r>
    <s v="SALE536"/>
    <d v="2025-07-17T00:00:00"/>
    <x v="130"/>
    <x v="91"/>
    <x v="3"/>
    <n v="4"/>
    <n v="4"/>
    <n v="839.65"/>
    <n v="839.65"/>
    <n v="0.26"/>
    <n v="0.26"/>
    <x v="2"/>
    <n v="2485.364"/>
    <x v="536"/>
    <s v="Silver"/>
    <n v="53"/>
    <x v="1"/>
    <s v="Beauty"/>
  </r>
  <r>
    <s v="SALE537"/>
    <d v="2025-05-16T00:00:00"/>
    <x v="57"/>
    <x v="18"/>
    <x v="17"/>
    <n v="2"/>
    <n v="2"/>
    <n v="245.52"/>
    <n v="245.52"/>
    <n v="0.11"/>
    <n v="0.11"/>
    <x v="2"/>
    <n v="437.0256"/>
    <x v="537"/>
    <s v="Gold"/>
    <n v="21"/>
    <x v="0"/>
    <s v="Sports"/>
  </r>
  <r>
    <s v="SALE538"/>
    <d v="2025-08-12T00:00:00"/>
    <x v="327"/>
    <x v="74"/>
    <x v="2"/>
    <n v="3"/>
    <n v="3"/>
    <n v="787.91"/>
    <n v="787.91"/>
    <n v="0.06"/>
    <n v="0.06"/>
    <x v="1"/>
    <n v="2221.9061999999999"/>
    <x v="538"/>
    <s v="Platinum"/>
    <n v="53"/>
    <x v="0"/>
    <s v="Sports"/>
  </r>
  <r>
    <s v="SALE539"/>
    <d v="2025-08-21T00:00:00"/>
    <x v="286"/>
    <x v="28"/>
    <x v="5"/>
    <n v="2"/>
    <n v="2"/>
    <n v="709.17"/>
    <n v="709.17"/>
    <n v="0.22"/>
    <n v="0.22"/>
    <x v="0"/>
    <n v="1106.3052"/>
    <x v="539"/>
    <s v="Gold"/>
    <n v="37"/>
    <x v="1"/>
    <s v="Clothing"/>
  </r>
  <r>
    <s v="SALE540"/>
    <d v="2023-11-21T00:00:00"/>
    <x v="328"/>
    <x v="52"/>
    <x v="4"/>
    <n v="2"/>
    <n v="2"/>
    <n v="533.91999999999996"/>
    <n v="533.91999999999996"/>
    <n v="0.13"/>
    <n v="0.13"/>
    <x v="0"/>
    <n v="929.02079999999989"/>
    <x v="540"/>
    <s v="Bronze"/>
    <n v="28"/>
    <x v="1"/>
    <s v="Clothing"/>
  </r>
  <r>
    <s v="SALE541"/>
    <d v="2025-02-07T00:00:00"/>
    <x v="36"/>
    <x v="63"/>
    <x v="6"/>
    <n v="1"/>
    <n v="1"/>
    <n v="878.84"/>
    <n v="878.84"/>
    <n v="0.28000000000000003"/>
    <n v="0.28000000000000003"/>
    <x v="2"/>
    <n v="632.76480000000004"/>
    <x v="541"/>
    <s v="Platinum"/>
    <n v="59"/>
    <x v="1"/>
    <s v="Electronics"/>
  </r>
  <r>
    <s v="SALE542"/>
    <d v="2023-12-27T00:00:00"/>
    <x v="329"/>
    <x v="38"/>
    <x v="9"/>
    <n v="1"/>
    <n v="1"/>
    <n v="442.36"/>
    <n v="442.36"/>
    <n v="0.14000000000000001"/>
    <n v="0.14000000000000001"/>
    <x v="0"/>
    <n v="380.42959999999999"/>
    <x v="542"/>
    <s v="Platinum"/>
    <n v="52"/>
    <x v="0"/>
    <s v="Sports"/>
  </r>
  <r>
    <s v="SALE543"/>
    <d v="2025-02-23T00:00:00"/>
    <x v="203"/>
    <x v="68"/>
    <x v="16"/>
    <n v="1"/>
    <n v="1"/>
    <n v="763.34"/>
    <n v="763.34"/>
    <n v="0.11"/>
    <n v="0.11"/>
    <x v="2"/>
    <n v="679.37260000000003"/>
    <x v="543"/>
    <s v="Gold"/>
    <n v="64"/>
    <x v="1"/>
    <s v="Home"/>
  </r>
  <r>
    <s v="SALE544"/>
    <d v="2025-07-04T00:00:00"/>
    <x v="305"/>
    <x v="4"/>
    <x v="14"/>
    <n v="3"/>
    <n v="3"/>
    <n v="178.22"/>
    <n v="178.22"/>
    <n v="0.15"/>
    <n v="0.15"/>
    <x v="2"/>
    <n v="454.46100000000001"/>
    <x v="544"/>
    <s v="Silver"/>
    <n v="25"/>
    <x v="1"/>
    <s v="Beauty"/>
  </r>
  <r>
    <s v="SALE545"/>
    <d v="2023-11-25T00:00:00"/>
    <x v="202"/>
    <x v="33"/>
    <x v="8"/>
    <n v="4"/>
    <n v="4"/>
    <n v="90.32"/>
    <n v="90.32"/>
    <n v="0.08"/>
    <n v="0.08"/>
    <x v="1"/>
    <n v="332.37759999999997"/>
    <x v="545"/>
    <s v="Bronze"/>
    <n v="21"/>
    <x v="0"/>
    <s v="Electronics"/>
  </r>
  <r>
    <s v="SALE546"/>
    <d v="2025-02-07T00:00:00"/>
    <x v="74"/>
    <x v="31"/>
    <x v="16"/>
    <n v="3"/>
    <n v="3"/>
    <n v="370.93"/>
    <n v="370.93"/>
    <n v="0"/>
    <n v="0"/>
    <x v="0"/>
    <n v="1112.79"/>
    <x v="546"/>
    <s v="Bronze"/>
    <n v="44"/>
    <x v="1"/>
    <s v="Home"/>
  </r>
  <r>
    <s v="SALE547"/>
    <d v="2023-12-21T00:00:00"/>
    <x v="330"/>
    <x v="34"/>
    <x v="10"/>
    <n v="1"/>
    <n v="1"/>
    <n v="352.43"/>
    <n v="352.43"/>
    <n v="0.14000000000000001"/>
    <n v="0.14000000000000001"/>
    <x v="1"/>
    <n v="303.08980000000003"/>
    <x v="547"/>
    <s v="Platinum"/>
    <n v="55"/>
    <x v="1"/>
    <s v="Clothing"/>
  </r>
  <r>
    <s v="SALE548"/>
    <d v="2024-01-04T00:00:00"/>
    <x v="331"/>
    <x v="21"/>
    <x v="10"/>
    <n v="2"/>
    <n v="2"/>
    <n v="562.97"/>
    <n v="562.97"/>
    <n v="0.2"/>
    <n v="0.2"/>
    <x v="0"/>
    <n v="900.75200000000007"/>
    <x v="548"/>
    <s v="Silver"/>
    <n v="40"/>
    <x v="0"/>
    <s v="Beauty"/>
  </r>
  <r>
    <s v="SALE549"/>
    <d v="2023-11-30T00:00:00"/>
    <x v="332"/>
    <x v="76"/>
    <x v="4"/>
    <n v="1"/>
    <n v="1"/>
    <n v="522.85"/>
    <n v="522.85"/>
    <n v="0.12"/>
    <n v="0.12"/>
    <x v="1"/>
    <n v="460.108"/>
    <x v="549"/>
    <s v="Platinum"/>
    <n v="59"/>
    <x v="0"/>
    <s v="Home"/>
  </r>
  <r>
    <s v="SALE550"/>
    <d v="2025-07-13T00:00:00"/>
    <x v="116"/>
    <x v="39"/>
    <x v="9"/>
    <n v="4"/>
    <n v="4"/>
    <n v="714.89"/>
    <n v="714.89"/>
    <n v="0.15"/>
    <n v="0.15"/>
    <x v="0"/>
    <n v="2430.6260000000002"/>
    <x v="550"/>
    <s v="Bronze"/>
    <n v="31"/>
    <x v="0"/>
    <s v="Home"/>
  </r>
  <r>
    <s v="SALE551"/>
    <d v="2023-10-23T00:00:00"/>
    <x v="8"/>
    <x v="19"/>
    <x v="17"/>
    <n v="3"/>
    <n v="3"/>
    <n v="137.77000000000001"/>
    <n v="137.77000000000001"/>
    <n v="0.26"/>
    <n v="0.26"/>
    <x v="1"/>
    <n v="305.84940000000012"/>
    <x v="551"/>
    <s v="Platinum"/>
    <n v="60"/>
    <x v="1"/>
    <s v="Electronics"/>
  </r>
  <r>
    <s v="SALE552"/>
    <d v="2025-10-10T00:00:00"/>
    <x v="250"/>
    <x v="80"/>
    <x v="19"/>
    <n v="3"/>
    <n v="3"/>
    <n v="862.18"/>
    <n v="862.18"/>
    <n v="0.22"/>
    <n v="0.22"/>
    <x v="1"/>
    <n v="2017.5011999999999"/>
    <x v="552"/>
    <s v="UNKNOWN"/>
    <n v="31"/>
    <x v="0"/>
    <s v="Home"/>
  </r>
  <r>
    <s v="SALE553"/>
    <d v="2025-06-14T00:00:00"/>
    <x v="333"/>
    <x v="48"/>
    <x v="7"/>
    <n v="2"/>
    <n v="2"/>
    <n v="833.64"/>
    <n v="833.64"/>
    <n v="0.24"/>
    <n v="0.24"/>
    <x v="1"/>
    <n v="1267.1328000000001"/>
    <x v="553"/>
    <s v="Platinum"/>
    <n v="43"/>
    <x v="1"/>
    <s v="Sports"/>
  </r>
  <r>
    <s v="SALE554"/>
    <d v="2025-04-05T00:00:00"/>
    <x v="334"/>
    <x v="46"/>
    <x v="10"/>
    <n v="3"/>
    <n v="3"/>
    <n v="543.22"/>
    <n v="543.22"/>
    <n v="0.05"/>
    <n v="0.05"/>
    <x v="2"/>
    <n v="1548.1769999999999"/>
    <x v="554"/>
    <s v="Gold"/>
    <n v="31"/>
    <x v="1"/>
    <s v="Sports"/>
  </r>
  <r>
    <s v="SALE555"/>
    <d v="2025-01-20T00:00:00"/>
    <x v="335"/>
    <x v="12"/>
    <x v="17"/>
    <n v="3"/>
    <n v="3"/>
    <n v="691.02"/>
    <n v="691.02"/>
    <n v="0.12"/>
    <n v="0.12"/>
    <x v="2"/>
    <n v="1824.2927999999999"/>
    <x v="555"/>
    <s v="Platinum"/>
    <n v="42"/>
    <x v="1"/>
    <s v="Sports"/>
  </r>
  <r>
    <s v="SALE556"/>
    <d v="2023-11-23T00:00:00"/>
    <x v="98"/>
    <x v="56"/>
    <x v="1"/>
    <n v="4"/>
    <n v="4"/>
    <n v="338.73"/>
    <n v="338.73"/>
    <n v="0.18"/>
    <n v="0.18"/>
    <x v="0"/>
    <n v="1111.0344"/>
    <x v="556"/>
    <s v="Bronze"/>
    <n v="58"/>
    <x v="1"/>
    <s v="Home"/>
  </r>
  <r>
    <s v="SALE557"/>
    <d v="2024-04-07T00:00:00"/>
    <x v="336"/>
    <x v="94"/>
    <x v="9"/>
    <n v="3"/>
    <n v="3"/>
    <n v="366.08"/>
    <n v="366.08"/>
    <n v="0.05"/>
    <n v="0.05"/>
    <x v="0"/>
    <n v="1043.328"/>
    <x v="557"/>
    <s v="Bronze"/>
    <n v="50"/>
    <x v="0"/>
    <s v="Home"/>
  </r>
  <r>
    <s v="SALE558"/>
    <d v="2025-07-02T00:00:00"/>
    <x v="102"/>
    <x v="26"/>
    <x v="13"/>
    <n v="4"/>
    <n v="4"/>
    <n v="539.48"/>
    <n v="539.48"/>
    <n v="0.28000000000000003"/>
    <n v="0.28000000000000003"/>
    <x v="2"/>
    <n v="1553.7023999999999"/>
    <x v="558"/>
    <s v="Gold"/>
    <n v="50"/>
    <x v="1"/>
    <s v="Electronics"/>
  </r>
  <r>
    <s v="SALE559"/>
    <d v="2023-11-26T00:00:00"/>
    <x v="337"/>
    <x v="52"/>
    <x v="9"/>
    <n v="1"/>
    <n v="1"/>
    <n v="499.59"/>
    <n v="499.59"/>
    <n v="0.03"/>
    <n v="0.03"/>
    <x v="2"/>
    <n v="484.60230000000001"/>
    <x v="559"/>
    <s v="Platinum"/>
    <n v="50"/>
    <x v="0"/>
    <s v="Clothing"/>
  </r>
  <r>
    <s v="SALE560"/>
    <d v="2024-02-04T00:00:00"/>
    <x v="338"/>
    <x v="37"/>
    <x v="2"/>
    <n v="3"/>
    <n v="3"/>
    <n v="330.04"/>
    <n v="330.04"/>
    <n v="0.2"/>
    <n v="0.2"/>
    <x v="0"/>
    <n v="792.09600000000012"/>
    <x v="560"/>
    <s v="Silver"/>
    <n v="42"/>
    <x v="0"/>
    <s v="Home"/>
  </r>
  <r>
    <s v="SALE561"/>
    <d v="2024-06-16T00:00:00"/>
    <x v="91"/>
    <x v="75"/>
    <x v="1"/>
    <n v="2"/>
    <n v="2"/>
    <n v="813.01"/>
    <n v="813.01"/>
    <n v="0.06"/>
    <n v="0.06"/>
    <x v="1"/>
    <n v="1528.4588000000001"/>
    <x v="561"/>
    <s v="Silver"/>
    <n v="23"/>
    <x v="1"/>
    <s v="Electronics"/>
  </r>
  <r>
    <s v="SALE562"/>
    <d v="2025-02-27T00:00:00"/>
    <x v="339"/>
    <x v="55"/>
    <x v="17"/>
    <n v="4"/>
    <n v="4"/>
    <n v="204.8"/>
    <n v="204.8"/>
    <n v="0.03"/>
    <n v="0.03"/>
    <x v="1"/>
    <n v="794.62400000000002"/>
    <x v="562"/>
    <s v="Gold"/>
    <n v="18"/>
    <x v="1"/>
    <s v="Clothing"/>
  </r>
  <r>
    <s v="SALE563"/>
    <d v="2023-10-24T00:00:00"/>
    <x v="311"/>
    <x v="58"/>
    <x v="0"/>
    <n v="3"/>
    <n v="3"/>
    <n v="728.32"/>
    <n v="728.32"/>
    <n v="0.01"/>
    <n v="0.01"/>
    <x v="0"/>
    <n v="2163.1104"/>
    <x v="563"/>
    <s v="Gold"/>
    <n v="28"/>
    <x v="1"/>
    <s v="OTHERS"/>
  </r>
  <r>
    <s v="SALE564"/>
    <d v="2024-08-03T00:00:00"/>
    <x v="340"/>
    <x v="4"/>
    <x v="4"/>
    <n v="3"/>
    <n v="3"/>
    <n v="836.4"/>
    <n v="836.4"/>
    <n v="0"/>
    <n v="0"/>
    <x v="0"/>
    <n v="2509.1999999999998"/>
    <x v="564"/>
    <s v="Bronze"/>
    <n v="60"/>
    <x v="1"/>
    <s v="Beauty"/>
  </r>
  <r>
    <s v="SALE565"/>
    <d v="2025-07-05T00:00:00"/>
    <x v="341"/>
    <x v="64"/>
    <x v="18"/>
    <n v="1"/>
    <n v="1"/>
    <n v="780.16"/>
    <n v="780.16"/>
    <n v="0.02"/>
    <n v="0.02"/>
    <x v="2"/>
    <n v="764.55679999999995"/>
    <x v="565"/>
    <s v="Platinum"/>
    <n v="33"/>
    <x v="0"/>
    <s v="Electronics"/>
  </r>
  <r>
    <s v="SALE566"/>
    <d v="2025-05-27T00:00:00"/>
    <x v="44"/>
    <x v="54"/>
    <x v="13"/>
    <n v="4"/>
    <n v="4"/>
    <n v="354.12"/>
    <n v="354.12"/>
    <n v="0.06"/>
    <n v="0.06"/>
    <x v="1"/>
    <n v="1331.4911999999999"/>
    <x v="566"/>
    <s v="Gold"/>
    <n v="21"/>
    <x v="1"/>
    <s v="Clothing"/>
  </r>
  <r>
    <s v="SALE567"/>
    <d v="2024-11-06T00:00:00"/>
    <x v="340"/>
    <x v="81"/>
    <x v="17"/>
    <n v="4"/>
    <n v="4"/>
    <n v="282.48"/>
    <n v="282.48"/>
    <n v="0.11"/>
    <n v="0.11"/>
    <x v="1"/>
    <n v="1005.6288"/>
    <x v="567"/>
    <s v="Bronze"/>
    <n v="60"/>
    <x v="1"/>
    <s v="Beauty"/>
  </r>
  <r>
    <s v="SALE568"/>
    <d v="2024-06-03T00:00:00"/>
    <x v="342"/>
    <x v="42"/>
    <x v="16"/>
    <n v="2"/>
    <n v="2"/>
    <n v="740.68"/>
    <n v="740.68"/>
    <n v="0.02"/>
    <n v="0.02"/>
    <x v="1"/>
    <n v="1451.7328"/>
    <x v="568"/>
    <s v="Platinum"/>
    <n v="46"/>
    <x v="0"/>
    <s v="Sports"/>
  </r>
  <r>
    <s v="SALE569"/>
    <d v="2024-04-02T00:00:00"/>
    <x v="102"/>
    <x v="6"/>
    <x v="11"/>
    <n v="3"/>
    <n v="3"/>
    <n v="600.58000000000004"/>
    <n v="600.58000000000004"/>
    <n v="0.28999999999999998"/>
    <n v="0.28999999999999998"/>
    <x v="2"/>
    <n v="1279.2354"/>
    <x v="569"/>
    <s v="Gold"/>
    <n v="50"/>
    <x v="1"/>
    <s v="Home"/>
  </r>
  <r>
    <s v="SALE570"/>
    <d v="2024-02-26T00:00:00"/>
    <x v="343"/>
    <x v="15"/>
    <x v="0"/>
    <n v="3"/>
    <n v="3"/>
    <n v="345.58"/>
    <n v="345.58"/>
    <n v="0.22"/>
    <n v="0.22"/>
    <x v="0"/>
    <n v="808.65719999999999"/>
    <x v="570"/>
    <s v="Silver"/>
    <n v="60"/>
    <x v="1"/>
    <s v="Sports"/>
  </r>
  <r>
    <s v="SALE571"/>
    <d v="2025-01-31T00:00:00"/>
    <x v="344"/>
    <x v="97"/>
    <x v="19"/>
    <n v="1"/>
    <n v="1"/>
    <n v="974.52"/>
    <n v="974.52"/>
    <n v="0.01"/>
    <n v="0.01"/>
    <x v="1"/>
    <n v="964.77480000000003"/>
    <x v="571"/>
    <s v="Gold"/>
    <n v="54"/>
    <x v="0"/>
    <s v="Clothing"/>
  </r>
  <r>
    <s v="SALE572"/>
    <d v="2023-11-19T00:00:00"/>
    <x v="345"/>
    <x v="53"/>
    <x v="8"/>
    <n v="3"/>
    <n v="3"/>
    <n v="282.33"/>
    <n v="282.33"/>
    <n v="7.0000000000000007E-2"/>
    <n v="7.0000000000000007E-2"/>
    <x v="0"/>
    <n v="787.70069999999998"/>
    <x v="572"/>
    <s v="Gold"/>
    <n v="50"/>
    <x v="0"/>
    <s v="Sports"/>
  </r>
  <r>
    <s v="SALE573"/>
    <d v="2025-03-10T00:00:00"/>
    <x v="157"/>
    <x v="3"/>
    <x v="12"/>
    <n v="4"/>
    <n v="4"/>
    <n v="158.46"/>
    <n v="158.46"/>
    <n v="0.09"/>
    <n v="0.09"/>
    <x v="1"/>
    <n v="576.7944"/>
    <x v="573"/>
    <s v="Gold"/>
    <n v="20"/>
    <x v="1"/>
    <s v="Electronics"/>
  </r>
  <r>
    <s v="SALE574"/>
    <d v="2023-12-23T00:00:00"/>
    <x v="110"/>
    <x v="76"/>
    <x v="4"/>
    <n v="2"/>
    <n v="2"/>
    <n v="778.56"/>
    <n v="778.56"/>
    <n v="0.11"/>
    <n v="0.11"/>
    <x v="2"/>
    <n v="1385.8368"/>
    <x v="574"/>
    <s v="Bronze"/>
    <n v="38"/>
    <x v="0"/>
    <s v="Home"/>
  </r>
  <r>
    <s v="SALE575"/>
    <d v="2024-03-02T00:00:00"/>
    <x v="12"/>
    <x v="57"/>
    <x v="12"/>
    <n v="4"/>
    <n v="4"/>
    <n v="280.16000000000003"/>
    <n v="280.16000000000003"/>
    <n v="0.18"/>
    <n v="0.18"/>
    <x v="2"/>
    <n v="918.92480000000012"/>
    <x v="575"/>
    <s v="Gold"/>
    <n v="41"/>
    <x v="1"/>
    <s v="Sports"/>
  </r>
  <r>
    <s v="SALE576"/>
    <d v="2024-10-27T00:00:00"/>
    <x v="86"/>
    <x v="51"/>
    <x v="13"/>
    <n v="2"/>
    <n v="2"/>
    <n v="649.54999999999995"/>
    <n v="649.54999999999995"/>
    <n v="0.28999999999999998"/>
    <n v="0.28999999999999998"/>
    <x v="1"/>
    <n v="922.36099999999988"/>
    <x v="576"/>
    <s v="Gold"/>
    <n v="22"/>
    <x v="1"/>
    <s v="Beauty"/>
  </r>
  <r>
    <s v="SALE577"/>
    <d v="2024-03-09T00:00:00"/>
    <x v="69"/>
    <x v="12"/>
    <x v="17"/>
    <n v="2"/>
    <n v="2"/>
    <n v="994.32"/>
    <n v="994.32"/>
    <n v="0.27"/>
    <n v="0.27"/>
    <x v="1"/>
    <n v="1451.7072000000001"/>
    <x v="577"/>
    <s v="Bronze"/>
    <n v="29"/>
    <x v="1"/>
    <s v="Sports"/>
  </r>
  <r>
    <s v="SALE578"/>
    <d v="2024-12-23T00:00:00"/>
    <x v="307"/>
    <x v="82"/>
    <x v="18"/>
    <n v="1"/>
    <n v="1"/>
    <n v="64.94"/>
    <n v="64.94"/>
    <n v="0.21"/>
    <n v="0.21"/>
    <x v="1"/>
    <n v="51.302599999999998"/>
    <x v="578"/>
    <s v="Platinum"/>
    <n v="50"/>
    <x v="0"/>
    <s v="Sports"/>
  </r>
  <r>
    <s v="SALE579"/>
    <d v="2025-02-21T00:00:00"/>
    <x v="200"/>
    <x v="11"/>
    <x v="4"/>
    <n v="2"/>
    <n v="2"/>
    <n v="507.66"/>
    <n v="507.66"/>
    <n v="0"/>
    <n v="0"/>
    <x v="2"/>
    <n v="1015.32"/>
    <x v="579"/>
    <s v="Silver"/>
    <n v="29"/>
    <x v="0"/>
    <s v="Electronics"/>
  </r>
  <r>
    <s v="SALE580"/>
    <d v="2023-12-13T00:00:00"/>
    <x v="346"/>
    <x v="82"/>
    <x v="5"/>
    <n v="4"/>
    <n v="4"/>
    <n v="968.27"/>
    <n v="968.27"/>
    <n v="0.03"/>
    <n v="0.03"/>
    <x v="1"/>
    <n v="3756.8876"/>
    <x v="580"/>
    <s v="Silver"/>
    <n v="58"/>
    <x v="1"/>
    <s v="Sports"/>
  </r>
  <r>
    <s v="SALE581"/>
    <d v="2023-11-20T00:00:00"/>
    <x v="223"/>
    <x v="12"/>
    <x v="3"/>
    <n v="4"/>
    <n v="4"/>
    <n v="510.33"/>
    <n v="510.33"/>
    <n v="0.2"/>
    <n v="0.2"/>
    <x v="1"/>
    <n v="1633.056"/>
    <x v="581"/>
    <s v="Platinum"/>
    <n v="60"/>
    <x v="1"/>
    <s v="Sports"/>
  </r>
  <r>
    <s v="SALE582"/>
    <d v="2024-09-04T00:00:00"/>
    <x v="311"/>
    <x v="38"/>
    <x v="12"/>
    <n v="2"/>
    <n v="2"/>
    <n v="156.72999999999999"/>
    <n v="156.72999999999999"/>
    <n v="0.18"/>
    <n v="0.18"/>
    <x v="2"/>
    <n v="257.03719999999998"/>
    <x v="582"/>
    <s v="Gold"/>
    <n v="28"/>
    <x v="1"/>
    <s v="Sports"/>
  </r>
  <r>
    <s v="SALE583"/>
    <d v="2025-06-02T00:00:00"/>
    <x v="48"/>
    <x v="8"/>
    <x v="15"/>
    <n v="3"/>
    <n v="3"/>
    <n v="53.83"/>
    <n v="53.83"/>
    <n v="0.24"/>
    <n v="0.24"/>
    <x v="0"/>
    <n v="122.7324"/>
    <x v="583"/>
    <s v="Bronze"/>
    <n v="37"/>
    <x v="0"/>
    <s v="Home"/>
  </r>
  <r>
    <s v="SALE584"/>
    <d v="2024-02-28T00:00:00"/>
    <x v="146"/>
    <x v="36"/>
    <x v="5"/>
    <n v="1"/>
    <n v="1"/>
    <n v="34.71"/>
    <n v="34.71"/>
    <n v="0.1"/>
    <n v="0.1"/>
    <x v="2"/>
    <n v="31.239000000000001"/>
    <x v="584"/>
    <s v="Gold"/>
    <n v="39"/>
    <x v="1"/>
    <s v="Home"/>
  </r>
  <r>
    <s v="SALE585"/>
    <d v="2024-12-07T00:00:00"/>
    <x v="296"/>
    <x v="25"/>
    <x v="8"/>
    <n v="2"/>
    <n v="2"/>
    <n v="829.15"/>
    <n v="829.15"/>
    <n v="0.11"/>
    <n v="0.11"/>
    <x v="1"/>
    <n v="1475.8869999999999"/>
    <x v="585"/>
    <s v="Bronze"/>
    <n v="32"/>
    <x v="1"/>
    <s v="Electronics"/>
  </r>
  <r>
    <s v="SALE586"/>
    <d v="2025-05-21T00:00:00"/>
    <x v="105"/>
    <x v="24"/>
    <x v="0"/>
    <n v="2"/>
    <n v="2"/>
    <n v="481.86"/>
    <n v="481.86"/>
    <n v="0.1"/>
    <n v="0.1"/>
    <x v="2"/>
    <n v="867.34800000000007"/>
    <x v="586"/>
    <s v="Gold"/>
    <n v="25"/>
    <x v="0"/>
    <s v="Electronics"/>
  </r>
  <r>
    <s v="SALE587"/>
    <d v="2024-03-03T00:00:00"/>
    <x v="347"/>
    <x v="40"/>
    <x v="4"/>
    <n v="4"/>
    <n v="4"/>
    <n v="915.17"/>
    <n v="915.17"/>
    <n v="0.19"/>
    <n v="0.19"/>
    <x v="2"/>
    <n v="2965.1507999999999"/>
    <x v="587"/>
    <s v="Platinum"/>
    <n v="49"/>
    <x v="1"/>
    <s v="Sports"/>
  </r>
  <r>
    <s v="SALE588"/>
    <d v="2024-03-06T00:00:00"/>
    <x v="96"/>
    <x v="51"/>
    <x v="14"/>
    <n v="1"/>
    <n v="1"/>
    <n v="250.95"/>
    <n v="250.95"/>
    <n v="0.03"/>
    <n v="0.03"/>
    <x v="1"/>
    <n v="243.42150000000001"/>
    <x v="588"/>
    <s v="Gold"/>
    <n v="61"/>
    <x v="0"/>
    <s v="Beauty"/>
  </r>
  <r>
    <s v="SALE589"/>
    <d v="2023-11-27T00:00:00"/>
    <x v="88"/>
    <x v="99"/>
    <x v="3"/>
    <n v="3"/>
    <n v="3"/>
    <n v="882.84"/>
    <n v="882.84"/>
    <n v="0.1"/>
    <n v="0.1"/>
    <x v="0"/>
    <n v="2383.6680000000001"/>
    <x v="589"/>
    <s v="Bronze"/>
    <n v="60"/>
    <x v="0"/>
    <s v="Clothing"/>
  </r>
  <r>
    <s v="SALE590"/>
    <d v="2025-02-14T00:00:00"/>
    <x v="160"/>
    <x v="46"/>
    <x v="14"/>
    <n v="4"/>
    <n v="4"/>
    <n v="573.37"/>
    <n v="573.37"/>
    <n v="0.04"/>
    <n v="0.04"/>
    <x v="2"/>
    <n v="2201.7408"/>
    <x v="590"/>
    <s v="Gold"/>
    <n v="43"/>
    <x v="0"/>
    <s v="Sports"/>
  </r>
  <r>
    <s v="SALE591"/>
    <d v="2024-01-27T00:00:00"/>
    <x v="63"/>
    <x v="79"/>
    <x v="18"/>
    <n v="3"/>
    <n v="3"/>
    <n v="622.72"/>
    <n v="622.72"/>
    <n v="0.04"/>
    <n v="0.04"/>
    <x v="0"/>
    <n v="1793.4336000000001"/>
    <x v="591"/>
    <s v="Platinum"/>
    <n v="51"/>
    <x v="0"/>
    <s v="Beauty"/>
  </r>
  <r>
    <s v="SALE592"/>
    <d v="2025-10-13T00:00:00"/>
    <x v="327"/>
    <x v="80"/>
    <x v="1"/>
    <n v="3"/>
    <n v="3"/>
    <n v="259.74"/>
    <n v="259.74"/>
    <n v="0.24"/>
    <n v="0.24"/>
    <x v="0"/>
    <n v="592.20720000000006"/>
    <x v="592"/>
    <s v="Platinum"/>
    <n v="53"/>
    <x v="0"/>
    <s v="Home"/>
  </r>
  <r>
    <s v="SALE593"/>
    <d v="2025-04-22T00:00:00"/>
    <x v="76"/>
    <x v="77"/>
    <x v="13"/>
    <n v="4"/>
    <n v="4"/>
    <n v="951.09"/>
    <n v="951.09"/>
    <n v="0.14000000000000001"/>
    <n v="0.14000000000000001"/>
    <x v="2"/>
    <n v="3271.7496000000001"/>
    <x v="593"/>
    <s v="Platinum"/>
    <n v="24"/>
    <x v="0"/>
    <s v="Sports"/>
  </r>
  <r>
    <s v="SALE594"/>
    <d v="2025-04-18T00:00:00"/>
    <x v="174"/>
    <x v="8"/>
    <x v="17"/>
    <n v="1"/>
    <n v="1"/>
    <n v="71.709999999999994"/>
    <n v="71.709999999999994"/>
    <n v="0.23"/>
    <n v="0.23"/>
    <x v="2"/>
    <n v="55.216700000000003"/>
    <x v="594"/>
    <s v="Bronze"/>
    <n v="46"/>
    <x v="0"/>
    <s v="Home"/>
  </r>
  <r>
    <s v="SALE595"/>
    <d v="2025-08-22T00:00:00"/>
    <x v="348"/>
    <x v="42"/>
    <x v="4"/>
    <n v="4"/>
    <n v="4"/>
    <n v="894.93"/>
    <n v="894.93"/>
    <n v="0.05"/>
    <n v="0.05"/>
    <x v="2"/>
    <n v="3400.733999999999"/>
    <x v="595"/>
    <s v="Platinum"/>
    <n v="41"/>
    <x v="1"/>
    <s v="Sports"/>
  </r>
  <r>
    <s v="SALE596"/>
    <d v="2025-07-04T00:00:00"/>
    <x v="349"/>
    <x v="36"/>
    <x v="2"/>
    <n v="4"/>
    <n v="4"/>
    <n v="870.18"/>
    <n v="870.18"/>
    <n v="0.13"/>
    <n v="0.13"/>
    <x v="2"/>
    <n v="3028.2264"/>
    <x v="596"/>
    <s v="Platinum"/>
    <n v="37"/>
    <x v="1"/>
    <s v="Home"/>
  </r>
  <r>
    <s v="SALE597"/>
    <d v="2024-03-31T00:00:00"/>
    <x v="335"/>
    <x v="91"/>
    <x v="17"/>
    <n v="2"/>
    <n v="2"/>
    <n v="552.72"/>
    <n v="552.72"/>
    <n v="0.06"/>
    <n v="0.06"/>
    <x v="1"/>
    <n v="1039.1135999999999"/>
    <x v="597"/>
    <s v="Platinum"/>
    <n v="42"/>
    <x v="1"/>
    <s v="Beauty"/>
  </r>
  <r>
    <s v="SALE598"/>
    <d v="2023-11-06T00:00:00"/>
    <x v="177"/>
    <x v="11"/>
    <x v="2"/>
    <n v="3"/>
    <n v="3"/>
    <n v="700.43"/>
    <n v="700.43"/>
    <n v="0.01"/>
    <n v="0.01"/>
    <x v="2"/>
    <n v="2080.2770999999998"/>
    <x v="598"/>
    <s v="Bronze"/>
    <n v="58"/>
    <x v="0"/>
    <s v="Electronics"/>
  </r>
  <r>
    <s v="SALE599"/>
    <d v="2025-05-29T00:00:00"/>
    <x v="350"/>
    <x v="93"/>
    <x v="17"/>
    <n v="2"/>
    <n v="2"/>
    <n v="823.03"/>
    <n v="823.03"/>
    <n v="0.18"/>
    <n v="0.18"/>
    <x v="1"/>
    <n v="1349.7692"/>
    <x v="599"/>
    <s v="Platinum"/>
    <n v="52"/>
    <x v="1"/>
    <s v="Sports"/>
  </r>
  <r>
    <s v="SALE600"/>
    <d v="2024-04-19T00:00:00"/>
    <x v="57"/>
    <x v="80"/>
    <x v="16"/>
    <n v="1"/>
    <n v="1"/>
    <n v="117.37"/>
    <n v="117.37"/>
    <n v="0.21"/>
    <n v="0.21"/>
    <x v="0"/>
    <n v="92.722300000000004"/>
    <x v="600"/>
    <s v="Gold"/>
    <n v="21"/>
    <x v="0"/>
    <s v="Home"/>
  </r>
  <r>
    <s v="SALE601"/>
    <d v="2025-02-28T00:00:00"/>
    <x v="253"/>
    <x v="6"/>
    <x v="8"/>
    <n v="4"/>
    <n v="4"/>
    <n v="165.37"/>
    <n v="165.37"/>
    <n v="0.28999999999999998"/>
    <n v="0.28999999999999998"/>
    <x v="0"/>
    <n v="469.6508"/>
    <x v="601"/>
    <s v="Silver"/>
    <n v="64"/>
    <x v="0"/>
    <s v="Home"/>
  </r>
  <r>
    <s v="SALE602"/>
    <d v="2025-03-02T00:00:00"/>
    <x v="74"/>
    <x v="96"/>
    <x v="15"/>
    <n v="3"/>
    <n v="3"/>
    <n v="483.06"/>
    <n v="483.06"/>
    <n v="0.05"/>
    <n v="0.05"/>
    <x v="0"/>
    <n v="1376.721"/>
    <x v="602"/>
    <s v="Bronze"/>
    <n v="44"/>
    <x v="1"/>
    <s v="Beauty"/>
  </r>
  <r>
    <s v="SALE603"/>
    <d v="2024-03-28T00:00:00"/>
    <x v="145"/>
    <x v="82"/>
    <x v="4"/>
    <n v="4"/>
    <n v="4"/>
    <n v="262.05"/>
    <n v="262.05"/>
    <n v="0.24"/>
    <n v="0.24"/>
    <x v="1"/>
    <n v="796.63200000000006"/>
    <x v="603"/>
    <s v="Platinum"/>
    <n v="56"/>
    <x v="1"/>
    <s v="Sports"/>
  </r>
  <r>
    <s v="SALE604"/>
    <d v="2024-12-09T00:00:00"/>
    <x v="191"/>
    <x v="66"/>
    <x v="7"/>
    <n v="3"/>
    <n v="3"/>
    <n v="970.89"/>
    <n v="970.89"/>
    <n v="0.11"/>
    <n v="0.11"/>
    <x v="2"/>
    <n v="2592.2763"/>
    <x v="604"/>
    <s v="Bronze"/>
    <n v="36"/>
    <x v="1"/>
    <s v="Home"/>
  </r>
  <r>
    <s v="SALE605"/>
    <d v="2023-10-23T00:00:00"/>
    <x v="188"/>
    <x v="18"/>
    <x v="6"/>
    <n v="1"/>
    <n v="1"/>
    <n v="61.11"/>
    <n v="61.11"/>
    <n v="0.1"/>
    <n v="0.1"/>
    <x v="1"/>
    <n v="54.999000000000002"/>
    <x v="605"/>
    <s v="Platinum"/>
    <n v="44"/>
    <x v="0"/>
    <s v="Sports"/>
  </r>
  <r>
    <s v="SALE606"/>
    <d v="2024-09-20T00:00:00"/>
    <x v="92"/>
    <x v="16"/>
    <x v="2"/>
    <n v="3"/>
    <n v="3"/>
    <n v="827.88"/>
    <n v="827.88"/>
    <n v="0.19"/>
    <n v="0.19"/>
    <x v="1"/>
    <n v="2011.7483999999999"/>
    <x v="606"/>
    <s v="Silver"/>
    <n v="54"/>
    <x v="1"/>
    <s v="Home"/>
  </r>
  <r>
    <s v="SALE607"/>
    <d v="2024-10-18T00:00:00"/>
    <x v="351"/>
    <x v="72"/>
    <x v="13"/>
    <n v="3"/>
    <n v="3"/>
    <n v="926.85"/>
    <n v="926.85"/>
    <n v="0.18"/>
    <n v="0.18"/>
    <x v="2"/>
    <n v="2280.0509999999999"/>
    <x v="607"/>
    <s v="Gold"/>
    <n v="36"/>
    <x v="1"/>
    <s v="Home"/>
  </r>
  <r>
    <s v="SALE608"/>
    <d v="2025-01-05T00:00:00"/>
    <x v="352"/>
    <x v="31"/>
    <x v="7"/>
    <n v="1"/>
    <n v="1"/>
    <n v="874.59"/>
    <n v="874.59"/>
    <n v="0.28999999999999998"/>
    <n v="0.28999999999999998"/>
    <x v="1"/>
    <n v="620.95889999999997"/>
    <x v="608"/>
    <s v="Gold"/>
    <n v="64"/>
    <x v="1"/>
    <s v="Home"/>
  </r>
  <r>
    <s v="SALE609"/>
    <d v="2025-09-21T00:00:00"/>
    <x v="44"/>
    <x v="5"/>
    <x v="8"/>
    <n v="4"/>
    <n v="4"/>
    <n v="479.11"/>
    <n v="479.11"/>
    <n v="0.24"/>
    <n v="0.24"/>
    <x v="1"/>
    <n v="1456.4944"/>
    <x v="609"/>
    <s v="Gold"/>
    <n v="21"/>
    <x v="1"/>
    <s v="Electronics"/>
  </r>
  <r>
    <s v="SALE610"/>
    <d v="2024-07-17T00:00:00"/>
    <x v="26"/>
    <x v="79"/>
    <x v="1"/>
    <n v="3"/>
    <n v="3"/>
    <n v="182.91"/>
    <n v="182.91"/>
    <n v="0.28999999999999998"/>
    <n v="0.28999999999999998"/>
    <x v="0"/>
    <n v="389.59829999999999"/>
    <x v="610"/>
    <s v="Platinum"/>
    <n v="42"/>
    <x v="1"/>
    <s v="Beauty"/>
  </r>
  <r>
    <s v="SALE611"/>
    <d v="2024-12-26T00:00:00"/>
    <x v="156"/>
    <x v="13"/>
    <x v="3"/>
    <n v="4"/>
    <n v="4"/>
    <n v="745.51"/>
    <n v="745.51"/>
    <n v="0.05"/>
    <n v="0.05"/>
    <x v="0"/>
    <n v="2832.9380000000001"/>
    <x v="611"/>
    <s v="Gold"/>
    <n v="48"/>
    <x v="1"/>
    <s v="Electronics"/>
  </r>
  <r>
    <s v="SALE612"/>
    <d v="2024-11-02T00:00:00"/>
    <x v="230"/>
    <x v="12"/>
    <x v="10"/>
    <n v="3"/>
    <n v="3"/>
    <n v="920.61"/>
    <n v="920.61"/>
    <n v="0.04"/>
    <n v="0.04"/>
    <x v="0"/>
    <n v="2651.3568"/>
    <x v="612"/>
    <s v="Gold"/>
    <n v="21"/>
    <x v="0"/>
    <s v="Sports"/>
  </r>
  <r>
    <s v="SALE613"/>
    <d v="2025-04-25T00:00:00"/>
    <x v="353"/>
    <x v="28"/>
    <x v="15"/>
    <n v="4"/>
    <n v="4"/>
    <n v="659.03"/>
    <n v="659.03"/>
    <n v="0.15"/>
    <n v="0.15"/>
    <x v="0"/>
    <n v="2240.7020000000002"/>
    <x v="613"/>
    <s v="Bronze"/>
    <n v="40"/>
    <x v="0"/>
    <s v="Clothing"/>
  </r>
  <r>
    <s v="SALE614"/>
    <d v="2024-02-16T00:00:00"/>
    <x v="354"/>
    <x v="93"/>
    <x v="17"/>
    <n v="1"/>
    <n v="1"/>
    <n v="312.91000000000003"/>
    <n v="312.91000000000003"/>
    <n v="0.12"/>
    <n v="0.12"/>
    <x v="1"/>
    <n v="275.36079999999998"/>
    <x v="614"/>
    <s v="Not Found"/>
    <s v="Not Found"/>
    <x v="2"/>
    <s v="Sports"/>
  </r>
  <r>
    <s v="SALE615"/>
    <d v="2024-08-20T00:00:00"/>
    <x v="324"/>
    <x v="21"/>
    <x v="14"/>
    <n v="4"/>
    <n v="4"/>
    <n v="705.64"/>
    <n v="705.64"/>
    <n v="0.11"/>
    <n v="0.11"/>
    <x v="1"/>
    <n v="2512.0783999999999"/>
    <x v="615"/>
    <s v="Gold"/>
    <n v="52"/>
    <x v="1"/>
    <s v="Beauty"/>
  </r>
  <r>
    <s v="SALE616"/>
    <d v="2024-07-24T00:00:00"/>
    <x v="20"/>
    <x v="93"/>
    <x v="15"/>
    <n v="4"/>
    <n v="4"/>
    <n v="386.41"/>
    <n v="386.41"/>
    <n v="0.13"/>
    <n v="0.13"/>
    <x v="2"/>
    <n v="1344.7067999999999"/>
    <x v="616"/>
    <s v="Bronze"/>
    <n v="62"/>
    <x v="1"/>
    <s v="Sports"/>
  </r>
  <r>
    <s v="SALE617"/>
    <d v="2024-08-30T00:00:00"/>
    <x v="92"/>
    <x v="32"/>
    <x v="19"/>
    <n v="3"/>
    <n v="3"/>
    <n v="265.89"/>
    <n v="265.89"/>
    <n v="0.08"/>
    <n v="0.08"/>
    <x v="2"/>
    <n v="733.85640000000001"/>
    <x v="617"/>
    <s v="Silver"/>
    <n v="54"/>
    <x v="1"/>
    <s v="Beauty"/>
  </r>
  <r>
    <s v="SALE618"/>
    <d v="2025-09-25T00:00:00"/>
    <x v="178"/>
    <x v="37"/>
    <x v="9"/>
    <n v="1"/>
    <n v="1"/>
    <n v="703.16"/>
    <n v="703.16"/>
    <n v="0.28999999999999998"/>
    <n v="0.28999999999999998"/>
    <x v="0"/>
    <n v="499.24360000000001"/>
    <x v="618"/>
    <s v="Gold"/>
    <n v="61"/>
    <x v="1"/>
    <s v="Home"/>
  </r>
  <r>
    <s v="SALE619"/>
    <d v="2025-04-18T00:00:00"/>
    <x v="198"/>
    <x v="0"/>
    <x v="13"/>
    <n v="2"/>
    <n v="2"/>
    <n v="394.5"/>
    <n v="394.5"/>
    <n v="0.28999999999999998"/>
    <n v="0.28999999999999998"/>
    <x v="2"/>
    <n v="560.18999999999994"/>
    <x v="619"/>
    <s v="Platinum"/>
    <n v="42"/>
    <x v="0"/>
    <s v="Sports"/>
  </r>
  <r>
    <s v="SALE620"/>
    <d v="2025-08-13T00:00:00"/>
    <x v="355"/>
    <x v="0"/>
    <x v="4"/>
    <n v="3"/>
    <n v="3"/>
    <n v="411.25"/>
    <n v="411.25"/>
    <n v="0.05"/>
    <n v="0.05"/>
    <x v="0"/>
    <n v="1172.0625"/>
    <x v="620"/>
    <s v="Platinum"/>
    <n v="21"/>
    <x v="1"/>
    <s v="Sports"/>
  </r>
  <r>
    <s v="SALE621"/>
    <d v="2025-09-23T00:00:00"/>
    <x v="356"/>
    <x v="70"/>
    <x v="17"/>
    <n v="4"/>
    <n v="4"/>
    <n v="395.45"/>
    <n v="395.45"/>
    <n v="0.01"/>
    <n v="0.01"/>
    <x v="0"/>
    <n v="1565.982"/>
    <x v="621"/>
    <s v="Platinum"/>
    <n v="56"/>
    <x v="1"/>
    <s v="Electronics"/>
  </r>
  <r>
    <s v="SALE622"/>
    <d v="2024-05-09T00:00:00"/>
    <x v="357"/>
    <x v="64"/>
    <x v="3"/>
    <n v="2"/>
    <n v="2"/>
    <n v="678.98"/>
    <n v="678.98"/>
    <n v="0.23"/>
    <n v="0.23"/>
    <x v="0"/>
    <n v="1045.6292000000001"/>
    <x v="622"/>
    <s v="Gold"/>
    <n v="20"/>
    <x v="1"/>
    <s v="Electronics"/>
  </r>
  <r>
    <s v="SALE623"/>
    <d v="2024-11-12T00:00:00"/>
    <x v="39"/>
    <x v="16"/>
    <x v="7"/>
    <n v="4"/>
    <n v="4"/>
    <n v="757.71"/>
    <n v="757.71"/>
    <n v="0.26"/>
    <n v="0.26"/>
    <x v="2"/>
    <n v="2242.8216000000002"/>
    <x v="623"/>
    <s v="Gold"/>
    <n v="39"/>
    <x v="1"/>
    <s v="Home"/>
  </r>
  <r>
    <s v="SALE624"/>
    <d v="2024-12-18T00:00:00"/>
    <x v="358"/>
    <x v="32"/>
    <x v="5"/>
    <n v="1"/>
    <n v="1"/>
    <n v="647.86"/>
    <n v="647.86"/>
    <n v="0.05"/>
    <n v="0.05"/>
    <x v="2"/>
    <n v="615.46699999999998"/>
    <x v="624"/>
    <s v="Platinum"/>
    <n v="53"/>
    <x v="0"/>
    <s v="Beauty"/>
  </r>
  <r>
    <s v="SALE625"/>
    <d v="2024-08-13T00:00:00"/>
    <x v="163"/>
    <x v="21"/>
    <x v="16"/>
    <n v="2"/>
    <n v="2"/>
    <n v="179.64"/>
    <n v="179.64"/>
    <n v="0.1"/>
    <n v="0.1"/>
    <x v="1"/>
    <n v="323.35199999999998"/>
    <x v="625"/>
    <s v="Platinum"/>
    <n v="33"/>
    <x v="1"/>
    <s v="Beauty"/>
  </r>
  <r>
    <s v="SALE626"/>
    <d v="2024-09-10T00:00:00"/>
    <x v="21"/>
    <x v="85"/>
    <x v="5"/>
    <n v="3"/>
    <n v="3"/>
    <n v="392.65"/>
    <n v="392.65"/>
    <n v="0.17"/>
    <n v="0.17"/>
    <x v="1"/>
    <n v="977.69849999999985"/>
    <x v="626"/>
    <s v="Silver"/>
    <n v="25"/>
    <x v="1"/>
    <s v="Electronics"/>
  </r>
  <r>
    <s v="SALE627"/>
    <d v="2024-09-12T00:00:00"/>
    <x v="72"/>
    <x v="52"/>
    <x v="9"/>
    <n v="4"/>
    <n v="4"/>
    <n v="969.55"/>
    <n v="969.55"/>
    <n v="0.09"/>
    <n v="0.09"/>
    <x v="2"/>
    <n v="3529.1619999999998"/>
    <x v="627"/>
    <s v="Silver"/>
    <n v="48"/>
    <x v="0"/>
    <s v="Clothing"/>
  </r>
  <r>
    <s v="SALE628"/>
    <d v="2024-05-21T00:00:00"/>
    <x v="152"/>
    <x v="1"/>
    <x v="18"/>
    <n v="3"/>
    <n v="3"/>
    <n v="322.94"/>
    <n v="322.94"/>
    <n v="0.01"/>
    <n v="0.01"/>
    <x v="0"/>
    <n v="959.13179999999988"/>
    <x v="628"/>
    <s v="Silver"/>
    <n v="34"/>
    <x v="1"/>
    <s v="Electronics"/>
  </r>
  <r>
    <s v="SALE629"/>
    <d v="2025-05-15T00:00:00"/>
    <x v="319"/>
    <x v="50"/>
    <x v="6"/>
    <n v="1"/>
    <n v="1"/>
    <n v="92.83"/>
    <n v="92.83"/>
    <n v="0.26"/>
    <n v="0.26"/>
    <x v="1"/>
    <n v="68.694199999999995"/>
    <x v="629"/>
    <s v="Gold"/>
    <n v="60"/>
    <x v="0"/>
    <s v="Beauty"/>
  </r>
  <r>
    <s v="SALE630"/>
    <d v="2025-05-27T00:00:00"/>
    <x v="47"/>
    <x v="67"/>
    <x v="0"/>
    <n v="4"/>
    <n v="4"/>
    <n v="432.29"/>
    <n v="432.29"/>
    <n v="0.16"/>
    <n v="0.16"/>
    <x v="2"/>
    <n v="1452.4944"/>
    <x v="630"/>
    <s v="Bronze"/>
    <n v="60"/>
    <x v="0"/>
    <s v="Electronics"/>
  </r>
  <r>
    <s v="SALE631"/>
    <d v="2024-01-20T00:00:00"/>
    <x v="52"/>
    <x v="11"/>
    <x v="13"/>
    <n v="2"/>
    <n v="2"/>
    <n v="925.78"/>
    <n v="925.78"/>
    <n v="0.14000000000000001"/>
    <n v="0.14000000000000001"/>
    <x v="2"/>
    <n v="1592.3416"/>
    <x v="631"/>
    <s v="Bronze"/>
    <n v="61"/>
    <x v="1"/>
    <s v="Electronics"/>
  </r>
  <r>
    <s v="SALE632"/>
    <d v="2024-11-09T00:00:00"/>
    <x v="292"/>
    <x v="60"/>
    <x v="19"/>
    <n v="2"/>
    <n v="2"/>
    <n v="151.47"/>
    <n v="151.47"/>
    <n v="0.21"/>
    <n v="0.21"/>
    <x v="1"/>
    <n v="239.32259999999999"/>
    <x v="632"/>
    <s v="Platinum"/>
    <n v="41"/>
    <x v="1"/>
    <s v="Clothing"/>
  </r>
  <r>
    <s v="SALE633"/>
    <d v="2024-02-16T00:00:00"/>
    <x v="194"/>
    <x v="50"/>
    <x v="15"/>
    <n v="1"/>
    <n v="1"/>
    <n v="343.05"/>
    <n v="343.05"/>
    <n v="0.28000000000000003"/>
    <n v="0.28000000000000003"/>
    <x v="1"/>
    <n v="246.99600000000001"/>
    <x v="633"/>
    <s v="Bronze"/>
    <n v="29"/>
    <x v="0"/>
    <s v="Beauty"/>
  </r>
  <r>
    <s v="SALE634"/>
    <d v="2024-12-16T00:00:00"/>
    <x v="149"/>
    <x v="53"/>
    <x v="5"/>
    <n v="1"/>
    <n v="1"/>
    <n v="373.06"/>
    <n v="373.06"/>
    <n v="0.11"/>
    <n v="0.11"/>
    <x v="1"/>
    <n v="332.02339999999998"/>
    <x v="634"/>
    <s v="Silver"/>
    <n v="27"/>
    <x v="1"/>
    <s v="Sports"/>
  </r>
  <r>
    <s v="SALE635"/>
    <d v="2025-02-05T00:00:00"/>
    <x v="359"/>
    <x v="97"/>
    <x v="10"/>
    <n v="1"/>
    <n v="1"/>
    <n v="124.98"/>
    <n v="124.98"/>
    <n v="7.0000000000000007E-2"/>
    <n v="7.0000000000000007E-2"/>
    <x v="2"/>
    <n v="116.23139999999999"/>
    <x v="635"/>
    <s v="Silver"/>
    <n v="63"/>
    <x v="0"/>
    <s v="Clothing"/>
  </r>
  <r>
    <s v="SALE636"/>
    <d v="2025-04-16T00:00:00"/>
    <x v="156"/>
    <x v="78"/>
    <x v="12"/>
    <n v="4"/>
    <n v="4"/>
    <n v="221.49"/>
    <n v="221.49"/>
    <n v="0.26"/>
    <n v="0.26"/>
    <x v="1"/>
    <n v="655.61040000000003"/>
    <x v="636"/>
    <s v="Gold"/>
    <n v="48"/>
    <x v="1"/>
    <s v="Sports"/>
  </r>
  <r>
    <s v="SALE637"/>
    <d v="2024-10-07T00:00:00"/>
    <x v="166"/>
    <x v="34"/>
    <x v="10"/>
    <n v="1"/>
    <n v="1"/>
    <n v="563.32000000000005"/>
    <n v="563.32000000000005"/>
    <n v="0.01"/>
    <n v="0.01"/>
    <x v="1"/>
    <n v="557.68680000000006"/>
    <x v="637"/>
    <s v="Gold"/>
    <n v="18"/>
    <x v="0"/>
    <s v="Clothing"/>
  </r>
  <r>
    <s v="SALE638"/>
    <d v="2024-02-16T00:00:00"/>
    <x v="360"/>
    <x v="75"/>
    <x v="6"/>
    <n v="1"/>
    <n v="1"/>
    <n v="362.93"/>
    <n v="362.93"/>
    <n v="0.27"/>
    <n v="0.27"/>
    <x v="0"/>
    <n v="264.93889999999999"/>
    <x v="638"/>
    <s v="Silver"/>
    <n v="56"/>
    <x v="0"/>
    <s v="Electronics"/>
  </r>
  <r>
    <s v="SALE639"/>
    <d v="2024-03-22T00:00:00"/>
    <x v="361"/>
    <x v="75"/>
    <x v="10"/>
    <n v="4"/>
    <n v="4"/>
    <n v="369.22"/>
    <n v="369.22"/>
    <n v="0.18"/>
    <n v="0.18"/>
    <x v="2"/>
    <n v="1211.0416"/>
    <x v="639"/>
    <s v="Silver"/>
    <n v="58"/>
    <x v="1"/>
    <s v="Electronics"/>
  </r>
  <r>
    <s v="SALE640"/>
    <d v="2024-10-25T00:00:00"/>
    <x v="362"/>
    <x v="99"/>
    <x v="7"/>
    <n v="3"/>
    <n v="3"/>
    <n v="950.83"/>
    <n v="950.83"/>
    <n v="0.06"/>
    <n v="0.06"/>
    <x v="1"/>
    <n v="2681.3406"/>
    <x v="640"/>
    <s v="Bronze"/>
    <n v="48"/>
    <x v="1"/>
    <s v="Clothing"/>
  </r>
  <r>
    <s v="SALE641"/>
    <d v="2024-03-14T00:00:00"/>
    <x v="80"/>
    <x v="92"/>
    <x v="13"/>
    <n v="3"/>
    <n v="3"/>
    <n v="338.79"/>
    <n v="338.79"/>
    <n v="0.01"/>
    <n v="0.01"/>
    <x v="0"/>
    <n v="1006.2063000000001"/>
    <x v="641"/>
    <s v="Bronze"/>
    <n v="46"/>
    <x v="0"/>
    <s v="Clothing"/>
  </r>
  <r>
    <s v="SALE642"/>
    <d v="2025-02-23T00:00:00"/>
    <x v="310"/>
    <x v="64"/>
    <x v="8"/>
    <n v="3"/>
    <n v="3"/>
    <n v="853.32"/>
    <n v="853.32"/>
    <n v="7.0000000000000007E-2"/>
    <n v="7.0000000000000007E-2"/>
    <x v="2"/>
    <n v="2380.7628"/>
    <x v="642"/>
    <s v="Gold"/>
    <n v="32"/>
    <x v="1"/>
    <s v="Electronics"/>
  </r>
  <r>
    <s v="SALE643"/>
    <d v="2024-10-21T00:00:00"/>
    <x v="341"/>
    <x v="3"/>
    <x v="16"/>
    <n v="3"/>
    <n v="3"/>
    <n v="89.78"/>
    <n v="89.78"/>
    <n v="0.2"/>
    <n v="0.2"/>
    <x v="2"/>
    <n v="215.47200000000001"/>
    <x v="643"/>
    <s v="Platinum"/>
    <n v="33"/>
    <x v="0"/>
    <s v="Electronics"/>
  </r>
  <r>
    <s v="SALE644"/>
    <d v="2024-02-12T00:00:00"/>
    <x v="226"/>
    <x v="76"/>
    <x v="8"/>
    <n v="1"/>
    <n v="1"/>
    <n v="172.04"/>
    <n v="172.04"/>
    <n v="0.04"/>
    <n v="0.04"/>
    <x v="1"/>
    <n v="165.1584"/>
    <x v="644"/>
    <s v="Bronze"/>
    <n v="29"/>
    <x v="1"/>
    <s v="Home"/>
  </r>
  <r>
    <s v="SALE645"/>
    <d v="2024-02-11T00:00:00"/>
    <x v="1"/>
    <x v="59"/>
    <x v="8"/>
    <n v="1"/>
    <n v="1"/>
    <n v="389.2"/>
    <n v="389.2"/>
    <n v="0.05"/>
    <n v="0.05"/>
    <x v="0"/>
    <n v="369.74"/>
    <x v="645"/>
    <s v="Gold"/>
    <n v="63"/>
    <x v="1"/>
    <s v="Sports"/>
  </r>
  <r>
    <s v="SALE646"/>
    <d v="2025-05-01T00:00:00"/>
    <x v="343"/>
    <x v="25"/>
    <x v="13"/>
    <n v="3"/>
    <n v="3"/>
    <n v="865.96"/>
    <n v="865.96"/>
    <n v="0.12"/>
    <n v="0.12"/>
    <x v="1"/>
    <n v="2286.1343999999999"/>
    <x v="646"/>
    <s v="Silver"/>
    <n v="60"/>
    <x v="1"/>
    <s v="Electronics"/>
  </r>
  <r>
    <s v="SALE647"/>
    <d v="2024-10-27T00:00:00"/>
    <x v="186"/>
    <x v="46"/>
    <x v="8"/>
    <n v="3"/>
    <n v="3"/>
    <n v="79.95"/>
    <n v="79.95"/>
    <n v="0.2"/>
    <n v="0.2"/>
    <x v="2"/>
    <n v="191.88"/>
    <x v="647"/>
    <s v="Bronze"/>
    <n v="64"/>
    <x v="0"/>
    <s v="Sports"/>
  </r>
  <r>
    <s v="SALE648"/>
    <d v="2023-11-29T00:00:00"/>
    <x v="25"/>
    <x v="33"/>
    <x v="4"/>
    <n v="1"/>
    <n v="1"/>
    <n v="566.5"/>
    <n v="566.5"/>
    <n v="0.25"/>
    <n v="0.25"/>
    <x v="2"/>
    <n v="424.875"/>
    <x v="648"/>
    <s v="Silver"/>
    <n v="50"/>
    <x v="0"/>
    <s v="Electronics"/>
  </r>
  <r>
    <s v="SALE649"/>
    <d v="2025-05-24T00:00:00"/>
    <x v="363"/>
    <x v="39"/>
    <x v="6"/>
    <n v="2"/>
    <n v="2"/>
    <n v="347.95"/>
    <n v="347.95"/>
    <n v="0.13"/>
    <n v="0.13"/>
    <x v="2"/>
    <n v="605.43299999999999"/>
    <x v="649"/>
    <s v="Bronze"/>
    <n v="31"/>
    <x v="0"/>
    <s v="Home"/>
  </r>
  <r>
    <s v="SALE650"/>
    <d v="2024-02-25T00:00:00"/>
    <x v="204"/>
    <x v="87"/>
    <x v="0"/>
    <n v="2"/>
    <n v="2"/>
    <n v="250.83"/>
    <n v="250.83"/>
    <n v="0.15"/>
    <n v="0.15"/>
    <x v="1"/>
    <n v="426.411"/>
    <x v="650"/>
    <s v="Platinum"/>
    <n v="50"/>
    <x v="1"/>
    <s v="Clothing"/>
  </r>
  <r>
    <s v="SALE651"/>
    <d v="2025-03-05T00:00:00"/>
    <x v="341"/>
    <x v="51"/>
    <x v="8"/>
    <n v="1"/>
    <n v="1"/>
    <n v="888.05"/>
    <n v="888.05"/>
    <n v="0.2"/>
    <n v="0.2"/>
    <x v="1"/>
    <n v="710.44"/>
    <x v="651"/>
    <s v="Platinum"/>
    <n v="33"/>
    <x v="0"/>
    <s v="Beauty"/>
  </r>
  <r>
    <s v="SALE652"/>
    <d v="2024-08-27T00:00:00"/>
    <x v="279"/>
    <x v="11"/>
    <x v="14"/>
    <n v="2"/>
    <n v="2"/>
    <n v="673.02"/>
    <n v="673.02"/>
    <n v="0.11"/>
    <n v="0.11"/>
    <x v="1"/>
    <n v="1197.9756"/>
    <x v="652"/>
    <s v="Platinum"/>
    <n v="29"/>
    <x v="1"/>
    <s v="Electronics"/>
  </r>
  <r>
    <s v="SALE653"/>
    <d v="2024-02-10T00:00:00"/>
    <x v="364"/>
    <x v="91"/>
    <x v="0"/>
    <n v="2"/>
    <n v="2"/>
    <n v="492.62"/>
    <n v="492.62"/>
    <n v="0.26"/>
    <n v="0.26"/>
    <x v="2"/>
    <n v="729.07759999999996"/>
    <x v="653"/>
    <s v="Silver"/>
    <n v="60"/>
    <x v="0"/>
    <s v="Beauty"/>
  </r>
  <r>
    <s v="SALE654"/>
    <d v="2024-02-22T00:00:00"/>
    <x v="365"/>
    <x v="65"/>
    <x v="0"/>
    <n v="4"/>
    <n v="4"/>
    <n v="986.93"/>
    <n v="986.93"/>
    <n v="0.01"/>
    <n v="0.01"/>
    <x v="0"/>
    <n v="3908.2428"/>
    <x v="654"/>
    <s v="Bronze"/>
    <n v="30"/>
    <x v="0"/>
    <s v="Clothing"/>
  </r>
  <r>
    <s v="SALE655"/>
    <d v="2024-04-06T00:00:00"/>
    <x v="232"/>
    <x v="62"/>
    <x v="18"/>
    <n v="4"/>
    <n v="4"/>
    <n v="411.68"/>
    <n v="411.68"/>
    <n v="0.06"/>
    <n v="0.06"/>
    <x v="1"/>
    <n v="1547.9168"/>
    <x v="655"/>
    <s v="Bronze"/>
    <n v="40"/>
    <x v="0"/>
    <s v="Sports"/>
  </r>
  <r>
    <s v="SALE656"/>
    <d v="2024-04-15T00:00:00"/>
    <x v="209"/>
    <x v="14"/>
    <x v="1"/>
    <n v="2"/>
    <n v="2"/>
    <n v="637.55999999999995"/>
    <n v="637.55999999999995"/>
    <n v="0.05"/>
    <n v="0.05"/>
    <x v="2"/>
    <n v="1211.364"/>
    <x v="656"/>
    <s v="Gold"/>
    <n v="47"/>
    <x v="1"/>
    <s v="Clothing"/>
  </r>
  <r>
    <s v="SALE657"/>
    <d v="2024-12-07T00:00:00"/>
    <x v="251"/>
    <x v="26"/>
    <x v="0"/>
    <n v="3"/>
    <n v="3"/>
    <n v="706.87"/>
    <n v="706.87"/>
    <n v="0.27"/>
    <n v="0.27"/>
    <x v="0"/>
    <n v="1548.0453"/>
    <x v="657"/>
    <s v="Silver"/>
    <n v="53"/>
    <x v="1"/>
    <s v="Electronics"/>
  </r>
  <r>
    <s v="SALE658"/>
    <d v="2024-12-03T00:00:00"/>
    <x v="366"/>
    <x v="5"/>
    <x v="16"/>
    <n v="2"/>
    <n v="2"/>
    <n v="884.48"/>
    <n v="884.48"/>
    <n v="0"/>
    <n v="0"/>
    <x v="2"/>
    <n v="1768.96"/>
    <x v="658"/>
    <s v="Bronze"/>
    <n v="56"/>
    <x v="1"/>
    <s v="Electronics"/>
  </r>
  <r>
    <s v="SALE659"/>
    <d v="2023-12-31T00:00:00"/>
    <x v="234"/>
    <x v="80"/>
    <x v="5"/>
    <n v="3"/>
    <n v="3"/>
    <n v="718.23"/>
    <n v="718.23"/>
    <n v="0.19"/>
    <n v="0.19"/>
    <x v="1"/>
    <n v="1745.2989"/>
    <x v="659"/>
    <s v="Silver"/>
    <n v="54"/>
    <x v="1"/>
    <s v="Home"/>
  </r>
  <r>
    <s v="SALE660"/>
    <d v="2025-09-14T00:00:00"/>
    <x v="367"/>
    <x v="64"/>
    <x v="14"/>
    <n v="3"/>
    <n v="3"/>
    <n v="107.44"/>
    <n v="107.44"/>
    <n v="0.27"/>
    <n v="0.27"/>
    <x v="1"/>
    <n v="235.2936"/>
    <x v="660"/>
    <s v="Bronze"/>
    <n v="38"/>
    <x v="0"/>
    <s v="Electronics"/>
  </r>
  <r>
    <s v="SALE661"/>
    <d v="2025-01-16T00:00:00"/>
    <x v="2"/>
    <x v="54"/>
    <x v="0"/>
    <n v="4"/>
    <n v="4"/>
    <n v="608.97"/>
    <n v="608.97"/>
    <n v="0.14000000000000001"/>
    <n v="0.14000000000000001"/>
    <x v="2"/>
    <n v="2094.8568"/>
    <x v="661"/>
    <s v="Gold"/>
    <n v="49"/>
    <x v="1"/>
    <s v="Clothing"/>
  </r>
  <r>
    <s v="SALE662"/>
    <d v="2025-02-01T00:00:00"/>
    <x v="368"/>
    <x v="86"/>
    <x v="16"/>
    <n v="3"/>
    <n v="3"/>
    <n v="260.45999999999998"/>
    <n v="260.45999999999998"/>
    <n v="0.09"/>
    <n v="0.09"/>
    <x v="0"/>
    <n v="711.05579999999986"/>
    <x v="662"/>
    <s v="Silver"/>
    <n v="38"/>
    <x v="0"/>
    <s v="Sports"/>
  </r>
  <r>
    <s v="SALE663"/>
    <d v="2024-12-20T00:00:00"/>
    <x v="331"/>
    <x v="62"/>
    <x v="16"/>
    <n v="1"/>
    <n v="1"/>
    <n v="747.03"/>
    <n v="747.03"/>
    <n v="0.01"/>
    <n v="0.01"/>
    <x v="0"/>
    <n v="739.55970000000002"/>
    <x v="663"/>
    <s v="Silver"/>
    <n v="40"/>
    <x v="0"/>
    <s v="Sports"/>
  </r>
  <r>
    <s v="SALE664"/>
    <d v="2024-07-02T00:00:00"/>
    <x v="53"/>
    <x v="30"/>
    <x v="2"/>
    <n v="4"/>
    <n v="4"/>
    <n v="700.88"/>
    <n v="700.88"/>
    <n v="0.23"/>
    <n v="0.23"/>
    <x v="1"/>
    <n v="2158.7103999999999"/>
    <x v="664"/>
    <s v="Silver"/>
    <n v="22"/>
    <x v="1"/>
    <s v="OTHERS"/>
  </r>
  <r>
    <s v="SALE665"/>
    <d v="2025-05-04T00:00:00"/>
    <x v="369"/>
    <x v="98"/>
    <x v="7"/>
    <n v="4"/>
    <n v="4"/>
    <n v="20.09"/>
    <n v="20.09"/>
    <n v="0.16"/>
    <n v="0.16"/>
    <x v="1"/>
    <n v="67.502399999999994"/>
    <x v="665"/>
    <s v="Platinum"/>
    <n v="54"/>
    <x v="0"/>
    <s v="Sports"/>
  </r>
  <r>
    <s v="SALE666"/>
    <d v="2024-12-28T00:00:00"/>
    <x v="336"/>
    <x v="92"/>
    <x v="19"/>
    <n v="3"/>
    <n v="3"/>
    <n v="917.64"/>
    <n v="917.64"/>
    <n v="0.24"/>
    <n v="0.24"/>
    <x v="1"/>
    <n v="2092.2192"/>
    <x v="666"/>
    <s v="Bronze"/>
    <n v="50"/>
    <x v="0"/>
    <s v="Clothing"/>
  </r>
  <r>
    <s v="SALE667"/>
    <d v="2024-10-29T00:00:00"/>
    <x v="370"/>
    <x v="39"/>
    <x v="6"/>
    <n v="1"/>
    <n v="1"/>
    <n v="242.08"/>
    <n v="242.08"/>
    <n v="0.18"/>
    <n v="0.18"/>
    <x v="1"/>
    <n v="198.50559999999999"/>
    <x v="667"/>
    <s v="Gold"/>
    <n v="23"/>
    <x v="1"/>
    <s v="Home"/>
  </r>
  <r>
    <s v="SALE668"/>
    <d v="2024-10-16T00:00:00"/>
    <x v="333"/>
    <x v="81"/>
    <x v="4"/>
    <n v="1"/>
    <n v="1"/>
    <n v="536.67999999999995"/>
    <n v="536.67999999999995"/>
    <n v="0.27"/>
    <n v="0.27"/>
    <x v="0"/>
    <n v="391.77640000000002"/>
    <x v="668"/>
    <s v="Platinum"/>
    <n v="43"/>
    <x v="1"/>
    <s v="Beauty"/>
  </r>
  <r>
    <s v="SALE669"/>
    <d v="2025-04-01T00:00:00"/>
    <x v="18"/>
    <x v="35"/>
    <x v="5"/>
    <n v="2"/>
    <n v="2"/>
    <n v="145.18"/>
    <n v="145.18"/>
    <n v="0.26"/>
    <n v="0.26"/>
    <x v="1"/>
    <n v="214.8664"/>
    <x v="669"/>
    <s v="Gold"/>
    <n v="43"/>
    <x v="1"/>
    <s v="Home"/>
  </r>
  <r>
    <s v="SALE670"/>
    <d v="2024-03-18T00:00:00"/>
    <x v="70"/>
    <x v="22"/>
    <x v="5"/>
    <n v="2"/>
    <n v="2"/>
    <n v="132.77000000000001"/>
    <n v="132.77000000000001"/>
    <n v="0.13"/>
    <n v="0.13"/>
    <x v="2"/>
    <n v="231.0198"/>
    <x v="670"/>
    <s v="Platinum"/>
    <n v="38"/>
    <x v="0"/>
    <s v="Electronics"/>
  </r>
  <r>
    <s v="SALE671"/>
    <d v="2025-02-13T00:00:00"/>
    <x v="199"/>
    <x v="89"/>
    <x v="11"/>
    <n v="4"/>
    <n v="4"/>
    <n v="682.11"/>
    <n v="682.11"/>
    <n v="0.14000000000000001"/>
    <n v="0.14000000000000001"/>
    <x v="0"/>
    <n v="2346.4584"/>
    <x v="671"/>
    <s v="Silver"/>
    <n v="32"/>
    <x v="1"/>
    <s v="Sports"/>
  </r>
  <r>
    <s v="SALE672"/>
    <d v="2024-08-06T00:00:00"/>
    <x v="371"/>
    <x v="43"/>
    <x v="1"/>
    <n v="4"/>
    <n v="4"/>
    <n v="502.95"/>
    <n v="502.95"/>
    <n v="0.14000000000000001"/>
    <n v="0.14000000000000001"/>
    <x v="2"/>
    <n v="1730.1479999999999"/>
    <x v="672"/>
    <s v="Not Found"/>
    <s v="Not Found"/>
    <x v="2"/>
    <s v="Electronics"/>
  </r>
  <r>
    <s v="SALE673"/>
    <d v="2024-09-03T00:00:00"/>
    <x v="241"/>
    <x v="92"/>
    <x v="9"/>
    <n v="2"/>
    <n v="2"/>
    <n v="472.08"/>
    <n v="472.08"/>
    <n v="7.0000000000000007E-2"/>
    <n v="7.0000000000000007E-2"/>
    <x v="0"/>
    <n v="878.0687999999999"/>
    <x v="673"/>
    <s v="Gold"/>
    <n v="43"/>
    <x v="1"/>
    <s v="Clothing"/>
  </r>
  <r>
    <s v="SALE674"/>
    <d v="2025-01-08T00:00:00"/>
    <x v="117"/>
    <x v="71"/>
    <x v="1"/>
    <n v="2"/>
    <n v="2"/>
    <n v="218.11"/>
    <n v="218.11"/>
    <n v="0.02"/>
    <n v="0.02"/>
    <x v="2"/>
    <n v="427.49560000000002"/>
    <x v="674"/>
    <s v="Bronze"/>
    <n v="53"/>
    <x v="0"/>
    <s v="Sports"/>
  </r>
  <r>
    <s v="SALE675"/>
    <d v="2025-07-21T00:00:00"/>
    <x v="333"/>
    <x v="55"/>
    <x v="16"/>
    <n v="4"/>
    <n v="4"/>
    <n v="845.58"/>
    <n v="845.58"/>
    <n v="0.06"/>
    <n v="0.06"/>
    <x v="1"/>
    <n v="3179.3807999999999"/>
    <x v="675"/>
    <s v="Platinum"/>
    <n v="43"/>
    <x v="1"/>
    <s v="Clothing"/>
  </r>
  <r>
    <s v="SALE676"/>
    <d v="2023-11-25T00:00:00"/>
    <x v="147"/>
    <x v="61"/>
    <x v="17"/>
    <n v="2"/>
    <n v="2"/>
    <n v="111.28"/>
    <n v="111.28"/>
    <n v="0.14000000000000001"/>
    <n v="0.14000000000000001"/>
    <x v="0"/>
    <n v="191.4016"/>
    <x v="676"/>
    <s v="Silver"/>
    <n v="45"/>
    <x v="0"/>
    <s v="Home"/>
  </r>
  <r>
    <s v="SALE677"/>
    <d v="2025-07-04T00:00:00"/>
    <x v="372"/>
    <x v="4"/>
    <x v="7"/>
    <n v="2"/>
    <n v="2"/>
    <n v="37.21"/>
    <n v="37.21"/>
    <n v="0.19"/>
    <n v="0.19"/>
    <x v="0"/>
    <n v="60.280200000000008"/>
    <x v="677"/>
    <s v="Platinum"/>
    <n v="55"/>
    <x v="0"/>
    <s v="Beauty"/>
  </r>
  <r>
    <s v="SALE678"/>
    <d v="2023-10-21T00:00:00"/>
    <x v="222"/>
    <x v="85"/>
    <x v="13"/>
    <n v="1"/>
    <n v="1"/>
    <n v="331.73"/>
    <n v="331.73"/>
    <n v="0.04"/>
    <n v="0.04"/>
    <x v="0"/>
    <n v="318.46080000000001"/>
    <x v="678"/>
    <s v="Bronze"/>
    <n v="64"/>
    <x v="1"/>
    <s v="Electronics"/>
  </r>
  <r>
    <s v="SALE679"/>
    <d v="2023-12-13T00:00:00"/>
    <x v="190"/>
    <x v="7"/>
    <x v="18"/>
    <n v="3"/>
    <n v="3"/>
    <n v="306.70999999999998"/>
    <n v="306.70999999999998"/>
    <n v="0.09"/>
    <n v="0.09"/>
    <x v="1"/>
    <n v="837.31829999999991"/>
    <x v="679"/>
    <s v="Bronze"/>
    <n v="58"/>
    <x v="0"/>
    <s v="Home"/>
  </r>
  <r>
    <s v="SALE680"/>
    <d v="2024-06-13T00:00:00"/>
    <x v="334"/>
    <x v="60"/>
    <x v="16"/>
    <n v="4"/>
    <n v="4"/>
    <n v="484.92"/>
    <n v="484.92"/>
    <n v="0.28000000000000003"/>
    <n v="0.28000000000000003"/>
    <x v="1"/>
    <n v="1396.5696"/>
    <x v="680"/>
    <s v="Gold"/>
    <n v="31"/>
    <x v="1"/>
    <s v="Clothing"/>
  </r>
  <r>
    <s v="SALE681"/>
    <d v="2024-01-01T00:00:00"/>
    <x v="278"/>
    <x v="57"/>
    <x v="3"/>
    <n v="2"/>
    <n v="2"/>
    <n v="42.04"/>
    <n v="42.04"/>
    <n v="7.0000000000000007E-2"/>
    <n v="7.0000000000000007E-2"/>
    <x v="0"/>
    <n v="78.194399999999987"/>
    <x v="681"/>
    <s v="Gold"/>
    <n v="45"/>
    <x v="0"/>
    <s v="Sports"/>
  </r>
  <r>
    <s v="SALE682"/>
    <d v="2023-12-18T00:00:00"/>
    <x v="373"/>
    <x v="76"/>
    <x v="16"/>
    <n v="3"/>
    <n v="3"/>
    <n v="599.48"/>
    <n v="599.48"/>
    <n v="0.22"/>
    <n v="0.22"/>
    <x v="1"/>
    <n v="1402.7832000000001"/>
    <x v="682"/>
    <s v="Platinum"/>
    <n v="59"/>
    <x v="0"/>
    <s v="Home"/>
  </r>
  <r>
    <s v="SALE683"/>
    <d v="2023-11-02T00:00:00"/>
    <x v="374"/>
    <x v="53"/>
    <x v="8"/>
    <n v="3"/>
    <n v="3"/>
    <n v="401.42"/>
    <n v="401.42"/>
    <n v="0.01"/>
    <n v="0.01"/>
    <x v="2"/>
    <n v="1192.2174"/>
    <x v="683"/>
    <s v="Gold"/>
    <n v="41"/>
    <x v="0"/>
    <s v="Sports"/>
  </r>
  <r>
    <s v="SALE684"/>
    <d v="2025-09-07T00:00:00"/>
    <x v="375"/>
    <x v="54"/>
    <x v="2"/>
    <n v="4"/>
    <n v="4"/>
    <n v="442.54"/>
    <n v="442.54"/>
    <n v="0.06"/>
    <n v="0.06"/>
    <x v="0"/>
    <n v="1663.9503999999999"/>
    <x v="684"/>
    <s v="Gold"/>
    <n v="26"/>
    <x v="0"/>
    <s v="Clothing"/>
  </r>
  <r>
    <s v="SALE685"/>
    <d v="2023-12-10T00:00:00"/>
    <x v="376"/>
    <x v="12"/>
    <x v="13"/>
    <n v="4"/>
    <n v="4"/>
    <n v="451.41"/>
    <n v="451.41"/>
    <n v="0.06"/>
    <n v="0.06"/>
    <x v="1"/>
    <n v="1697.3016"/>
    <x v="685"/>
    <s v="Gold"/>
    <n v="59"/>
    <x v="1"/>
    <s v="Sports"/>
  </r>
  <r>
    <s v="SALE686"/>
    <d v="2025-10-12T00:00:00"/>
    <x v="299"/>
    <x v="52"/>
    <x v="11"/>
    <n v="4"/>
    <n v="4"/>
    <n v="547.21"/>
    <n v="547.21"/>
    <n v="0.25"/>
    <n v="0.25"/>
    <x v="0"/>
    <n v="1641.63"/>
    <x v="686"/>
    <s v="Silver"/>
    <n v="38"/>
    <x v="0"/>
    <s v="Clothing"/>
  </r>
  <r>
    <s v="SALE687"/>
    <d v="2025-04-03T00:00:00"/>
    <x v="43"/>
    <x v="72"/>
    <x v="5"/>
    <n v="1"/>
    <n v="1"/>
    <n v="979.28"/>
    <n v="979.28"/>
    <n v="0.2"/>
    <n v="0.2"/>
    <x v="1"/>
    <n v="783.42399999999998"/>
    <x v="687"/>
    <s v="Platinum"/>
    <n v="47"/>
    <x v="0"/>
    <s v="Home"/>
  </r>
  <r>
    <s v="SALE688"/>
    <d v="2024-01-09T00:00:00"/>
    <x v="9"/>
    <x v="6"/>
    <x v="4"/>
    <n v="4"/>
    <n v="4"/>
    <n v="263.58999999999997"/>
    <n v="263.58999999999997"/>
    <n v="0.04"/>
    <n v="0.04"/>
    <x v="0"/>
    <n v="1012.1856"/>
    <x v="688"/>
    <s v="Not Found"/>
    <s v="Not Found"/>
    <x v="2"/>
    <s v="Home"/>
  </r>
  <r>
    <s v="SALE689"/>
    <d v="2025-08-07T00:00:00"/>
    <x v="93"/>
    <x v="59"/>
    <x v="3"/>
    <n v="1"/>
    <n v="1"/>
    <n v="692.75"/>
    <n v="692.75"/>
    <n v="0.11"/>
    <n v="0.11"/>
    <x v="2"/>
    <n v="616.54750000000001"/>
    <x v="689"/>
    <s v="Platinum"/>
    <n v="29"/>
    <x v="1"/>
    <s v="Sports"/>
  </r>
  <r>
    <s v="SALE690"/>
    <d v="2024-01-10T00:00:00"/>
    <x v="300"/>
    <x v="81"/>
    <x v="0"/>
    <n v="3"/>
    <n v="3"/>
    <n v="142.83000000000001"/>
    <n v="142.83000000000001"/>
    <n v="0.01"/>
    <n v="0.01"/>
    <x v="0"/>
    <n v="424.20510000000002"/>
    <x v="690"/>
    <s v="Bronze"/>
    <n v="21"/>
    <x v="0"/>
    <s v="Beauty"/>
  </r>
  <r>
    <s v="SALE691"/>
    <d v="2025-07-19T00:00:00"/>
    <x v="377"/>
    <x v="62"/>
    <x v="17"/>
    <n v="2"/>
    <n v="2"/>
    <n v="419.25"/>
    <n v="419.25"/>
    <n v="0.17"/>
    <n v="0.17"/>
    <x v="1"/>
    <n v="695.95499999999993"/>
    <x v="691"/>
    <s v="Bronze"/>
    <n v="26"/>
    <x v="0"/>
    <s v="Sports"/>
  </r>
  <r>
    <s v="SALE692"/>
    <d v="2024-12-24T00:00:00"/>
    <x v="195"/>
    <x v="33"/>
    <x v="12"/>
    <n v="2"/>
    <n v="2"/>
    <n v="800.84"/>
    <n v="800.84"/>
    <n v="0.27"/>
    <n v="0.27"/>
    <x v="2"/>
    <n v="1169.2264"/>
    <x v="692"/>
    <s v="Platinum"/>
    <n v="59"/>
    <x v="1"/>
    <s v="Electronics"/>
  </r>
  <r>
    <s v="SALE693"/>
    <d v="2024-08-16T00:00:00"/>
    <x v="283"/>
    <x v="70"/>
    <x v="17"/>
    <n v="1"/>
    <n v="1"/>
    <n v="301.24"/>
    <n v="301.24"/>
    <n v="0.11"/>
    <n v="0.11"/>
    <x v="1"/>
    <n v="268.10359999999997"/>
    <x v="693"/>
    <s v="Platinum"/>
    <n v="26"/>
    <x v="1"/>
    <s v="Electronics"/>
  </r>
  <r>
    <s v="SALE694"/>
    <d v="2024-07-24T00:00:00"/>
    <x v="285"/>
    <x v="65"/>
    <x v="3"/>
    <n v="2"/>
    <n v="2"/>
    <n v="701.49"/>
    <n v="701.49"/>
    <n v="0.09"/>
    <n v="0.09"/>
    <x v="1"/>
    <n v="1276.7118"/>
    <x v="694"/>
    <s v="Gold"/>
    <n v="58"/>
    <x v="0"/>
    <s v="Clothing"/>
  </r>
  <r>
    <s v="SALE695"/>
    <d v="2024-11-19T00:00:00"/>
    <x v="378"/>
    <x v="33"/>
    <x v="15"/>
    <n v="4"/>
    <n v="4"/>
    <n v="413.48"/>
    <n v="413.48"/>
    <n v="0.02"/>
    <n v="0.02"/>
    <x v="1"/>
    <n v="1620.8416"/>
    <x v="695"/>
    <s v="Bronze"/>
    <n v="25"/>
    <x v="1"/>
    <s v="Electronics"/>
  </r>
  <r>
    <s v="SALE696"/>
    <d v="2024-03-14T00:00:00"/>
    <x v="303"/>
    <x v="67"/>
    <x v="8"/>
    <n v="4"/>
    <n v="4"/>
    <n v="167.83"/>
    <n v="167.83"/>
    <n v="0.15"/>
    <n v="0.15"/>
    <x v="0"/>
    <n v="570.62200000000007"/>
    <x v="696"/>
    <s v="Platinum"/>
    <n v="45"/>
    <x v="1"/>
    <s v="Electronics"/>
  </r>
  <r>
    <s v="SALE697"/>
    <d v="2025-06-24T00:00:00"/>
    <x v="379"/>
    <x v="5"/>
    <x v="14"/>
    <n v="2"/>
    <n v="2"/>
    <n v="669.12"/>
    <n v="669.12"/>
    <n v="0.22"/>
    <n v="0.22"/>
    <x v="0"/>
    <n v="1043.8271999999999"/>
    <x v="697"/>
    <s v="Bronze"/>
    <n v="32"/>
    <x v="0"/>
    <s v="Electronics"/>
  </r>
  <r>
    <s v="SALE698"/>
    <d v="2024-08-26T00:00:00"/>
    <x v="276"/>
    <x v="92"/>
    <x v="4"/>
    <n v="3"/>
    <n v="3"/>
    <n v="346.77"/>
    <n v="346.77"/>
    <n v="0.18"/>
    <n v="0.18"/>
    <x v="1"/>
    <n v="853.05420000000004"/>
    <x v="698"/>
    <s v="Gold"/>
    <n v="55"/>
    <x v="1"/>
    <s v="Clothing"/>
  </r>
  <r>
    <s v="SALE699"/>
    <d v="2025-10-09T00:00:00"/>
    <x v="358"/>
    <x v="34"/>
    <x v="12"/>
    <n v="3"/>
    <n v="3"/>
    <n v="648.33000000000004"/>
    <n v="648.33000000000004"/>
    <n v="0.2"/>
    <n v="0.2"/>
    <x v="2"/>
    <n v="1555.992"/>
    <x v="699"/>
    <s v="Platinum"/>
    <n v="53"/>
    <x v="0"/>
    <s v="Clothing"/>
  </r>
  <r>
    <s v="SALE700"/>
    <d v="2024-04-19T00:00:00"/>
    <x v="380"/>
    <x v="96"/>
    <x v="17"/>
    <n v="4"/>
    <n v="4"/>
    <n v="254.94"/>
    <n v="254.94"/>
    <n v="0.06"/>
    <n v="0.06"/>
    <x v="1"/>
    <n v="958.57439999999997"/>
    <x v="700"/>
    <s v="Silver"/>
    <n v="46"/>
    <x v="1"/>
    <s v="Beauty"/>
  </r>
  <r>
    <s v="SALE701"/>
    <d v="2024-05-08T00:00:00"/>
    <x v="94"/>
    <x v="82"/>
    <x v="5"/>
    <n v="1"/>
    <n v="1"/>
    <n v="445.5"/>
    <n v="445.5"/>
    <n v="0.28000000000000003"/>
    <n v="0.28000000000000003"/>
    <x v="0"/>
    <n v="320.76"/>
    <x v="701"/>
    <s v="Silver"/>
    <n v="46"/>
    <x v="1"/>
    <s v="Sports"/>
  </r>
  <r>
    <s v="SALE702"/>
    <d v="2024-06-16T00:00:00"/>
    <x v="70"/>
    <x v="64"/>
    <x v="5"/>
    <n v="1"/>
    <n v="1"/>
    <n v="900.94"/>
    <n v="900.94"/>
    <n v="0.1"/>
    <n v="0.1"/>
    <x v="0"/>
    <n v="810.84600000000012"/>
    <x v="702"/>
    <s v="Platinum"/>
    <n v="38"/>
    <x v="0"/>
    <s v="Electronics"/>
  </r>
  <r>
    <s v="SALE703"/>
    <d v="2024-05-17T00:00:00"/>
    <x v="381"/>
    <x v="5"/>
    <x v="9"/>
    <n v="3"/>
    <n v="3"/>
    <n v="262.69"/>
    <n v="262.69"/>
    <n v="0.04"/>
    <n v="0.04"/>
    <x v="1"/>
    <n v="756.54719999999986"/>
    <x v="703"/>
    <s v="Platinum"/>
    <n v="18"/>
    <x v="1"/>
    <s v="Electronics"/>
  </r>
  <r>
    <s v="SALE704"/>
    <d v="2024-04-04T00:00:00"/>
    <x v="382"/>
    <x v="88"/>
    <x v="17"/>
    <n v="3"/>
    <n v="3"/>
    <n v="212.72"/>
    <n v="212.72"/>
    <n v="0.22"/>
    <n v="0.22"/>
    <x v="1"/>
    <n v="497.76479999999998"/>
    <x v="704"/>
    <s v="Platinum"/>
    <n v="26"/>
    <x v="0"/>
    <s v="Home"/>
  </r>
  <r>
    <s v="SALE705"/>
    <d v="2025-05-26T00:00:00"/>
    <x v="383"/>
    <x v="10"/>
    <x v="14"/>
    <n v="4"/>
    <n v="4"/>
    <n v="757.9"/>
    <n v="757.9"/>
    <n v="0.22"/>
    <n v="0.22"/>
    <x v="1"/>
    <n v="2364.6480000000001"/>
    <x v="705"/>
    <s v="Gold"/>
    <n v="25"/>
    <x v="1"/>
    <s v="Sports"/>
  </r>
  <r>
    <s v="SALE706"/>
    <d v="2024-02-24T00:00:00"/>
    <x v="223"/>
    <x v="61"/>
    <x v="1"/>
    <n v="1"/>
    <n v="1"/>
    <n v="846.04"/>
    <n v="846.04"/>
    <n v="0.08"/>
    <n v="0.08"/>
    <x v="1"/>
    <n v="778.35680000000002"/>
    <x v="706"/>
    <s v="Platinum"/>
    <n v="60"/>
    <x v="1"/>
    <s v="Home"/>
  </r>
  <r>
    <s v="SALE707"/>
    <d v="2023-12-07T00:00:00"/>
    <x v="287"/>
    <x v="48"/>
    <x v="4"/>
    <n v="3"/>
    <n v="3"/>
    <n v="179.7"/>
    <n v="179.7"/>
    <n v="0.17"/>
    <n v="0.17"/>
    <x v="2"/>
    <n v="447.45299999999992"/>
    <x v="707"/>
    <s v="Gold"/>
    <n v="46"/>
    <x v="1"/>
    <s v="Sports"/>
  </r>
  <r>
    <s v="SALE708"/>
    <d v="2024-10-07T00:00:00"/>
    <x v="384"/>
    <x v="45"/>
    <x v="5"/>
    <n v="4"/>
    <n v="4"/>
    <n v="681.08"/>
    <n v="681.08"/>
    <n v="0"/>
    <n v="0"/>
    <x v="1"/>
    <n v="2724.32"/>
    <x v="708"/>
    <s v="Silver"/>
    <n v="35"/>
    <x v="0"/>
    <s v="Sports"/>
  </r>
  <r>
    <s v="SALE709"/>
    <d v="2023-11-22T00:00:00"/>
    <x v="75"/>
    <x v="83"/>
    <x v="4"/>
    <n v="4"/>
    <n v="4"/>
    <n v="723.44"/>
    <n v="723.44"/>
    <n v="0.14000000000000001"/>
    <n v="0.14000000000000001"/>
    <x v="1"/>
    <n v="2488.6336000000001"/>
    <x v="709"/>
    <s v="Bronze"/>
    <n v="34"/>
    <x v="0"/>
    <s v="Clothing"/>
  </r>
  <r>
    <s v="SALE710"/>
    <d v="2025-10-09T00:00:00"/>
    <x v="56"/>
    <x v="45"/>
    <x v="7"/>
    <n v="4"/>
    <n v="4"/>
    <n v="471.89"/>
    <n v="471.89"/>
    <n v="0.12"/>
    <n v="0.12"/>
    <x v="2"/>
    <n v="1661.0527999999999"/>
    <x v="710"/>
    <s v="Gold"/>
    <n v="62"/>
    <x v="1"/>
    <s v="Sports"/>
  </r>
  <r>
    <s v="SALE711"/>
    <d v="2024-09-24T00:00:00"/>
    <x v="302"/>
    <x v="51"/>
    <x v="1"/>
    <n v="1"/>
    <n v="1"/>
    <n v="613.17999999999995"/>
    <n v="613.17999999999995"/>
    <n v="0.14000000000000001"/>
    <n v="0.14000000000000001"/>
    <x v="2"/>
    <n v="527.33479999999997"/>
    <x v="711"/>
    <s v="Platinum"/>
    <n v="40"/>
    <x v="1"/>
    <s v="Beauty"/>
  </r>
  <r>
    <s v="SALE712"/>
    <d v="2023-10-30T00:00:00"/>
    <x v="370"/>
    <x v="19"/>
    <x v="5"/>
    <n v="1"/>
    <n v="1"/>
    <n v="651.30999999999995"/>
    <n v="651.30999999999995"/>
    <n v="0.24"/>
    <n v="0.24"/>
    <x v="1"/>
    <n v="494.99560000000002"/>
    <x v="712"/>
    <s v="Gold"/>
    <n v="23"/>
    <x v="1"/>
    <s v="Electronics"/>
  </r>
  <r>
    <s v="SALE713"/>
    <d v="2024-02-11T00:00:00"/>
    <x v="385"/>
    <x v="58"/>
    <x v="16"/>
    <n v="2"/>
    <n v="2"/>
    <n v="635.14"/>
    <n v="635.14"/>
    <n v="0.1"/>
    <n v="0.1"/>
    <x v="2"/>
    <n v="1143.252"/>
    <x v="713"/>
    <s v="Platinum"/>
    <n v="40"/>
    <x v="0"/>
    <s v="OTHERS"/>
  </r>
  <r>
    <s v="SALE714"/>
    <d v="2025-04-05T00:00:00"/>
    <x v="386"/>
    <x v="24"/>
    <x v="7"/>
    <n v="4"/>
    <n v="4"/>
    <n v="912.61"/>
    <n v="912.61"/>
    <n v="0.14000000000000001"/>
    <n v="0.14000000000000001"/>
    <x v="0"/>
    <n v="3139.3784000000001"/>
    <x v="714"/>
    <s v="Gold"/>
    <n v="23"/>
    <x v="0"/>
    <s v="Electronics"/>
  </r>
  <r>
    <s v="SALE715"/>
    <d v="2025-05-18T00:00:00"/>
    <x v="387"/>
    <x v="44"/>
    <x v="4"/>
    <n v="3"/>
    <n v="3"/>
    <n v="79.77"/>
    <n v="79.77"/>
    <n v="0.09"/>
    <n v="0.09"/>
    <x v="0"/>
    <n v="217.77209999999999"/>
    <x v="715"/>
    <s v="Silver"/>
    <n v="38"/>
    <x v="0"/>
    <s v="Beauty"/>
  </r>
  <r>
    <s v="SALE716"/>
    <d v="2025-04-08T00:00:00"/>
    <x v="107"/>
    <x v="32"/>
    <x v="10"/>
    <n v="4"/>
    <n v="4"/>
    <n v="603.52"/>
    <n v="603.52"/>
    <n v="0.25"/>
    <n v="0.25"/>
    <x v="0"/>
    <n v="1810.56"/>
    <x v="716"/>
    <s v="Platinum"/>
    <n v="22"/>
    <x v="1"/>
    <s v="Beauty"/>
  </r>
  <r>
    <s v="SALE717"/>
    <d v="2024-11-29T00:00:00"/>
    <x v="259"/>
    <x v="25"/>
    <x v="18"/>
    <n v="4"/>
    <n v="4"/>
    <n v="453.12"/>
    <n v="453.12"/>
    <n v="0.23"/>
    <n v="0.23"/>
    <x v="2"/>
    <n v="1395.6096"/>
    <x v="717"/>
    <s v="Gold"/>
    <n v="29"/>
    <x v="0"/>
    <s v="Electronics"/>
  </r>
  <r>
    <s v="SALE718"/>
    <d v="2024-12-30T00:00:00"/>
    <x v="388"/>
    <x v="9"/>
    <x v="11"/>
    <n v="2"/>
    <n v="2"/>
    <n v="974.35"/>
    <n v="974.35"/>
    <n v="0.15"/>
    <n v="0.15"/>
    <x v="0"/>
    <n v="1656.395"/>
    <x v="718"/>
    <s v="Gold"/>
    <n v="47"/>
    <x v="1"/>
    <s v="Home"/>
  </r>
  <r>
    <s v="SALE719"/>
    <d v="2025-06-16T00:00:00"/>
    <x v="22"/>
    <x v="98"/>
    <x v="1"/>
    <n v="4"/>
    <n v="4"/>
    <n v="52.35"/>
    <n v="52.35"/>
    <n v="0.23"/>
    <n v="0.23"/>
    <x v="2"/>
    <n v="161.238"/>
    <x v="719"/>
    <s v="Gold"/>
    <n v="33"/>
    <x v="1"/>
    <s v="Sports"/>
  </r>
  <r>
    <s v="SALE720"/>
    <d v="2025-06-16T00:00:00"/>
    <x v="260"/>
    <x v="15"/>
    <x v="1"/>
    <n v="3"/>
    <n v="3"/>
    <n v="681.58"/>
    <n v="681.58"/>
    <n v="0.23"/>
    <n v="0.23"/>
    <x v="0"/>
    <n v="1574.4498000000001"/>
    <x v="720"/>
    <s v="Silver"/>
    <n v="45"/>
    <x v="0"/>
    <s v="Sports"/>
  </r>
  <r>
    <s v="SALE721"/>
    <d v="2024-04-02T00:00:00"/>
    <x v="372"/>
    <x v="50"/>
    <x v="10"/>
    <n v="3"/>
    <n v="3"/>
    <n v="71.23"/>
    <n v="71.23"/>
    <n v="0.03"/>
    <n v="0.03"/>
    <x v="0"/>
    <n v="207.27930000000001"/>
    <x v="721"/>
    <s v="Platinum"/>
    <n v="55"/>
    <x v="0"/>
    <s v="Beauty"/>
  </r>
  <r>
    <s v="SALE722"/>
    <d v="2024-03-28T00:00:00"/>
    <x v="254"/>
    <x v="5"/>
    <x v="7"/>
    <n v="1"/>
    <n v="1"/>
    <n v="31.36"/>
    <n v="31.36"/>
    <n v="0.21"/>
    <n v="0.21"/>
    <x v="2"/>
    <n v="24.7744"/>
    <x v="722"/>
    <s v="Platinum"/>
    <n v="31"/>
    <x v="0"/>
    <s v="Electronics"/>
  </r>
  <r>
    <s v="SALE723"/>
    <d v="2025-01-17T00:00:00"/>
    <x v="389"/>
    <x v="89"/>
    <x v="13"/>
    <n v="2"/>
    <n v="2"/>
    <n v="555.54999999999995"/>
    <n v="555.54999999999995"/>
    <n v="0.14000000000000001"/>
    <n v="0.14000000000000001"/>
    <x v="0"/>
    <n v="955.54599999999994"/>
    <x v="723"/>
    <s v="Bronze"/>
    <n v="56"/>
    <x v="1"/>
    <s v="Sports"/>
  </r>
  <r>
    <s v="SALE724"/>
    <d v="2025-04-13T00:00:00"/>
    <x v="243"/>
    <x v="73"/>
    <x v="9"/>
    <n v="4"/>
    <n v="4"/>
    <n v="805.99"/>
    <n v="805.99"/>
    <n v="0.06"/>
    <n v="0.06"/>
    <x v="0"/>
    <n v="3030.5223999999998"/>
    <x v="724"/>
    <s v="Silver"/>
    <n v="64"/>
    <x v="0"/>
    <s v="Beauty"/>
  </r>
  <r>
    <s v="SALE725"/>
    <d v="2024-07-01T00:00:00"/>
    <x v="327"/>
    <x v="51"/>
    <x v="8"/>
    <n v="1"/>
    <n v="1"/>
    <n v="506.55"/>
    <n v="506.55"/>
    <n v="0.28000000000000003"/>
    <n v="0.28000000000000003"/>
    <x v="0"/>
    <n v="364.71600000000001"/>
    <x v="725"/>
    <s v="Platinum"/>
    <n v="53"/>
    <x v="0"/>
    <s v="Beauty"/>
  </r>
  <r>
    <s v="SALE726"/>
    <d v="2024-12-14T00:00:00"/>
    <x v="390"/>
    <x v="89"/>
    <x v="19"/>
    <n v="3"/>
    <n v="3"/>
    <n v="28.69"/>
    <n v="28.69"/>
    <n v="0.02"/>
    <n v="0.02"/>
    <x v="0"/>
    <n v="84.348600000000005"/>
    <x v="726"/>
    <s v="Platinum"/>
    <n v="29"/>
    <x v="0"/>
    <s v="Sports"/>
  </r>
  <r>
    <s v="SALE727"/>
    <d v="2023-11-23T00:00:00"/>
    <x v="391"/>
    <x v="3"/>
    <x v="5"/>
    <n v="1"/>
    <n v="1"/>
    <n v="106.07"/>
    <n v="106.07"/>
    <n v="0.23"/>
    <n v="0.23"/>
    <x v="2"/>
    <n v="81.673900000000003"/>
    <x v="727"/>
    <s v="Silver"/>
    <n v="28"/>
    <x v="1"/>
    <s v="Electronics"/>
  </r>
  <r>
    <s v="SALE728"/>
    <d v="2023-10-26T00:00:00"/>
    <x v="218"/>
    <x v="52"/>
    <x v="6"/>
    <n v="4"/>
    <n v="4"/>
    <n v="289.77"/>
    <n v="289.77"/>
    <n v="0.06"/>
    <n v="0.06"/>
    <x v="1"/>
    <n v="1089.5352"/>
    <x v="728"/>
    <s v="Platinum"/>
    <n v="63"/>
    <x v="1"/>
    <s v="Clothing"/>
  </r>
  <r>
    <s v="SALE729"/>
    <d v="2023-12-03T00:00:00"/>
    <x v="308"/>
    <x v="50"/>
    <x v="14"/>
    <n v="2"/>
    <n v="2"/>
    <n v="354.26"/>
    <n v="354.26"/>
    <n v="0.01"/>
    <n v="0.01"/>
    <x v="2"/>
    <n v="701.4348"/>
    <x v="729"/>
    <s v="Bronze"/>
    <n v="46"/>
    <x v="0"/>
    <s v="Beauty"/>
  </r>
  <r>
    <s v="SALE730"/>
    <d v="2024-09-19T00:00:00"/>
    <x v="392"/>
    <x v="88"/>
    <x v="7"/>
    <n v="1"/>
    <n v="1"/>
    <n v="522.72"/>
    <n v="522.72"/>
    <n v="0.25"/>
    <n v="0.25"/>
    <x v="1"/>
    <n v="392.04"/>
    <x v="730"/>
    <s v="Gold"/>
    <n v="60"/>
    <x v="0"/>
    <s v="Home"/>
  </r>
  <r>
    <s v="SALE731"/>
    <d v="2024-10-04T00:00:00"/>
    <x v="333"/>
    <x v="23"/>
    <x v="11"/>
    <n v="3"/>
    <n v="3"/>
    <n v="966.02"/>
    <n v="966.02"/>
    <n v="0.03"/>
    <n v="0.03"/>
    <x v="2"/>
    <n v="2811.1181999999999"/>
    <x v="731"/>
    <s v="Platinum"/>
    <n v="43"/>
    <x v="1"/>
    <s v="Clothing"/>
  </r>
  <r>
    <s v="SALE732"/>
    <d v="2023-10-18T00:00:00"/>
    <x v="224"/>
    <x v="57"/>
    <x v="1"/>
    <n v="1"/>
    <n v="1"/>
    <n v="498.61"/>
    <n v="498.61"/>
    <n v="0.04"/>
    <n v="0.04"/>
    <x v="1"/>
    <n v="478.66559999999998"/>
    <x v="732"/>
    <s v="Silver"/>
    <n v="29"/>
    <x v="0"/>
    <s v="Sports"/>
  </r>
  <r>
    <s v="SALE733"/>
    <d v="2025-05-06T00:00:00"/>
    <x v="393"/>
    <x v="63"/>
    <x v="16"/>
    <n v="4"/>
    <n v="4"/>
    <n v="758.27"/>
    <n v="758.27"/>
    <n v="0.05"/>
    <n v="0.05"/>
    <x v="1"/>
    <n v="2881.4259999999999"/>
    <x v="733"/>
    <s v="Platinum"/>
    <n v="54"/>
    <x v="0"/>
    <s v="Electronics"/>
  </r>
  <r>
    <s v="SALE734"/>
    <d v="2024-03-20T00:00:00"/>
    <x v="227"/>
    <x v="58"/>
    <x v="17"/>
    <n v="2"/>
    <n v="2"/>
    <n v="371.03"/>
    <n v="371.03"/>
    <n v="0.23"/>
    <n v="0.23"/>
    <x v="1"/>
    <n v="571.38619999999992"/>
    <x v="734"/>
    <s v="Bronze"/>
    <n v="54"/>
    <x v="0"/>
    <s v="OTHERS"/>
  </r>
  <r>
    <s v="SALE735"/>
    <d v="2024-06-10T00:00:00"/>
    <x v="394"/>
    <x v="52"/>
    <x v="1"/>
    <n v="1"/>
    <n v="1"/>
    <n v="230.32"/>
    <n v="230.32"/>
    <n v="0.05"/>
    <n v="0.05"/>
    <x v="2"/>
    <n v="218.804"/>
    <x v="735"/>
    <s v="Gold"/>
    <n v="20"/>
    <x v="0"/>
    <s v="Clothing"/>
  </r>
  <r>
    <s v="SALE736"/>
    <d v="2024-08-22T00:00:00"/>
    <x v="395"/>
    <x v="86"/>
    <x v="16"/>
    <n v="2"/>
    <n v="2"/>
    <n v="985.43"/>
    <n v="985.43"/>
    <n v="0.28000000000000003"/>
    <n v="0.28000000000000003"/>
    <x v="2"/>
    <n v="1419.0192"/>
    <x v="736"/>
    <s v="Bronze"/>
    <n v="30"/>
    <x v="1"/>
    <s v="Sports"/>
  </r>
  <r>
    <s v="SALE737"/>
    <d v="2025-04-09T00:00:00"/>
    <x v="293"/>
    <x v="93"/>
    <x v="5"/>
    <n v="2"/>
    <n v="2"/>
    <n v="492.5"/>
    <n v="492.5"/>
    <n v="0.3"/>
    <n v="0.3"/>
    <x v="1"/>
    <n v="689.5"/>
    <x v="737"/>
    <s v="Platinum"/>
    <n v="42"/>
    <x v="1"/>
    <s v="Sports"/>
  </r>
  <r>
    <s v="SALE738"/>
    <d v="2024-12-31T00:00:00"/>
    <x v="190"/>
    <x v="54"/>
    <x v="19"/>
    <n v="2"/>
    <n v="2"/>
    <n v="213.69"/>
    <n v="213.69"/>
    <n v="0.28000000000000003"/>
    <n v="0.28000000000000003"/>
    <x v="1"/>
    <n v="307.71359999999999"/>
    <x v="738"/>
    <s v="Bronze"/>
    <n v="58"/>
    <x v="0"/>
    <s v="Clothing"/>
  </r>
  <r>
    <s v="SALE739"/>
    <d v="2025-02-28T00:00:00"/>
    <x v="10"/>
    <x v="42"/>
    <x v="2"/>
    <n v="4"/>
    <n v="4"/>
    <n v="618.83000000000004"/>
    <n v="618.83000000000004"/>
    <n v="0.08"/>
    <n v="0.08"/>
    <x v="1"/>
    <n v="2277.2944000000002"/>
    <x v="739"/>
    <s v="Silver"/>
    <n v="21"/>
    <x v="1"/>
    <s v="Sports"/>
  </r>
  <r>
    <s v="SALE740"/>
    <d v="2024-01-22T00:00:00"/>
    <x v="126"/>
    <x v="4"/>
    <x v="19"/>
    <n v="2"/>
    <n v="2"/>
    <n v="81.16"/>
    <n v="81.16"/>
    <n v="0.16"/>
    <n v="0.16"/>
    <x v="1"/>
    <n v="136.34880000000001"/>
    <x v="740"/>
    <s v="Gold"/>
    <n v="28"/>
    <x v="1"/>
    <s v="Beauty"/>
  </r>
  <r>
    <s v="SALE741"/>
    <d v="2024-03-21T00:00:00"/>
    <x v="93"/>
    <x v="56"/>
    <x v="11"/>
    <n v="1"/>
    <n v="1"/>
    <n v="431.69"/>
    <n v="431.69"/>
    <n v="0.09"/>
    <n v="0.09"/>
    <x v="0"/>
    <n v="392.83789999999999"/>
    <x v="741"/>
    <s v="Platinum"/>
    <n v="29"/>
    <x v="1"/>
    <s v="Home"/>
  </r>
  <r>
    <s v="SALE742"/>
    <d v="2024-12-22T00:00:00"/>
    <x v="131"/>
    <x v="97"/>
    <x v="3"/>
    <n v="3"/>
    <n v="3"/>
    <n v="438.65"/>
    <n v="438.65"/>
    <n v="0.28999999999999998"/>
    <n v="0.28999999999999998"/>
    <x v="1"/>
    <n v="934.32449999999983"/>
    <x v="742"/>
    <s v="Gold"/>
    <n v="18"/>
    <x v="1"/>
    <s v="Clothing"/>
  </r>
  <r>
    <s v="SALE743"/>
    <d v="2024-04-02T00:00:00"/>
    <x v="396"/>
    <x v="29"/>
    <x v="0"/>
    <n v="3"/>
    <n v="3"/>
    <n v="339.41"/>
    <n v="339.41"/>
    <n v="0.26"/>
    <n v="0.26"/>
    <x v="0"/>
    <n v="753.49019999999996"/>
    <x v="743"/>
    <s v="Bronze"/>
    <n v="41"/>
    <x v="1"/>
    <s v="Home"/>
  </r>
  <r>
    <s v="SALE744"/>
    <d v="2025-01-30T00:00:00"/>
    <x v="44"/>
    <x v="29"/>
    <x v="11"/>
    <n v="4"/>
    <n v="4"/>
    <n v="848.47"/>
    <n v="848.47"/>
    <n v="0.21"/>
    <n v="0.21"/>
    <x v="2"/>
    <n v="2681.1651999999999"/>
    <x v="744"/>
    <s v="Gold"/>
    <n v="21"/>
    <x v="1"/>
    <s v="Home"/>
  </r>
  <r>
    <s v="SALE745"/>
    <d v="2025-03-31T00:00:00"/>
    <x v="375"/>
    <x v="22"/>
    <x v="2"/>
    <n v="1"/>
    <n v="1"/>
    <n v="664.87"/>
    <n v="664.87"/>
    <n v="0.08"/>
    <n v="0.08"/>
    <x v="1"/>
    <n v="611.68040000000008"/>
    <x v="745"/>
    <s v="Gold"/>
    <n v="26"/>
    <x v="0"/>
    <s v="Electronics"/>
  </r>
  <r>
    <s v="SALE746"/>
    <d v="2025-01-30T00:00:00"/>
    <x v="179"/>
    <x v="10"/>
    <x v="4"/>
    <n v="1"/>
    <n v="1"/>
    <n v="412.11"/>
    <n v="412.11"/>
    <n v="0.23"/>
    <n v="0.23"/>
    <x v="1"/>
    <n v="317.32470000000001"/>
    <x v="746"/>
    <s v="Silver"/>
    <n v="35"/>
    <x v="0"/>
    <s v="Sports"/>
  </r>
  <r>
    <s v="SALE747"/>
    <d v="2025-09-16T00:00:00"/>
    <x v="397"/>
    <x v="32"/>
    <x v="8"/>
    <n v="1"/>
    <n v="1"/>
    <n v="126.09"/>
    <n v="126.09"/>
    <n v="0.05"/>
    <n v="0.05"/>
    <x v="2"/>
    <n v="119.7855"/>
    <x v="747"/>
    <s v="Platinum"/>
    <n v="50"/>
    <x v="0"/>
    <s v="Beauty"/>
  </r>
  <r>
    <s v="SALE748"/>
    <d v="2025-09-17T00:00:00"/>
    <x v="227"/>
    <x v="22"/>
    <x v="15"/>
    <n v="4"/>
    <n v="4"/>
    <n v="602.39"/>
    <n v="602.39"/>
    <n v="0.19"/>
    <n v="0.19"/>
    <x v="2"/>
    <n v="1951.7436"/>
    <x v="748"/>
    <s v="Bronze"/>
    <n v="54"/>
    <x v="0"/>
    <s v="Electronics"/>
  </r>
  <r>
    <s v="SALE749"/>
    <d v="2025-10-11T00:00:00"/>
    <x v="88"/>
    <x v="74"/>
    <x v="0"/>
    <n v="3"/>
    <n v="3"/>
    <n v="447.69"/>
    <n v="447.69"/>
    <n v="0.02"/>
    <n v="0.02"/>
    <x v="2"/>
    <n v="1316.2085999999999"/>
    <x v="749"/>
    <s v="Bronze"/>
    <n v="60"/>
    <x v="0"/>
    <s v="Sports"/>
  </r>
  <r>
    <s v="SALE750"/>
    <d v="2025-05-01T00:00:00"/>
    <x v="201"/>
    <x v="13"/>
    <x v="0"/>
    <n v="3"/>
    <n v="3"/>
    <n v="35.159999999999997"/>
    <n v="35.159999999999997"/>
    <n v="0.04"/>
    <n v="0.04"/>
    <x v="2"/>
    <n v="101.2608"/>
    <x v="750"/>
    <s v="Gold"/>
    <n v="19"/>
    <x v="0"/>
    <s v="Electronics"/>
  </r>
  <r>
    <s v="SALE751"/>
    <d v="2025-03-24T00:00:00"/>
    <x v="393"/>
    <x v="18"/>
    <x v="19"/>
    <n v="2"/>
    <n v="2"/>
    <n v="838.59"/>
    <n v="838.59"/>
    <n v="0.18"/>
    <n v="0.18"/>
    <x v="2"/>
    <n v="1375.2876000000001"/>
    <x v="751"/>
    <s v="Platinum"/>
    <n v="54"/>
    <x v="0"/>
    <s v="Sports"/>
  </r>
  <r>
    <s v="SALE752"/>
    <d v="2024-11-02T00:00:00"/>
    <x v="269"/>
    <x v="4"/>
    <x v="16"/>
    <n v="4"/>
    <n v="4"/>
    <n v="867.94"/>
    <n v="867.94"/>
    <n v="0.26"/>
    <n v="0.26"/>
    <x v="1"/>
    <n v="2569.1024000000002"/>
    <x v="752"/>
    <s v="Platinum"/>
    <n v="43"/>
    <x v="0"/>
    <s v="Beauty"/>
  </r>
  <r>
    <s v="SALE753"/>
    <d v="2024-10-26T00:00:00"/>
    <x v="381"/>
    <x v="11"/>
    <x v="1"/>
    <n v="1"/>
    <n v="1"/>
    <n v="623.88"/>
    <n v="623.88"/>
    <n v="0.25"/>
    <n v="0.25"/>
    <x v="0"/>
    <n v="467.91"/>
    <x v="753"/>
    <s v="Platinum"/>
    <n v="18"/>
    <x v="1"/>
    <s v="Electronics"/>
  </r>
  <r>
    <s v="SALE754"/>
    <d v="2024-09-11T00:00:00"/>
    <x v="372"/>
    <x v="63"/>
    <x v="7"/>
    <n v="2"/>
    <n v="2"/>
    <n v="567.95000000000005"/>
    <n v="567.95000000000005"/>
    <n v="0.12"/>
    <n v="0.12"/>
    <x v="1"/>
    <n v="999.5920000000001"/>
    <x v="754"/>
    <s v="Platinum"/>
    <n v="55"/>
    <x v="0"/>
    <s v="Electronics"/>
  </r>
  <r>
    <s v="SALE755"/>
    <d v="2024-07-10T00:00:00"/>
    <x v="162"/>
    <x v="45"/>
    <x v="14"/>
    <n v="2"/>
    <n v="2"/>
    <n v="671.69"/>
    <n v="671.69"/>
    <n v="0.19"/>
    <n v="0.19"/>
    <x v="0"/>
    <n v="1088.1378"/>
    <x v="755"/>
    <s v="Platinum"/>
    <n v="64"/>
    <x v="1"/>
    <s v="Sports"/>
  </r>
  <r>
    <s v="SALE756"/>
    <d v="2025-05-09T00:00:00"/>
    <x v="271"/>
    <x v="96"/>
    <x v="4"/>
    <n v="2"/>
    <n v="2"/>
    <n v="257.95999999999998"/>
    <n v="257.95999999999998"/>
    <n v="0.21"/>
    <n v="0.21"/>
    <x v="1"/>
    <n v="407.57679999999999"/>
    <x v="756"/>
    <s v="Silver"/>
    <n v="26"/>
    <x v="1"/>
    <s v="Beauty"/>
  </r>
  <r>
    <s v="SALE757"/>
    <d v="2024-07-02T00:00:00"/>
    <x v="329"/>
    <x v="24"/>
    <x v="12"/>
    <n v="4"/>
    <n v="4"/>
    <n v="281.48"/>
    <n v="281.48"/>
    <n v="0.27"/>
    <n v="0.27"/>
    <x v="1"/>
    <n v="821.92160000000001"/>
    <x v="757"/>
    <s v="Platinum"/>
    <n v="52"/>
    <x v="0"/>
    <s v="Electronics"/>
  </r>
  <r>
    <s v="SALE758"/>
    <d v="2024-06-27T00:00:00"/>
    <x v="214"/>
    <x v="42"/>
    <x v="19"/>
    <n v="1"/>
    <n v="1"/>
    <n v="202.13"/>
    <n v="202.13"/>
    <n v="0.13"/>
    <n v="0.13"/>
    <x v="2"/>
    <n v="175.85310000000001"/>
    <x v="758"/>
    <s v="Gold"/>
    <n v="34"/>
    <x v="0"/>
    <s v="Sports"/>
  </r>
  <r>
    <s v="SALE759"/>
    <d v="2023-11-13T00:00:00"/>
    <x v="398"/>
    <x v="1"/>
    <x v="3"/>
    <n v="1"/>
    <n v="1"/>
    <n v="370.66"/>
    <n v="370.66"/>
    <n v="0.01"/>
    <n v="0.01"/>
    <x v="1"/>
    <n v="366.95339999999999"/>
    <x v="759"/>
    <s v="Platinum"/>
    <n v="64"/>
    <x v="0"/>
    <s v="Electronics"/>
  </r>
  <r>
    <s v="SALE760"/>
    <d v="2024-02-19T00:00:00"/>
    <x v="399"/>
    <x v="86"/>
    <x v="18"/>
    <n v="4"/>
    <n v="4"/>
    <n v="731.53"/>
    <n v="731.53"/>
    <n v="0.12"/>
    <n v="0.12"/>
    <x v="0"/>
    <n v="2574.9856"/>
    <x v="760"/>
    <s v="Bronze"/>
    <n v="24"/>
    <x v="0"/>
    <s v="Sports"/>
  </r>
  <r>
    <s v="SALE761"/>
    <d v="2024-03-20T00:00:00"/>
    <x v="255"/>
    <x v="36"/>
    <x v="8"/>
    <n v="3"/>
    <n v="3"/>
    <n v="468.25"/>
    <n v="468.25"/>
    <n v="7.0000000000000007E-2"/>
    <n v="7.0000000000000007E-2"/>
    <x v="1"/>
    <n v="1306.4175"/>
    <x v="761"/>
    <s v="Platinum"/>
    <n v="47"/>
    <x v="1"/>
    <s v="Home"/>
  </r>
  <r>
    <s v="SALE762"/>
    <d v="2024-03-09T00:00:00"/>
    <x v="283"/>
    <x v="22"/>
    <x v="6"/>
    <n v="1"/>
    <n v="1"/>
    <n v="928.72"/>
    <n v="928.72"/>
    <n v="0.1"/>
    <n v="0.1"/>
    <x v="2"/>
    <n v="835.84800000000007"/>
    <x v="762"/>
    <s v="Platinum"/>
    <n v="26"/>
    <x v="1"/>
    <s v="Electronics"/>
  </r>
  <r>
    <s v="SALE763"/>
    <d v="2024-07-26T00:00:00"/>
    <x v="210"/>
    <x v="83"/>
    <x v="14"/>
    <n v="3"/>
    <n v="3"/>
    <n v="217.22"/>
    <n v="217.22"/>
    <n v="0.06"/>
    <n v="0.06"/>
    <x v="1"/>
    <n v="612.56039999999996"/>
    <x v="763"/>
    <s v="Gold"/>
    <n v="29"/>
    <x v="0"/>
    <s v="Clothing"/>
  </r>
  <r>
    <s v="SALE764"/>
    <d v="2025-03-29T00:00:00"/>
    <x v="131"/>
    <x v="10"/>
    <x v="0"/>
    <n v="1"/>
    <n v="1"/>
    <n v="387.99"/>
    <n v="387.99"/>
    <n v="0.3"/>
    <n v="0.3"/>
    <x v="0"/>
    <n v="271.59300000000002"/>
    <x v="764"/>
    <s v="Gold"/>
    <n v="18"/>
    <x v="1"/>
    <s v="Sports"/>
  </r>
  <r>
    <s v="SALE765"/>
    <d v="2025-03-02T00:00:00"/>
    <x v="22"/>
    <x v="97"/>
    <x v="16"/>
    <n v="4"/>
    <n v="4"/>
    <n v="186.24"/>
    <n v="186.24"/>
    <n v="0.23"/>
    <n v="0.23"/>
    <x v="0"/>
    <n v="573.61920000000009"/>
    <x v="765"/>
    <s v="Gold"/>
    <n v="33"/>
    <x v="1"/>
    <s v="Clothing"/>
  </r>
  <r>
    <s v="SALE766"/>
    <d v="2024-06-11T00:00:00"/>
    <x v="272"/>
    <x v="43"/>
    <x v="2"/>
    <n v="4"/>
    <n v="4"/>
    <n v="609.05999999999995"/>
    <n v="609.05999999999995"/>
    <n v="0.22"/>
    <n v="0.22"/>
    <x v="2"/>
    <n v="1900.2672"/>
    <x v="766"/>
    <s v="Bronze"/>
    <n v="28"/>
    <x v="1"/>
    <s v="Electronics"/>
  </r>
  <r>
    <s v="SALE767"/>
    <d v="2024-05-22T00:00:00"/>
    <x v="168"/>
    <x v="9"/>
    <x v="19"/>
    <n v="1"/>
    <n v="1"/>
    <n v="827.91"/>
    <n v="827.91"/>
    <n v="0.21"/>
    <n v="0.21"/>
    <x v="1"/>
    <n v="654.0489"/>
    <x v="767"/>
    <s v="Platinum"/>
    <n v="47"/>
    <x v="1"/>
    <s v="Home"/>
  </r>
  <r>
    <s v="SALE768"/>
    <d v="2024-07-13T00:00:00"/>
    <x v="72"/>
    <x v="50"/>
    <x v="6"/>
    <n v="1"/>
    <n v="1"/>
    <n v="303.79000000000002"/>
    <n v="303.79000000000002"/>
    <n v="0.24"/>
    <n v="0.24"/>
    <x v="1"/>
    <n v="230.88040000000001"/>
    <x v="768"/>
    <s v="Silver"/>
    <n v="48"/>
    <x v="0"/>
    <s v="Beauty"/>
  </r>
  <r>
    <s v="SALE769"/>
    <d v="2025-09-02T00:00:00"/>
    <x v="253"/>
    <x v="92"/>
    <x v="16"/>
    <n v="2"/>
    <n v="2"/>
    <n v="365.91"/>
    <n v="365.91"/>
    <n v="0.14000000000000001"/>
    <n v="0.14000000000000001"/>
    <x v="2"/>
    <n v="629.36520000000007"/>
    <x v="769"/>
    <s v="Silver"/>
    <n v="64"/>
    <x v="0"/>
    <s v="Clothing"/>
  </r>
  <r>
    <s v="SALE770"/>
    <d v="2025-04-15T00:00:00"/>
    <x v="182"/>
    <x v="60"/>
    <x v="1"/>
    <n v="3"/>
    <n v="3"/>
    <n v="852.72"/>
    <n v="852.72"/>
    <n v="0.16"/>
    <n v="0.16"/>
    <x v="0"/>
    <n v="2148.8544000000002"/>
    <x v="770"/>
    <s v="Platinum"/>
    <n v="24"/>
    <x v="1"/>
    <s v="Clothing"/>
  </r>
  <r>
    <s v="SALE771"/>
    <d v="2025-04-05T00:00:00"/>
    <x v="400"/>
    <x v="31"/>
    <x v="5"/>
    <n v="1"/>
    <n v="1"/>
    <n v="768.25"/>
    <n v="768.25"/>
    <n v="0.18"/>
    <n v="0.18"/>
    <x v="0"/>
    <n v="629.96500000000003"/>
    <x v="771"/>
    <s v="Platinum"/>
    <n v="32"/>
    <x v="0"/>
    <s v="Home"/>
  </r>
  <r>
    <s v="SALE772"/>
    <d v="2023-11-24T00:00:00"/>
    <x v="401"/>
    <x v="80"/>
    <x v="12"/>
    <n v="2"/>
    <n v="2"/>
    <n v="318.62"/>
    <n v="318.62"/>
    <n v="0.02"/>
    <n v="0.02"/>
    <x v="2"/>
    <n v="624.49519999999995"/>
    <x v="772"/>
    <s v="Silver"/>
    <n v="26"/>
    <x v="0"/>
    <s v="Home"/>
  </r>
  <r>
    <s v="SALE773"/>
    <d v="2025-01-26T00:00:00"/>
    <x v="184"/>
    <x v="3"/>
    <x v="17"/>
    <n v="4"/>
    <n v="4"/>
    <n v="402.11"/>
    <n v="402.11"/>
    <n v="0.14000000000000001"/>
    <n v="0.14000000000000001"/>
    <x v="1"/>
    <n v="1383.2583999999999"/>
    <x v="773"/>
    <s v="Gold"/>
    <n v="45"/>
    <x v="1"/>
    <s v="Electronics"/>
  </r>
  <r>
    <s v="SALE774"/>
    <d v="2025-05-27T00:00:00"/>
    <x v="55"/>
    <x v="94"/>
    <x v="1"/>
    <n v="3"/>
    <n v="3"/>
    <n v="846.31"/>
    <n v="846.31"/>
    <n v="0.18"/>
    <n v="0.18"/>
    <x v="2"/>
    <n v="2081.9225999999999"/>
    <x v="774"/>
    <s v="Gold"/>
    <n v="36"/>
    <x v="0"/>
    <s v="Home"/>
  </r>
  <r>
    <s v="SALE775"/>
    <d v="2025-06-13T00:00:00"/>
    <x v="64"/>
    <x v="32"/>
    <x v="7"/>
    <n v="1"/>
    <n v="1"/>
    <n v="269.94"/>
    <n v="269.94"/>
    <n v="7.0000000000000007E-2"/>
    <n v="7.0000000000000007E-2"/>
    <x v="2"/>
    <n v="251.04419999999999"/>
    <x v="775"/>
    <s v="Platinum"/>
    <n v="36"/>
    <x v="1"/>
    <s v="Beauty"/>
  </r>
  <r>
    <s v="SALE776"/>
    <d v="2024-06-29T00:00:00"/>
    <x v="254"/>
    <x v="42"/>
    <x v="5"/>
    <n v="3"/>
    <n v="3"/>
    <n v="909.25"/>
    <n v="909.25"/>
    <n v="0.28999999999999998"/>
    <n v="0.28999999999999998"/>
    <x v="2"/>
    <n v="1936.7025000000001"/>
    <x v="776"/>
    <s v="Platinum"/>
    <n v="31"/>
    <x v="0"/>
    <s v="Sports"/>
  </r>
  <r>
    <s v="SALE777"/>
    <d v="2024-02-09T00:00:00"/>
    <x v="402"/>
    <x v="52"/>
    <x v="18"/>
    <n v="2"/>
    <n v="2"/>
    <n v="229.81"/>
    <n v="229.81"/>
    <n v="0.21"/>
    <n v="0.21"/>
    <x v="2"/>
    <n v="363.09980000000002"/>
    <x v="777"/>
    <s v="Bronze"/>
    <n v="23"/>
    <x v="0"/>
    <s v="Clothing"/>
  </r>
  <r>
    <s v="SALE778"/>
    <d v="2024-06-08T00:00:00"/>
    <x v="65"/>
    <x v="36"/>
    <x v="10"/>
    <n v="3"/>
    <n v="3"/>
    <n v="442.36"/>
    <n v="442.36"/>
    <n v="0.06"/>
    <n v="0.06"/>
    <x v="1"/>
    <n v="1247.4552000000001"/>
    <x v="778"/>
    <s v="UNKNOWN"/>
    <n v="27"/>
    <x v="1"/>
    <s v="Home"/>
  </r>
  <r>
    <s v="SALE779"/>
    <d v="2024-04-04T00:00:00"/>
    <x v="19"/>
    <x v="56"/>
    <x v="0"/>
    <n v="3"/>
    <n v="3"/>
    <n v="413.74"/>
    <n v="413.74"/>
    <n v="0.01"/>
    <n v="0.01"/>
    <x v="0"/>
    <n v="1228.8078"/>
    <x v="779"/>
    <s v="Platinum"/>
    <n v="58"/>
    <x v="1"/>
    <s v="Home"/>
  </r>
  <r>
    <s v="SALE780"/>
    <d v="2024-07-04T00:00:00"/>
    <x v="111"/>
    <x v="41"/>
    <x v="7"/>
    <n v="4"/>
    <n v="4"/>
    <n v="79.75"/>
    <n v="79.75"/>
    <n v="0.18"/>
    <n v="0.18"/>
    <x v="1"/>
    <n v="261.58"/>
    <x v="780"/>
    <s v="Bronze"/>
    <n v="56"/>
    <x v="0"/>
    <s v="Beauty"/>
  </r>
  <r>
    <s v="SALE781"/>
    <d v="2024-05-21T00:00:00"/>
    <x v="180"/>
    <x v="43"/>
    <x v="18"/>
    <n v="4"/>
    <n v="4"/>
    <n v="95.06"/>
    <n v="95.06"/>
    <n v="0.03"/>
    <n v="0.03"/>
    <x v="0"/>
    <n v="368.83280000000002"/>
    <x v="781"/>
    <s v="Bronze"/>
    <n v="23"/>
    <x v="1"/>
    <s v="Electronics"/>
  </r>
  <r>
    <s v="SALE782"/>
    <d v="2025-04-12T00:00:00"/>
    <x v="51"/>
    <x v="24"/>
    <x v="4"/>
    <n v="4"/>
    <n v="4"/>
    <n v="107.08"/>
    <n v="107.08"/>
    <n v="0.27"/>
    <n v="0.27"/>
    <x v="2"/>
    <n v="312.67360000000002"/>
    <x v="782"/>
    <s v="Platinum"/>
    <n v="46"/>
    <x v="0"/>
    <s v="Electronics"/>
  </r>
  <r>
    <s v="SALE783"/>
    <d v="2025-05-17T00:00:00"/>
    <x v="403"/>
    <x v="8"/>
    <x v="14"/>
    <n v="1"/>
    <n v="1"/>
    <n v="873.18"/>
    <n v="873.18"/>
    <n v="0.03"/>
    <n v="0.03"/>
    <x v="2"/>
    <n v="846.98459999999989"/>
    <x v="783"/>
    <s v="Platinum"/>
    <n v="32"/>
    <x v="1"/>
    <s v="Home"/>
  </r>
  <r>
    <s v="SALE784"/>
    <d v="2025-04-17T00:00:00"/>
    <x v="146"/>
    <x v="7"/>
    <x v="14"/>
    <n v="1"/>
    <n v="1"/>
    <n v="914.75"/>
    <n v="914.75"/>
    <n v="0.1"/>
    <n v="0.1"/>
    <x v="2"/>
    <n v="823.27499999999998"/>
    <x v="784"/>
    <s v="Gold"/>
    <n v="39"/>
    <x v="1"/>
    <s v="Home"/>
  </r>
  <r>
    <s v="SALE785"/>
    <d v="2023-12-19T00:00:00"/>
    <x v="184"/>
    <x v="78"/>
    <x v="13"/>
    <n v="4"/>
    <n v="4"/>
    <n v="457.33"/>
    <n v="457.33"/>
    <n v="0.1"/>
    <n v="0.1"/>
    <x v="0"/>
    <n v="1646.3879999999999"/>
    <x v="785"/>
    <s v="Gold"/>
    <n v="45"/>
    <x v="1"/>
    <s v="Sports"/>
  </r>
  <r>
    <s v="SALE786"/>
    <d v="2024-11-06T00:00:00"/>
    <x v="404"/>
    <x v="8"/>
    <x v="0"/>
    <n v="3"/>
    <n v="3"/>
    <n v="761.88"/>
    <n v="761.88"/>
    <n v="0.23"/>
    <n v="0.23"/>
    <x v="1"/>
    <n v="1759.9428"/>
    <x v="786"/>
    <s v="Silver"/>
    <n v="30"/>
    <x v="0"/>
    <s v="Home"/>
  </r>
  <r>
    <s v="SALE787"/>
    <d v="2025-05-16T00:00:00"/>
    <x v="372"/>
    <x v="92"/>
    <x v="12"/>
    <n v="4"/>
    <n v="4"/>
    <n v="122.87"/>
    <n v="122.87"/>
    <n v="0.13"/>
    <n v="0.13"/>
    <x v="0"/>
    <n v="427.58760000000001"/>
    <x v="787"/>
    <s v="Platinum"/>
    <n v="55"/>
    <x v="0"/>
    <s v="Clothing"/>
  </r>
  <r>
    <s v="SALE788"/>
    <d v="2025-05-01T00:00:00"/>
    <x v="405"/>
    <x v="78"/>
    <x v="5"/>
    <n v="4"/>
    <n v="4"/>
    <n v="753"/>
    <n v="753"/>
    <n v="0.28000000000000003"/>
    <n v="0.28000000000000003"/>
    <x v="2"/>
    <n v="2168.64"/>
    <x v="788"/>
    <s v="Platinum"/>
    <n v="18"/>
    <x v="1"/>
    <s v="Sports"/>
  </r>
  <r>
    <s v="SALE789"/>
    <d v="2024-02-03T00:00:00"/>
    <x v="260"/>
    <x v="23"/>
    <x v="3"/>
    <n v="2"/>
    <n v="2"/>
    <n v="788.05"/>
    <n v="788.05"/>
    <n v="0.21"/>
    <n v="0.21"/>
    <x v="0"/>
    <n v="1245.1189999999999"/>
    <x v="789"/>
    <s v="Silver"/>
    <n v="45"/>
    <x v="0"/>
    <s v="Clothing"/>
  </r>
  <r>
    <s v="SALE790"/>
    <d v="2025-08-06T00:00:00"/>
    <x v="152"/>
    <x v="74"/>
    <x v="15"/>
    <n v="2"/>
    <n v="2"/>
    <n v="807.1"/>
    <n v="807.1"/>
    <n v="0.28999999999999998"/>
    <n v="0.28999999999999998"/>
    <x v="0"/>
    <n v="1146.0820000000001"/>
    <x v="790"/>
    <s v="Silver"/>
    <n v="34"/>
    <x v="1"/>
    <s v="Sports"/>
  </r>
  <r>
    <s v="SALE791"/>
    <d v="2024-01-29T00:00:00"/>
    <x v="211"/>
    <x v="67"/>
    <x v="8"/>
    <n v="2"/>
    <n v="2"/>
    <n v="443.09"/>
    <n v="443.09"/>
    <n v="0.02"/>
    <n v="0.02"/>
    <x v="1"/>
    <n v="868.45639999999992"/>
    <x v="791"/>
    <s v="Gold"/>
    <n v="54"/>
    <x v="0"/>
    <s v="Electronics"/>
  </r>
  <r>
    <s v="SALE792"/>
    <d v="2025-08-01T00:00:00"/>
    <x v="228"/>
    <x v="46"/>
    <x v="10"/>
    <n v="1"/>
    <n v="1"/>
    <n v="512.16"/>
    <n v="512.16"/>
    <n v="0.02"/>
    <n v="0.02"/>
    <x v="2"/>
    <n v="501.91680000000002"/>
    <x v="792"/>
    <s v="Bronze"/>
    <n v="45"/>
    <x v="0"/>
    <s v="Sports"/>
  </r>
  <r>
    <s v="SALE793"/>
    <d v="2024-10-12T00:00:00"/>
    <x v="266"/>
    <x v="89"/>
    <x v="14"/>
    <n v="2"/>
    <n v="2"/>
    <n v="602.54999999999995"/>
    <n v="602.54999999999995"/>
    <n v="0.23"/>
    <n v="0.23"/>
    <x v="2"/>
    <n v="927.92699999999991"/>
    <x v="793"/>
    <s v="Platinum"/>
    <n v="54"/>
    <x v="0"/>
    <s v="Sports"/>
  </r>
  <r>
    <s v="SALE794"/>
    <d v="2025-03-29T00:00:00"/>
    <x v="112"/>
    <x v="63"/>
    <x v="6"/>
    <n v="3"/>
    <n v="3"/>
    <n v="846.19"/>
    <n v="846.19"/>
    <n v="0.09"/>
    <n v="0.09"/>
    <x v="2"/>
    <n v="2310.0987"/>
    <x v="794"/>
    <s v="Silver"/>
    <n v="39"/>
    <x v="1"/>
    <s v="Electronics"/>
  </r>
  <r>
    <s v="SALE795"/>
    <d v="2025-04-25T00:00:00"/>
    <x v="215"/>
    <x v="20"/>
    <x v="2"/>
    <n v="1"/>
    <n v="1"/>
    <n v="506.73"/>
    <n v="506.73"/>
    <n v="0.28999999999999998"/>
    <n v="0.28999999999999998"/>
    <x v="0"/>
    <n v="359.7783"/>
    <x v="795"/>
    <s v="Gold"/>
    <n v="58"/>
    <x v="1"/>
    <s v="Clothing"/>
  </r>
  <r>
    <s v="SALE796"/>
    <d v="2024-01-08T00:00:00"/>
    <x v="406"/>
    <x v="69"/>
    <x v="9"/>
    <n v="1"/>
    <n v="1"/>
    <n v="408.66"/>
    <n v="408.66"/>
    <n v="0.13"/>
    <n v="0.13"/>
    <x v="2"/>
    <n v="355.5342"/>
    <x v="796"/>
    <s v="Bronze"/>
    <n v="55"/>
    <x v="0"/>
    <s v="Electronics"/>
  </r>
  <r>
    <s v="SALE797"/>
    <d v="2024-06-04T00:00:00"/>
    <x v="407"/>
    <x v="67"/>
    <x v="1"/>
    <n v="3"/>
    <n v="3"/>
    <n v="170.48"/>
    <n v="170.48"/>
    <n v="0.06"/>
    <n v="0.06"/>
    <x v="2"/>
    <n v="480.75359999999989"/>
    <x v="797"/>
    <s v="Gold"/>
    <n v="40"/>
    <x v="1"/>
    <s v="Electronics"/>
  </r>
  <r>
    <s v="SALE798"/>
    <d v="2025-03-01T00:00:00"/>
    <x v="90"/>
    <x v="97"/>
    <x v="11"/>
    <n v="1"/>
    <n v="1"/>
    <n v="423.48"/>
    <n v="423.48"/>
    <n v="0.18"/>
    <n v="0.18"/>
    <x v="1"/>
    <n v="347.25360000000012"/>
    <x v="798"/>
    <s v="Silver"/>
    <n v="36"/>
    <x v="0"/>
    <s v="Clothing"/>
  </r>
  <r>
    <s v="SALE799"/>
    <d v="2023-10-14T00:00:00"/>
    <x v="328"/>
    <x v="80"/>
    <x v="19"/>
    <n v="4"/>
    <n v="4"/>
    <n v="23.57"/>
    <n v="23.57"/>
    <n v="0.1"/>
    <n v="0.1"/>
    <x v="0"/>
    <n v="84.852000000000004"/>
    <x v="799"/>
    <s v="Bronze"/>
    <n v="28"/>
    <x v="1"/>
    <s v="Home"/>
  </r>
  <r>
    <s v="SALE800"/>
    <d v="2025-06-29T00:00:00"/>
    <x v="25"/>
    <x v="63"/>
    <x v="14"/>
    <n v="2"/>
    <n v="2"/>
    <n v="953.26"/>
    <n v="953.26"/>
    <n v="0.1"/>
    <n v="0.1"/>
    <x v="2"/>
    <n v="1715.8679999999999"/>
    <x v="800"/>
    <s v="Silver"/>
    <n v="50"/>
    <x v="0"/>
    <s v="Electronics"/>
  </r>
  <r>
    <s v="SALE801"/>
    <d v="2023-12-17T00:00:00"/>
    <x v="268"/>
    <x v="78"/>
    <x v="4"/>
    <n v="3"/>
    <n v="3"/>
    <n v="405.13"/>
    <n v="405.13"/>
    <n v="0.14000000000000001"/>
    <n v="0.14000000000000001"/>
    <x v="2"/>
    <n v="1045.2354"/>
    <x v="801"/>
    <s v="Gold"/>
    <n v="39"/>
    <x v="1"/>
    <s v="Sports"/>
  </r>
  <r>
    <s v="SALE802"/>
    <d v="2023-11-18T00:00:00"/>
    <x v="350"/>
    <x v="95"/>
    <x v="5"/>
    <n v="2"/>
    <n v="2"/>
    <n v="333.83"/>
    <n v="333.83"/>
    <n v="0.26"/>
    <n v="0.26"/>
    <x v="1"/>
    <n v="494.0684"/>
    <x v="802"/>
    <s v="Platinum"/>
    <n v="52"/>
    <x v="1"/>
    <s v="Clothing"/>
  </r>
  <r>
    <s v="SALE803"/>
    <d v="2025-03-25T00:00:00"/>
    <x v="203"/>
    <x v="52"/>
    <x v="0"/>
    <n v="2"/>
    <n v="2"/>
    <n v="727.18"/>
    <n v="727.18"/>
    <n v="0.22"/>
    <n v="0.22"/>
    <x v="1"/>
    <n v="1134.4007999999999"/>
    <x v="803"/>
    <s v="Gold"/>
    <n v="64"/>
    <x v="1"/>
    <s v="Clothing"/>
  </r>
  <r>
    <s v="SALE804"/>
    <d v="2025-05-01T00:00:00"/>
    <x v="408"/>
    <x v="23"/>
    <x v="15"/>
    <n v="2"/>
    <n v="2"/>
    <n v="516.02"/>
    <n v="516.02"/>
    <n v="0.19"/>
    <n v="0.19"/>
    <x v="2"/>
    <n v="835.95240000000001"/>
    <x v="804"/>
    <s v="Platinum"/>
    <n v="44"/>
    <x v="0"/>
    <s v="Clothing"/>
  </r>
  <r>
    <s v="SALE805"/>
    <d v="2024-03-10T00:00:00"/>
    <x v="125"/>
    <x v="63"/>
    <x v="19"/>
    <n v="2"/>
    <n v="2"/>
    <n v="705.61"/>
    <n v="705.61"/>
    <n v="0.28000000000000003"/>
    <n v="0.28000000000000003"/>
    <x v="0"/>
    <n v="1016.0784"/>
    <x v="805"/>
    <s v="Platinum"/>
    <n v="29"/>
    <x v="0"/>
    <s v="Electronics"/>
  </r>
  <r>
    <s v="SALE806"/>
    <d v="2024-05-02T00:00:00"/>
    <x v="185"/>
    <x v="94"/>
    <x v="2"/>
    <n v="3"/>
    <n v="3"/>
    <n v="654.47"/>
    <n v="654.47"/>
    <n v="0.18"/>
    <n v="0.18"/>
    <x v="2"/>
    <n v="1609.9962"/>
    <x v="806"/>
    <s v="Gold"/>
    <n v="22"/>
    <x v="0"/>
    <s v="Home"/>
  </r>
  <r>
    <s v="SALE807"/>
    <d v="2025-03-18T00:00:00"/>
    <x v="120"/>
    <x v="12"/>
    <x v="10"/>
    <n v="2"/>
    <n v="2"/>
    <n v="315.27"/>
    <n v="315.27"/>
    <n v="0.23"/>
    <n v="0.23"/>
    <x v="0"/>
    <n v="485.51580000000001"/>
    <x v="807"/>
    <s v="Platinum"/>
    <n v="44"/>
    <x v="1"/>
    <s v="Sports"/>
  </r>
  <r>
    <s v="SALE808"/>
    <d v="2024-11-27T00:00:00"/>
    <x v="248"/>
    <x v="77"/>
    <x v="17"/>
    <n v="1"/>
    <n v="1"/>
    <n v="974.47"/>
    <n v="974.47"/>
    <n v="0.05"/>
    <n v="0.05"/>
    <x v="0"/>
    <n v="925.74649999999997"/>
    <x v="808"/>
    <s v="Platinum"/>
    <n v="35"/>
    <x v="0"/>
    <s v="Sports"/>
  </r>
  <r>
    <s v="SALE809"/>
    <d v="2024-02-18T00:00:00"/>
    <x v="101"/>
    <x v="95"/>
    <x v="5"/>
    <n v="2"/>
    <n v="2"/>
    <n v="803.3"/>
    <n v="803.3"/>
    <n v="0.17"/>
    <n v="0.17"/>
    <x v="0"/>
    <n v="1333.4780000000001"/>
    <x v="809"/>
    <s v="Silver"/>
    <n v="58"/>
    <x v="0"/>
    <s v="Clothing"/>
  </r>
  <r>
    <s v="SALE810"/>
    <d v="2024-06-04T00:00:00"/>
    <x v="199"/>
    <x v="95"/>
    <x v="15"/>
    <n v="4"/>
    <n v="4"/>
    <n v="863.87"/>
    <n v="863.87"/>
    <n v="0.21"/>
    <n v="0.21"/>
    <x v="2"/>
    <n v="2729.8292000000001"/>
    <x v="810"/>
    <s v="Silver"/>
    <n v="32"/>
    <x v="1"/>
    <s v="Clothing"/>
  </r>
  <r>
    <s v="SALE811"/>
    <d v="2024-08-09T00:00:00"/>
    <x v="262"/>
    <x v="61"/>
    <x v="14"/>
    <n v="1"/>
    <n v="1"/>
    <n v="450.11"/>
    <n v="450.11"/>
    <n v="0.17"/>
    <n v="0.17"/>
    <x v="0"/>
    <n v="373.59129999999999"/>
    <x v="811"/>
    <s v="Gold"/>
    <n v="19"/>
    <x v="0"/>
    <s v="Home"/>
  </r>
  <r>
    <s v="SALE812"/>
    <d v="2024-07-13T00:00:00"/>
    <x v="409"/>
    <x v="88"/>
    <x v="13"/>
    <n v="1"/>
    <n v="1"/>
    <n v="289.82"/>
    <n v="289.82"/>
    <n v="0.18"/>
    <n v="0.18"/>
    <x v="2"/>
    <n v="237.6524"/>
    <x v="812"/>
    <s v="Bronze"/>
    <n v="29"/>
    <x v="0"/>
    <s v="Home"/>
  </r>
  <r>
    <s v="SALE813"/>
    <d v="2025-08-21T00:00:00"/>
    <x v="159"/>
    <x v="59"/>
    <x v="15"/>
    <n v="4"/>
    <n v="4"/>
    <n v="250.64"/>
    <n v="250.64"/>
    <n v="0.1"/>
    <n v="0.1"/>
    <x v="1"/>
    <n v="902.30399999999997"/>
    <x v="813"/>
    <s v="Silver"/>
    <n v="50"/>
    <x v="1"/>
    <s v="Sports"/>
  </r>
  <r>
    <s v="SALE814"/>
    <d v="2025-08-07T00:00:00"/>
    <x v="86"/>
    <x v="20"/>
    <x v="12"/>
    <n v="4"/>
    <n v="4"/>
    <n v="373.49"/>
    <n v="373.49"/>
    <n v="0.16"/>
    <n v="0.16"/>
    <x v="2"/>
    <n v="1254.9264000000001"/>
    <x v="814"/>
    <s v="Gold"/>
    <n v="22"/>
    <x v="1"/>
    <s v="Clothing"/>
  </r>
  <r>
    <s v="SALE815"/>
    <d v="2024-04-16T00:00:00"/>
    <x v="149"/>
    <x v="58"/>
    <x v="11"/>
    <n v="4"/>
    <n v="4"/>
    <n v="348.91"/>
    <n v="348.91"/>
    <n v="0.18"/>
    <n v="0.18"/>
    <x v="1"/>
    <n v="1144.4248"/>
    <x v="815"/>
    <s v="Silver"/>
    <n v="27"/>
    <x v="1"/>
    <s v="OTHERS"/>
  </r>
  <r>
    <s v="SALE816"/>
    <d v="2024-04-08T00:00:00"/>
    <x v="407"/>
    <x v="32"/>
    <x v="1"/>
    <n v="4"/>
    <n v="4"/>
    <n v="212.96"/>
    <n v="212.96"/>
    <n v="0.17"/>
    <n v="0.17"/>
    <x v="0"/>
    <n v="707.02719999999999"/>
    <x v="816"/>
    <s v="Gold"/>
    <n v="40"/>
    <x v="1"/>
    <s v="Beauty"/>
  </r>
  <r>
    <s v="SALE817"/>
    <d v="2024-04-24T00:00:00"/>
    <x v="410"/>
    <x v="16"/>
    <x v="12"/>
    <n v="3"/>
    <n v="3"/>
    <n v="871.34"/>
    <n v="871.34"/>
    <n v="0.11"/>
    <n v="0.11"/>
    <x v="2"/>
    <n v="2326.4778000000001"/>
    <x v="817"/>
    <s v="Bronze"/>
    <n v="21"/>
    <x v="0"/>
    <s v="Home"/>
  </r>
  <r>
    <s v="SALE818"/>
    <d v="2025-07-06T00:00:00"/>
    <x v="323"/>
    <x v="32"/>
    <x v="6"/>
    <n v="2"/>
    <n v="2"/>
    <n v="698.94"/>
    <n v="698.94"/>
    <n v="0.06"/>
    <n v="0.06"/>
    <x v="0"/>
    <n v="1314.0072"/>
    <x v="818"/>
    <s v="Platinum"/>
    <n v="53"/>
    <x v="1"/>
    <s v="Beauty"/>
  </r>
  <r>
    <s v="SALE819"/>
    <d v="2025-02-09T00:00:00"/>
    <x v="214"/>
    <x v="1"/>
    <x v="6"/>
    <n v="1"/>
    <n v="1"/>
    <n v="719.94"/>
    <n v="719.94"/>
    <n v="0.23"/>
    <n v="0.23"/>
    <x v="2"/>
    <n v="554.35380000000009"/>
    <x v="819"/>
    <s v="Gold"/>
    <n v="34"/>
    <x v="0"/>
    <s v="Electronics"/>
  </r>
  <r>
    <s v="SALE820"/>
    <d v="2024-11-11T00:00:00"/>
    <x v="279"/>
    <x v="77"/>
    <x v="5"/>
    <n v="2"/>
    <n v="2"/>
    <n v="278.16000000000003"/>
    <n v="278.16000000000003"/>
    <n v="0.22"/>
    <n v="0.22"/>
    <x v="1"/>
    <n v="433.92960000000011"/>
    <x v="820"/>
    <s v="Platinum"/>
    <n v="29"/>
    <x v="1"/>
    <s v="Sports"/>
  </r>
  <r>
    <s v="SALE821"/>
    <d v="2024-01-16T00:00:00"/>
    <x v="286"/>
    <x v="2"/>
    <x v="3"/>
    <n v="1"/>
    <n v="1"/>
    <n v="678.9"/>
    <n v="678.9"/>
    <n v="0.17"/>
    <n v="0.17"/>
    <x v="0"/>
    <n v="563.48699999999997"/>
    <x v="821"/>
    <s v="Gold"/>
    <n v="37"/>
    <x v="1"/>
    <s v="Beauty"/>
  </r>
  <r>
    <s v="SALE822"/>
    <d v="2024-08-16T00:00:00"/>
    <x v="270"/>
    <x v="60"/>
    <x v="10"/>
    <n v="4"/>
    <n v="4"/>
    <n v="94.13"/>
    <n v="94.13"/>
    <n v="0.15"/>
    <n v="0.15"/>
    <x v="0"/>
    <n v="320.04199999999997"/>
    <x v="822"/>
    <s v="Platinum"/>
    <n v="49"/>
    <x v="1"/>
    <s v="Clothing"/>
  </r>
  <r>
    <s v="SALE823"/>
    <d v="2025-10-03T00:00:00"/>
    <x v="411"/>
    <x v="38"/>
    <x v="8"/>
    <n v="4"/>
    <n v="4"/>
    <n v="415.02"/>
    <n v="415.02"/>
    <n v="0.01"/>
    <n v="0.01"/>
    <x v="1"/>
    <n v="1643.4792"/>
    <x v="823"/>
    <s v="Silver"/>
    <n v="31"/>
    <x v="0"/>
    <s v="Sports"/>
  </r>
  <r>
    <s v="SALE824"/>
    <d v="2025-07-03T00:00:00"/>
    <x v="370"/>
    <x v="75"/>
    <x v="5"/>
    <n v="4"/>
    <n v="4"/>
    <n v="780.07"/>
    <n v="780.07"/>
    <n v="0.03"/>
    <n v="0.03"/>
    <x v="0"/>
    <n v="3026.6716000000001"/>
    <x v="824"/>
    <s v="Gold"/>
    <n v="23"/>
    <x v="1"/>
    <s v="Electronics"/>
  </r>
  <r>
    <s v="SALE825"/>
    <d v="2025-08-08T00:00:00"/>
    <x v="155"/>
    <x v="92"/>
    <x v="10"/>
    <n v="4"/>
    <n v="4"/>
    <n v="184.57"/>
    <n v="184.57"/>
    <n v="0.28000000000000003"/>
    <n v="0.28000000000000003"/>
    <x v="0"/>
    <n v="531.5616"/>
    <x v="825"/>
    <s v="Bronze"/>
    <n v="27"/>
    <x v="1"/>
    <s v="Clothing"/>
  </r>
  <r>
    <s v="SALE826"/>
    <d v="2024-08-28T00:00:00"/>
    <x v="86"/>
    <x v="15"/>
    <x v="5"/>
    <n v="4"/>
    <n v="4"/>
    <n v="277.58"/>
    <n v="277.58"/>
    <n v="0.22"/>
    <n v="0.22"/>
    <x v="1"/>
    <n v="866.04959999999994"/>
    <x v="826"/>
    <s v="Gold"/>
    <n v="22"/>
    <x v="1"/>
    <s v="Sports"/>
  </r>
  <r>
    <s v="SALE827"/>
    <d v="2025-03-18T00:00:00"/>
    <x v="253"/>
    <x v="45"/>
    <x v="0"/>
    <n v="1"/>
    <n v="1"/>
    <n v="36.799999999999997"/>
    <n v="36.799999999999997"/>
    <n v="0.18"/>
    <n v="0.18"/>
    <x v="0"/>
    <n v="30.175999999999998"/>
    <x v="827"/>
    <s v="Silver"/>
    <n v="64"/>
    <x v="0"/>
    <s v="Sports"/>
  </r>
  <r>
    <s v="SALE828"/>
    <d v="2025-06-01T00:00:00"/>
    <x v="412"/>
    <x v="12"/>
    <x v="16"/>
    <n v="1"/>
    <n v="1"/>
    <n v="539.37"/>
    <n v="539.37"/>
    <n v="0.14000000000000001"/>
    <n v="0.14000000000000001"/>
    <x v="0"/>
    <n v="463.85820000000001"/>
    <x v="828"/>
    <s v="Bronze"/>
    <n v="54"/>
    <x v="0"/>
    <s v="Sports"/>
  </r>
  <r>
    <s v="SALE829"/>
    <d v="2025-04-13T00:00:00"/>
    <x v="269"/>
    <x v="42"/>
    <x v="14"/>
    <n v="1"/>
    <n v="1"/>
    <n v="27.83"/>
    <n v="27.83"/>
    <n v="0.3"/>
    <n v="0.3"/>
    <x v="1"/>
    <n v="19.481000000000002"/>
    <x v="829"/>
    <s v="Platinum"/>
    <n v="43"/>
    <x v="0"/>
    <s v="Sports"/>
  </r>
  <r>
    <s v="SALE830"/>
    <d v="2024-06-13T00:00:00"/>
    <x v="413"/>
    <x v="7"/>
    <x v="5"/>
    <n v="3"/>
    <n v="3"/>
    <n v="698.72"/>
    <n v="698.72"/>
    <n v="0.28000000000000003"/>
    <n v="0.28000000000000003"/>
    <x v="2"/>
    <n v="1509.2352000000001"/>
    <x v="830"/>
    <s v="Silver"/>
    <n v="54"/>
    <x v="1"/>
    <s v="Home"/>
  </r>
  <r>
    <s v="SALE831"/>
    <d v="2025-02-10T00:00:00"/>
    <x v="172"/>
    <x v="3"/>
    <x v="13"/>
    <n v="4"/>
    <n v="4"/>
    <n v="528.23"/>
    <n v="528.23"/>
    <n v="0.15"/>
    <n v="0.15"/>
    <x v="2"/>
    <n v="1795.982"/>
    <x v="831"/>
    <s v="Platinum"/>
    <n v="55"/>
    <x v="1"/>
    <s v="Electronics"/>
  </r>
  <r>
    <s v="SALE832"/>
    <d v="2024-09-13T00:00:00"/>
    <x v="36"/>
    <x v="54"/>
    <x v="9"/>
    <n v="2"/>
    <n v="2"/>
    <n v="780.9"/>
    <n v="780.9"/>
    <n v="0.24"/>
    <n v="0.24"/>
    <x v="1"/>
    <n v="1186.9680000000001"/>
    <x v="832"/>
    <s v="Platinum"/>
    <n v="59"/>
    <x v="1"/>
    <s v="Clothing"/>
  </r>
  <r>
    <s v="SALE833"/>
    <d v="2023-11-06T00:00:00"/>
    <x v="367"/>
    <x v="39"/>
    <x v="7"/>
    <n v="1"/>
    <n v="1"/>
    <n v="977.97"/>
    <n v="977.97"/>
    <n v="0.06"/>
    <n v="0.06"/>
    <x v="2"/>
    <n v="919.29179999999997"/>
    <x v="833"/>
    <s v="Bronze"/>
    <n v="38"/>
    <x v="0"/>
    <s v="Home"/>
  </r>
  <r>
    <s v="SALE834"/>
    <d v="2024-01-19T00:00:00"/>
    <x v="89"/>
    <x v="50"/>
    <x v="18"/>
    <n v="4"/>
    <n v="4"/>
    <n v="354.65"/>
    <n v="354.65"/>
    <n v="0.19"/>
    <n v="0.19"/>
    <x v="0"/>
    <n v="1149.066"/>
    <x v="834"/>
    <s v="Platinum"/>
    <n v="20"/>
    <x v="1"/>
    <s v="Beauty"/>
  </r>
  <r>
    <s v="SALE835"/>
    <d v="2024-03-25T00:00:00"/>
    <x v="413"/>
    <x v="88"/>
    <x v="12"/>
    <n v="1"/>
    <n v="1"/>
    <n v="671.62"/>
    <n v="671.62"/>
    <n v="0.09"/>
    <n v="0.09"/>
    <x v="2"/>
    <n v="611.17420000000004"/>
    <x v="835"/>
    <s v="Silver"/>
    <n v="54"/>
    <x v="1"/>
    <s v="Home"/>
  </r>
  <r>
    <s v="SALE836"/>
    <d v="2025-09-14T00:00:00"/>
    <x v="352"/>
    <x v="74"/>
    <x v="0"/>
    <n v="1"/>
    <n v="1"/>
    <n v="867.32"/>
    <n v="867.32"/>
    <n v="0.28999999999999998"/>
    <n v="0.28999999999999998"/>
    <x v="1"/>
    <n v="615.79719999999998"/>
    <x v="836"/>
    <s v="Gold"/>
    <n v="64"/>
    <x v="1"/>
    <s v="Sports"/>
  </r>
  <r>
    <s v="SALE837"/>
    <d v="2024-02-14T00:00:00"/>
    <x v="150"/>
    <x v="31"/>
    <x v="18"/>
    <n v="3"/>
    <n v="3"/>
    <n v="240.27"/>
    <n v="240.27"/>
    <n v="0.15"/>
    <n v="0.15"/>
    <x v="1"/>
    <n v="612.68850000000009"/>
    <x v="837"/>
    <s v="Platinum"/>
    <n v="34"/>
    <x v="1"/>
    <s v="Home"/>
  </r>
  <r>
    <s v="SALE838"/>
    <d v="2025-03-12T00:00:00"/>
    <x v="178"/>
    <x v="77"/>
    <x v="9"/>
    <n v="2"/>
    <n v="2"/>
    <n v="619.12"/>
    <n v="619.12"/>
    <n v="0.28000000000000003"/>
    <n v="0.28000000000000003"/>
    <x v="2"/>
    <n v="891.53279999999995"/>
    <x v="838"/>
    <s v="Gold"/>
    <n v="61"/>
    <x v="1"/>
    <s v="Sports"/>
  </r>
  <r>
    <s v="SALE839"/>
    <d v="2025-04-08T00:00:00"/>
    <x v="26"/>
    <x v="72"/>
    <x v="6"/>
    <n v="3"/>
    <n v="3"/>
    <n v="693.42"/>
    <n v="693.42"/>
    <n v="0.08"/>
    <n v="0.08"/>
    <x v="1"/>
    <n v="1913.8391999999999"/>
    <x v="839"/>
    <s v="Platinum"/>
    <n v="42"/>
    <x v="1"/>
    <s v="Home"/>
  </r>
  <r>
    <s v="SALE840"/>
    <d v="2025-02-07T00:00:00"/>
    <x v="140"/>
    <x v="70"/>
    <x v="15"/>
    <n v="4"/>
    <n v="4"/>
    <n v="751.63"/>
    <n v="751.63"/>
    <n v="0.28000000000000003"/>
    <n v="0.28000000000000003"/>
    <x v="2"/>
    <n v="2164.6943999999999"/>
    <x v="840"/>
    <s v="Bronze"/>
    <n v="38"/>
    <x v="0"/>
    <s v="Electronics"/>
  </r>
  <r>
    <s v="SALE841"/>
    <d v="2024-03-29T00:00:00"/>
    <x v="407"/>
    <x v="45"/>
    <x v="10"/>
    <n v="3"/>
    <n v="3"/>
    <n v="108.14"/>
    <n v="108.14"/>
    <n v="0.19"/>
    <n v="0.19"/>
    <x v="2"/>
    <n v="262.78019999999998"/>
    <x v="841"/>
    <s v="Gold"/>
    <n v="40"/>
    <x v="1"/>
    <s v="Sports"/>
  </r>
  <r>
    <s v="SALE842"/>
    <d v="2024-06-03T00:00:00"/>
    <x v="142"/>
    <x v="16"/>
    <x v="5"/>
    <n v="1"/>
    <n v="1"/>
    <n v="964.11"/>
    <n v="964.11"/>
    <n v="0.17"/>
    <n v="0.17"/>
    <x v="2"/>
    <n v="800.21129999999994"/>
    <x v="842"/>
    <s v="Platinum"/>
    <n v="57"/>
    <x v="0"/>
    <s v="Home"/>
  </r>
  <r>
    <s v="SALE843"/>
    <d v="2024-08-21T00:00:00"/>
    <x v="87"/>
    <x v="46"/>
    <x v="6"/>
    <n v="1"/>
    <n v="1"/>
    <n v="346.2"/>
    <n v="346.2"/>
    <n v="0.28999999999999998"/>
    <n v="0.28999999999999998"/>
    <x v="0"/>
    <n v="245.80199999999999"/>
    <x v="843"/>
    <s v="Bronze"/>
    <n v="34"/>
    <x v="1"/>
    <s v="Sports"/>
  </r>
  <r>
    <s v="SALE844"/>
    <d v="2024-08-23T00:00:00"/>
    <x v="414"/>
    <x v="19"/>
    <x v="10"/>
    <n v="3"/>
    <n v="3"/>
    <n v="791.75"/>
    <n v="791.75"/>
    <n v="0.28999999999999998"/>
    <n v="0.28999999999999998"/>
    <x v="0"/>
    <n v="1686.4275"/>
    <x v="844"/>
    <s v="Platinum"/>
    <n v="59"/>
    <x v="0"/>
    <s v="Electronics"/>
  </r>
  <r>
    <s v="SALE845"/>
    <d v="2023-12-05T00:00:00"/>
    <x v="133"/>
    <x v="11"/>
    <x v="13"/>
    <n v="1"/>
    <n v="1"/>
    <n v="529.84"/>
    <n v="529.84"/>
    <n v="0.13"/>
    <n v="0.13"/>
    <x v="1"/>
    <n v="460.96080000000001"/>
    <x v="845"/>
    <s v="Platinum"/>
    <n v="54"/>
    <x v="0"/>
    <s v="Electronics"/>
  </r>
  <r>
    <s v="SALE846"/>
    <d v="2025-10-06T00:00:00"/>
    <x v="198"/>
    <x v="59"/>
    <x v="0"/>
    <n v="3"/>
    <n v="3"/>
    <n v="582.57000000000005"/>
    <n v="582.57000000000005"/>
    <n v="0.11"/>
    <n v="0.11"/>
    <x v="1"/>
    <n v="1555.4619"/>
    <x v="846"/>
    <s v="Platinum"/>
    <n v="42"/>
    <x v="0"/>
    <s v="Sports"/>
  </r>
  <r>
    <s v="SALE847"/>
    <d v="2023-11-12T00:00:00"/>
    <x v="225"/>
    <x v="98"/>
    <x v="1"/>
    <n v="1"/>
    <n v="1"/>
    <n v="219.81"/>
    <n v="219.81"/>
    <n v="0.22"/>
    <n v="0.22"/>
    <x v="2"/>
    <n v="171.45179999999999"/>
    <x v="847"/>
    <s v="Silver"/>
    <n v="20"/>
    <x v="1"/>
    <s v="Sports"/>
  </r>
  <r>
    <s v="SALE848"/>
    <d v="2024-05-25T00:00:00"/>
    <x v="388"/>
    <x v="7"/>
    <x v="14"/>
    <n v="4"/>
    <n v="4"/>
    <n v="883.31"/>
    <n v="883.31"/>
    <n v="0.27"/>
    <n v="0.27"/>
    <x v="0"/>
    <n v="2579.2651999999998"/>
    <x v="848"/>
    <s v="Gold"/>
    <n v="47"/>
    <x v="1"/>
    <s v="Home"/>
  </r>
  <r>
    <s v="SALE849"/>
    <d v="2024-12-01T00:00:00"/>
    <x v="241"/>
    <x v="53"/>
    <x v="7"/>
    <n v="4"/>
    <n v="4"/>
    <n v="329.06"/>
    <n v="329.06"/>
    <n v="0.04"/>
    <n v="0.04"/>
    <x v="2"/>
    <n v="1263.5904"/>
    <x v="849"/>
    <s v="Gold"/>
    <n v="43"/>
    <x v="1"/>
    <s v="Sports"/>
  </r>
  <r>
    <s v="SALE850"/>
    <d v="2025-01-21T00:00:00"/>
    <x v="102"/>
    <x v="88"/>
    <x v="19"/>
    <n v="1"/>
    <n v="1"/>
    <n v="935.78"/>
    <n v="935.78"/>
    <n v="0.03"/>
    <n v="0.03"/>
    <x v="1"/>
    <n v="907.70659999999998"/>
    <x v="850"/>
    <s v="Gold"/>
    <n v="50"/>
    <x v="1"/>
    <s v="Home"/>
  </r>
  <r>
    <s v="SALE851"/>
    <d v="2024-07-11T00:00:00"/>
    <x v="11"/>
    <x v="17"/>
    <x v="15"/>
    <n v="4"/>
    <n v="4"/>
    <n v="597.79999999999995"/>
    <n v="597.79999999999995"/>
    <n v="0.2"/>
    <n v="0.2"/>
    <x v="0"/>
    <n v="1912.96"/>
    <x v="851"/>
    <s v="Bronze"/>
    <n v="34"/>
    <x v="1"/>
    <s v="Beauty"/>
  </r>
  <r>
    <s v="SALE852"/>
    <d v="2025-02-12T00:00:00"/>
    <x v="415"/>
    <x v="26"/>
    <x v="14"/>
    <n v="4"/>
    <n v="4"/>
    <n v="266.98"/>
    <n v="266.98"/>
    <n v="0.16"/>
    <n v="0.16"/>
    <x v="0"/>
    <n v="897.05280000000005"/>
    <x v="852"/>
    <s v="Silver"/>
    <n v="32"/>
    <x v="1"/>
    <s v="Electronics"/>
  </r>
  <r>
    <s v="SALE853"/>
    <d v="2025-08-04T00:00:00"/>
    <x v="416"/>
    <x v="7"/>
    <x v="10"/>
    <n v="3"/>
    <n v="3"/>
    <n v="360.18"/>
    <n v="360.18"/>
    <n v="0.03"/>
    <n v="0.03"/>
    <x v="0"/>
    <n v="1048.1238000000001"/>
    <x v="853"/>
    <s v="Gold"/>
    <n v="33"/>
    <x v="0"/>
    <s v="Home"/>
  </r>
  <r>
    <s v="SALE854"/>
    <d v="2025-07-22T00:00:00"/>
    <x v="402"/>
    <x v="6"/>
    <x v="6"/>
    <n v="3"/>
    <n v="3"/>
    <n v="247.41"/>
    <n v="247.41"/>
    <n v="0.05"/>
    <n v="0.05"/>
    <x v="2"/>
    <n v="705.11850000000004"/>
    <x v="854"/>
    <s v="Bronze"/>
    <n v="23"/>
    <x v="0"/>
    <s v="Home"/>
  </r>
  <r>
    <s v="SALE855"/>
    <d v="2023-11-05T00:00:00"/>
    <x v="417"/>
    <x v="49"/>
    <x v="10"/>
    <n v="3"/>
    <n v="3"/>
    <n v="674.66"/>
    <n v="674.66"/>
    <n v="0.23"/>
    <n v="0.23"/>
    <x v="0"/>
    <n v="1558.4646"/>
    <x v="855"/>
    <s v="Gold"/>
    <n v="21"/>
    <x v="0"/>
    <s v="Sports"/>
  </r>
  <r>
    <s v="SALE856"/>
    <d v="2025-08-05T00:00:00"/>
    <x v="139"/>
    <x v="63"/>
    <x v="5"/>
    <n v="1"/>
    <n v="1"/>
    <n v="913.98"/>
    <n v="913.98"/>
    <n v="0.27"/>
    <n v="0.27"/>
    <x v="1"/>
    <n v="667.20539999999994"/>
    <x v="856"/>
    <s v="Silver"/>
    <n v="26"/>
    <x v="1"/>
    <s v="Electronics"/>
  </r>
  <r>
    <s v="SALE857"/>
    <d v="2025-04-22T00:00:00"/>
    <x v="130"/>
    <x v="47"/>
    <x v="15"/>
    <n v="4"/>
    <n v="4"/>
    <n v="370.5"/>
    <n v="370.5"/>
    <n v="0.13"/>
    <n v="0.13"/>
    <x v="1"/>
    <n v="1289.3399999999999"/>
    <x v="857"/>
    <s v="Silver"/>
    <n v="53"/>
    <x v="1"/>
    <s v="Electronics"/>
  </r>
  <r>
    <s v="SALE858"/>
    <d v="2024-11-23T00:00:00"/>
    <x v="237"/>
    <x v="18"/>
    <x v="13"/>
    <n v="1"/>
    <n v="1"/>
    <n v="735.1"/>
    <n v="735.1"/>
    <n v="0.1"/>
    <n v="0.1"/>
    <x v="1"/>
    <n v="661.59"/>
    <x v="858"/>
    <s v="Gold"/>
    <n v="60"/>
    <x v="1"/>
    <s v="Sports"/>
  </r>
  <r>
    <s v="SALE859"/>
    <d v="2024-11-18T00:00:00"/>
    <x v="163"/>
    <x v="29"/>
    <x v="17"/>
    <n v="3"/>
    <n v="3"/>
    <n v="448.55"/>
    <n v="448.55"/>
    <n v="0.05"/>
    <n v="0.05"/>
    <x v="0"/>
    <n v="1278.3675000000001"/>
    <x v="859"/>
    <s v="Platinum"/>
    <n v="33"/>
    <x v="1"/>
    <s v="Home"/>
  </r>
  <r>
    <s v="SALE860"/>
    <d v="2025-02-03T00:00:00"/>
    <x v="358"/>
    <x v="94"/>
    <x v="13"/>
    <n v="3"/>
    <n v="3"/>
    <n v="904.96"/>
    <n v="904.96"/>
    <n v="7.0000000000000007E-2"/>
    <n v="7.0000000000000007E-2"/>
    <x v="2"/>
    <n v="2524.8384000000001"/>
    <x v="860"/>
    <s v="Platinum"/>
    <n v="53"/>
    <x v="0"/>
    <s v="Home"/>
  </r>
  <r>
    <s v="SALE861"/>
    <d v="2024-11-12T00:00:00"/>
    <x v="386"/>
    <x v="88"/>
    <x v="13"/>
    <n v="4"/>
    <n v="4"/>
    <n v="408.72"/>
    <n v="408.72"/>
    <n v="0.16"/>
    <n v="0.16"/>
    <x v="2"/>
    <n v="1373.2991999999999"/>
    <x v="861"/>
    <s v="Gold"/>
    <n v="23"/>
    <x v="0"/>
    <s v="Home"/>
  </r>
  <r>
    <s v="SALE862"/>
    <d v="2024-04-30T00:00:00"/>
    <x v="205"/>
    <x v="51"/>
    <x v="0"/>
    <n v="4"/>
    <n v="4"/>
    <n v="770.65"/>
    <n v="770.65"/>
    <n v="0.27"/>
    <n v="0.27"/>
    <x v="0"/>
    <n v="2250.2979999999998"/>
    <x v="862"/>
    <s v="Gold"/>
    <n v="46"/>
    <x v="1"/>
    <s v="Beauty"/>
  </r>
  <r>
    <s v="SALE863"/>
    <d v="2025-04-20T00:00:00"/>
    <x v="43"/>
    <x v="37"/>
    <x v="16"/>
    <n v="1"/>
    <n v="1"/>
    <n v="649.22"/>
    <n v="649.22"/>
    <n v="0.03"/>
    <n v="0.03"/>
    <x v="2"/>
    <n v="629.74340000000007"/>
    <x v="863"/>
    <s v="Platinum"/>
    <n v="47"/>
    <x v="0"/>
    <s v="Home"/>
  </r>
  <r>
    <s v="SALE864"/>
    <d v="2024-05-16T00:00:00"/>
    <x v="14"/>
    <x v="9"/>
    <x v="15"/>
    <n v="2"/>
    <n v="2"/>
    <n v="379.78"/>
    <n v="379.78"/>
    <n v="0.2"/>
    <n v="0.2"/>
    <x v="0"/>
    <n v="607.64800000000002"/>
    <x v="864"/>
    <s v="Silver"/>
    <n v="55"/>
    <x v="0"/>
    <s v="Home"/>
  </r>
  <r>
    <s v="SALE865"/>
    <d v="2025-04-23T00:00:00"/>
    <x v="201"/>
    <x v="19"/>
    <x v="2"/>
    <n v="3"/>
    <n v="3"/>
    <n v="924.15"/>
    <n v="924.15"/>
    <n v="0.1"/>
    <n v="0.1"/>
    <x v="1"/>
    <n v="2495.2049999999999"/>
    <x v="865"/>
    <s v="Gold"/>
    <n v="19"/>
    <x v="0"/>
    <s v="Electronics"/>
  </r>
  <r>
    <s v="SALE866"/>
    <d v="2024-10-06T00:00:00"/>
    <x v="262"/>
    <x v="49"/>
    <x v="1"/>
    <n v="3"/>
    <n v="3"/>
    <n v="144.66999999999999"/>
    <n v="144.66999999999999"/>
    <n v="0.28999999999999998"/>
    <n v="0.28999999999999998"/>
    <x v="2"/>
    <n v="308.14710000000002"/>
    <x v="866"/>
    <s v="Gold"/>
    <n v="19"/>
    <x v="0"/>
    <s v="Sports"/>
  </r>
  <r>
    <s v="SALE867"/>
    <d v="2025-02-12T00:00:00"/>
    <x v="418"/>
    <x v="9"/>
    <x v="10"/>
    <n v="2"/>
    <n v="2"/>
    <n v="667.17"/>
    <n v="667.17"/>
    <n v="0.1"/>
    <n v="0.1"/>
    <x v="1"/>
    <n v="1200.9059999999999"/>
    <x v="867"/>
    <s v="Platinum"/>
    <n v="62"/>
    <x v="0"/>
    <s v="Home"/>
  </r>
  <r>
    <s v="SALE868"/>
    <d v="2024-03-31T00:00:00"/>
    <x v="363"/>
    <x v="73"/>
    <x v="0"/>
    <n v="1"/>
    <n v="1"/>
    <n v="984.6"/>
    <n v="984.6"/>
    <n v="0.22"/>
    <n v="0.22"/>
    <x v="0"/>
    <n v="767.98800000000006"/>
    <x v="868"/>
    <s v="Bronze"/>
    <n v="31"/>
    <x v="0"/>
    <s v="Beauty"/>
  </r>
  <r>
    <s v="SALE869"/>
    <d v="2023-11-30T00:00:00"/>
    <x v="419"/>
    <x v="26"/>
    <x v="2"/>
    <n v="1"/>
    <n v="1"/>
    <n v="139.29"/>
    <n v="139.29"/>
    <n v="0"/>
    <n v="0"/>
    <x v="0"/>
    <n v="139.29"/>
    <x v="869"/>
    <s v="Bronze"/>
    <n v="21"/>
    <x v="1"/>
    <s v="Electronics"/>
  </r>
  <r>
    <s v="SALE870"/>
    <d v="2025-02-14T00:00:00"/>
    <x v="153"/>
    <x v="30"/>
    <x v="2"/>
    <n v="3"/>
    <n v="3"/>
    <n v="459.57"/>
    <n v="459.57"/>
    <n v="0.1"/>
    <n v="0.1"/>
    <x v="2"/>
    <n v="1240.8389999999999"/>
    <x v="870"/>
    <s v="Platinum"/>
    <n v="25"/>
    <x v="0"/>
    <s v="OTHERS"/>
  </r>
  <r>
    <s v="SALE871"/>
    <d v="2024-01-11T00:00:00"/>
    <x v="149"/>
    <x v="43"/>
    <x v="10"/>
    <n v="1"/>
    <n v="1"/>
    <n v="517.82000000000005"/>
    <n v="517.82000000000005"/>
    <n v="0.28999999999999998"/>
    <n v="0.28999999999999998"/>
    <x v="0"/>
    <n v="367.65219999999999"/>
    <x v="871"/>
    <s v="Silver"/>
    <n v="27"/>
    <x v="1"/>
    <s v="Electronics"/>
  </r>
  <r>
    <s v="SALE872"/>
    <d v="2024-12-27T00:00:00"/>
    <x v="273"/>
    <x v="3"/>
    <x v="16"/>
    <n v="4"/>
    <n v="4"/>
    <n v="282.45"/>
    <n v="282.45"/>
    <n v="0.28999999999999998"/>
    <n v="0.28999999999999998"/>
    <x v="2"/>
    <n v="802.1579999999999"/>
    <x v="872"/>
    <s v="Gold"/>
    <n v="34"/>
    <x v="1"/>
    <s v="Electronics"/>
  </r>
  <r>
    <s v="SALE873"/>
    <d v="2023-11-20T00:00:00"/>
    <x v="264"/>
    <x v="72"/>
    <x v="4"/>
    <n v="2"/>
    <n v="2"/>
    <n v="386.46"/>
    <n v="386.46"/>
    <n v="0.23"/>
    <n v="0.23"/>
    <x v="2"/>
    <n v="595.14840000000004"/>
    <x v="873"/>
    <s v="Gold"/>
    <n v="54"/>
    <x v="0"/>
    <s v="Home"/>
  </r>
  <r>
    <s v="SALE874"/>
    <d v="2025-01-04T00:00:00"/>
    <x v="420"/>
    <x v="46"/>
    <x v="0"/>
    <n v="1"/>
    <n v="1"/>
    <n v="270.45"/>
    <n v="270.45"/>
    <n v="0.15"/>
    <n v="0.15"/>
    <x v="2"/>
    <n v="229.88249999999999"/>
    <x v="874"/>
    <s v="Silver"/>
    <n v="60"/>
    <x v="0"/>
    <s v="Sports"/>
  </r>
  <r>
    <s v="SALE875"/>
    <d v="2024-07-20T00:00:00"/>
    <x v="95"/>
    <x v="3"/>
    <x v="15"/>
    <n v="4"/>
    <n v="4"/>
    <n v="762.94"/>
    <n v="762.94"/>
    <n v="0.09"/>
    <n v="0.09"/>
    <x v="2"/>
    <n v="2777.1016"/>
    <x v="875"/>
    <s v="Platinum"/>
    <n v="21"/>
    <x v="0"/>
    <s v="Electronics"/>
  </r>
  <r>
    <s v="SALE876"/>
    <d v="2023-11-12T00:00:00"/>
    <x v="187"/>
    <x v="89"/>
    <x v="13"/>
    <n v="1"/>
    <n v="1"/>
    <n v="409.03"/>
    <n v="409.03"/>
    <n v="0.25"/>
    <n v="0.25"/>
    <x v="2"/>
    <n v="306.77249999999998"/>
    <x v="876"/>
    <s v="Gold"/>
    <n v="21"/>
    <x v="0"/>
    <s v="Sports"/>
  </r>
  <r>
    <s v="SALE877"/>
    <d v="2024-04-29T00:00:00"/>
    <x v="209"/>
    <x v="99"/>
    <x v="14"/>
    <n v="2"/>
    <n v="2"/>
    <n v="891.13"/>
    <n v="891.13"/>
    <n v="0.13"/>
    <n v="0.13"/>
    <x v="0"/>
    <n v="1550.5662"/>
    <x v="877"/>
    <s v="Gold"/>
    <n v="47"/>
    <x v="1"/>
    <s v="Clothing"/>
  </r>
  <r>
    <s v="SALE878"/>
    <d v="2024-10-28T00:00:00"/>
    <x v="326"/>
    <x v="80"/>
    <x v="9"/>
    <n v="1"/>
    <n v="1"/>
    <n v="553.38"/>
    <n v="553.38"/>
    <n v="0.21"/>
    <n v="0.21"/>
    <x v="1"/>
    <n v="437.17020000000002"/>
    <x v="878"/>
    <s v="Gold"/>
    <n v="48"/>
    <x v="1"/>
    <s v="Home"/>
  </r>
  <r>
    <s v="SALE879"/>
    <d v="2023-12-21T00:00:00"/>
    <x v="318"/>
    <x v="65"/>
    <x v="13"/>
    <n v="2"/>
    <n v="2"/>
    <n v="652.29999999999995"/>
    <n v="652.29999999999995"/>
    <n v="0.16"/>
    <n v="0.16"/>
    <x v="2"/>
    <n v="1095.864"/>
    <x v="879"/>
    <s v="Platinum"/>
    <n v="41"/>
    <x v="1"/>
    <s v="Clothing"/>
  </r>
  <r>
    <s v="SALE880"/>
    <d v="2024-10-10T00:00:00"/>
    <x v="397"/>
    <x v="63"/>
    <x v="11"/>
    <n v="4"/>
    <n v="4"/>
    <n v="194.36"/>
    <n v="194.36"/>
    <n v="0.18"/>
    <n v="0.18"/>
    <x v="2"/>
    <n v="637.50080000000014"/>
    <x v="880"/>
    <s v="Platinum"/>
    <n v="50"/>
    <x v="0"/>
    <s v="Electronics"/>
  </r>
  <r>
    <s v="SALE881"/>
    <d v="2025-01-03T00:00:00"/>
    <x v="175"/>
    <x v="80"/>
    <x v="8"/>
    <n v="3"/>
    <n v="3"/>
    <n v="476.37"/>
    <n v="476.37"/>
    <n v="0.21"/>
    <n v="0.21"/>
    <x v="2"/>
    <n v="1128.9969000000001"/>
    <x v="881"/>
    <s v="Bronze"/>
    <n v="31"/>
    <x v="0"/>
    <s v="Home"/>
  </r>
  <r>
    <s v="SALE882"/>
    <d v="2024-03-09T00:00:00"/>
    <x v="317"/>
    <x v="43"/>
    <x v="3"/>
    <n v="3"/>
    <n v="3"/>
    <n v="174.57"/>
    <n v="174.57"/>
    <n v="0"/>
    <n v="0"/>
    <x v="1"/>
    <n v="523.71"/>
    <x v="882"/>
    <s v="Platinum"/>
    <n v="63"/>
    <x v="1"/>
    <s v="Electronics"/>
  </r>
  <r>
    <s v="SALE883"/>
    <d v="2024-08-22T00:00:00"/>
    <x v="97"/>
    <x v="65"/>
    <x v="6"/>
    <n v="3"/>
    <n v="3"/>
    <n v="762"/>
    <n v="762"/>
    <n v="0.02"/>
    <n v="0.02"/>
    <x v="1"/>
    <n v="2240.2800000000002"/>
    <x v="883"/>
    <s v="Bronze"/>
    <n v="40"/>
    <x v="0"/>
    <s v="Clothing"/>
  </r>
  <r>
    <s v="SALE884"/>
    <d v="2024-04-13T00:00:00"/>
    <x v="353"/>
    <x v="18"/>
    <x v="12"/>
    <n v="1"/>
    <n v="1"/>
    <n v="44.08"/>
    <n v="44.08"/>
    <n v="0.05"/>
    <n v="0.05"/>
    <x v="0"/>
    <n v="41.875999999999998"/>
    <x v="884"/>
    <s v="Bronze"/>
    <n v="40"/>
    <x v="0"/>
    <s v="Sports"/>
  </r>
  <r>
    <s v="SALE885"/>
    <d v="2024-06-23T00:00:00"/>
    <x v="180"/>
    <x v="4"/>
    <x v="13"/>
    <n v="1"/>
    <n v="1"/>
    <n v="992.37"/>
    <n v="992.37"/>
    <n v="0.24"/>
    <n v="0.24"/>
    <x v="2"/>
    <n v="754.20119999999997"/>
    <x v="885"/>
    <s v="Bronze"/>
    <n v="23"/>
    <x v="1"/>
    <s v="Beauty"/>
  </r>
  <r>
    <s v="SALE886"/>
    <d v="2025-08-07T00:00:00"/>
    <x v="114"/>
    <x v="45"/>
    <x v="15"/>
    <n v="3"/>
    <n v="3"/>
    <n v="465.4"/>
    <n v="465.4"/>
    <n v="0.28999999999999998"/>
    <n v="0.28999999999999998"/>
    <x v="2"/>
    <n v="991.30199999999979"/>
    <x v="886"/>
    <s v="Bronze"/>
    <n v="25"/>
    <x v="1"/>
    <s v="Sports"/>
  </r>
  <r>
    <s v="SALE887"/>
    <d v="2025-03-08T00:00:00"/>
    <x v="119"/>
    <x v="30"/>
    <x v="15"/>
    <n v="2"/>
    <n v="2"/>
    <n v="693.61"/>
    <n v="693.61"/>
    <n v="0.15"/>
    <n v="0.15"/>
    <x v="1"/>
    <n v="1179.1369999999999"/>
    <x v="887"/>
    <s v="Bronze"/>
    <n v="40"/>
    <x v="1"/>
    <s v="OTHERS"/>
  </r>
  <r>
    <s v="SALE888"/>
    <d v="2025-05-24T00:00:00"/>
    <x v="421"/>
    <x v="22"/>
    <x v="2"/>
    <n v="2"/>
    <n v="2"/>
    <n v="995.11"/>
    <n v="995.11"/>
    <n v="0.13"/>
    <n v="0.13"/>
    <x v="1"/>
    <n v="1731.4914000000001"/>
    <x v="888"/>
    <s v="Silver"/>
    <n v="28"/>
    <x v="1"/>
    <s v="Electronics"/>
  </r>
  <r>
    <s v="SALE889"/>
    <d v="2025-04-02T00:00:00"/>
    <x v="25"/>
    <x v="34"/>
    <x v="5"/>
    <n v="3"/>
    <n v="3"/>
    <n v="70.97"/>
    <n v="70.97"/>
    <n v="0.06"/>
    <n v="0.06"/>
    <x v="2"/>
    <n v="200.1354"/>
    <x v="889"/>
    <s v="Silver"/>
    <n v="50"/>
    <x v="0"/>
    <s v="Clothing"/>
  </r>
  <r>
    <s v="SALE890"/>
    <d v="2024-02-03T00:00:00"/>
    <x v="121"/>
    <x v="50"/>
    <x v="11"/>
    <n v="3"/>
    <n v="3"/>
    <n v="470.42"/>
    <n v="470.42"/>
    <n v="0.16"/>
    <n v="0.16"/>
    <x v="0"/>
    <n v="1185.4584"/>
    <x v="890"/>
    <s v="Gold"/>
    <n v="51"/>
    <x v="0"/>
    <s v="Beauty"/>
  </r>
  <r>
    <s v="SALE891"/>
    <d v="2025-10-02T00:00:00"/>
    <x v="130"/>
    <x v="56"/>
    <x v="9"/>
    <n v="2"/>
    <n v="2"/>
    <n v="215.59"/>
    <n v="215.59"/>
    <n v="0.18"/>
    <n v="0.18"/>
    <x v="0"/>
    <n v="353.56760000000003"/>
    <x v="891"/>
    <s v="Silver"/>
    <n v="53"/>
    <x v="1"/>
    <s v="Home"/>
  </r>
  <r>
    <s v="SALE892"/>
    <d v="2025-08-26T00:00:00"/>
    <x v="19"/>
    <x v="80"/>
    <x v="6"/>
    <n v="1"/>
    <n v="1"/>
    <n v="533.79999999999995"/>
    <n v="533.79999999999995"/>
    <n v="0.27"/>
    <n v="0.27"/>
    <x v="2"/>
    <n v="389.67399999999998"/>
    <x v="892"/>
    <s v="Platinum"/>
    <n v="58"/>
    <x v="1"/>
    <s v="Home"/>
  </r>
  <r>
    <s v="SALE893"/>
    <d v="2024-11-18T00:00:00"/>
    <x v="126"/>
    <x v="79"/>
    <x v="0"/>
    <n v="2"/>
    <n v="2"/>
    <n v="732.67"/>
    <n v="732.67"/>
    <n v="0.24"/>
    <n v="0.24"/>
    <x v="1"/>
    <n v="1113.6584"/>
    <x v="893"/>
    <s v="Gold"/>
    <n v="28"/>
    <x v="1"/>
    <s v="Beauty"/>
  </r>
  <r>
    <s v="SALE894"/>
    <d v="2023-11-17T00:00:00"/>
    <x v="154"/>
    <x v="17"/>
    <x v="13"/>
    <n v="4"/>
    <n v="4"/>
    <n v="106.48"/>
    <n v="106.48"/>
    <n v="0.1"/>
    <n v="0.1"/>
    <x v="2"/>
    <n v="383.32799999999997"/>
    <x v="894"/>
    <s v="Silver"/>
    <n v="42"/>
    <x v="1"/>
    <s v="Beauty"/>
  </r>
  <r>
    <s v="SALE895"/>
    <d v="2025-02-08T00:00:00"/>
    <x v="102"/>
    <x v="71"/>
    <x v="0"/>
    <n v="1"/>
    <n v="1"/>
    <n v="38.950000000000003"/>
    <n v="38.950000000000003"/>
    <n v="0.28000000000000003"/>
    <n v="0.28000000000000003"/>
    <x v="0"/>
    <n v="28.044"/>
    <x v="895"/>
    <s v="Gold"/>
    <n v="50"/>
    <x v="1"/>
    <s v="Sports"/>
  </r>
  <r>
    <s v="SALE896"/>
    <d v="2024-01-03T00:00:00"/>
    <x v="38"/>
    <x v="99"/>
    <x v="9"/>
    <n v="1"/>
    <n v="1"/>
    <n v="835.17"/>
    <n v="835.17"/>
    <n v="0.02"/>
    <n v="0.02"/>
    <x v="2"/>
    <n v="818.46659999999997"/>
    <x v="896"/>
    <s v="Platinum"/>
    <n v="27"/>
    <x v="0"/>
    <s v="Clothing"/>
  </r>
  <r>
    <s v="SALE897"/>
    <d v="2024-04-07T00:00:00"/>
    <x v="211"/>
    <x v="50"/>
    <x v="0"/>
    <n v="1"/>
    <n v="1"/>
    <n v="113.07"/>
    <n v="113.07"/>
    <n v="0.24"/>
    <n v="0.24"/>
    <x v="0"/>
    <n v="85.933199999999999"/>
    <x v="897"/>
    <s v="Gold"/>
    <n v="54"/>
    <x v="0"/>
    <s v="Beauty"/>
  </r>
  <r>
    <s v="SALE898"/>
    <d v="2025-09-30T00:00:00"/>
    <x v="220"/>
    <x v="32"/>
    <x v="18"/>
    <n v="2"/>
    <n v="2"/>
    <n v="451.33"/>
    <n v="451.33"/>
    <n v="0.23"/>
    <n v="0.23"/>
    <x v="2"/>
    <n v="695.04819999999995"/>
    <x v="898"/>
    <s v="Silver"/>
    <n v="18"/>
    <x v="0"/>
    <s v="Beauty"/>
  </r>
  <r>
    <s v="SALE899"/>
    <d v="2024-06-13T00:00:00"/>
    <x v="61"/>
    <x v="56"/>
    <x v="16"/>
    <n v="3"/>
    <n v="3"/>
    <n v="619.80999999999995"/>
    <n v="619.80999999999995"/>
    <n v="0.16"/>
    <n v="0.16"/>
    <x v="2"/>
    <n v="1561.9212"/>
    <x v="899"/>
    <s v="Bronze"/>
    <n v="28"/>
    <x v="0"/>
    <s v="Home"/>
  </r>
  <r>
    <s v="SALE900"/>
    <d v="2025-02-25T00:00:00"/>
    <x v="140"/>
    <x v="85"/>
    <x v="4"/>
    <n v="4"/>
    <n v="4"/>
    <n v="46.97"/>
    <n v="46.97"/>
    <n v="0.26"/>
    <n v="0.26"/>
    <x v="1"/>
    <n v="139.03120000000001"/>
    <x v="900"/>
    <s v="Bronze"/>
    <n v="38"/>
    <x v="0"/>
    <s v="Electronics"/>
  </r>
  <r>
    <s v="SALE901"/>
    <d v="2025-05-07T00:00:00"/>
    <x v="170"/>
    <x v="54"/>
    <x v="17"/>
    <n v="2"/>
    <n v="2"/>
    <n v="71.48"/>
    <n v="71.48"/>
    <n v="0.14000000000000001"/>
    <n v="0.14000000000000001"/>
    <x v="2"/>
    <n v="122.9456"/>
    <x v="901"/>
    <s v="Silver"/>
    <n v="46"/>
    <x v="1"/>
    <s v="Clothing"/>
  </r>
  <r>
    <s v="SALE902"/>
    <d v="2025-06-04T00:00:00"/>
    <x v="267"/>
    <x v="6"/>
    <x v="12"/>
    <n v="2"/>
    <n v="2"/>
    <n v="404.08"/>
    <n v="404.08"/>
    <n v="7.0000000000000007E-2"/>
    <n v="7.0000000000000007E-2"/>
    <x v="0"/>
    <n v="751.58879999999988"/>
    <x v="902"/>
    <s v="UNKNOWN"/>
    <n v="55"/>
    <x v="0"/>
    <s v="Home"/>
  </r>
  <r>
    <s v="SALE903"/>
    <d v="2024-12-27T00:00:00"/>
    <x v="105"/>
    <x v="53"/>
    <x v="9"/>
    <n v="1"/>
    <n v="1"/>
    <n v="519.91"/>
    <n v="519.91"/>
    <n v="0.05"/>
    <n v="0.05"/>
    <x v="2"/>
    <n v="493.91449999999992"/>
    <x v="903"/>
    <s v="Gold"/>
    <n v="25"/>
    <x v="0"/>
    <s v="Sports"/>
  </r>
  <r>
    <s v="SALE904"/>
    <d v="2025-01-15T00:00:00"/>
    <x v="281"/>
    <x v="70"/>
    <x v="13"/>
    <n v="3"/>
    <n v="3"/>
    <n v="566.16"/>
    <n v="566.16"/>
    <n v="0.05"/>
    <n v="0.05"/>
    <x v="1"/>
    <n v="1613.556"/>
    <x v="904"/>
    <s v="Platinum"/>
    <n v="46"/>
    <x v="0"/>
    <s v="Electronics"/>
  </r>
  <r>
    <s v="SALE905"/>
    <d v="2025-05-22T00:00:00"/>
    <x v="422"/>
    <x v="40"/>
    <x v="15"/>
    <n v="2"/>
    <n v="2"/>
    <n v="295.12"/>
    <n v="295.12"/>
    <n v="0.09"/>
    <n v="0.09"/>
    <x v="2"/>
    <n v="537.11840000000007"/>
    <x v="905"/>
    <s v="Gold"/>
    <n v="46"/>
    <x v="0"/>
    <s v="Sports"/>
  </r>
  <r>
    <s v="SALE906"/>
    <d v="2025-07-10T00:00:00"/>
    <x v="423"/>
    <x v="13"/>
    <x v="19"/>
    <n v="2"/>
    <n v="2"/>
    <n v="414.18"/>
    <n v="414.18"/>
    <n v="0.25"/>
    <n v="0.25"/>
    <x v="1"/>
    <n v="621.27"/>
    <x v="906"/>
    <s v="Silver"/>
    <n v="27"/>
    <x v="0"/>
    <s v="Electronics"/>
  </r>
  <r>
    <s v="SALE907"/>
    <d v="2025-09-18T00:00:00"/>
    <x v="424"/>
    <x v="87"/>
    <x v="2"/>
    <n v="2"/>
    <n v="2"/>
    <n v="433.75"/>
    <n v="433.75"/>
    <n v="0"/>
    <n v="0"/>
    <x v="0"/>
    <n v="867.5"/>
    <x v="907"/>
    <s v="Bronze"/>
    <n v="53"/>
    <x v="1"/>
    <s v="Clothing"/>
  </r>
  <r>
    <s v="SALE908"/>
    <d v="2023-12-28T00:00:00"/>
    <x v="373"/>
    <x v="65"/>
    <x v="12"/>
    <n v="3"/>
    <n v="3"/>
    <n v="104.33"/>
    <n v="104.33"/>
    <n v="0.13"/>
    <n v="0.13"/>
    <x v="2"/>
    <n v="272.30130000000003"/>
    <x v="908"/>
    <s v="Platinum"/>
    <n v="59"/>
    <x v="0"/>
    <s v="Clothing"/>
  </r>
  <r>
    <s v="SALE909"/>
    <d v="2024-07-04T00:00:00"/>
    <x v="9"/>
    <x v="83"/>
    <x v="18"/>
    <n v="1"/>
    <n v="1"/>
    <n v="221.7"/>
    <n v="221.7"/>
    <n v="0.04"/>
    <n v="0.04"/>
    <x v="0"/>
    <n v="212.83199999999999"/>
    <x v="909"/>
    <s v="Not Found"/>
    <s v="Not Found"/>
    <x v="2"/>
    <s v="Clothing"/>
  </r>
  <r>
    <s v="SALE910"/>
    <d v="2025-05-19T00:00:00"/>
    <x v="225"/>
    <x v="22"/>
    <x v="3"/>
    <n v="2"/>
    <n v="2"/>
    <n v="491.26"/>
    <n v="491.26"/>
    <n v="0.14000000000000001"/>
    <n v="0.14000000000000001"/>
    <x v="2"/>
    <n v="844.96719999999993"/>
    <x v="910"/>
    <s v="Silver"/>
    <n v="20"/>
    <x v="1"/>
    <s v="Electronics"/>
  </r>
  <r>
    <s v="SALE911"/>
    <d v="2024-12-04T00:00:00"/>
    <x v="282"/>
    <x v="92"/>
    <x v="2"/>
    <n v="4"/>
    <n v="4"/>
    <n v="923.14"/>
    <n v="923.14"/>
    <n v="0.15"/>
    <n v="0.15"/>
    <x v="0"/>
    <n v="3138.6759999999999"/>
    <x v="911"/>
    <s v="Bronze"/>
    <n v="60"/>
    <x v="0"/>
    <s v="Clothing"/>
  </r>
  <r>
    <s v="SALE912"/>
    <d v="2024-11-29T00:00:00"/>
    <x v="425"/>
    <x v="91"/>
    <x v="4"/>
    <n v="2"/>
    <n v="2"/>
    <n v="747.65"/>
    <n v="747.65"/>
    <n v="0.08"/>
    <n v="0.08"/>
    <x v="0"/>
    <n v="1375.6759999999999"/>
    <x v="912"/>
    <s v="Gold"/>
    <n v="38"/>
    <x v="0"/>
    <s v="Beauty"/>
  </r>
  <r>
    <s v="SALE913"/>
    <d v="2025-04-26T00:00:00"/>
    <x v="423"/>
    <x v="63"/>
    <x v="4"/>
    <n v="3"/>
    <n v="3"/>
    <n v="94.55"/>
    <n v="94.55"/>
    <n v="0.13"/>
    <n v="0.13"/>
    <x v="2"/>
    <n v="246.77549999999999"/>
    <x v="913"/>
    <s v="Silver"/>
    <n v="27"/>
    <x v="0"/>
    <s v="Electronics"/>
  </r>
  <r>
    <s v="SALE914"/>
    <d v="2024-01-17T00:00:00"/>
    <x v="276"/>
    <x v="5"/>
    <x v="12"/>
    <n v="3"/>
    <n v="3"/>
    <n v="620.12"/>
    <n v="620.12"/>
    <n v="0.06"/>
    <n v="0.06"/>
    <x v="0"/>
    <n v="1748.7384"/>
    <x v="914"/>
    <s v="Gold"/>
    <n v="55"/>
    <x v="1"/>
    <s v="Electronics"/>
  </r>
  <r>
    <s v="SALE915"/>
    <d v="2025-07-31T00:00:00"/>
    <x v="371"/>
    <x v="20"/>
    <x v="16"/>
    <n v="2"/>
    <n v="2"/>
    <n v="354.09"/>
    <n v="354.09"/>
    <n v="0.12"/>
    <n v="0.12"/>
    <x v="2"/>
    <n v="623.19839999999999"/>
    <x v="915"/>
    <s v="Not Found"/>
    <s v="Not Found"/>
    <x v="2"/>
    <s v="Clothing"/>
  </r>
  <r>
    <s v="SALE916"/>
    <d v="2024-11-25T00:00:00"/>
    <x v="390"/>
    <x v="27"/>
    <x v="3"/>
    <n v="3"/>
    <n v="3"/>
    <n v="214.94"/>
    <n v="214.94"/>
    <n v="0.22"/>
    <n v="0.22"/>
    <x v="2"/>
    <n v="502.95960000000002"/>
    <x v="916"/>
    <s v="Platinum"/>
    <n v="29"/>
    <x v="0"/>
    <s v="Clothing"/>
  </r>
  <r>
    <s v="SALE917"/>
    <d v="2024-05-16T00:00:00"/>
    <x v="174"/>
    <x v="93"/>
    <x v="18"/>
    <n v="2"/>
    <n v="2"/>
    <n v="309.77999999999997"/>
    <n v="309.77999999999997"/>
    <n v="0.16"/>
    <n v="0.16"/>
    <x v="0"/>
    <n v="520.43039999999996"/>
    <x v="917"/>
    <s v="Bronze"/>
    <n v="46"/>
    <x v="0"/>
    <s v="Sports"/>
  </r>
  <r>
    <s v="SALE918"/>
    <d v="2025-05-30T00:00:00"/>
    <x v="182"/>
    <x v="26"/>
    <x v="0"/>
    <n v="2"/>
    <n v="2"/>
    <n v="183.85"/>
    <n v="183.85"/>
    <n v="0.14000000000000001"/>
    <n v="0.14000000000000001"/>
    <x v="1"/>
    <n v="316.22199999999998"/>
    <x v="918"/>
    <s v="Platinum"/>
    <n v="24"/>
    <x v="1"/>
    <s v="Electronics"/>
  </r>
  <r>
    <s v="SALE919"/>
    <d v="2023-11-08T00:00:00"/>
    <x v="0"/>
    <x v="7"/>
    <x v="6"/>
    <n v="1"/>
    <n v="1"/>
    <n v="550.05999999999995"/>
    <n v="550.05999999999995"/>
    <n v="0.01"/>
    <n v="0.01"/>
    <x v="0"/>
    <n v="544.55939999999998"/>
    <x v="919"/>
    <s v="Gold"/>
    <n v="55"/>
    <x v="0"/>
    <s v="Home"/>
  </r>
  <r>
    <s v="SALE920"/>
    <d v="2023-11-23T00:00:00"/>
    <x v="92"/>
    <x v="29"/>
    <x v="5"/>
    <n v="2"/>
    <n v="2"/>
    <n v="32.19"/>
    <n v="32.19"/>
    <n v="0.13"/>
    <n v="0.13"/>
    <x v="2"/>
    <n v="56.010599999999997"/>
    <x v="920"/>
    <s v="Silver"/>
    <n v="54"/>
    <x v="1"/>
    <s v="Home"/>
  </r>
  <r>
    <s v="SALE921"/>
    <d v="2024-06-17T00:00:00"/>
    <x v="160"/>
    <x v="9"/>
    <x v="12"/>
    <n v="2"/>
    <n v="2"/>
    <n v="892.06"/>
    <n v="892.06"/>
    <n v="0.08"/>
    <n v="0.08"/>
    <x v="0"/>
    <n v="1641.3904"/>
    <x v="921"/>
    <s v="Gold"/>
    <n v="43"/>
    <x v="0"/>
    <s v="Home"/>
  </r>
  <r>
    <s v="SALE922"/>
    <d v="2024-12-02T00:00:00"/>
    <x v="167"/>
    <x v="87"/>
    <x v="16"/>
    <n v="1"/>
    <n v="1"/>
    <n v="127.47"/>
    <n v="127.47"/>
    <n v="0.16"/>
    <n v="0.16"/>
    <x v="2"/>
    <n v="107.0748"/>
    <x v="922"/>
    <s v="Silver"/>
    <n v="42"/>
    <x v="0"/>
    <s v="Clothing"/>
  </r>
  <r>
    <s v="SALE923"/>
    <d v="2025-05-01T00:00:00"/>
    <x v="327"/>
    <x v="25"/>
    <x v="7"/>
    <n v="3"/>
    <n v="3"/>
    <n v="212.87"/>
    <n v="212.87"/>
    <n v="0.18"/>
    <n v="0.18"/>
    <x v="0"/>
    <n v="523.66020000000003"/>
    <x v="923"/>
    <s v="Platinum"/>
    <n v="53"/>
    <x v="0"/>
    <s v="Electronics"/>
  </r>
  <r>
    <s v="SALE924"/>
    <d v="2024-06-28T00:00:00"/>
    <x v="282"/>
    <x v="82"/>
    <x v="4"/>
    <n v="1"/>
    <n v="1"/>
    <n v="26.37"/>
    <n v="26.37"/>
    <n v="0.3"/>
    <n v="0.3"/>
    <x v="2"/>
    <n v="18.459"/>
    <x v="924"/>
    <s v="Bronze"/>
    <n v="60"/>
    <x v="0"/>
    <s v="Sports"/>
  </r>
  <r>
    <s v="SALE925"/>
    <d v="2025-04-23T00:00:00"/>
    <x v="220"/>
    <x v="13"/>
    <x v="14"/>
    <n v="4"/>
    <n v="4"/>
    <n v="953.98"/>
    <n v="953.98"/>
    <n v="0.16"/>
    <n v="0.16"/>
    <x v="0"/>
    <n v="3205.3728000000001"/>
    <x v="925"/>
    <s v="Silver"/>
    <n v="18"/>
    <x v="0"/>
    <s v="Electronics"/>
  </r>
  <r>
    <s v="SALE926"/>
    <d v="2024-03-18T00:00:00"/>
    <x v="295"/>
    <x v="22"/>
    <x v="12"/>
    <n v="3"/>
    <n v="3"/>
    <n v="968.88"/>
    <n v="968.88"/>
    <n v="0.15"/>
    <n v="0.15"/>
    <x v="0"/>
    <n v="2470.6439999999998"/>
    <x v="926"/>
    <s v="Gold"/>
    <n v="50"/>
    <x v="1"/>
    <s v="Electronics"/>
  </r>
  <r>
    <s v="SALE927"/>
    <d v="2025-09-10T00:00:00"/>
    <x v="8"/>
    <x v="3"/>
    <x v="14"/>
    <n v="1"/>
    <n v="1"/>
    <n v="533.04999999999995"/>
    <n v="533.04999999999995"/>
    <n v="0.11"/>
    <n v="0.11"/>
    <x v="1"/>
    <n v="474.41449999999998"/>
    <x v="927"/>
    <s v="Platinum"/>
    <n v="60"/>
    <x v="1"/>
    <s v="Electronics"/>
  </r>
  <r>
    <s v="SALE928"/>
    <d v="2024-12-11T00:00:00"/>
    <x v="25"/>
    <x v="82"/>
    <x v="8"/>
    <n v="3"/>
    <n v="3"/>
    <n v="138.86000000000001"/>
    <n v="138.86000000000001"/>
    <n v="0.11"/>
    <n v="0.11"/>
    <x v="1"/>
    <n v="370.75619999999998"/>
    <x v="928"/>
    <s v="Silver"/>
    <n v="50"/>
    <x v="0"/>
    <s v="Sports"/>
  </r>
  <r>
    <s v="SALE929"/>
    <d v="2025-02-18T00:00:00"/>
    <x v="287"/>
    <x v="62"/>
    <x v="6"/>
    <n v="1"/>
    <n v="1"/>
    <n v="588.92999999999995"/>
    <n v="588.92999999999995"/>
    <n v="0.03"/>
    <n v="0.03"/>
    <x v="2"/>
    <n v="571.26209999999992"/>
    <x v="929"/>
    <s v="Gold"/>
    <n v="46"/>
    <x v="1"/>
    <s v="Sports"/>
  </r>
  <r>
    <s v="SALE930"/>
    <d v="2024-09-22T00:00:00"/>
    <x v="75"/>
    <x v="40"/>
    <x v="3"/>
    <n v="2"/>
    <n v="2"/>
    <n v="576.83000000000004"/>
    <n v="576.83000000000004"/>
    <n v="0.19"/>
    <n v="0.19"/>
    <x v="1"/>
    <n v="934.46460000000013"/>
    <x v="930"/>
    <s v="Bronze"/>
    <n v="34"/>
    <x v="0"/>
    <s v="Sports"/>
  </r>
  <r>
    <s v="SALE931"/>
    <d v="2024-02-16T00:00:00"/>
    <x v="162"/>
    <x v="15"/>
    <x v="18"/>
    <n v="1"/>
    <n v="1"/>
    <n v="681.3"/>
    <n v="681.3"/>
    <n v="0.05"/>
    <n v="0.05"/>
    <x v="0"/>
    <n v="647.2349999999999"/>
    <x v="931"/>
    <s v="Platinum"/>
    <n v="64"/>
    <x v="1"/>
    <s v="Sports"/>
  </r>
  <r>
    <s v="SALE932"/>
    <d v="2024-05-29T00:00:00"/>
    <x v="414"/>
    <x v="60"/>
    <x v="10"/>
    <n v="3"/>
    <n v="3"/>
    <n v="504.97"/>
    <n v="504.97"/>
    <n v="0.3"/>
    <n v="0.3"/>
    <x v="0"/>
    <n v="1060.4369999999999"/>
    <x v="932"/>
    <s v="Platinum"/>
    <n v="59"/>
    <x v="0"/>
    <s v="Clothing"/>
  </r>
  <r>
    <s v="SALE933"/>
    <d v="2024-04-14T00:00:00"/>
    <x v="426"/>
    <x v="48"/>
    <x v="19"/>
    <n v="3"/>
    <n v="3"/>
    <n v="649.78"/>
    <n v="649.78"/>
    <n v="0.1"/>
    <n v="0.1"/>
    <x v="1"/>
    <n v="1754.4059999999999"/>
    <x v="933"/>
    <s v="Silver"/>
    <n v="22"/>
    <x v="1"/>
    <s v="Sports"/>
  </r>
  <r>
    <s v="SALE934"/>
    <d v="2024-01-26T00:00:00"/>
    <x v="427"/>
    <x v="11"/>
    <x v="11"/>
    <n v="2"/>
    <n v="2"/>
    <n v="986.73"/>
    <n v="986.73"/>
    <n v="0.05"/>
    <n v="0.05"/>
    <x v="1"/>
    <n v="1874.787"/>
    <x v="934"/>
    <s v="Platinum"/>
    <n v="57"/>
    <x v="1"/>
    <s v="Electronics"/>
  </r>
  <r>
    <s v="SALE935"/>
    <d v="2023-11-05T00:00:00"/>
    <x v="97"/>
    <x v="26"/>
    <x v="10"/>
    <n v="2"/>
    <n v="2"/>
    <n v="65.44"/>
    <n v="65.44"/>
    <n v="0.05"/>
    <n v="0.05"/>
    <x v="1"/>
    <n v="124.336"/>
    <x v="935"/>
    <s v="Bronze"/>
    <n v="40"/>
    <x v="0"/>
    <s v="Electronics"/>
  </r>
  <r>
    <s v="SALE936"/>
    <d v="2025-06-16T00:00:00"/>
    <x v="280"/>
    <x v="81"/>
    <x v="13"/>
    <n v="3"/>
    <n v="3"/>
    <n v="953.74"/>
    <n v="953.74"/>
    <n v="0.04"/>
    <n v="0.04"/>
    <x v="0"/>
    <n v="2746.7712000000001"/>
    <x v="936"/>
    <s v="Silver"/>
    <n v="27"/>
    <x v="1"/>
    <s v="Beauty"/>
  </r>
  <r>
    <s v="SALE937"/>
    <d v="2024-09-08T00:00:00"/>
    <x v="101"/>
    <x v="3"/>
    <x v="15"/>
    <n v="3"/>
    <n v="3"/>
    <n v="904.48"/>
    <n v="904.48"/>
    <n v="0.21"/>
    <n v="0.21"/>
    <x v="1"/>
    <n v="2143.6176"/>
    <x v="937"/>
    <s v="Silver"/>
    <n v="58"/>
    <x v="0"/>
    <s v="Electronics"/>
  </r>
  <r>
    <s v="SALE938"/>
    <d v="2024-10-30T00:00:00"/>
    <x v="36"/>
    <x v="85"/>
    <x v="10"/>
    <n v="3"/>
    <n v="3"/>
    <n v="920.82"/>
    <n v="920.82"/>
    <n v="0.1"/>
    <n v="0.1"/>
    <x v="1"/>
    <n v="2486.2139999999999"/>
    <x v="938"/>
    <s v="Platinum"/>
    <n v="59"/>
    <x v="1"/>
    <s v="Electronics"/>
  </r>
  <r>
    <s v="SALE939"/>
    <d v="2025-05-26T00:00:00"/>
    <x v="428"/>
    <x v="77"/>
    <x v="8"/>
    <n v="1"/>
    <n v="1"/>
    <n v="182.28"/>
    <n v="182.28"/>
    <n v="0.15"/>
    <n v="0.15"/>
    <x v="2"/>
    <n v="154.93799999999999"/>
    <x v="939"/>
    <s v="Platinum"/>
    <n v="64"/>
    <x v="0"/>
    <s v="Sports"/>
  </r>
  <r>
    <s v="SALE940"/>
    <d v="2025-08-11T00:00:00"/>
    <x v="312"/>
    <x v="45"/>
    <x v="9"/>
    <n v="3"/>
    <n v="3"/>
    <n v="938.68"/>
    <n v="938.68"/>
    <n v="0.14000000000000001"/>
    <n v="0.14000000000000001"/>
    <x v="0"/>
    <n v="2421.7944000000002"/>
    <x v="940"/>
    <s v="Platinum"/>
    <n v="41"/>
    <x v="1"/>
    <s v="Sports"/>
  </r>
  <r>
    <s v="SALE941"/>
    <d v="2025-02-02T00:00:00"/>
    <x v="150"/>
    <x v="52"/>
    <x v="3"/>
    <n v="3"/>
    <n v="3"/>
    <n v="219.96"/>
    <n v="219.96"/>
    <n v="0.18"/>
    <n v="0.18"/>
    <x v="1"/>
    <n v="541.10160000000008"/>
    <x v="941"/>
    <s v="Platinum"/>
    <n v="34"/>
    <x v="1"/>
    <s v="Clothing"/>
  </r>
  <r>
    <s v="SALE942"/>
    <d v="2025-07-03T00:00:00"/>
    <x v="117"/>
    <x v="51"/>
    <x v="14"/>
    <n v="3"/>
    <n v="3"/>
    <n v="385.74"/>
    <n v="385.74"/>
    <n v="0.27"/>
    <n v="0.27"/>
    <x v="0"/>
    <n v="844.77059999999994"/>
    <x v="942"/>
    <s v="Bronze"/>
    <n v="53"/>
    <x v="0"/>
    <s v="Beauty"/>
  </r>
  <r>
    <s v="SALE943"/>
    <d v="2024-03-29T00:00:00"/>
    <x v="32"/>
    <x v="82"/>
    <x v="14"/>
    <n v="2"/>
    <n v="2"/>
    <n v="830.94"/>
    <n v="830.94"/>
    <n v="0.28000000000000003"/>
    <n v="0.28000000000000003"/>
    <x v="1"/>
    <n v="1196.5536"/>
    <x v="943"/>
    <s v="Platinum"/>
    <n v="62"/>
    <x v="1"/>
    <s v="Sports"/>
  </r>
  <r>
    <s v="SALE944"/>
    <d v="2024-07-30T00:00:00"/>
    <x v="280"/>
    <x v="58"/>
    <x v="11"/>
    <n v="3"/>
    <n v="3"/>
    <n v="462.75"/>
    <n v="462.75"/>
    <n v="0.22"/>
    <n v="0.22"/>
    <x v="1"/>
    <n v="1082.835"/>
    <x v="944"/>
    <s v="Silver"/>
    <n v="27"/>
    <x v="1"/>
    <s v="OTHERS"/>
  </r>
  <r>
    <s v="SALE945"/>
    <d v="2024-10-02T00:00:00"/>
    <x v="101"/>
    <x v="66"/>
    <x v="10"/>
    <n v="4"/>
    <n v="4"/>
    <n v="973.9"/>
    <n v="973.9"/>
    <n v="0.02"/>
    <n v="0.02"/>
    <x v="2"/>
    <n v="3817.6880000000001"/>
    <x v="945"/>
    <s v="Silver"/>
    <n v="58"/>
    <x v="0"/>
    <s v="Home"/>
  </r>
  <r>
    <s v="SALE946"/>
    <d v="2024-11-04T00:00:00"/>
    <x v="429"/>
    <x v="68"/>
    <x v="8"/>
    <n v="2"/>
    <n v="2"/>
    <n v="157.18"/>
    <n v="157.18"/>
    <n v="0.15"/>
    <n v="0.15"/>
    <x v="0"/>
    <n v="267.20600000000002"/>
    <x v="946"/>
    <s v="Gold"/>
    <n v="63"/>
    <x v="1"/>
    <s v="Home"/>
  </r>
  <r>
    <s v="SALE947"/>
    <d v="2024-05-03T00:00:00"/>
    <x v="199"/>
    <x v="78"/>
    <x v="13"/>
    <n v="3"/>
    <n v="3"/>
    <n v="239.57"/>
    <n v="239.57"/>
    <n v="0.16"/>
    <n v="0.16"/>
    <x v="0"/>
    <n v="603.71640000000002"/>
    <x v="947"/>
    <s v="Silver"/>
    <n v="32"/>
    <x v="1"/>
    <s v="Sports"/>
  </r>
  <r>
    <s v="SALE948"/>
    <d v="2024-02-21T00:00:00"/>
    <x v="78"/>
    <x v="93"/>
    <x v="9"/>
    <n v="4"/>
    <n v="4"/>
    <n v="583.21"/>
    <n v="583.21"/>
    <n v="0.2"/>
    <n v="0.2"/>
    <x v="0"/>
    <n v="1866.2719999999999"/>
    <x v="948"/>
    <s v="Bronze"/>
    <n v="62"/>
    <x v="1"/>
    <s v="Sports"/>
  </r>
  <r>
    <s v="SALE949"/>
    <d v="2024-04-17T00:00:00"/>
    <x v="275"/>
    <x v="82"/>
    <x v="2"/>
    <n v="3"/>
    <n v="3"/>
    <n v="758.75"/>
    <n v="758.75"/>
    <n v="0.27"/>
    <n v="0.27"/>
    <x v="1"/>
    <n v="1661.6624999999999"/>
    <x v="949"/>
    <s v="Bronze"/>
    <n v="59"/>
    <x v="1"/>
    <s v="Sports"/>
  </r>
  <r>
    <s v="SALE950"/>
    <d v="2025-02-01T00:00:00"/>
    <x v="430"/>
    <x v="86"/>
    <x v="3"/>
    <n v="4"/>
    <n v="4"/>
    <n v="372.42"/>
    <n v="372.42"/>
    <n v="0.19"/>
    <n v="0.19"/>
    <x v="0"/>
    <n v="1206.6407999999999"/>
    <x v="950"/>
    <s v="Bronze"/>
    <n v="41"/>
    <x v="1"/>
    <s v="Sports"/>
  </r>
  <r>
    <s v="SALE951"/>
    <d v="2025-02-11T00:00:00"/>
    <x v="431"/>
    <x v="81"/>
    <x v="12"/>
    <n v="4"/>
    <n v="4"/>
    <n v="286.27999999999997"/>
    <n v="286.27999999999997"/>
    <n v="0.28000000000000003"/>
    <n v="0.28000000000000003"/>
    <x v="1"/>
    <n v="824.48639999999989"/>
    <x v="951"/>
    <s v="Gold"/>
    <n v="35"/>
    <x v="1"/>
    <s v="Beauty"/>
  </r>
  <r>
    <s v="SALE952"/>
    <d v="2025-01-06T00:00:00"/>
    <x v="419"/>
    <x v="78"/>
    <x v="19"/>
    <n v="3"/>
    <n v="3"/>
    <n v="488.37"/>
    <n v="488.37"/>
    <n v="0.27"/>
    <n v="0.27"/>
    <x v="2"/>
    <n v="1069.5302999999999"/>
    <x v="952"/>
    <s v="Bronze"/>
    <n v="21"/>
    <x v="1"/>
    <s v="Sports"/>
  </r>
  <r>
    <s v="SALE953"/>
    <d v="2024-03-26T00:00:00"/>
    <x v="262"/>
    <x v="72"/>
    <x v="2"/>
    <n v="3"/>
    <n v="3"/>
    <n v="662.82"/>
    <n v="662.82"/>
    <n v="0.01"/>
    <n v="0.01"/>
    <x v="2"/>
    <n v="1968.5753999999999"/>
    <x v="953"/>
    <s v="Gold"/>
    <n v="19"/>
    <x v="0"/>
    <s v="Home"/>
  </r>
  <r>
    <s v="SALE954"/>
    <d v="2024-04-30T00:00:00"/>
    <x v="388"/>
    <x v="96"/>
    <x v="9"/>
    <n v="2"/>
    <n v="2"/>
    <n v="824.34"/>
    <n v="824.34"/>
    <n v="0.1"/>
    <n v="0.1"/>
    <x v="2"/>
    <n v="1483.8119999999999"/>
    <x v="954"/>
    <s v="Gold"/>
    <n v="47"/>
    <x v="1"/>
    <s v="Beauty"/>
  </r>
  <r>
    <s v="SALE955"/>
    <d v="2024-02-27T00:00:00"/>
    <x v="121"/>
    <x v="4"/>
    <x v="2"/>
    <n v="1"/>
    <n v="1"/>
    <n v="437.12"/>
    <n v="437.12"/>
    <n v="0.21"/>
    <n v="0.21"/>
    <x v="0"/>
    <n v="345.32479999999998"/>
    <x v="955"/>
    <s v="Gold"/>
    <n v="51"/>
    <x v="0"/>
    <s v="Beauty"/>
  </r>
  <r>
    <s v="SALE956"/>
    <d v="2024-07-13T00:00:00"/>
    <x v="374"/>
    <x v="12"/>
    <x v="16"/>
    <n v="3"/>
    <n v="3"/>
    <n v="23.37"/>
    <n v="23.37"/>
    <n v="0.15"/>
    <n v="0.15"/>
    <x v="1"/>
    <n v="59.593499999999999"/>
    <x v="956"/>
    <s v="Gold"/>
    <n v="41"/>
    <x v="0"/>
    <s v="Sports"/>
  </r>
  <r>
    <s v="SALE957"/>
    <d v="2025-04-14T00:00:00"/>
    <x v="8"/>
    <x v="14"/>
    <x v="2"/>
    <n v="1"/>
    <n v="1"/>
    <n v="579.69000000000005"/>
    <n v="579.69000000000005"/>
    <n v="0.02"/>
    <n v="0.02"/>
    <x v="0"/>
    <n v="568.09620000000007"/>
    <x v="957"/>
    <s v="Platinum"/>
    <n v="60"/>
    <x v="1"/>
    <s v="Clothing"/>
  </r>
  <r>
    <s v="SALE958"/>
    <d v="2024-12-13T00:00:00"/>
    <x v="351"/>
    <x v="36"/>
    <x v="7"/>
    <n v="3"/>
    <n v="3"/>
    <n v="240.51"/>
    <n v="240.51"/>
    <n v="7.0000000000000007E-2"/>
    <n v="7.0000000000000007E-2"/>
    <x v="0"/>
    <n v="671.02289999999994"/>
    <x v="958"/>
    <s v="Gold"/>
    <n v="36"/>
    <x v="1"/>
    <s v="Home"/>
  </r>
  <r>
    <s v="SALE959"/>
    <d v="2025-08-24T00:00:00"/>
    <x v="157"/>
    <x v="60"/>
    <x v="7"/>
    <n v="2"/>
    <n v="2"/>
    <n v="855.4"/>
    <n v="855.4"/>
    <n v="0.08"/>
    <n v="0.08"/>
    <x v="2"/>
    <n v="1573.9359999999999"/>
    <x v="959"/>
    <s v="Gold"/>
    <n v="20"/>
    <x v="1"/>
    <s v="Clothing"/>
  </r>
  <r>
    <s v="SALE960"/>
    <d v="2023-10-28T00:00:00"/>
    <x v="69"/>
    <x v="64"/>
    <x v="4"/>
    <n v="1"/>
    <n v="1"/>
    <n v="537.26"/>
    <n v="537.26"/>
    <n v="0.09"/>
    <n v="0.09"/>
    <x v="0"/>
    <n v="488.90660000000003"/>
    <x v="960"/>
    <s v="Bronze"/>
    <n v="29"/>
    <x v="1"/>
    <s v="Electronics"/>
  </r>
  <r>
    <s v="SALE961"/>
    <d v="2024-12-11T00:00:00"/>
    <x v="304"/>
    <x v="69"/>
    <x v="15"/>
    <n v="3"/>
    <n v="3"/>
    <n v="918.26"/>
    <n v="918.26"/>
    <n v="0.17"/>
    <n v="0.17"/>
    <x v="2"/>
    <n v="2286.4674"/>
    <x v="961"/>
    <s v="Bronze"/>
    <n v="52"/>
    <x v="1"/>
    <s v="Electronics"/>
  </r>
  <r>
    <s v="SALE962"/>
    <d v="2024-06-29T00:00:00"/>
    <x v="50"/>
    <x v="96"/>
    <x v="11"/>
    <n v="4"/>
    <n v="4"/>
    <n v="579.70000000000005"/>
    <n v="579.70000000000005"/>
    <n v="0.18"/>
    <n v="0.18"/>
    <x v="1"/>
    <n v="1901.4159999999999"/>
    <x v="962"/>
    <s v="Platinum"/>
    <n v="62"/>
    <x v="1"/>
    <s v="Beauty"/>
  </r>
  <r>
    <s v="SALE963"/>
    <d v="2025-02-22T00:00:00"/>
    <x v="281"/>
    <x v="19"/>
    <x v="16"/>
    <n v="1"/>
    <n v="1"/>
    <n v="824.32"/>
    <n v="824.32"/>
    <n v="0.18"/>
    <n v="0.18"/>
    <x v="0"/>
    <n v="675.94240000000013"/>
    <x v="963"/>
    <s v="Platinum"/>
    <n v="46"/>
    <x v="0"/>
    <s v="Electronics"/>
  </r>
  <r>
    <s v="SALE964"/>
    <d v="2025-01-25T00:00:00"/>
    <x v="423"/>
    <x v="54"/>
    <x v="10"/>
    <n v="4"/>
    <n v="4"/>
    <n v="614.99"/>
    <n v="614.99"/>
    <n v="0.16"/>
    <n v="0.16"/>
    <x v="1"/>
    <n v="2066.3663999999999"/>
    <x v="964"/>
    <s v="Silver"/>
    <n v="27"/>
    <x v="0"/>
    <s v="Clothing"/>
  </r>
  <r>
    <s v="SALE965"/>
    <d v="2025-03-14T00:00:00"/>
    <x v="147"/>
    <x v="85"/>
    <x v="6"/>
    <n v="4"/>
    <n v="4"/>
    <n v="189.21"/>
    <n v="189.21"/>
    <n v="0.06"/>
    <n v="0.06"/>
    <x v="2"/>
    <n v="711.42959999999994"/>
    <x v="965"/>
    <s v="Silver"/>
    <n v="45"/>
    <x v="0"/>
    <s v="Electronics"/>
  </r>
  <r>
    <s v="SALE966"/>
    <d v="2024-12-03T00:00:00"/>
    <x v="431"/>
    <x v="85"/>
    <x v="7"/>
    <n v="2"/>
    <n v="2"/>
    <n v="233.33"/>
    <n v="233.33"/>
    <n v="0.05"/>
    <n v="0.05"/>
    <x v="0"/>
    <n v="443.327"/>
    <x v="966"/>
    <s v="Gold"/>
    <n v="35"/>
    <x v="1"/>
    <s v="Electronics"/>
  </r>
  <r>
    <s v="SALE967"/>
    <d v="2025-05-06T00:00:00"/>
    <x v="201"/>
    <x v="11"/>
    <x v="14"/>
    <n v="3"/>
    <n v="3"/>
    <n v="529.89"/>
    <n v="529.89"/>
    <n v="0.21"/>
    <n v="0.21"/>
    <x v="0"/>
    <n v="1255.8393000000001"/>
    <x v="967"/>
    <s v="Gold"/>
    <n v="19"/>
    <x v="0"/>
    <s v="Electronics"/>
  </r>
  <r>
    <s v="SALE968"/>
    <d v="2024-08-14T00:00:00"/>
    <x v="154"/>
    <x v="80"/>
    <x v="8"/>
    <n v="2"/>
    <n v="2"/>
    <n v="954.1"/>
    <n v="954.1"/>
    <n v="0.17"/>
    <n v="0.17"/>
    <x v="1"/>
    <n v="1583.806"/>
    <x v="968"/>
    <s v="Silver"/>
    <n v="42"/>
    <x v="1"/>
    <s v="Home"/>
  </r>
  <r>
    <s v="SALE969"/>
    <d v="2023-12-14T00:00:00"/>
    <x v="162"/>
    <x v="15"/>
    <x v="4"/>
    <n v="1"/>
    <n v="1"/>
    <n v="370.04"/>
    <n v="370.04"/>
    <n v="0.04"/>
    <n v="0.04"/>
    <x v="2"/>
    <n v="355.23840000000001"/>
    <x v="969"/>
    <s v="Platinum"/>
    <n v="64"/>
    <x v="1"/>
    <s v="Sports"/>
  </r>
  <r>
    <s v="SALE970"/>
    <d v="2024-01-06T00:00:00"/>
    <x v="252"/>
    <x v="99"/>
    <x v="12"/>
    <n v="4"/>
    <n v="4"/>
    <n v="492.71"/>
    <n v="492.71"/>
    <n v="0.08"/>
    <n v="0.08"/>
    <x v="0"/>
    <n v="1813.1728000000001"/>
    <x v="970"/>
    <s v="Silver"/>
    <n v="23"/>
    <x v="0"/>
    <s v="Clothing"/>
  </r>
  <r>
    <s v="SALE971"/>
    <d v="2024-08-26T00:00:00"/>
    <x v="432"/>
    <x v="52"/>
    <x v="13"/>
    <n v="4"/>
    <n v="4"/>
    <n v="853.26"/>
    <n v="853.26"/>
    <n v="0.24"/>
    <n v="0.24"/>
    <x v="2"/>
    <n v="2593.9104000000002"/>
    <x v="971"/>
    <s v="Bronze"/>
    <n v="48"/>
    <x v="0"/>
    <s v="Clothing"/>
  </r>
  <r>
    <s v="SALE972"/>
    <d v="2025-03-24T00:00:00"/>
    <x v="82"/>
    <x v="58"/>
    <x v="9"/>
    <n v="1"/>
    <n v="1"/>
    <n v="402.47"/>
    <n v="402.47"/>
    <n v="0.19"/>
    <n v="0.19"/>
    <x v="1"/>
    <n v="326.00070000000011"/>
    <x v="972"/>
    <s v="Gold"/>
    <n v="23"/>
    <x v="1"/>
    <s v="OTHERS"/>
  </r>
  <r>
    <s v="SALE973"/>
    <d v="2024-01-20T00:00:00"/>
    <x v="363"/>
    <x v="59"/>
    <x v="14"/>
    <n v="2"/>
    <n v="2"/>
    <n v="528.29999999999995"/>
    <n v="528.29999999999995"/>
    <n v="0.24"/>
    <n v="0.24"/>
    <x v="0"/>
    <n v="803.01599999999996"/>
    <x v="973"/>
    <s v="Bronze"/>
    <n v="31"/>
    <x v="0"/>
    <s v="Sports"/>
  </r>
  <r>
    <s v="SALE974"/>
    <d v="2025-01-10T00:00:00"/>
    <x v="433"/>
    <x v="31"/>
    <x v="16"/>
    <n v="4"/>
    <n v="4"/>
    <n v="599.85"/>
    <n v="599.85"/>
    <n v="0.25"/>
    <n v="0.25"/>
    <x v="0"/>
    <n v="1799.55"/>
    <x v="974"/>
    <s v="Gold"/>
    <n v="19"/>
    <x v="0"/>
    <s v="Home"/>
  </r>
  <r>
    <s v="SALE975"/>
    <d v="2023-12-21T00:00:00"/>
    <x v="77"/>
    <x v="30"/>
    <x v="11"/>
    <n v="2"/>
    <n v="2"/>
    <n v="61.42"/>
    <n v="61.42"/>
    <n v="0.08"/>
    <n v="0.08"/>
    <x v="1"/>
    <n v="113.0128"/>
    <x v="975"/>
    <s v="Platinum"/>
    <n v="23"/>
    <x v="1"/>
    <s v="OTHERS"/>
  </r>
  <r>
    <s v="SALE976"/>
    <d v="2025-02-05T00:00:00"/>
    <x v="434"/>
    <x v="46"/>
    <x v="15"/>
    <n v="2"/>
    <n v="2"/>
    <n v="466.42"/>
    <n v="466.42"/>
    <n v="0.12"/>
    <n v="0.12"/>
    <x v="1"/>
    <n v="820.89920000000006"/>
    <x v="976"/>
    <s v="Gold"/>
    <n v="41"/>
    <x v="1"/>
    <s v="Sports"/>
  </r>
  <r>
    <s v="SALE977"/>
    <d v="2025-07-19T00:00:00"/>
    <x v="179"/>
    <x v="45"/>
    <x v="3"/>
    <n v="4"/>
    <n v="4"/>
    <n v="540.69000000000005"/>
    <n v="540.69000000000005"/>
    <n v="0.09"/>
    <n v="0.09"/>
    <x v="2"/>
    <n v="1968.1116"/>
    <x v="977"/>
    <s v="Silver"/>
    <n v="35"/>
    <x v="0"/>
    <s v="Sports"/>
  </r>
  <r>
    <s v="SALE978"/>
    <d v="2025-03-21T00:00:00"/>
    <x v="83"/>
    <x v="46"/>
    <x v="13"/>
    <n v="3"/>
    <n v="3"/>
    <n v="677.46"/>
    <n v="677.46"/>
    <n v="0.05"/>
    <n v="0.05"/>
    <x v="0"/>
    <n v="1930.761"/>
    <x v="978"/>
    <s v="Platinum"/>
    <n v="64"/>
    <x v="0"/>
    <s v="Sports"/>
  </r>
  <r>
    <s v="SALE979"/>
    <d v="2025-04-24T00:00:00"/>
    <x v="342"/>
    <x v="39"/>
    <x v="8"/>
    <n v="3"/>
    <n v="3"/>
    <n v="614.63"/>
    <n v="614.63"/>
    <n v="0.06"/>
    <n v="0.06"/>
    <x v="1"/>
    <n v="1733.2565999999999"/>
    <x v="979"/>
    <s v="Platinum"/>
    <n v="46"/>
    <x v="0"/>
    <s v="Home"/>
  </r>
  <r>
    <s v="SALE980"/>
    <d v="2023-12-12T00:00:00"/>
    <x v="309"/>
    <x v="73"/>
    <x v="2"/>
    <n v="4"/>
    <n v="4"/>
    <n v="649.52"/>
    <n v="649.52"/>
    <n v="0.11"/>
    <n v="0.11"/>
    <x v="0"/>
    <n v="2312.2912000000001"/>
    <x v="980"/>
    <s v="Platinum"/>
    <n v="27"/>
    <x v="1"/>
    <s v="Beauty"/>
  </r>
  <r>
    <s v="SALE981"/>
    <d v="2024-07-08T00:00:00"/>
    <x v="312"/>
    <x v="65"/>
    <x v="2"/>
    <n v="2"/>
    <n v="2"/>
    <n v="943.93"/>
    <n v="943.93"/>
    <n v="0.22"/>
    <n v="0.22"/>
    <x v="1"/>
    <n v="1472.5308"/>
    <x v="981"/>
    <s v="Platinum"/>
    <n v="41"/>
    <x v="1"/>
    <s v="Clothing"/>
  </r>
  <r>
    <s v="SALE982"/>
    <d v="2023-10-29T00:00:00"/>
    <x v="255"/>
    <x v="45"/>
    <x v="2"/>
    <n v="4"/>
    <n v="4"/>
    <n v="538.73"/>
    <n v="538.73"/>
    <n v="0.03"/>
    <n v="0.03"/>
    <x v="0"/>
    <n v="2090.2723999999998"/>
    <x v="982"/>
    <s v="Platinum"/>
    <n v="47"/>
    <x v="1"/>
    <s v="Sports"/>
  </r>
  <r>
    <s v="SALE983"/>
    <d v="2024-05-20T00:00:00"/>
    <x v="236"/>
    <x v="73"/>
    <x v="2"/>
    <n v="2"/>
    <n v="2"/>
    <n v="853.93"/>
    <n v="853.93"/>
    <n v="0.01"/>
    <n v="0.01"/>
    <x v="1"/>
    <n v="1690.7814000000001"/>
    <x v="983"/>
    <s v="Silver"/>
    <n v="58"/>
    <x v="0"/>
    <s v="Beauty"/>
  </r>
  <r>
    <s v="SALE984"/>
    <d v="2025-09-14T00:00:00"/>
    <x v="354"/>
    <x v="35"/>
    <x v="5"/>
    <n v="4"/>
    <n v="4"/>
    <n v="465.42"/>
    <n v="465.42"/>
    <n v="0.26"/>
    <n v="0.26"/>
    <x v="2"/>
    <n v="1377.6432"/>
    <x v="984"/>
    <s v="Not Found"/>
    <s v="Not Found"/>
    <x v="2"/>
    <s v="Home"/>
  </r>
  <r>
    <s v="SALE985"/>
    <d v="2025-04-11T00:00:00"/>
    <x v="366"/>
    <x v="55"/>
    <x v="19"/>
    <n v="4"/>
    <n v="4"/>
    <n v="880.26"/>
    <n v="880.26"/>
    <n v="0.11"/>
    <n v="0.11"/>
    <x v="2"/>
    <n v="3133.7256000000002"/>
    <x v="985"/>
    <s v="Bronze"/>
    <n v="56"/>
    <x v="1"/>
    <s v="Clothing"/>
  </r>
  <r>
    <s v="SALE986"/>
    <d v="2024-05-17T00:00:00"/>
    <x v="60"/>
    <x v="69"/>
    <x v="19"/>
    <n v="3"/>
    <n v="3"/>
    <n v="461.02"/>
    <n v="461.02"/>
    <n v="0.28999999999999998"/>
    <n v="0.28999999999999998"/>
    <x v="1"/>
    <n v="981.97259999999994"/>
    <x v="986"/>
    <s v="Gold"/>
    <n v="48"/>
    <x v="0"/>
    <s v="Electronics"/>
  </r>
  <r>
    <s v="SALE987"/>
    <d v="2024-10-13T00:00:00"/>
    <x v="339"/>
    <x v="60"/>
    <x v="13"/>
    <n v="1"/>
    <n v="1"/>
    <n v="531.99"/>
    <n v="531.99"/>
    <n v="0.17"/>
    <n v="0.17"/>
    <x v="1"/>
    <n v="441.55169999999998"/>
    <x v="987"/>
    <s v="Gold"/>
    <n v="18"/>
    <x v="1"/>
    <s v="Clothing"/>
  </r>
  <r>
    <s v="SALE988"/>
    <d v="2024-07-13T00:00:00"/>
    <x v="435"/>
    <x v="44"/>
    <x v="1"/>
    <n v="2"/>
    <n v="2"/>
    <n v="274.08999999999997"/>
    <n v="274.08999999999997"/>
    <n v="0.13"/>
    <n v="0.13"/>
    <x v="1"/>
    <n v="476.91660000000002"/>
    <x v="988"/>
    <s v="Silver"/>
    <n v="64"/>
    <x v="1"/>
    <s v="Beauty"/>
  </r>
  <r>
    <s v="SALE989"/>
    <d v="2025-02-06T00:00:00"/>
    <x v="13"/>
    <x v="12"/>
    <x v="15"/>
    <n v="1"/>
    <n v="1"/>
    <n v="66.14"/>
    <n v="66.14"/>
    <n v="0.14000000000000001"/>
    <n v="0.14000000000000001"/>
    <x v="2"/>
    <n v="56.880400000000002"/>
    <x v="989"/>
    <s v="Silver"/>
    <n v="51"/>
    <x v="0"/>
    <s v="Sports"/>
  </r>
  <r>
    <s v="SALE990"/>
    <d v="2025-08-06T00:00:00"/>
    <x v="259"/>
    <x v="42"/>
    <x v="11"/>
    <n v="3"/>
    <n v="3"/>
    <n v="955.82"/>
    <n v="955.82"/>
    <n v="0.16"/>
    <n v="0.16"/>
    <x v="2"/>
    <n v="2408.6664000000001"/>
    <x v="990"/>
    <s v="Gold"/>
    <n v="29"/>
    <x v="0"/>
    <s v="Sports"/>
  </r>
  <r>
    <s v="SALE991"/>
    <d v="2024-05-20T00:00:00"/>
    <x v="133"/>
    <x v="62"/>
    <x v="18"/>
    <n v="1"/>
    <n v="1"/>
    <n v="904.92"/>
    <n v="904.92"/>
    <n v="0.13"/>
    <n v="0.13"/>
    <x v="0"/>
    <n v="787.28039999999999"/>
    <x v="991"/>
    <s v="Platinum"/>
    <n v="54"/>
    <x v="0"/>
    <s v="Sports"/>
  </r>
  <r>
    <s v="SALE992"/>
    <d v="2024-10-10T00:00:00"/>
    <x v="267"/>
    <x v="43"/>
    <x v="4"/>
    <n v="3"/>
    <n v="3"/>
    <n v="490.02"/>
    <n v="490.02"/>
    <n v="0.26"/>
    <n v="0.26"/>
    <x v="0"/>
    <n v="1087.8444"/>
    <x v="992"/>
    <s v="UNKNOWN"/>
    <n v="55"/>
    <x v="0"/>
    <s v="Electronics"/>
  </r>
  <r>
    <s v="SALE993"/>
    <d v="2024-02-18T00:00:00"/>
    <x v="402"/>
    <x v="46"/>
    <x v="16"/>
    <n v="2"/>
    <n v="2"/>
    <n v="957.54"/>
    <n v="957.54"/>
    <n v="0.1"/>
    <n v="0.1"/>
    <x v="2"/>
    <n v="1723.5719999999999"/>
    <x v="993"/>
    <s v="Bronze"/>
    <n v="23"/>
    <x v="0"/>
    <s v="Sports"/>
  </r>
  <r>
    <s v="SALE994"/>
    <d v="2025-09-26T00:00:00"/>
    <x v="113"/>
    <x v="8"/>
    <x v="13"/>
    <n v="2"/>
    <n v="2"/>
    <n v="314.39999999999998"/>
    <n v="314.39999999999998"/>
    <n v="7.0000000000000007E-2"/>
    <n v="7.0000000000000007E-2"/>
    <x v="1"/>
    <n v="584.78399999999988"/>
    <x v="994"/>
    <s v="Bronze"/>
    <n v="62"/>
    <x v="1"/>
    <s v="Home"/>
  </r>
  <r>
    <s v="SALE995"/>
    <d v="2024-03-22T00:00:00"/>
    <x v="134"/>
    <x v="10"/>
    <x v="16"/>
    <n v="3"/>
    <n v="3"/>
    <n v="480.11"/>
    <n v="480.11"/>
    <n v="0.11"/>
    <n v="0.11"/>
    <x v="1"/>
    <n v="1281.8937000000001"/>
    <x v="995"/>
    <s v="Bronze"/>
    <n v="43"/>
    <x v="1"/>
    <s v="Sports"/>
  </r>
  <r>
    <s v="SALE996"/>
    <d v="2024-10-14T00:00:00"/>
    <x v="327"/>
    <x v="70"/>
    <x v="16"/>
    <n v="4"/>
    <n v="4"/>
    <n v="826.55"/>
    <n v="826.55"/>
    <n v="0.28000000000000003"/>
    <n v="0.28000000000000003"/>
    <x v="0"/>
    <n v="2380.4639999999999"/>
    <x v="996"/>
    <s v="Platinum"/>
    <n v="53"/>
    <x v="0"/>
    <s v="Electronics"/>
  </r>
  <r>
    <s v="SALE997"/>
    <d v="2025-05-28T00:00:00"/>
    <x v="410"/>
    <x v="16"/>
    <x v="0"/>
    <n v="3"/>
    <n v="3"/>
    <n v="530.16999999999996"/>
    <n v="530.16999999999996"/>
    <n v="0.18"/>
    <n v="0.18"/>
    <x v="1"/>
    <n v="1304.2182"/>
    <x v="997"/>
    <s v="Bronze"/>
    <n v="21"/>
    <x v="0"/>
    <s v="Home"/>
  </r>
  <r>
    <s v="SALE998"/>
    <d v="2024-08-18T00:00:00"/>
    <x v="416"/>
    <x v="13"/>
    <x v="1"/>
    <n v="3"/>
    <n v="3"/>
    <n v="336.17"/>
    <n v="336.17"/>
    <n v="0.04"/>
    <n v="0.04"/>
    <x v="2"/>
    <n v="968.16959999999995"/>
    <x v="998"/>
    <s v="Gold"/>
    <n v="33"/>
    <x v="0"/>
    <s v="Electronics"/>
  </r>
  <r>
    <s v="SALE999"/>
    <d v="2024-01-13T00:00:00"/>
    <x v="436"/>
    <x v="82"/>
    <x v="2"/>
    <n v="4"/>
    <n v="4"/>
    <n v="22.51"/>
    <n v="22.51"/>
    <n v="0.27"/>
    <n v="0.27"/>
    <x v="1"/>
    <n v="65.729200000000006"/>
    <x v="999"/>
    <s v="Platinum"/>
    <n v="45"/>
    <x v="1"/>
    <s v="Sports"/>
  </r>
  <r>
    <s v="SALE1000"/>
    <d v="2024-06-13T00:00:00"/>
    <x v="410"/>
    <x v="4"/>
    <x v="17"/>
    <n v="2"/>
    <n v="2"/>
    <n v="909.51"/>
    <n v="909.51"/>
    <n v="0.27"/>
    <n v="0.27"/>
    <x v="0"/>
    <n v="1327.8846000000001"/>
    <x v="1000"/>
    <s v="Bronze"/>
    <n v="21"/>
    <x v="0"/>
    <s v="Beauty"/>
  </r>
  <r>
    <s v="SALE1001"/>
    <d v="2025-04-29T00:00:00"/>
    <x v="406"/>
    <x v="20"/>
    <x v="7"/>
    <n v="4"/>
    <n v="4"/>
    <n v="593.84"/>
    <n v="593.84"/>
    <n v="0.24"/>
    <n v="0.24"/>
    <x v="1"/>
    <n v="1805.2736"/>
    <x v="1001"/>
    <s v="Bronze"/>
    <n v="55"/>
    <x v="0"/>
    <s v="Clothing"/>
  </r>
  <r>
    <s v="SALE1002"/>
    <d v="2024-10-01T00:00:00"/>
    <x v="423"/>
    <x v="78"/>
    <x v="15"/>
    <n v="3"/>
    <n v="3"/>
    <n v="909.11"/>
    <n v="909.11"/>
    <n v="0.23"/>
    <n v="0.23"/>
    <x v="2"/>
    <n v="2100.0441000000001"/>
    <x v="1002"/>
    <s v="Silver"/>
    <n v="27"/>
    <x v="0"/>
    <s v="Sports"/>
  </r>
  <r>
    <s v="SALE1003"/>
    <d v="2024-09-07T00:00:00"/>
    <x v="122"/>
    <x v="10"/>
    <x v="8"/>
    <n v="4"/>
    <n v="4"/>
    <n v="996.85"/>
    <n v="996.85"/>
    <n v="0.24"/>
    <n v="0.24"/>
    <x v="1"/>
    <n v="3030.424"/>
    <x v="1003"/>
    <s v="Bronze"/>
    <n v="27"/>
    <x v="0"/>
    <s v="Sports"/>
  </r>
  <r>
    <s v="SALE1004"/>
    <d v="2025-06-26T00:00:00"/>
    <x v="301"/>
    <x v="90"/>
    <x v="1"/>
    <n v="1"/>
    <n v="1"/>
    <n v="522.69000000000005"/>
    <n v="522.69000000000005"/>
    <n v="0.06"/>
    <n v="0.06"/>
    <x v="2"/>
    <n v="491.32860000000011"/>
    <x v="1004"/>
    <s v="Silver"/>
    <n v="29"/>
    <x v="0"/>
    <s v="Electronics"/>
  </r>
  <r>
    <s v="SALE1005"/>
    <d v="2024-04-23T00:00:00"/>
    <x v="437"/>
    <x v="59"/>
    <x v="0"/>
    <n v="3"/>
    <n v="3"/>
    <n v="261.05"/>
    <n v="261.05"/>
    <n v="0.12"/>
    <n v="0.12"/>
    <x v="1"/>
    <n v="689.17200000000014"/>
    <x v="1005"/>
    <s v="Gold"/>
    <n v="46"/>
    <x v="0"/>
    <s v="Sports"/>
  </r>
  <r>
    <s v="SALE1006"/>
    <d v="2025-09-18T00:00:00"/>
    <x v="98"/>
    <x v="34"/>
    <x v="1"/>
    <n v="3"/>
    <n v="3"/>
    <n v="644.73"/>
    <n v="644.73"/>
    <n v="0.01"/>
    <n v="0.01"/>
    <x v="2"/>
    <n v="1914.8480999999999"/>
    <x v="1006"/>
    <s v="Bronze"/>
    <n v="58"/>
    <x v="1"/>
    <s v="Clothing"/>
  </r>
  <r>
    <s v="SALE1007"/>
    <d v="2023-10-18T00:00:00"/>
    <x v="227"/>
    <x v="28"/>
    <x v="17"/>
    <n v="2"/>
    <n v="2"/>
    <n v="541.52"/>
    <n v="541.52"/>
    <n v="0.26"/>
    <n v="0.26"/>
    <x v="1"/>
    <n v="801.44959999999992"/>
    <x v="1007"/>
    <s v="Bronze"/>
    <n v="54"/>
    <x v="0"/>
    <s v="Clothing"/>
  </r>
  <r>
    <s v="SALE1008"/>
    <d v="2023-11-29T00:00:00"/>
    <x v="438"/>
    <x v="81"/>
    <x v="15"/>
    <n v="1"/>
    <n v="1"/>
    <n v="395.18"/>
    <n v="395.18"/>
    <n v="0.09"/>
    <n v="0.09"/>
    <x v="1"/>
    <n v="359.61380000000003"/>
    <x v="1008"/>
    <s v="Platinum"/>
    <n v="28"/>
    <x v="0"/>
    <s v="Beauty"/>
  </r>
  <r>
    <s v="SALE1009"/>
    <d v="2025-03-24T00:00:00"/>
    <x v="323"/>
    <x v="67"/>
    <x v="2"/>
    <n v="4"/>
    <n v="4"/>
    <n v="56.37"/>
    <n v="56.37"/>
    <n v="0.17"/>
    <n v="0.17"/>
    <x v="0"/>
    <n v="187.14840000000001"/>
    <x v="1009"/>
    <s v="Platinum"/>
    <n v="53"/>
    <x v="1"/>
    <s v="Electronics"/>
  </r>
  <r>
    <s v="SALE1010"/>
    <d v="2025-09-08T00:00:00"/>
    <x v="204"/>
    <x v="29"/>
    <x v="11"/>
    <n v="4"/>
    <n v="4"/>
    <n v="202.59"/>
    <n v="202.59"/>
    <n v="0.06"/>
    <n v="0.06"/>
    <x v="2"/>
    <n v="761.73839999999996"/>
    <x v="1010"/>
    <s v="Platinum"/>
    <n v="50"/>
    <x v="1"/>
    <s v="Home"/>
  </r>
  <r>
    <s v="SALE1011"/>
    <d v="2024-11-05T00:00:00"/>
    <x v="435"/>
    <x v="82"/>
    <x v="3"/>
    <n v="2"/>
    <n v="2"/>
    <n v="358.36"/>
    <n v="358.36"/>
    <n v="0.05"/>
    <n v="0.05"/>
    <x v="1"/>
    <n v="680.88400000000001"/>
    <x v="1011"/>
    <s v="Silver"/>
    <n v="64"/>
    <x v="1"/>
    <s v="Sports"/>
  </r>
  <r>
    <s v="SALE1012"/>
    <d v="2024-08-31T00:00:00"/>
    <x v="39"/>
    <x v="92"/>
    <x v="14"/>
    <n v="4"/>
    <n v="4"/>
    <n v="85.62"/>
    <n v="85.62"/>
    <n v="0.28000000000000003"/>
    <n v="0.28000000000000003"/>
    <x v="2"/>
    <n v="246.5856"/>
    <x v="1012"/>
    <s v="Gold"/>
    <n v="39"/>
    <x v="1"/>
    <s v="Clothing"/>
  </r>
  <r>
    <s v="SALE1013"/>
    <d v="2024-06-16T00:00:00"/>
    <x v="169"/>
    <x v="84"/>
    <x v="1"/>
    <n v="4"/>
    <n v="4"/>
    <n v="929.26"/>
    <n v="929.26"/>
    <n v="0.23"/>
    <n v="0.23"/>
    <x v="1"/>
    <n v="2862.1208000000001"/>
    <x v="1013"/>
    <s v="Platinum"/>
    <n v="54"/>
    <x v="1"/>
    <s v="Home"/>
  </r>
  <r>
    <s v="SALE1014"/>
    <d v="2025-01-24T00:00:00"/>
    <x v="430"/>
    <x v="17"/>
    <x v="13"/>
    <n v="2"/>
    <n v="2"/>
    <n v="92.64"/>
    <n v="92.64"/>
    <n v="0.14000000000000001"/>
    <n v="0.14000000000000001"/>
    <x v="2"/>
    <n v="159.3408"/>
    <x v="1014"/>
    <s v="Bronze"/>
    <n v="41"/>
    <x v="1"/>
    <s v="Beauty"/>
  </r>
  <r>
    <s v="SALE1015"/>
    <d v="2025-03-09T00:00:00"/>
    <x v="201"/>
    <x v="85"/>
    <x v="5"/>
    <n v="4"/>
    <n v="4"/>
    <n v="139.05000000000001"/>
    <n v="139.05000000000001"/>
    <n v="0.28999999999999998"/>
    <n v="0.28999999999999998"/>
    <x v="2"/>
    <n v="394.90199999999999"/>
    <x v="1015"/>
    <s v="Gold"/>
    <n v="19"/>
    <x v="0"/>
    <s v="Electronics"/>
  </r>
  <r>
    <s v="SALE1016"/>
    <d v="2024-06-18T00:00:00"/>
    <x v="429"/>
    <x v="27"/>
    <x v="5"/>
    <n v="3"/>
    <n v="3"/>
    <n v="155.87"/>
    <n v="155.87"/>
    <n v="0.03"/>
    <n v="0.03"/>
    <x v="2"/>
    <n v="453.58170000000001"/>
    <x v="1016"/>
    <s v="Gold"/>
    <n v="63"/>
    <x v="1"/>
    <s v="Clothing"/>
  </r>
  <r>
    <s v="SALE1017"/>
    <d v="2025-06-29T00:00:00"/>
    <x v="173"/>
    <x v="13"/>
    <x v="9"/>
    <n v="4"/>
    <n v="4"/>
    <n v="115.42"/>
    <n v="115.42"/>
    <n v="0.03"/>
    <n v="0.03"/>
    <x v="2"/>
    <n v="447.82960000000003"/>
    <x v="1017"/>
    <s v="Bronze"/>
    <n v="42"/>
    <x v="1"/>
    <s v="Electronics"/>
  </r>
  <r>
    <s v="SALE1018"/>
    <d v="2025-06-15T00:00:00"/>
    <x v="397"/>
    <x v="40"/>
    <x v="16"/>
    <n v="3"/>
    <n v="3"/>
    <n v="593.62"/>
    <n v="593.62"/>
    <n v="0.08"/>
    <n v="0.08"/>
    <x v="0"/>
    <n v="1638.3912"/>
    <x v="1018"/>
    <s v="Platinum"/>
    <n v="50"/>
    <x v="0"/>
    <s v="Sports"/>
  </r>
  <r>
    <s v="SALE1019"/>
    <d v="2025-03-17T00:00:00"/>
    <x v="356"/>
    <x v="49"/>
    <x v="5"/>
    <n v="2"/>
    <n v="2"/>
    <n v="825.04"/>
    <n v="825.04"/>
    <n v="0.2"/>
    <n v="0.2"/>
    <x v="0"/>
    <n v="1320.0640000000001"/>
    <x v="1019"/>
    <s v="Platinum"/>
    <n v="56"/>
    <x v="1"/>
    <s v="Sports"/>
  </r>
  <r>
    <s v="SALE1020"/>
    <d v="2024-01-31T00:00:00"/>
    <x v="9"/>
    <x v="60"/>
    <x v="13"/>
    <n v="1"/>
    <n v="1"/>
    <n v="963.76"/>
    <n v="963.76"/>
    <n v="0.14000000000000001"/>
    <n v="0.14000000000000001"/>
    <x v="1"/>
    <n v="828.83359999999993"/>
    <x v="1020"/>
    <s v="Not Found"/>
    <s v="Not Found"/>
    <x v="2"/>
    <s v="Clothing"/>
  </r>
  <r>
    <s v="SALE1021"/>
    <d v="2024-05-03T00:00:00"/>
    <x v="404"/>
    <x v="76"/>
    <x v="16"/>
    <n v="1"/>
    <n v="1"/>
    <n v="238.24"/>
    <n v="238.24"/>
    <n v="0.12"/>
    <n v="0.12"/>
    <x v="1"/>
    <n v="209.65119999999999"/>
    <x v="1021"/>
    <s v="Silver"/>
    <n v="30"/>
    <x v="0"/>
    <s v="Home"/>
  </r>
  <r>
    <s v="SALE1022"/>
    <d v="2024-12-18T00:00:00"/>
    <x v="414"/>
    <x v="74"/>
    <x v="9"/>
    <n v="1"/>
    <n v="1"/>
    <n v="756.63"/>
    <n v="756.63"/>
    <n v="0.04"/>
    <n v="0.04"/>
    <x v="1"/>
    <n v="726.36479999999995"/>
    <x v="1022"/>
    <s v="Platinum"/>
    <n v="59"/>
    <x v="0"/>
    <s v="Sports"/>
  </r>
  <r>
    <s v="SALE1023"/>
    <d v="2025-07-07T00:00:00"/>
    <x v="68"/>
    <x v="47"/>
    <x v="4"/>
    <n v="3"/>
    <n v="3"/>
    <n v="159.76"/>
    <n v="159.76"/>
    <n v="0.22"/>
    <n v="0.22"/>
    <x v="0"/>
    <n v="373.83839999999998"/>
    <x v="1023"/>
    <s v="Platinum"/>
    <n v="46"/>
    <x v="1"/>
    <s v="Electronics"/>
  </r>
  <r>
    <s v="SALE1024"/>
    <d v="2024-03-03T00:00:00"/>
    <x v="23"/>
    <x v="98"/>
    <x v="2"/>
    <n v="1"/>
    <n v="1"/>
    <n v="329.94"/>
    <n v="329.94"/>
    <n v="0.14000000000000001"/>
    <n v="0.14000000000000001"/>
    <x v="2"/>
    <n v="283.7484"/>
    <x v="1024"/>
    <s v="Platinum"/>
    <n v="34"/>
    <x v="1"/>
    <s v="Sports"/>
  </r>
  <r>
    <s v="SALE1025"/>
    <d v="2025-03-04T00:00:00"/>
    <x v="426"/>
    <x v="53"/>
    <x v="2"/>
    <n v="1"/>
    <n v="1"/>
    <n v="234.06"/>
    <n v="234.06"/>
    <n v="0.11"/>
    <n v="0.11"/>
    <x v="1"/>
    <n v="208.3134"/>
    <x v="1025"/>
    <s v="Silver"/>
    <n v="22"/>
    <x v="1"/>
    <s v="Sports"/>
  </r>
  <r>
    <s v="SALE1026"/>
    <d v="2023-12-18T00:00:00"/>
    <x v="352"/>
    <x v="82"/>
    <x v="6"/>
    <n v="2"/>
    <n v="2"/>
    <n v="773.75"/>
    <n v="773.75"/>
    <n v="0.16"/>
    <n v="0.16"/>
    <x v="1"/>
    <n v="1299.9000000000001"/>
    <x v="1026"/>
    <s v="Gold"/>
    <n v="64"/>
    <x v="1"/>
    <s v="Sports"/>
  </r>
  <r>
    <s v="SALE1027"/>
    <d v="2024-05-10T00:00:00"/>
    <x v="439"/>
    <x v="40"/>
    <x v="14"/>
    <n v="1"/>
    <n v="1"/>
    <n v="73.88"/>
    <n v="73.88"/>
    <n v="0.04"/>
    <n v="0.04"/>
    <x v="0"/>
    <n v="70.924799999999991"/>
    <x v="1027"/>
    <s v="Gold"/>
    <n v="61"/>
    <x v="0"/>
    <s v="Sports"/>
  </r>
  <r>
    <s v="SALE1028"/>
    <d v="2024-02-15T00:00:00"/>
    <x v="399"/>
    <x v="56"/>
    <x v="14"/>
    <n v="1"/>
    <n v="1"/>
    <n v="859.3"/>
    <n v="859.3"/>
    <n v="0.16"/>
    <n v="0.16"/>
    <x v="1"/>
    <n v="721.8119999999999"/>
    <x v="1028"/>
    <s v="Bronze"/>
    <n v="24"/>
    <x v="0"/>
    <s v="Home"/>
  </r>
  <r>
    <s v="SALE1029"/>
    <d v="2024-09-29T00:00:00"/>
    <x v="298"/>
    <x v="82"/>
    <x v="16"/>
    <n v="4"/>
    <n v="4"/>
    <n v="762.43"/>
    <n v="762.43"/>
    <n v="0.05"/>
    <n v="0.05"/>
    <x v="0"/>
    <n v="2897.233999999999"/>
    <x v="1029"/>
    <s v="Silver"/>
    <n v="43"/>
    <x v="1"/>
    <s v="Sports"/>
  </r>
  <r>
    <s v="SALE1030"/>
    <d v="2024-05-12T00:00:00"/>
    <x v="377"/>
    <x v="78"/>
    <x v="6"/>
    <n v="1"/>
    <n v="1"/>
    <n v="328.51"/>
    <n v="328.51"/>
    <n v="0.2"/>
    <n v="0.2"/>
    <x v="2"/>
    <n v="262.80799999999999"/>
    <x v="1030"/>
    <s v="Bronze"/>
    <n v="26"/>
    <x v="0"/>
    <s v="Sports"/>
  </r>
  <r>
    <s v="SALE1031"/>
    <d v="2025-03-03T00:00:00"/>
    <x v="387"/>
    <x v="38"/>
    <x v="5"/>
    <n v="1"/>
    <n v="1"/>
    <n v="34.51"/>
    <n v="34.51"/>
    <n v="0.04"/>
    <n v="0.04"/>
    <x v="2"/>
    <n v="33.129600000000003"/>
    <x v="1031"/>
    <s v="Silver"/>
    <n v="38"/>
    <x v="0"/>
    <s v="Sports"/>
  </r>
  <r>
    <s v="SALE1032"/>
    <d v="2023-11-20T00:00:00"/>
    <x v="102"/>
    <x v="46"/>
    <x v="19"/>
    <n v="3"/>
    <n v="3"/>
    <n v="663.73"/>
    <n v="663.73"/>
    <n v="0.06"/>
    <n v="0.06"/>
    <x v="2"/>
    <n v="1871.7185999999999"/>
    <x v="1032"/>
    <s v="Gold"/>
    <n v="50"/>
    <x v="1"/>
    <s v="Sports"/>
  </r>
  <r>
    <s v="SALE1033"/>
    <d v="2024-07-06T00:00:00"/>
    <x v="177"/>
    <x v="9"/>
    <x v="11"/>
    <n v="1"/>
    <n v="1"/>
    <n v="409.41"/>
    <n v="409.41"/>
    <n v="0.13"/>
    <n v="0.13"/>
    <x v="1"/>
    <n v="356.18669999999997"/>
    <x v="1033"/>
    <s v="Bronze"/>
    <n v="58"/>
    <x v="0"/>
    <s v="Home"/>
  </r>
  <r>
    <s v="SALE1034"/>
    <d v="2025-03-11T00:00:00"/>
    <x v="325"/>
    <x v="36"/>
    <x v="0"/>
    <n v="3"/>
    <n v="3"/>
    <n v="461.03"/>
    <n v="461.03"/>
    <n v="0.11"/>
    <n v="0.11"/>
    <x v="1"/>
    <n v="1230.9501"/>
    <x v="1034"/>
    <s v="Platinum"/>
    <n v="44"/>
    <x v="1"/>
    <s v="Home"/>
  </r>
  <r>
    <s v="SALE1035"/>
    <d v="2024-04-12T00:00:00"/>
    <x v="23"/>
    <x v="46"/>
    <x v="7"/>
    <n v="2"/>
    <n v="2"/>
    <n v="760.14"/>
    <n v="760.14"/>
    <n v="0.02"/>
    <n v="0.02"/>
    <x v="2"/>
    <n v="1489.8743999999999"/>
    <x v="1035"/>
    <s v="Platinum"/>
    <n v="34"/>
    <x v="1"/>
    <s v="Sports"/>
  </r>
  <r>
    <s v="SALE1036"/>
    <d v="2025-04-26T00:00:00"/>
    <x v="335"/>
    <x v="34"/>
    <x v="8"/>
    <n v="3"/>
    <n v="3"/>
    <n v="688.76"/>
    <n v="688.76"/>
    <n v="0.12"/>
    <n v="0.12"/>
    <x v="1"/>
    <n v="1818.3263999999999"/>
    <x v="1036"/>
    <s v="Platinum"/>
    <n v="42"/>
    <x v="1"/>
    <s v="Clothing"/>
  </r>
  <r>
    <s v="SALE1037"/>
    <d v="2025-05-02T00:00:00"/>
    <x v="287"/>
    <x v="19"/>
    <x v="11"/>
    <n v="2"/>
    <n v="2"/>
    <n v="257.77999999999997"/>
    <n v="257.77999999999997"/>
    <n v="0.05"/>
    <n v="0.05"/>
    <x v="0"/>
    <n v="489.78199999999993"/>
    <x v="1037"/>
    <s v="Gold"/>
    <n v="46"/>
    <x v="1"/>
    <s v="Electronics"/>
  </r>
  <r>
    <s v="SALE1038"/>
    <d v="2024-04-18T00:00:00"/>
    <x v="406"/>
    <x v="27"/>
    <x v="4"/>
    <n v="2"/>
    <n v="2"/>
    <n v="314.29000000000002"/>
    <n v="314.29000000000002"/>
    <n v="0.19"/>
    <n v="0.19"/>
    <x v="2"/>
    <n v="509.14980000000008"/>
    <x v="1038"/>
    <s v="Bronze"/>
    <n v="55"/>
    <x v="0"/>
    <s v="Clothing"/>
  </r>
  <r>
    <s v="SALE1039"/>
    <d v="2024-08-16T00:00:00"/>
    <x v="440"/>
    <x v="18"/>
    <x v="7"/>
    <n v="3"/>
    <n v="3"/>
    <n v="336.09"/>
    <n v="336.09"/>
    <n v="0.01"/>
    <n v="0.01"/>
    <x v="1"/>
    <n v="998.18729999999994"/>
    <x v="1039"/>
    <s v="Gold"/>
    <n v="60"/>
    <x v="1"/>
    <s v="Sports"/>
  </r>
  <r>
    <s v="SALE1040"/>
    <d v="2025-07-23T00:00:00"/>
    <x v="93"/>
    <x v="28"/>
    <x v="1"/>
    <n v="3"/>
    <n v="3"/>
    <n v="202.07"/>
    <n v="202.07"/>
    <n v="0.23"/>
    <n v="0.23"/>
    <x v="1"/>
    <n v="466.78170000000011"/>
    <x v="1040"/>
    <s v="Platinum"/>
    <n v="29"/>
    <x v="1"/>
    <s v="Clothing"/>
  </r>
  <r>
    <s v="SALE1041"/>
    <d v="2025-05-04T00:00:00"/>
    <x v="441"/>
    <x v="53"/>
    <x v="2"/>
    <n v="2"/>
    <n v="2"/>
    <n v="485.25"/>
    <n v="485.25"/>
    <n v="0.28000000000000003"/>
    <n v="0.28000000000000003"/>
    <x v="0"/>
    <n v="698.76"/>
    <x v="1041"/>
    <s v="Silver"/>
    <n v="20"/>
    <x v="0"/>
    <s v="Sports"/>
  </r>
  <r>
    <s v="SALE1042"/>
    <d v="2025-09-06T00:00:00"/>
    <x v="120"/>
    <x v="28"/>
    <x v="15"/>
    <n v="4"/>
    <n v="4"/>
    <n v="552.38"/>
    <n v="552.38"/>
    <n v="0.1"/>
    <n v="0.1"/>
    <x v="1"/>
    <n v="1988.568"/>
    <x v="1042"/>
    <s v="Platinum"/>
    <n v="44"/>
    <x v="1"/>
    <s v="Clothing"/>
  </r>
  <r>
    <s v="SALE1043"/>
    <d v="2023-11-21T00:00:00"/>
    <x v="183"/>
    <x v="87"/>
    <x v="1"/>
    <n v="4"/>
    <n v="4"/>
    <n v="377.26"/>
    <n v="377.26"/>
    <n v="0.22"/>
    <n v="0.22"/>
    <x v="2"/>
    <n v="1177.0512000000001"/>
    <x v="1043"/>
    <s v="Platinum"/>
    <n v="62"/>
    <x v="1"/>
    <s v="Clothing"/>
  </r>
  <r>
    <s v="SALE1044"/>
    <d v="2023-11-27T00:00:00"/>
    <x v="286"/>
    <x v="44"/>
    <x v="12"/>
    <n v="4"/>
    <n v="4"/>
    <n v="189.07"/>
    <n v="189.07"/>
    <n v="0.1"/>
    <n v="0.1"/>
    <x v="2"/>
    <n v="680.65200000000004"/>
    <x v="1044"/>
    <s v="Gold"/>
    <n v="37"/>
    <x v="1"/>
    <s v="Beauty"/>
  </r>
  <r>
    <s v="SALE1045"/>
    <d v="2025-06-10T00:00:00"/>
    <x v="148"/>
    <x v="37"/>
    <x v="5"/>
    <n v="3"/>
    <n v="3"/>
    <n v="272.27"/>
    <n v="272.27"/>
    <n v="0.01"/>
    <n v="0.01"/>
    <x v="0"/>
    <n v="808.64189999999996"/>
    <x v="1045"/>
    <s v="Not Found"/>
    <s v="Not Found"/>
    <x v="2"/>
    <s v="Home"/>
  </r>
  <r>
    <s v="SALE1046"/>
    <d v="2025-05-29T00:00:00"/>
    <x v="105"/>
    <x v="80"/>
    <x v="19"/>
    <n v="1"/>
    <n v="1"/>
    <n v="209.39"/>
    <n v="209.39"/>
    <n v="0.28000000000000003"/>
    <n v="0.28000000000000003"/>
    <x v="1"/>
    <n v="150.76079999999999"/>
    <x v="1046"/>
    <s v="Gold"/>
    <n v="25"/>
    <x v="0"/>
    <s v="Home"/>
  </r>
  <r>
    <s v="SALE1047"/>
    <d v="2023-12-28T00:00:00"/>
    <x v="286"/>
    <x v="61"/>
    <x v="11"/>
    <n v="1"/>
    <n v="1"/>
    <n v="813.87"/>
    <n v="813.87"/>
    <n v="0.23"/>
    <n v="0.23"/>
    <x v="0"/>
    <n v="626.67989999999998"/>
    <x v="1047"/>
    <s v="Gold"/>
    <n v="37"/>
    <x v="1"/>
    <s v="Home"/>
  </r>
  <r>
    <s v="SALE1048"/>
    <d v="2025-05-06T00:00:00"/>
    <x v="99"/>
    <x v="77"/>
    <x v="6"/>
    <n v="1"/>
    <n v="1"/>
    <n v="143.69999999999999"/>
    <n v="143.69999999999999"/>
    <n v="0.19"/>
    <n v="0.19"/>
    <x v="1"/>
    <n v="116.39700000000001"/>
    <x v="1048"/>
    <s v="Silver"/>
    <n v="42"/>
    <x v="0"/>
    <s v="Sports"/>
  </r>
  <r>
    <s v="SALE1049"/>
    <d v="2024-04-03T00:00:00"/>
    <x v="44"/>
    <x v="54"/>
    <x v="8"/>
    <n v="4"/>
    <n v="4"/>
    <n v="837.34"/>
    <n v="837.34"/>
    <n v="0.05"/>
    <n v="0.05"/>
    <x v="1"/>
    <n v="3181.8919999999998"/>
    <x v="1049"/>
    <s v="Gold"/>
    <n v="21"/>
    <x v="1"/>
    <s v="Clothing"/>
  </r>
  <r>
    <s v="SALE1050"/>
    <d v="2025-08-09T00:00:00"/>
    <x v="263"/>
    <x v="5"/>
    <x v="12"/>
    <n v="1"/>
    <n v="1"/>
    <n v="151.66"/>
    <n v="151.66"/>
    <n v="0.16"/>
    <n v="0.16"/>
    <x v="2"/>
    <n v="127.3944"/>
    <x v="1050"/>
    <s v="Platinum"/>
    <n v="44"/>
    <x v="1"/>
    <s v="Electronics"/>
  </r>
  <r>
    <s v="SALE1051"/>
    <d v="2025-03-04T00:00:00"/>
    <x v="148"/>
    <x v="38"/>
    <x v="2"/>
    <n v="3"/>
    <n v="3"/>
    <n v="961.4"/>
    <n v="961.4"/>
    <n v="0.02"/>
    <n v="0.02"/>
    <x v="1"/>
    <n v="2826.5160000000001"/>
    <x v="1051"/>
    <s v="Not Found"/>
    <s v="Not Found"/>
    <x v="2"/>
    <s v="Sports"/>
  </r>
  <r>
    <s v="SALE1052"/>
    <d v="2024-07-30T00:00:00"/>
    <x v="260"/>
    <x v="1"/>
    <x v="14"/>
    <n v="4"/>
    <n v="4"/>
    <n v="475.98"/>
    <n v="475.98"/>
    <n v="0.19"/>
    <n v="0.19"/>
    <x v="1"/>
    <n v="1542.1751999999999"/>
    <x v="1052"/>
    <s v="Silver"/>
    <n v="45"/>
    <x v="0"/>
    <s v="Electronics"/>
  </r>
  <r>
    <s v="SALE1053"/>
    <d v="2024-09-16T00:00:00"/>
    <x v="386"/>
    <x v="48"/>
    <x v="10"/>
    <n v="4"/>
    <n v="4"/>
    <n v="132.88999999999999"/>
    <n v="132.88999999999999"/>
    <n v="0.12"/>
    <n v="0.12"/>
    <x v="0"/>
    <n v="467.77280000000002"/>
    <x v="1053"/>
    <s v="Gold"/>
    <n v="23"/>
    <x v="0"/>
    <s v="Sports"/>
  </r>
  <r>
    <s v="SALE1054"/>
    <d v="2025-07-12T00:00:00"/>
    <x v="168"/>
    <x v="68"/>
    <x v="18"/>
    <n v="3"/>
    <n v="3"/>
    <n v="471.31"/>
    <n v="471.31"/>
    <n v="0"/>
    <n v="0"/>
    <x v="1"/>
    <n v="1413.93"/>
    <x v="1054"/>
    <s v="Platinum"/>
    <n v="47"/>
    <x v="1"/>
    <s v="Home"/>
  </r>
  <r>
    <s v="SALE1055"/>
    <d v="2024-05-29T00:00:00"/>
    <x v="9"/>
    <x v="3"/>
    <x v="7"/>
    <n v="2"/>
    <n v="2"/>
    <n v="720.32"/>
    <n v="720.32"/>
    <n v="0.26"/>
    <n v="0.26"/>
    <x v="0"/>
    <n v="1066.0735999999999"/>
    <x v="1055"/>
    <s v="Not Found"/>
    <s v="Not Found"/>
    <x v="2"/>
    <s v="Electronics"/>
  </r>
  <r>
    <s v="SALE1056"/>
    <d v="2024-05-19T00:00:00"/>
    <x v="178"/>
    <x v="73"/>
    <x v="14"/>
    <n v="4"/>
    <n v="4"/>
    <n v="99.92"/>
    <n v="99.92"/>
    <n v="0.11"/>
    <n v="0.11"/>
    <x v="2"/>
    <n v="355.71519999999998"/>
    <x v="1056"/>
    <s v="Gold"/>
    <n v="61"/>
    <x v="1"/>
    <s v="Beauty"/>
  </r>
  <r>
    <s v="SALE1057"/>
    <d v="2025-08-04T00:00:00"/>
    <x v="101"/>
    <x v="31"/>
    <x v="0"/>
    <n v="3"/>
    <n v="3"/>
    <n v="900.63"/>
    <n v="900.63"/>
    <n v="0.11"/>
    <n v="0.11"/>
    <x v="2"/>
    <n v="2404.6821"/>
    <x v="1057"/>
    <s v="Silver"/>
    <n v="58"/>
    <x v="0"/>
    <s v="Home"/>
  </r>
  <r>
    <s v="SALE1058"/>
    <d v="2024-12-03T00:00:00"/>
    <x v="173"/>
    <x v="54"/>
    <x v="2"/>
    <n v="1"/>
    <n v="1"/>
    <n v="681.72"/>
    <n v="681.72"/>
    <n v="0.11"/>
    <n v="0.11"/>
    <x v="1"/>
    <n v="606.73080000000004"/>
    <x v="1058"/>
    <s v="Bronze"/>
    <n v="42"/>
    <x v="1"/>
    <s v="Clothing"/>
  </r>
  <r>
    <s v="SALE1059"/>
    <d v="2023-10-23T00:00:00"/>
    <x v="442"/>
    <x v="36"/>
    <x v="13"/>
    <n v="2"/>
    <n v="2"/>
    <n v="838.22"/>
    <n v="838.22"/>
    <n v="0.3"/>
    <n v="0.3"/>
    <x v="0"/>
    <n v="1173.508"/>
    <x v="1059"/>
    <s v="Platinum"/>
    <n v="64"/>
    <x v="0"/>
    <s v="Home"/>
  </r>
  <r>
    <s v="SALE1060"/>
    <d v="2025-05-20T00:00:00"/>
    <x v="437"/>
    <x v="72"/>
    <x v="18"/>
    <n v="2"/>
    <n v="2"/>
    <n v="816.22"/>
    <n v="816.22"/>
    <n v="0.27"/>
    <n v="0.27"/>
    <x v="0"/>
    <n v="1191.6812"/>
    <x v="1060"/>
    <s v="Gold"/>
    <n v="46"/>
    <x v="0"/>
    <s v="Home"/>
  </r>
  <r>
    <s v="SALE1061"/>
    <d v="2024-09-19T00:00:00"/>
    <x v="386"/>
    <x v="86"/>
    <x v="4"/>
    <n v="2"/>
    <n v="2"/>
    <n v="654.12"/>
    <n v="654.12"/>
    <n v="0.27"/>
    <n v="0.27"/>
    <x v="1"/>
    <n v="955.01519999999994"/>
    <x v="1061"/>
    <s v="Gold"/>
    <n v="23"/>
    <x v="0"/>
    <s v="Sports"/>
  </r>
  <r>
    <s v="SALE1062"/>
    <d v="2024-04-03T00:00:00"/>
    <x v="102"/>
    <x v="78"/>
    <x v="13"/>
    <n v="4"/>
    <n v="4"/>
    <n v="528.22"/>
    <n v="528.22"/>
    <n v="0.2"/>
    <n v="0.2"/>
    <x v="1"/>
    <n v="1690.3040000000001"/>
    <x v="1062"/>
    <s v="Gold"/>
    <n v="50"/>
    <x v="1"/>
    <s v="Sports"/>
  </r>
  <r>
    <s v="SALE1063"/>
    <d v="2025-02-16T00:00:00"/>
    <x v="70"/>
    <x v="13"/>
    <x v="4"/>
    <n v="4"/>
    <n v="4"/>
    <n v="36.72"/>
    <n v="36.72"/>
    <n v="7.0000000000000007E-2"/>
    <n v="7.0000000000000007E-2"/>
    <x v="2"/>
    <n v="136.5984"/>
    <x v="1063"/>
    <s v="Platinum"/>
    <n v="38"/>
    <x v="0"/>
    <s v="Electronics"/>
  </r>
  <r>
    <s v="SALE1064"/>
    <d v="2024-09-10T00:00:00"/>
    <x v="260"/>
    <x v="36"/>
    <x v="12"/>
    <n v="2"/>
    <n v="2"/>
    <n v="705.97"/>
    <n v="705.97"/>
    <n v="0.1"/>
    <n v="0.1"/>
    <x v="1"/>
    <n v="1270.7460000000001"/>
    <x v="1064"/>
    <s v="Silver"/>
    <n v="45"/>
    <x v="0"/>
    <s v="Home"/>
  </r>
  <r>
    <s v="SALE1065"/>
    <d v="2025-03-20T00:00:00"/>
    <x v="193"/>
    <x v="43"/>
    <x v="8"/>
    <n v="2"/>
    <n v="2"/>
    <n v="994.29"/>
    <n v="994.29"/>
    <n v="0.01"/>
    <n v="0.01"/>
    <x v="1"/>
    <n v="1968.6941999999999"/>
    <x v="1065"/>
    <s v="Silver"/>
    <n v="52"/>
    <x v="1"/>
    <s v="Electronics"/>
  </r>
  <r>
    <s v="SALE1066"/>
    <d v="2024-11-12T00:00:00"/>
    <x v="436"/>
    <x v="80"/>
    <x v="14"/>
    <n v="1"/>
    <n v="1"/>
    <n v="909.04"/>
    <n v="909.04"/>
    <n v="0.11"/>
    <n v="0.11"/>
    <x v="0"/>
    <n v="809.04560000000004"/>
    <x v="1066"/>
    <s v="Platinum"/>
    <n v="45"/>
    <x v="1"/>
    <s v="Home"/>
  </r>
  <r>
    <s v="SALE1067"/>
    <d v="2024-02-12T00:00:00"/>
    <x v="116"/>
    <x v="13"/>
    <x v="19"/>
    <n v="1"/>
    <n v="1"/>
    <n v="164.73"/>
    <n v="164.73"/>
    <n v="0.12"/>
    <n v="0.12"/>
    <x v="1"/>
    <n v="144.9624"/>
    <x v="1067"/>
    <s v="Bronze"/>
    <n v="31"/>
    <x v="0"/>
    <s v="Electronics"/>
  </r>
  <r>
    <s v="SALE1068"/>
    <d v="2025-02-02T00:00:00"/>
    <x v="336"/>
    <x v="92"/>
    <x v="4"/>
    <n v="2"/>
    <n v="2"/>
    <n v="606.35"/>
    <n v="606.35"/>
    <n v="0.16"/>
    <n v="0.16"/>
    <x v="2"/>
    <n v="1018.668"/>
    <x v="1068"/>
    <s v="Bronze"/>
    <n v="50"/>
    <x v="0"/>
    <s v="Clothing"/>
  </r>
  <r>
    <s v="SALE1069"/>
    <d v="2024-07-08T00:00:00"/>
    <x v="300"/>
    <x v="24"/>
    <x v="5"/>
    <n v="3"/>
    <n v="3"/>
    <n v="904.19"/>
    <n v="904.19"/>
    <n v="0.09"/>
    <n v="0.09"/>
    <x v="0"/>
    <n v="2468.4387000000002"/>
    <x v="1069"/>
    <s v="Bronze"/>
    <n v="21"/>
    <x v="0"/>
    <s v="Electronics"/>
  </r>
  <r>
    <s v="SALE1070"/>
    <d v="2024-10-11T00:00:00"/>
    <x v="383"/>
    <x v="57"/>
    <x v="17"/>
    <n v="4"/>
    <n v="4"/>
    <n v="694.61"/>
    <n v="694.61"/>
    <n v="0.18"/>
    <n v="0.18"/>
    <x v="2"/>
    <n v="2278.3208"/>
    <x v="1070"/>
    <s v="Gold"/>
    <n v="25"/>
    <x v="1"/>
    <s v="Sports"/>
  </r>
  <r>
    <s v="SALE1071"/>
    <d v="2023-10-16T00:00:00"/>
    <x v="219"/>
    <x v="41"/>
    <x v="17"/>
    <n v="4"/>
    <n v="4"/>
    <n v="753.83"/>
    <n v="753.83"/>
    <n v="0.24"/>
    <n v="0.24"/>
    <x v="0"/>
    <n v="2291.6432"/>
    <x v="1071"/>
    <s v="Platinum"/>
    <n v="46"/>
    <x v="1"/>
    <s v="Beauty"/>
  </r>
  <r>
    <s v="SALE1072"/>
    <d v="2024-12-27T00:00:00"/>
    <x v="303"/>
    <x v="39"/>
    <x v="2"/>
    <n v="1"/>
    <n v="1"/>
    <n v="66.22"/>
    <n v="66.22"/>
    <n v="0.02"/>
    <n v="0.02"/>
    <x v="0"/>
    <n v="64.895600000000002"/>
    <x v="1072"/>
    <s v="Platinum"/>
    <n v="45"/>
    <x v="1"/>
    <s v="Home"/>
  </r>
  <r>
    <s v="SALE1073"/>
    <d v="2023-11-11T00:00:00"/>
    <x v="119"/>
    <x v="91"/>
    <x v="7"/>
    <n v="2"/>
    <n v="2"/>
    <n v="891.8"/>
    <n v="891.8"/>
    <n v="0.28999999999999998"/>
    <n v="0.28999999999999998"/>
    <x v="2"/>
    <n v="1266.356"/>
    <x v="1073"/>
    <s v="Bronze"/>
    <n v="40"/>
    <x v="1"/>
    <s v="Beauty"/>
  </r>
  <r>
    <s v="SALE1074"/>
    <d v="2024-05-16T00:00:00"/>
    <x v="402"/>
    <x v="28"/>
    <x v="11"/>
    <n v="4"/>
    <n v="4"/>
    <n v="255.48"/>
    <n v="255.48"/>
    <n v="0.03"/>
    <n v="0.03"/>
    <x v="2"/>
    <n v="991.26239999999996"/>
    <x v="1074"/>
    <s v="Bronze"/>
    <n v="23"/>
    <x v="0"/>
    <s v="Clothing"/>
  </r>
  <r>
    <s v="SALE1075"/>
    <d v="2024-10-28T00:00:00"/>
    <x v="443"/>
    <x v="94"/>
    <x v="1"/>
    <n v="4"/>
    <n v="4"/>
    <n v="604.87"/>
    <n v="604.87"/>
    <n v="0.28000000000000003"/>
    <n v="0.28000000000000003"/>
    <x v="1"/>
    <n v="1742.0255999999999"/>
    <x v="1075"/>
    <s v="Gold"/>
    <n v="50"/>
    <x v="0"/>
    <s v="Home"/>
  </r>
  <r>
    <s v="SALE1076"/>
    <d v="2024-03-19T00:00:00"/>
    <x v="444"/>
    <x v="9"/>
    <x v="1"/>
    <n v="3"/>
    <n v="3"/>
    <n v="623.82000000000005"/>
    <n v="623.82000000000005"/>
    <n v="0.13"/>
    <n v="0.13"/>
    <x v="2"/>
    <n v="1628.1702"/>
    <x v="1076"/>
    <s v="Gold"/>
    <n v="54"/>
    <x v="0"/>
    <s v="Home"/>
  </r>
  <r>
    <s v="SALE1077"/>
    <d v="2025-08-13T00:00:00"/>
    <x v="160"/>
    <x v="51"/>
    <x v="9"/>
    <n v="3"/>
    <n v="3"/>
    <n v="575.24"/>
    <n v="575.24"/>
    <n v="0.12"/>
    <n v="0.12"/>
    <x v="2"/>
    <n v="1518.6335999999999"/>
    <x v="1077"/>
    <s v="Gold"/>
    <n v="43"/>
    <x v="0"/>
    <s v="Beauty"/>
  </r>
  <r>
    <s v="SALE1078"/>
    <d v="2025-08-09T00:00:00"/>
    <x v="445"/>
    <x v="83"/>
    <x v="19"/>
    <n v="1"/>
    <n v="1"/>
    <n v="769.4"/>
    <n v="769.4"/>
    <n v="0.16"/>
    <n v="0.16"/>
    <x v="0"/>
    <n v="646.29599999999994"/>
    <x v="1078"/>
    <s v="Gold"/>
    <n v="35"/>
    <x v="1"/>
    <s v="Clothing"/>
  </r>
  <r>
    <s v="SALE1079"/>
    <d v="2024-05-08T00:00:00"/>
    <x v="113"/>
    <x v="83"/>
    <x v="1"/>
    <n v="1"/>
    <n v="1"/>
    <n v="227.28"/>
    <n v="227.28"/>
    <n v="0.13"/>
    <n v="0.13"/>
    <x v="2"/>
    <n v="197.7336"/>
    <x v="1079"/>
    <s v="Bronze"/>
    <n v="62"/>
    <x v="1"/>
    <s v="Clothing"/>
  </r>
  <r>
    <s v="SALE1080"/>
    <d v="2024-03-10T00:00:00"/>
    <x v="370"/>
    <x v="95"/>
    <x v="1"/>
    <n v="4"/>
    <n v="4"/>
    <n v="127.58"/>
    <n v="127.58"/>
    <n v="0.15"/>
    <n v="0.15"/>
    <x v="0"/>
    <n v="433.77199999999999"/>
    <x v="1080"/>
    <s v="Gold"/>
    <n v="23"/>
    <x v="1"/>
    <s v="Clothing"/>
  </r>
  <r>
    <s v="SALE1081"/>
    <d v="2025-02-14T00:00:00"/>
    <x v="306"/>
    <x v="38"/>
    <x v="0"/>
    <n v="1"/>
    <n v="1"/>
    <n v="793.21"/>
    <n v="793.21"/>
    <n v="0.09"/>
    <n v="0.09"/>
    <x v="0"/>
    <n v="721.8211"/>
    <x v="1081"/>
    <s v="Silver"/>
    <n v="60"/>
    <x v="1"/>
    <s v="Sports"/>
  </r>
  <r>
    <s v="SALE1082"/>
    <d v="2025-08-02T00:00:00"/>
    <x v="443"/>
    <x v="50"/>
    <x v="18"/>
    <n v="3"/>
    <n v="3"/>
    <n v="435.61"/>
    <n v="435.61"/>
    <n v="0.03"/>
    <n v="0.03"/>
    <x v="1"/>
    <n v="1267.6251"/>
    <x v="1082"/>
    <s v="Gold"/>
    <n v="50"/>
    <x v="0"/>
    <s v="Beauty"/>
  </r>
  <r>
    <s v="SALE1083"/>
    <d v="2024-08-27T00:00:00"/>
    <x v="392"/>
    <x v="35"/>
    <x v="9"/>
    <n v="1"/>
    <n v="1"/>
    <n v="850.06"/>
    <n v="850.06"/>
    <n v="0.28999999999999998"/>
    <n v="0.28999999999999998"/>
    <x v="1"/>
    <n v="603.54259999999988"/>
    <x v="1083"/>
    <s v="Gold"/>
    <n v="60"/>
    <x v="0"/>
    <s v="Home"/>
  </r>
  <r>
    <s v="SALE1084"/>
    <d v="2024-02-08T00:00:00"/>
    <x v="268"/>
    <x v="30"/>
    <x v="9"/>
    <n v="2"/>
    <n v="2"/>
    <n v="753.92"/>
    <n v="753.92"/>
    <n v="0.17"/>
    <n v="0.17"/>
    <x v="1"/>
    <n v="1251.5072"/>
    <x v="1084"/>
    <s v="Gold"/>
    <n v="39"/>
    <x v="1"/>
    <s v="OTHERS"/>
  </r>
  <r>
    <s v="SALE1085"/>
    <d v="2024-01-20T00:00:00"/>
    <x v="289"/>
    <x v="83"/>
    <x v="13"/>
    <n v="3"/>
    <n v="3"/>
    <n v="408.99"/>
    <n v="408.99"/>
    <n v="0.27"/>
    <n v="0.27"/>
    <x v="1"/>
    <n v="895.68809999999996"/>
    <x v="1085"/>
    <s v="Platinum"/>
    <n v="23"/>
    <x v="1"/>
    <s v="Clothing"/>
  </r>
  <r>
    <s v="SALE1086"/>
    <d v="2024-10-02T00:00:00"/>
    <x v="380"/>
    <x v="71"/>
    <x v="3"/>
    <n v="3"/>
    <n v="3"/>
    <n v="404.5"/>
    <n v="404.5"/>
    <n v="0.22"/>
    <n v="0.22"/>
    <x v="1"/>
    <n v="946.53000000000009"/>
    <x v="1086"/>
    <s v="Silver"/>
    <n v="46"/>
    <x v="1"/>
    <s v="Sports"/>
  </r>
  <r>
    <s v="SALE1087"/>
    <d v="2023-11-09T00:00:00"/>
    <x v="386"/>
    <x v="11"/>
    <x v="0"/>
    <n v="3"/>
    <n v="3"/>
    <n v="717.81"/>
    <n v="717.81"/>
    <n v="0.17"/>
    <n v="0.17"/>
    <x v="2"/>
    <n v="1787.3469"/>
    <x v="1087"/>
    <s v="Gold"/>
    <n v="23"/>
    <x v="0"/>
    <s v="Electronics"/>
  </r>
  <r>
    <s v="SALE1088"/>
    <d v="2023-12-24T00:00:00"/>
    <x v="243"/>
    <x v="94"/>
    <x v="8"/>
    <n v="3"/>
    <n v="3"/>
    <n v="204.77"/>
    <n v="204.77"/>
    <n v="0.14000000000000001"/>
    <n v="0.14000000000000001"/>
    <x v="0"/>
    <n v="528.3066"/>
    <x v="1088"/>
    <s v="Silver"/>
    <n v="64"/>
    <x v="0"/>
    <s v="Home"/>
  </r>
  <r>
    <s v="SALE1089"/>
    <d v="2025-01-29T00:00:00"/>
    <x v="276"/>
    <x v="70"/>
    <x v="14"/>
    <n v="4"/>
    <n v="4"/>
    <n v="106.23"/>
    <n v="106.23"/>
    <n v="0.28000000000000003"/>
    <n v="0.28000000000000003"/>
    <x v="2"/>
    <n v="305.94240000000002"/>
    <x v="1089"/>
    <s v="Gold"/>
    <n v="55"/>
    <x v="1"/>
    <s v="Electronics"/>
  </r>
  <r>
    <s v="SALE1090"/>
    <d v="2025-06-16T00:00:00"/>
    <x v="88"/>
    <x v="73"/>
    <x v="3"/>
    <n v="2"/>
    <n v="2"/>
    <n v="769.48"/>
    <n v="769.48"/>
    <n v="0.11"/>
    <n v="0.11"/>
    <x v="1"/>
    <n v="1369.6744000000001"/>
    <x v="1090"/>
    <s v="Bronze"/>
    <n v="60"/>
    <x v="0"/>
    <s v="Beauty"/>
  </r>
  <r>
    <s v="SALE1091"/>
    <d v="2025-07-29T00:00:00"/>
    <x v="57"/>
    <x v="71"/>
    <x v="13"/>
    <n v="2"/>
    <n v="2"/>
    <n v="714.21"/>
    <n v="714.21"/>
    <n v="0.14000000000000001"/>
    <n v="0.14000000000000001"/>
    <x v="0"/>
    <n v="1228.4412"/>
    <x v="1091"/>
    <s v="Gold"/>
    <n v="21"/>
    <x v="0"/>
    <s v="Sports"/>
  </r>
  <r>
    <s v="SALE1092"/>
    <d v="2024-10-13T00:00:00"/>
    <x v="398"/>
    <x v="75"/>
    <x v="10"/>
    <n v="4"/>
    <n v="4"/>
    <n v="632.24"/>
    <n v="632.24"/>
    <n v="0.25"/>
    <n v="0.25"/>
    <x v="1"/>
    <n v="1896.72"/>
    <x v="1092"/>
    <s v="Platinum"/>
    <n v="64"/>
    <x v="0"/>
    <s v="Electronics"/>
  </r>
  <r>
    <s v="SALE1093"/>
    <d v="2024-10-10T00:00:00"/>
    <x v="261"/>
    <x v="36"/>
    <x v="0"/>
    <n v="2"/>
    <n v="2"/>
    <n v="845.27"/>
    <n v="845.27"/>
    <n v="0.18"/>
    <n v="0.18"/>
    <x v="1"/>
    <n v="1386.2428"/>
    <x v="1093"/>
    <s v="Silver"/>
    <n v="18"/>
    <x v="1"/>
    <s v="Home"/>
  </r>
  <r>
    <s v="SALE1094"/>
    <d v="2025-06-08T00:00:00"/>
    <x v="388"/>
    <x v="72"/>
    <x v="13"/>
    <n v="1"/>
    <n v="1"/>
    <n v="575.94000000000005"/>
    <n v="575.94000000000005"/>
    <n v="0.17"/>
    <n v="0.17"/>
    <x v="0"/>
    <n v="478.03019999999998"/>
    <x v="1094"/>
    <s v="Gold"/>
    <n v="47"/>
    <x v="1"/>
    <s v="Home"/>
  </r>
  <r>
    <s v="SALE1095"/>
    <d v="2024-11-24T00:00:00"/>
    <x v="243"/>
    <x v="94"/>
    <x v="10"/>
    <n v="1"/>
    <n v="1"/>
    <n v="907.97"/>
    <n v="907.97"/>
    <n v="0.26"/>
    <n v="0.26"/>
    <x v="2"/>
    <n v="671.89779999999996"/>
    <x v="1095"/>
    <s v="Silver"/>
    <n v="64"/>
    <x v="0"/>
    <s v="Home"/>
  </r>
  <r>
    <s v="SALE1096"/>
    <d v="2025-02-07T00:00:00"/>
    <x v="176"/>
    <x v="42"/>
    <x v="18"/>
    <n v="1"/>
    <n v="1"/>
    <n v="99.35"/>
    <n v="99.35"/>
    <n v="0.08"/>
    <n v="0.08"/>
    <x v="2"/>
    <n v="91.402000000000001"/>
    <x v="1096"/>
    <s v="Bronze"/>
    <n v="32"/>
    <x v="1"/>
    <s v="Sports"/>
  </r>
  <r>
    <s v="SALE1097"/>
    <d v="2024-10-31T00:00:00"/>
    <x v="291"/>
    <x v="90"/>
    <x v="0"/>
    <n v="2"/>
    <n v="2"/>
    <n v="374.42"/>
    <n v="374.42"/>
    <n v="0.21"/>
    <n v="0.21"/>
    <x v="2"/>
    <n v="591.58360000000005"/>
    <x v="1097"/>
    <s v="Gold"/>
    <n v="61"/>
    <x v="1"/>
    <s v="Electronics"/>
  </r>
  <r>
    <s v="SALE1098"/>
    <d v="2025-07-31T00:00:00"/>
    <x v="230"/>
    <x v="5"/>
    <x v="10"/>
    <n v="3"/>
    <n v="3"/>
    <n v="248.43"/>
    <n v="248.43"/>
    <n v="0.24"/>
    <n v="0.24"/>
    <x v="2"/>
    <n v="566.42039999999997"/>
    <x v="1098"/>
    <s v="Gold"/>
    <n v="21"/>
    <x v="0"/>
    <s v="Electronics"/>
  </r>
  <r>
    <s v="SALE1099"/>
    <d v="2024-12-05T00:00:00"/>
    <x v="228"/>
    <x v="65"/>
    <x v="8"/>
    <n v="1"/>
    <n v="1"/>
    <n v="784.46"/>
    <n v="784.46"/>
    <n v="0.14000000000000001"/>
    <n v="0.14000000000000001"/>
    <x v="2"/>
    <n v="674.63560000000007"/>
    <x v="1099"/>
    <s v="Bronze"/>
    <n v="45"/>
    <x v="0"/>
    <s v="Clothing"/>
  </r>
  <r>
    <s v="SALE1100"/>
    <d v="2024-03-28T00:00:00"/>
    <x v="415"/>
    <x v="40"/>
    <x v="15"/>
    <n v="3"/>
    <n v="3"/>
    <n v="70.88"/>
    <n v="70.88"/>
    <n v="0.27"/>
    <n v="0.27"/>
    <x v="2"/>
    <n v="155.22720000000001"/>
    <x v="1100"/>
    <s v="Silver"/>
    <n v="32"/>
    <x v="1"/>
    <s v="Sports"/>
  </r>
  <r>
    <s v="SALE1101"/>
    <d v="2024-12-15T00:00:00"/>
    <x v="407"/>
    <x v="67"/>
    <x v="8"/>
    <n v="3"/>
    <n v="3"/>
    <n v="324.29000000000002"/>
    <n v="324.29000000000002"/>
    <n v="0.16"/>
    <n v="0.16"/>
    <x v="2"/>
    <n v="817.21080000000006"/>
    <x v="1101"/>
    <s v="Gold"/>
    <n v="40"/>
    <x v="1"/>
    <s v="Electronics"/>
  </r>
  <r>
    <s v="SALE1102"/>
    <d v="2025-07-04T00:00:00"/>
    <x v="206"/>
    <x v="5"/>
    <x v="0"/>
    <n v="4"/>
    <n v="4"/>
    <n v="243.92"/>
    <n v="243.92"/>
    <n v="0.02"/>
    <n v="0.02"/>
    <x v="1"/>
    <n v="956.16639999999995"/>
    <x v="1102"/>
    <s v="Bronze"/>
    <n v="30"/>
    <x v="0"/>
    <s v="Electronics"/>
  </r>
  <r>
    <s v="SALE1103"/>
    <d v="2023-11-27T00:00:00"/>
    <x v="446"/>
    <x v="77"/>
    <x v="13"/>
    <n v="1"/>
    <n v="1"/>
    <n v="664.35"/>
    <n v="664.35"/>
    <n v="0"/>
    <n v="0"/>
    <x v="0"/>
    <n v="664.35"/>
    <x v="1103"/>
    <s v="Platinum"/>
    <n v="26"/>
    <x v="0"/>
    <s v="Sports"/>
  </r>
  <r>
    <s v="SALE1104"/>
    <d v="2024-06-25T00:00:00"/>
    <x v="304"/>
    <x v="39"/>
    <x v="15"/>
    <n v="2"/>
    <n v="2"/>
    <n v="218.07"/>
    <n v="218.07"/>
    <n v="0.19"/>
    <n v="0.19"/>
    <x v="1"/>
    <n v="353.27339999999998"/>
    <x v="1104"/>
    <s v="Bronze"/>
    <n v="52"/>
    <x v="1"/>
    <s v="Home"/>
  </r>
  <r>
    <s v="SALE1105"/>
    <d v="2023-10-29T00:00:00"/>
    <x v="280"/>
    <x v="5"/>
    <x v="0"/>
    <n v="4"/>
    <n v="4"/>
    <n v="921.83"/>
    <n v="921.83"/>
    <n v="0.27"/>
    <n v="0.27"/>
    <x v="0"/>
    <n v="2691.7435999999998"/>
    <x v="1105"/>
    <s v="Silver"/>
    <n v="27"/>
    <x v="1"/>
    <s v="Electronics"/>
  </r>
  <r>
    <s v="SALE1106"/>
    <d v="2025-01-04T00:00:00"/>
    <x v="64"/>
    <x v="57"/>
    <x v="8"/>
    <n v="3"/>
    <n v="3"/>
    <n v="326.2"/>
    <n v="326.2"/>
    <n v="0.22"/>
    <n v="0.22"/>
    <x v="2"/>
    <n v="763.30799999999999"/>
    <x v="1106"/>
    <s v="Platinum"/>
    <n v="36"/>
    <x v="1"/>
    <s v="Sports"/>
  </r>
  <r>
    <s v="SALE1107"/>
    <d v="2025-02-13T00:00:00"/>
    <x v="246"/>
    <x v="53"/>
    <x v="12"/>
    <n v="1"/>
    <n v="1"/>
    <n v="244.25"/>
    <n v="244.25"/>
    <n v="0.09"/>
    <n v="0.09"/>
    <x v="1"/>
    <n v="222.26750000000001"/>
    <x v="1107"/>
    <s v="Silver"/>
    <n v="62"/>
    <x v="1"/>
    <s v="Sports"/>
  </r>
  <r>
    <s v="SALE1108"/>
    <d v="2024-06-05T00:00:00"/>
    <x v="89"/>
    <x v="86"/>
    <x v="15"/>
    <n v="3"/>
    <n v="3"/>
    <n v="808.87"/>
    <n v="808.87"/>
    <n v="0.12"/>
    <n v="0.12"/>
    <x v="2"/>
    <n v="2135.4168"/>
    <x v="1108"/>
    <s v="Platinum"/>
    <n v="20"/>
    <x v="1"/>
    <s v="Sports"/>
  </r>
  <r>
    <s v="SALE1109"/>
    <d v="2024-04-05T00:00:00"/>
    <x v="94"/>
    <x v="45"/>
    <x v="17"/>
    <n v="3"/>
    <n v="3"/>
    <n v="826.15"/>
    <n v="826.15"/>
    <n v="0"/>
    <n v="0"/>
    <x v="1"/>
    <n v="2478.4499999999998"/>
    <x v="1109"/>
    <s v="Silver"/>
    <n v="46"/>
    <x v="1"/>
    <s v="Sports"/>
  </r>
  <r>
    <s v="SALE1110"/>
    <d v="2024-12-26T00:00:00"/>
    <x v="8"/>
    <x v="10"/>
    <x v="12"/>
    <n v="3"/>
    <n v="3"/>
    <n v="631.20000000000005"/>
    <n v="631.20000000000005"/>
    <n v="0.24"/>
    <n v="0.24"/>
    <x v="0"/>
    <n v="1439.136"/>
    <x v="1110"/>
    <s v="Platinum"/>
    <n v="60"/>
    <x v="1"/>
    <s v="Sports"/>
  </r>
  <r>
    <s v="SALE1111"/>
    <d v="2024-01-25T00:00:00"/>
    <x v="387"/>
    <x v="87"/>
    <x v="15"/>
    <n v="1"/>
    <n v="1"/>
    <n v="937.01"/>
    <n v="937.01"/>
    <n v="7.0000000000000007E-2"/>
    <n v="7.0000000000000007E-2"/>
    <x v="0"/>
    <n v="871.41929999999991"/>
    <x v="1111"/>
    <s v="Silver"/>
    <n v="38"/>
    <x v="0"/>
    <s v="Clothing"/>
  </r>
  <r>
    <s v="SALE1112"/>
    <d v="2024-01-25T00:00:00"/>
    <x v="383"/>
    <x v="78"/>
    <x v="3"/>
    <n v="2"/>
    <n v="2"/>
    <n v="644"/>
    <n v="644"/>
    <n v="0.04"/>
    <n v="0.04"/>
    <x v="1"/>
    <n v="1236.48"/>
    <x v="1112"/>
    <s v="Gold"/>
    <n v="25"/>
    <x v="1"/>
    <s v="Sports"/>
  </r>
  <r>
    <s v="SALE1113"/>
    <d v="2025-08-19T00:00:00"/>
    <x v="18"/>
    <x v="52"/>
    <x v="3"/>
    <n v="3"/>
    <n v="3"/>
    <n v="629.58000000000004"/>
    <n v="629.58000000000004"/>
    <n v="0.05"/>
    <n v="0.05"/>
    <x v="0"/>
    <n v="1794.3030000000001"/>
    <x v="1113"/>
    <s v="Gold"/>
    <n v="43"/>
    <x v="1"/>
    <s v="Clothing"/>
  </r>
  <r>
    <s v="SALE1114"/>
    <d v="2025-05-14T00:00:00"/>
    <x v="220"/>
    <x v="72"/>
    <x v="17"/>
    <n v="2"/>
    <n v="2"/>
    <n v="121.52"/>
    <n v="121.52"/>
    <n v="0.18"/>
    <n v="0.18"/>
    <x v="2"/>
    <n v="199.2928"/>
    <x v="1114"/>
    <s v="Silver"/>
    <n v="18"/>
    <x v="0"/>
    <s v="Home"/>
  </r>
  <r>
    <s v="SALE1115"/>
    <d v="2024-05-08T00:00:00"/>
    <x v="123"/>
    <x v="15"/>
    <x v="12"/>
    <n v="2"/>
    <n v="2"/>
    <n v="549.83000000000004"/>
    <n v="549.83000000000004"/>
    <n v="7.0000000000000007E-2"/>
    <n v="7.0000000000000007E-2"/>
    <x v="1"/>
    <n v="1022.6838"/>
    <x v="1115"/>
    <s v="Platinum"/>
    <n v="51"/>
    <x v="1"/>
    <s v="Sports"/>
  </r>
  <r>
    <s v="SALE1116"/>
    <d v="2023-10-20T00:00:00"/>
    <x v="429"/>
    <x v="26"/>
    <x v="2"/>
    <n v="3"/>
    <n v="3"/>
    <n v="278.38"/>
    <n v="278.38"/>
    <n v="0.03"/>
    <n v="0.03"/>
    <x v="0"/>
    <n v="810.08579999999995"/>
    <x v="1116"/>
    <s v="Gold"/>
    <n v="63"/>
    <x v="1"/>
    <s v="Electronics"/>
  </r>
  <r>
    <s v="SALE1117"/>
    <d v="2024-08-06T00:00:00"/>
    <x v="168"/>
    <x v="99"/>
    <x v="0"/>
    <n v="4"/>
    <n v="4"/>
    <n v="723.66"/>
    <n v="723.66"/>
    <n v="0.03"/>
    <n v="0.03"/>
    <x v="1"/>
    <n v="2807.8008"/>
    <x v="1117"/>
    <s v="Platinum"/>
    <n v="47"/>
    <x v="1"/>
    <s v="Clothing"/>
  </r>
  <r>
    <s v="SALE1118"/>
    <d v="2025-01-30T00:00:00"/>
    <x v="297"/>
    <x v="18"/>
    <x v="11"/>
    <n v="1"/>
    <n v="1"/>
    <n v="724.74"/>
    <n v="724.74"/>
    <n v="0.15"/>
    <n v="0.15"/>
    <x v="1"/>
    <n v="616.029"/>
    <x v="1118"/>
    <s v="Gold"/>
    <n v="44"/>
    <x v="1"/>
    <s v="Sports"/>
  </r>
  <r>
    <s v="SALE1119"/>
    <d v="2023-12-11T00:00:00"/>
    <x v="264"/>
    <x v="39"/>
    <x v="5"/>
    <n v="2"/>
    <n v="2"/>
    <n v="961.84"/>
    <n v="961.84"/>
    <n v="0.25"/>
    <n v="0.25"/>
    <x v="1"/>
    <n v="1442.76"/>
    <x v="1119"/>
    <s v="Gold"/>
    <n v="54"/>
    <x v="0"/>
    <s v="Home"/>
  </r>
  <r>
    <s v="SALE1120"/>
    <d v="2024-06-03T00:00:00"/>
    <x v="135"/>
    <x v="92"/>
    <x v="9"/>
    <n v="4"/>
    <n v="4"/>
    <n v="21.12"/>
    <n v="21.12"/>
    <n v="0.18"/>
    <n v="0.18"/>
    <x v="2"/>
    <n v="69.273600000000002"/>
    <x v="1120"/>
    <s v="Silver"/>
    <n v="59"/>
    <x v="0"/>
    <s v="Clothing"/>
  </r>
  <r>
    <s v="SALE1121"/>
    <d v="2024-10-14T00:00:00"/>
    <x v="133"/>
    <x v="90"/>
    <x v="5"/>
    <n v="3"/>
    <n v="3"/>
    <n v="819.93"/>
    <n v="819.93"/>
    <n v="0.08"/>
    <n v="0.08"/>
    <x v="1"/>
    <n v="2263.0068000000001"/>
    <x v="1121"/>
    <s v="Platinum"/>
    <n v="54"/>
    <x v="0"/>
    <s v="Electronics"/>
  </r>
  <r>
    <s v="SALE1122"/>
    <d v="2025-03-09T00:00:00"/>
    <x v="125"/>
    <x v="63"/>
    <x v="6"/>
    <n v="2"/>
    <n v="2"/>
    <n v="700.95"/>
    <n v="700.95"/>
    <n v="0.18"/>
    <n v="0.18"/>
    <x v="0"/>
    <n v="1149.558"/>
    <x v="1122"/>
    <s v="Platinum"/>
    <n v="29"/>
    <x v="0"/>
    <s v="Electronics"/>
  </r>
  <r>
    <s v="SALE1123"/>
    <d v="2025-09-10T00:00:00"/>
    <x v="206"/>
    <x v="53"/>
    <x v="7"/>
    <n v="2"/>
    <n v="2"/>
    <n v="456.38"/>
    <n v="456.38"/>
    <n v="0.12"/>
    <n v="0.12"/>
    <x v="0"/>
    <n v="803.22879999999998"/>
    <x v="1123"/>
    <s v="Bronze"/>
    <n v="30"/>
    <x v="0"/>
    <s v="Sports"/>
  </r>
  <r>
    <s v="SALE1124"/>
    <d v="2024-06-04T00:00:00"/>
    <x v="447"/>
    <x v="3"/>
    <x v="7"/>
    <n v="3"/>
    <n v="3"/>
    <n v="291.05"/>
    <n v="291.05"/>
    <n v="0.3"/>
    <n v="0.3"/>
    <x v="0"/>
    <n v="611.20500000000004"/>
    <x v="1124"/>
    <s v="Platinum"/>
    <n v="64"/>
    <x v="0"/>
    <s v="Electronics"/>
  </r>
  <r>
    <s v="SALE1125"/>
    <d v="2024-01-16T00:00:00"/>
    <x v="320"/>
    <x v="98"/>
    <x v="10"/>
    <n v="2"/>
    <n v="2"/>
    <n v="463.52"/>
    <n v="463.52"/>
    <n v="0.27"/>
    <n v="0.27"/>
    <x v="1"/>
    <n v="676.73919999999998"/>
    <x v="1125"/>
    <s v="Silver"/>
    <n v="59"/>
    <x v="0"/>
    <s v="Sports"/>
  </r>
  <r>
    <s v="SALE1126"/>
    <d v="2024-12-27T00:00:00"/>
    <x v="273"/>
    <x v="90"/>
    <x v="1"/>
    <n v="3"/>
    <n v="3"/>
    <n v="241.64"/>
    <n v="241.64"/>
    <n v="0.28999999999999998"/>
    <n v="0.28999999999999998"/>
    <x v="1"/>
    <n v="514.69319999999993"/>
    <x v="1126"/>
    <s v="Gold"/>
    <n v="34"/>
    <x v="1"/>
    <s v="Electronics"/>
  </r>
  <r>
    <s v="SALE1127"/>
    <d v="2025-06-09T00:00:00"/>
    <x v="60"/>
    <x v="37"/>
    <x v="15"/>
    <n v="2"/>
    <n v="2"/>
    <n v="47.86"/>
    <n v="47.86"/>
    <n v="0.03"/>
    <n v="0.03"/>
    <x v="1"/>
    <n v="92.848399999999998"/>
    <x v="1127"/>
    <s v="Gold"/>
    <n v="48"/>
    <x v="0"/>
    <s v="Home"/>
  </r>
  <r>
    <s v="SALE1128"/>
    <d v="2024-08-05T00:00:00"/>
    <x v="33"/>
    <x v="80"/>
    <x v="0"/>
    <n v="1"/>
    <n v="1"/>
    <n v="805.07"/>
    <n v="805.07"/>
    <n v="0.06"/>
    <n v="0.06"/>
    <x v="2"/>
    <n v="756.76580000000001"/>
    <x v="1128"/>
    <s v="Gold"/>
    <n v="39"/>
    <x v="0"/>
    <s v="Home"/>
  </r>
  <r>
    <s v="SALE1129"/>
    <d v="2025-04-06T00:00:00"/>
    <x v="141"/>
    <x v="13"/>
    <x v="8"/>
    <n v="3"/>
    <n v="3"/>
    <n v="848.48"/>
    <n v="848.48"/>
    <n v="0"/>
    <n v="0"/>
    <x v="2"/>
    <n v="2545.44"/>
    <x v="1129"/>
    <s v="Gold"/>
    <n v="37"/>
    <x v="1"/>
    <s v="Electronics"/>
  </r>
  <r>
    <s v="SALE1130"/>
    <d v="2024-08-08T00:00:00"/>
    <x v="85"/>
    <x v="27"/>
    <x v="2"/>
    <n v="2"/>
    <n v="2"/>
    <n v="568.95000000000005"/>
    <n v="568.95000000000005"/>
    <n v="0.22"/>
    <n v="0.22"/>
    <x v="0"/>
    <n v="887.56200000000013"/>
    <x v="1130"/>
    <s v="Bronze"/>
    <n v="19"/>
    <x v="0"/>
    <s v="Clothing"/>
  </r>
  <r>
    <s v="SALE1131"/>
    <d v="2025-04-17T00:00:00"/>
    <x v="58"/>
    <x v="27"/>
    <x v="19"/>
    <n v="3"/>
    <n v="3"/>
    <n v="269.83999999999997"/>
    <n v="269.83999999999997"/>
    <n v="0.05"/>
    <n v="0.05"/>
    <x v="1"/>
    <n v="769.04399999999998"/>
    <x v="1131"/>
    <s v="Silver"/>
    <n v="37"/>
    <x v="0"/>
    <s v="Clothing"/>
  </r>
  <r>
    <s v="SALE1132"/>
    <d v="2025-03-30T00:00:00"/>
    <x v="430"/>
    <x v="85"/>
    <x v="13"/>
    <n v="4"/>
    <n v="4"/>
    <n v="267.36"/>
    <n v="267.36"/>
    <n v="0.27"/>
    <n v="0.27"/>
    <x v="1"/>
    <n v="780.69119999999998"/>
    <x v="1132"/>
    <s v="Bronze"/>
    <n v="41"/>
    <x v="1"/>
    <s v="Electronics"/>
  </r>
  <r>
    <s v="SALE1133"/>
    <d v="2024-12-21T00:00:00"/>
    <x v="284"/>
    <x v="92"/>
    <x v="8"/>
    <n v="1"/>
    <n v="1"/>
    <n v="438.41"/>
    <n v="438.41"/>
    <n v="0.09"/>
    <n v="0.09"/>
    <x v="0"/>
    <n v="398.95310000000012"/>
    <x v="1133"/>
    <s v="Bronze"/>
    <n v="30"/>
    <x v="0"/>
    <s v="Clothing"/>
  </r>
  <r>
    <s v="SALE1134"/>
    <d v="2024-05-31T00:00:00"/>
    <x v="112"/>
    <x v="69"/>
    <x v="14"/>
    <n v="2"/>
    <n v="2"/>
    <n v="86.72"/>
    <n v="86.72"/>
    <n v="0.28000000000000003"/>
    <n v="0.28000000000000003"/>
    <x v="2"/>
    <n v="124.8768"/>
    <x v="1134"/>
    <s v="Silver"/>
    <n v="39"/>
    <x v="1"/>
    <s v="Electronics"/>
  </r>
  <r>
    <s v="SALE1135"/>
    <d v="2025-03-06T00:00:00"/>
    <x v="353"/>
    <x v="41"/>
    <x v="16"/>
    <n v="4"/>
    <n v="4"/>
    <n v="630.21"/>
    <n v="630.21"/>
    <n v="0.14000000000000001"/>
    <n v="0.14000000000000001"/>
    <x v="2"/>
    <n v="2167.9223999999999"/>
    <x v="1135"/>
    <s v="Bronze"/>
    <n v="40"/>
    <x v="0"/>
    <s v="Beauty"/>
  </r>
  <r>
    <s v="SALE1136"/>
    <d v="2024-10-10T00:00:00"/>
    <x v="448"/>
    <x v="4"/>
    <x v="16"/>
    <n v="3"/>
    <n v="3"/>
    <n v="180.84"/>
    <n v="180.84"/>
    <n v="0.03"/>
    <n v="0.03"/>
    <x v="1"/>
    <n v="526.24439999999993"/>
    <x v="1136"/>
    <s v="Silver"/>
    <n v="32"/>
    <x v="0"/>
    <s v="Beauty"/>
  </r>
  <r>
    <s v="SALE1137"/>
    <d v="2024-05-29T00:00:00"/>
    <x v="435"/>
    <x v="91"/>
    <x v="9"/>
    <n v="1"/>
    <n v="1"/>
    <n v="453.41"/>
    <n v="453.41"/>
    <n v="0.04"/>
    <n v="0.04"/>
    <x v="2"/>
    <n v="435.27359999999999"/>
    <x v="1137"/>
    <s v="Silver"/>
    <n v="64"/>
    <x v="1"/>
    <s v="Beauty"/>
  </r>
  <r>
    <s v="SALE1138"/>
    <d v="2025-10-10T00:00:00"/>
    <x v="385"/>
    <x v="69"/>
    <x v="16"/>
    <n v="1"/>
    <n v="1"/>
    <n v="629.09"/>
    <n v="629.09"/>
    <n v="0.02"/>
    <n v="0.02"/>
    <x v="0"/>
    <n v="616.50819999999999"/>
    <x v="1138"/>
    <s v="Platinum"/>
    <n v="40"/>
    <x v="0"/>
    <s v="Electronics"/>
  </r>
  <r>
    <s v="SALE1139"/>
    <d v="2024-08-14T00:00:00"/>
    <x v="128"/>
    <x v="25"/>
    <x v="17"/>
    <n v="2"/>
    <n v="2"/>
    <n v="257.45"/>
    <n v="257.45"/>
    <n v="0"/>
    <n v="0"/>
    <x v="2"/>
    <n v="514.9"/>
    <x v="1139"/>
    <s v="Silver"/>
    <n v="33"/>
    <x v="1"/>
    <s v="Electronics"/>
  </r>
  <r>
    <s v="SALE1140"/>
    <d v="2025-07-23T00:00:00"/>
    <x v="449"/>
    <x v="13"/>
    <x v="10"/>
    <n v="2"/>
    <n v="2"/>
    <n v="696.61"/>
    <n v="696.61"/>
    <n v="0.17"/>
    <n v="0.17"/>
    <x v="1"/>
    <n v="1156.3725999999999"/>
    <x v="1140"/>
    <s v="Silver"/>
    <n v="43"/>
    <x v="1"/>
    <s v="Electronics"/>
  </r>
  <r>
    <s v="SALE1141"/>
    <d v="2024-05-04T00:00:00"/>
    <x v="141"/>
    <x v="54"/>
    <x v="4"/>
    <n v="2"/>
    <n v="2"/>
    <n v="143.79"/>
    <n v="143.79"/>
    <n v="0.1"/>
    <n v="0.1"/>
    <x v="1"/>
    <n v="258.822"/>
    <x v="1141"/>
    <s v="Gold"/>
    <n v="37"/>
    <x v="1"/>
    <s v="Clothing"/>
  </r>
  <r>
    <s v="SALE1142"/>
    <d v="2024-11-12T00:00:00"/>
    <x v="272"/>
    <x v="50"/>
    <x v="8"/>
    <n v="3"/>
    <n v="3"/>
    <n v="460.93"/>
    <n v="460.93"/>
    <n v="0.19"/>
    <n v="0.19"/>
    <x v="2"/>
    <n v="1120.0599"/>
    <x v="1142"/>
    <s v="Bronze"/>
    <n v="28"/>
    <x v="1"/>
    <s v="Beauty"/>
  </r>
  <r>
    <s v="SALE1143"/>
    <d v="2024-01-10T00:00:00"/>
    <x v="148"/>
    <x v="77"/>
    <x v="11"/>
    <n v="2"/>
    <n v="2"/>
    <n v="67.55"/>
    <n v="67.55"/>
    <n v="0.03"/>
    <n v="0.03"/>
    <x v="0"/>
    <n v="131.047"/>
    <x v="1143"/>
    <s v="Not Found"/>
    <s v="Not Found"/>
    <x v="2"/>
    <s v="Sports"/>
  </r>
  <r>
    <s v="SALE1144"/>
    <d v="2024-05-21T00:00:00"/>
    <x v="256"/>
    <x v="2"/>
    <x v="8"/>
    <n v="3"/>
    <n v="3"/>
    <n v="803.31"/>
    <n v="803.31"/>
    <n v="0.1"/>
    <n v="0.1"/>
    <x v="1"/>
    <n v="2168.9369999999999"/>
    <x v="1144"/>
    <s v="Silver"/>
    <n v="48"/>
    <x v="0"/>
    <s v="Beauty"/>
  </r>
  <r>
    <s v="SALE1145"/>
    <d v="2025-06-13T00:00:00"/>
    <x v="450"/>
    <x v="30"/>
    <x v="13"/>
    <n v="4"/>
    <n v="4"/>
    <n v="254.71"/>
    <n v="254.71"/>
    <n v="0.2"/>
    <n v="0.2"/>
    <x v="2"/>
    <n v="815.07200000000012"/>
    <x v="1145"/>
    <s v="Bronze"/>
    <n v="37"/>
    <x v="0"/>
    <s v="OTHERS"/>
  </r>
  <r>
    <s v="SALE1146"/>
    <d v="2024-08-04T00:00:00"/>
    <x v="370"/>
    <x v="57"/>
    <x v="5"/>
    <n v="4"/>
    <n v="4"/>
    <n v="594.89"/>
    <n v="594.89"/>
    <n v="0.3"/>
    <n v="0.3"/>
    <x v="1"/>
    <n v="1665.692"/>
    <x v="1146"/>
    <s v="Gold"/>
    <n v="23"/>
    <x v="1"/>
    <s v="Sports"/>
  </r>
  <r>
    <s v="SALE1147"/>
    <d v="2025-07-16T00:00:00"/>
    <x v="209"/>
    <x v="52"/>
    <x v="6"/>
    <n v="2"/>
    <n v="2"/>
    <n v="844.31"/>
    <n v="844.31"/>
    <n v="7.0000000000000007E-2"/>
    <n v="7.0000000000000007E-2"/>
    <x v="1"/>
    <n v="1570.4166"/>
    <x v="1147"/>
    <s v="Gold"/>
    <n v="47"/>
    <x v="1"/>
    <s v="Clothing"/>
  </r>
  <r>
    <s v="SALE1148"/>
    <d v="2024-10-04T00:00:00"/>
    <x v="211"/>
    <x v="5"/>
    <x v="16"/>
    <n v="4"/>
    <n v="4"/>
    <n v="101.33"/>
    <n v="101.33"/>
    <n v="0"/>
    <n v="0"/>
    <x v="0"/>
    <n v="405.32"/>
    <x v="1148"/>
    <s v="Gold"/>
    <n v="54"/>
    <x v="0"/>
    <s v="Electronics"/>
  </r>
  <r>
    <s v="SALE1149"/>
    <d v="2025-06-16T00:00:00"/>
    <x v="87"/>
    <x v="33"/>
    <x v="2"/>
    <n v="3"/>
    <n v="3"/>
    <n v="922.56"/>
    <n v="922.56"/>
    <n v="0.18"/>
    <n v="0.18"/>
    <x v="1"/>
    <n v="2269.4976000000001"/>
    <x v="1149"/>
    <s v="Bronze"/>
    <n v="34"/>
    <x v="1"/>
    <s v="Electronics"/>
  </r>
  <r>
    <s v="SALE1150"/>
    <d v="2024-03-01T00:00:00"/>
    <x v="450"/>
    <x v="48"/>
    <x v="7"/>
    <n v="4"/>
    <n v="4"/>
    <n v="867.19"/>
    <n v="867.19"/>
    <n v="7.0000000000000007E-2"/>
    <n v="7.0000000000000007E-2"/>
    <x v="2"/>
    <n v="3225.9468000000002"/>
    <x v="1150"/>
    <s v="Bronze"/>
    <n v="37"/>
    <x v="0"/>
    <s v="Sports"/>
  </r>
  <r>
    <s v="SALE1151"/>
    <d v="2024-06-11T00:00:00"/>
    <x v="279"/>
    <x v="50"/>
    <x v="1"/>
    <n v="3"/>
    <n v="3"/>
    <n v="816.87"/>
    <n v="816.87"/>
    <n v="0.14000000000000001"/>
    <n v="0.14000000000000001"/>
    <x v="1"/>
    <n v="2107.5246000000002"/>
    <x v="1151"/>
    <s v="Platinum"/>
    <n v="29"/>
    <x v="1"/>
    <s v="Beauty"/>
  </r>
  <r>
    <s v="SALE1152"/>
    <d v="2025-09-24T00:00:00"/>
    <x v="451"/>
    <x v="15"/>
    <x v="0"/>
    <n v="3"/>
    <n v="3"/>
    <n v="258.06"/>
    <n v="258.06"/>
    <n v="0"/>
    <n v="0"/>
    <x v="1"/>
    <n v="774.18000000000006"/>
    <x v="1152"/>
    <s v="Bronze"/>
    <n v="33"/>
    <x v="0"/>
    <s v="Sports"/>
  </r>
  <r>
    <s v="SALE1153"/>
    <d v="2025-02-06T00:00:00"/>
    <x v="212"/>
    <x v="48"/>
    <x v="7"/>
    <n v="2"/>
    <n v="2"/>
    <n v="574.58000000000004"/>
    <n v="574.58000000000004"/>
    <n v="0.06"/>
    <n v="0.06"/>
    <x v="0"/>
    <n v="1080.2103999999999"/>
    <x v="1153"/>
    <s v="Silver"/>
    <n v="47"/>
    <x v="1"/>
    <s v="Sports"/>
  </r>
  <r>
    <s v="SALE1154"/>
    <d v="2024-10-22T00:00:00"/>
    <x v="128"/>
    <x v="50"/>
    <x v="16"/>
    <n v="2"/>
    <n v="2"/>
    <n v="472.18"/>
    <n v="472.18"/>
    <n v="0.27"/>
    <n v="0.27"/>
    <x v="1"/>
    <n v="689.38279999999997"/>
    <x v="1154"/>
    <s v="Silver"/>
    <n v="33"/>
    <x v="1"/>
    <s v="Beauty"/>
  </r>
  <r>
    <s v="SALE1155"/>
    <d v="2024-09-21T00:00:00"/>
    <x v="452"/>
    <x v="89"/>
    <x v="3"/>
    <n v="2"/>
    <n v="2"/>
    <n v="20.47"/>
    <n v="20.47"/>
    <n v="0.12"/>
    <n v="0.12"/>
    <x v="2"/>
    <n v="36.027200000000001"/>
    <x v="1155"/>
    <s v="Bronze"/>
    <n v="27"/>
    <x v="0"/>
    <s v="Sports"/>
  </r>
  <r>
    <s v="SALE1156"/>
    <d v="2025-09-23T00:00:00"/>
    <x v="193"/>
    <x v="62"/>
    <x v="4"/>
    <n v="3"/>
    <n v="3"/>
    <n v="235.41"/>
    <n v="235.41"/>
    <n v="0.15"/>
    <n v="0.15"/>
    <x v="1"/>
    <n v="600.29549999999995"/>
    <x v="1156"/>
    <s v="Silver"/>
    <n v="52"/>
    <x v="1"/>
    <s v="Sports"/>
  </r>
  <r>
    <s v="SALE1157"/>
    <d v="2025-06-03T00:00:00"/>
    <x v="409"/>
    <x v="36"/>
    <x v="4"/>
    <n v="3"/>
    <n v="3"/>
    <n v="744.9"/>
    <n v="744.9"/>
    <n v="0.27"/>
    <n v="0.27"/>
    <x v="1"/>
    <n v="1631.3309999999999"/>
    <x v="1157"/>
    <s v="Bronze"/>
    <n v="29"/>
    <x v="0"/>
    <s v="Home"/>
  </r>
  <r>
    <s v="SALE1158"/>
    <d v="2024-09-24T00:00:00"/>
    <x v="234"/>
    <x v="97"/>
    <x v="0"/>
    <n v="2"/>
    <n v="2"/>
    <n v="382.2"/>
    <n v="382.2"/>
    <n v="0.15"/>
    <n v="0.15"/>
    <x v="0"/>
    <n v="649.74"/>
    <x v="1158"/>
    <s v="Silver"/>
    <n v="54"/>
    <x v="1"/>
    <s v="Clothing"/>
  </r>
  <r>
    <s v="SALE1159"/>
    <d v="2025-08-12T00:00:00"/>
    <x v="3"/>
    <x v="64"/>
    <x v="9"/>
    <n v="1"/>
    <n v="1"/>
    <n v="269.25"/>
    <n v="269.25"/>
    <n v="0.14000000000000001"/>
    <n v="0.14000000000000001"/>
    <x v="1"/>
    <n v="231.55500000000001"/>
    <x v="1159"/>
    <s v="Platinum"/>
    <n v="58"/>
    <x v="1"/>
    <s v="Electronics"/>
  </r>
  <r>
    <s v="SALE1160"/>
    <d v="2024-03-16T00:00:00"/>
    <x v="317"/>
    <x v="37"/>
    <x v="19"/>
    <n v="2"/>
    <n v="2"/>
    <n v="723.75"/>
    <n v="723.75"/>
    <n v="0.03"/>
    <n v="0.03"/>
    <x v="1"/>
    <n v="1404.075"/>
    <x v="1160"/>
    <s v="Platinum"/>
    <n v="63"/>
    <x v="1"/>
    <s v="Home"/>
  </r>
  <r>
    <s v="SALE1161"/>
    <d v="2025-06-24T00:00:00"/>
    <x v="373"/>
    <x v="46"/>
    <x v="12"/>
    <n v="4"/>
    <n v="4"/>
    <n v="58.92"/>
    <n v="58.92"/>
    <n v="0.18"/>
    <n v="0.18"/>
    <x v="0"/>
    <n v="193.2576"/>
    <x v="1161"/>
    <s v="Platinum"/>
    <n v="59"/>
    <x v="0"/>
    <s v="Sports"/>
  </r>
  <r>
    <s v="SALE1162"/>
    <d v="2024-05-26T00:00:00"/>
    <x v="338"/>
    <x v="51"/>
    <x v="15"/>
    <n v="2"/>
    <n v="2"/>
    <n v="913.08"/>
    <n v="913.08"/>
    <n v="0.26"/>
    <n v="0.26"/>
    <x v="0"/>
    <n v="1351.3584000000001"/>
    <x v="1162"/>
    <s v="Silver"/>
    <n v="42"/>
    <x v="0"/>
    <s v="Beauty"/>
  </r>
  <r>
    <s v="SALE1163"/>
    <d v="2025-02-03T00:00:00"/>
    <x v="346"/>
    <x v="82"/>
    <x v="8"/>
    <n v="1"/>
    <n v="1"/>
    <n v="791.83"/>
    <n v="791.83"/>
    <n v="0.28000000000000003"/>
    <n v="0.28000000000000003"/>
    <x v="1"/>
    <n v="570.11760000000004"/>
    <x v="1163"/>
    <s v="Silver"/>
    <n v="58"/>
    <x v="1"/>
    <s v="Sports"/>
  </r>
  <r>
    <s v="SALE1164"/>
    <d v="2024-08-02T00:00:00"/>
    <x v="198"/>
    <x v="58"/>
    <x v="10"/>
    <n v="1"/>
    <n v="1"/>
    <n v="74.290000000000006"/>
    <n v="74.290000000000006"/>
    <n v="0.3"/>
    <n v="0.3"/>
    <x v="2"/>
    <n v="52.003"/>
    <x v="1164"/>
    <s v="Platinum"/>
    <n v="42"/>
    <x v="0"/>
    <s v="OTHERS"/>
  </r>
  <r>
    <s v="SALE1165"/>
    <d v="2023-11-21T00:00:00"/>
    <x v="129"/>
    <x v="68"/>
    <x v="6"/>
    <n v="2"/>
    <n v="2"/>
    <n v="961.68"/>
    <n v="961.68"/>
    <n v="0.27"/>
    <n v="0.27"/>
    <x v="1"/>
    <n v="1404.0527999999999"/>
    <x v="1165"/>
    <s v="Gold"/>
    <n v="56"/>
    <x v="1"/>
    <s v="Home"/>
  </r>
  <r>
    <s v="SALE1166"/>
    <d v="2025-03-06T00:00:00"/>
    <x v="187"/>
    <x v="46"/>
    <x v="7"/>
    <n v="1"/>
    <n v="1"/>
    <n v="90.72"/>
    <n v="90.72"/>
    <n v="0.1"/>
    <n v="0.1"/>
    <x v="1"/>
    <n v="81.647999999999996"/>
    <x v="1166"/>
    <s v="Gold"/>
    <n v="21"/>
    <x v="0"/>
    <s v="Sports"/>
  </r>
  <r>
    <s v="SALE1167"/>
    <d v="2025-02-01T00:00:00"/>
    <x v="426"/>
    <x v="87"/>
    <x v="4"/>
    <n v="1"/>
    <n v="1"/>
    <n v="458.69"/>
    <n v="458.69"/>
    <n v="0.16"/>
    <n v="0.16"/>
    <x v="1"/>
    <n v="385.2996"/>
    <x v="1167"/>
    <s v="Silver"/>
    <n v="22"/>
    <x v="1"/>
    <s v="Clothing"/>
  </r>
  <r>
    <s v="SALE1168"/>
    <d v="2024-02-24T00:00:00"/>
    <x v="104"/>
    <x v="13"/>
    <x v="4"/>
    <n v="1"/>
    <n v="1"/>
    <n v="168.29"/>
    <n v="168.29"/>
    <n v="0.05"/>
    <n v="0.05"/>
    <x v="1"/>
    <n v="159.87549999999999"/>
    <x v="1168"/>
    <s v="Bronze"/>
    <n v="22"/>
    <x v="1"/>
    <s v="Electronics"/>
  </r>
  <r>
    <s v="SALE1169"/>
    <d v="2024-09-14T00:00:00"/>
    <x v="225"/>
    <x v="53"/>
    <x v="1"/>
    <n v="1"/>
    <n v="1"/>
    <n v="391.77"/>
    <n v="391.77"/>
    <n v="0.1"/>
    <n v="0.1"/>
    <x v="1"/>
    <n v="352.59300000000002"/>
    <x v="1169"/>
    <s v="Silver"/>
    <n v="20"/>
    <x v="1"/>
    <s v="Sports"/>
  </r>
  <r>
    <s v="SALE1170"/>
    <d v="2025-08-31T00:00:00"/>
    <x v="110"/>
    <x v="21"/>
    <x v="7"/>
    <n v="1"/>
    <n v="1"/>
    <n v="424.83"/>
    <n v="424.83"/>
    <n v="0.05"/>
    <n v="0.05"/>
    <x v="2"/>
    <n v="403.58850000000001"/>
    <x v="1170"/>
    <s v="Bronze"/>
    <n v="38"/>
    <x v="0"/>
    <s v="Beauty"/>
  </r>
  <r>
    <s v="SALE1171"/>
    <d v="2024-01-17T00:00:00"/>
    <x v="286"/>
    <x v="75"/>
    <x v="0"/>
    <n v="1"/>
    <n v="1"/>
    <n v="499.46"/>
    <n v="499.46"/>
    <n v="0.1"/>
    <n v="0.1"/>
    <x v="0"/>
    <n v="449.51400000000001"/>
    <x v="1171"/>
    <s v="Gold"/>
    <n v="37"/>
    <x v="1"/>
    <s v="Electronics"/>
  </r>
  <r>
    <s v="SALE1172"/>
    <d v="2024-02-14T00:00:00"/>
    <x v="68"/>
    <x v="8"/>
    <x v="8"/>
    <n v="2"/>
    <n v="2"/>
    <n v="698.34"/>
    <n v="698.34"/>
    <n v="0.15"/>
    <n v="0.15"/>
    <x v="1"/>
    <n v="1187.1780000000001"/>
    <x v="1172"/>
    <s v="Platinum"/>
    <n v="46"/>
    <x v="1"/>
    <s v="Home"/>
  </r>
  <r>
    <s v="SALE1173"/>
    <d v="2023-10-14T00:00:00"/>
    <x v="413"/>
    <x v="6"/>
    <x v="9"/>
    <n v="2"/>
    <n v="2"/>
    <n v="805.08"/>
    <n v="805.08"/>
    <n v="0.27"/>
    <n v="0.27"/>
    <x v="1"/>
    <n v="1175.4168"/>
    <x v="1173"/>
    <s v="Silver"/>
    <n v="54"/>
    <x v="1"/>
    <s v="Home"/>
  </r>
  <r>
    <s v="SALE1174"/>
    <d v="2025-03-26T00:00:00"/>
    <x v="220"/>
    <x v="3"/>
    <x v="17"/>
    <n v="4"/>
    <n v="4"/>
    <n v="934.79"/>
    <n v="934.79"/>
    <n v="0.08"/>
    <n v="0.08"/>
    <x v="1"/>
    <n v="3440.0272"/>
    <x v="1174"/>
    <s v="Silver"/>
    <n v="18"/>
    <x v="0"/>
    <s v="Electronics"/>
  </r>
  <r>
    <s v="SALE1175"/>
    <d v="2025-10-02T00:00:00"/>
    <x v="68"/>
    <x v="17"/>
    <x v="8"/>
    <n v="2"/>
    <n v="2"/>
    <n v="424.54"/>
    <n v="424.54"/>
    <n v="0.24"/>
    <n v="0.24"/>
    <x v="1"/>
    <n v="645.30080000000009"/>
    <x v="1175"/>
    <s v="Platinum"/>
    <n v="46"/>
    <x v="1"/>
    <s v="Beauty"/>
  </r>
  <r>
    <s v="SALE1176"/>
    <d v="2024-06-19T00:00:00"/>
    <x v="78"/>
    <x v="94"/>
    <x v="1"/>
    <n v="1"/>
    <n v="1"/>
    <n v="235.44"/>
    <n v="235.44"/>
    <n v="0.19"/>
    <n v="0.19"/>
    <x v="2"/>
    <n v="190.7064"/>
    <x v="1176"/>
    <s v="Bronze"/>
    <n v="62"/>
    <x v="1"/>
    <s v="Home"/>
  </r>
  <r>
    <s v="SALE1177"/>
    <d v="2024-10-03T00:00:00"/>
    <x v="398"/>
    <x v="2"/>
    <x v="13"/>
    <n v="2"/>
    <n v="2"/>
    <n v="620.71"/>
    <n v="620.71"/>
    <n v="0.27"/>
    <n v="0.27"/>
    <x v="0"/>
    <n v="906.23660000000007"/>
    <x v="1177"/>
    <s v="Platinum"/>
    <n v="64"/>
    <x v="0"/>
    <s v="Beauty"/>
  </r>
  <r>
    <s v="SALE1178"/>
    <d v="2024-04-15T00:00:00"/>
    <x v="71"/>
    <x v="30"/>
    <x v="19"/>
    <n v="2"/>
    <n v="2"/>
    <n v="851.77"/>
    <n v="851.77"/>
    <n v="0.13"/>
    <n v="0.13"/>
    <x v="1"/>
    <n v="1482.0798"/>
    <x v="1178"/>
    <s v="Platinum"/>
    <n v="53"/>
    <x v="1"/>
    <s v="OTHERS"/>
  </r>
  <r>
    <s v="SALE1179"/>
    <d v="2024-10-04T00:00:00"/>
    <x v="64"/>
    <x v="49"/>
    <x v="8"/>
    <n v="3"/>
    <n v="3"/>
    <n v="876.01"/>
    <n v="876.01"/>
    <n v="0.2"/>
    <n v="0.2"/>
    <x v="0"/>
    <n v="2102.424"/>
    <x v="1179"/>
    <s v="Platinum"/>
    <n v="36"/>
    <x v="1"/>
    <s v="Sports"/>
  </r>
  <r>
    <s v="SALE1180"/>
    <d v="2024-03-02T00:00:00"/>
    <x v="16"/>
    <x v="16"/>
    <x v="11"/>
    <n v="2"/>
    <n v="2"/>
    <n v="717.21"/>
    <n v="717.21"/>
    <n v="0.15"/>
    <n v="0.15"/>
    <x v="2"/>
    <n v="1219.2570000000001"/>
    <x v="1180"/>
    <s v="Gold"/>
    <n v="38"/>
    <x v="0"/>
    <s v="Home"/>
  </r>
  <r>
    <s v="SALE1181"/>
    <d v="2024-02-21T00:00:00"/>
    <x v="2"/>
    <x v="89"/>
    <x v="2"/>
    <n v="2"/>
    <n v="2"/>
    <n v="871.43"/>
    <n v="871.43"/>
    <n v="0.05"/>
    <n v="0.05"/>
    <x v="0"/>
    <n v="1655.7170000000001"/>
    <x v="1181"/>
    <s v="Gold"/>
    <n v="49"/>
    <x v="1"/>
    <s v="Sports"/>
  </r>
  <r>
    <s v="SALE1182"/>
    <d v="2024-01-30T00:00:00"/>
    <x v="32"/>
    <x v="14"/>
    <x v="4"/>
    <n v="1"/>
    <n v="1"/>
    <n v="514.65"/>
    <n v="514.65"/>
    <n v="0.18"/>
    <n v="0.18"/>
    <x v="0"/>
    <n v="422.01299999999998"/>
    <x v="1182"/>
    <s v="Platinum"/>
    <n v="62"/>
    <x v="1"/>
    <s v="Clothing"/>
  </r>
  <r>
    <s v="SALE1183"/>
    <d v="2024-12-24T00:00:00"/>
    <x v="124"/>
    <x v="85"/>
    <x v="9"/>
    <n v="3"/>
    <n v="3"/>
    <n v="198.76"/>
    <n v="198.76"/>
    <n v="0.28000000000000003"/>
    <n v="0.28000000000000003"/>
    <x v="2"/>
    <n v="429.32159999999999"/>
    <x v="1183"/>
    <s v="Gold"/>
    <n v="29"/>
    <x v="1"/>
    <s v="Electronics"/>
  </r>
  <r>
    <s v="SALE1184"/>
    <d v="2025-06-03T00:00:00"/>
    <x v="219"/>
    <x v="81"/>
    <x v="0"/>
    <n v="2"/>
    <n v="2"/>
    <n v="975.72"/>
    <n v="975.72"/>
    <n v="0.16"/>
    <n v="0.16"/>
    <x v="2"/>
    <n v="1639.2095999999999"/>
    <x v="1184"/>
    <s v="Platinum"/>
    <n v="46"/>
    <x v="1"/>
    <s v="Beauty"/>
  </r>
  <r>
    <s v="SALE1185"/>
    <d v="2024-08-01T00:00:00"/>
    <x v="47"/>
    <x v="5"/>
    <x v="8"/>
    <n v="1"/>
    <n v="1"/>
    <n v="86.03"/>
    <n v="86.03"/>
    <n v="0.01"/>
    <n v="0.01"/>
    <x v="0"/>
    <n v="85.169700000000006"/>
    <x v="1185"/>
    <s v="Bronze"/>
    <n v="60"/>
    <x v="0"/>
    <s v="Electronics"/>
  </r>
  <r>
    <s v="SALE1186"/>
    <d v="2025-08-28T00:00:00"/>
    <x v="98"/>
    <x v="59"/>
    <x v="18"/>
    <n v="4"/>
    <n v="4"/>
    <n v="705.12"/>
    <n v="705.12"/>
    <n v="0.15"/>
    <n v="0.15"/>
    <x v="1"/>
    <n v="2397.4079999999999"/>
    <x v="1186"/>
    <s v="Bronze"/>
    <n v="58"/>
    <x v="1"/>
    <s v="Sports"/>
  </r>
  <r>
    <s v="SALE1187"/>
    <d v="2024-11-06T00:00:00"/>
    <x v="171"/>
    <x v="97"/>
    <x v="18"/>
    <n v="3"/>
    <n v="3"/>
    <n v="99.77"/>
    <n v="99.77"/>
    <n v="0.01"/>
    <n v="0.01"/>
    <x v="1"/>
    <n v="296.31689999999998"/>
    <x v="1187"/>
    <s v="Platinum"/>
    <n v="21"/>
    <x v="1"/>
    <s v="Clothing"/>
  </r>
  <r>
    <s v="SALE1188"/>
    <d v="2024-08-26T00:00:00"/>
    <x v="204"/>
    <x v="13"/>
    <x v="11"/>
    <n v="2"/>
    <n v="2"/>
    <n v="166.26"/>
    <n v="166.26"/>
    <n v="0.14000000000000001"/>
    <n v="0.14000000000000001"/>
    <x v="1"/>
    <n v="285.96719999999999"/>
    <x v="1188"/>
    <s v="Platinum"/>
    <n v="50"/>
    <x v="1"/>
    <s v="Electronics"/>
  </r>
  <r>
    <s v="SALE1189"/>
    <d v="2025-03-13T00:00:00"/>
    <x v="124"/>
    <x v="33"/>
    <x v="3"/>
    <n v="1"/>
    <n v="1"/>
    <n v="429.25"/>
    <n v="429.25"/>
    <n v="0.28999999999999998"/>
    <n v="0.28999999999999998"/>
    <x v="0"/>
    <n v="304.76749999999998"/>
    <x v="1189"/>
    <s v="Gold"/>
    <n v="29"/>
    <x v="1"/>
    <s v="Electronics"/>
  </r>
  <r>
    <s v="SALE1190"/>
    <d v="2024-06-25T00:00:00"/>
    <x v="13"/>
    <x v="90"/>
    <x v="11"/>
    <n v="2"/>
    <n v="2"/>
    <n v="540.48"/>
    <n v="540.48"/>
    <n v="0.28999999999999998"/>
    <n v="0.28999999999999998"/>
    <x v="0"/>
    <n v="767.48159999999996"/>
    <x v="1190"/>
    <s v="Silver"/>
    <n v="51"/>
    <x v="0"/>
    <s v="Electronics"/>
  </r>
  <r>
    <s v="SALE1191"/>
    <d v="2025-10-06T00:00:00"/>
    <x v="59"/>
    <x v="4"/>
    <x v="7"/>
    <n v="2"/>
    <n v="2"/>
    <n v="579.52"/>
    <n v="579.52"/>
    <n v="0.01"/>
    <n v="0.01"/>
    <x v="1"/>
    <n v="1147.4495999999999"/>
    <x v="1191"/>
    <s v="Silver"/>
    <n v="45"/>
    <x v="1"/>
    <s v="Beauty"/>
  </r>
  <r>
    <s v="SALE1192"/>
    <d v="2024-11-26T00:00:00"/>
    <x v="339"/>
    <x v="20"/>
    <x v="1"/>
    <n v="4"/>
    <n v="4"/>
    <n v="477.52"/>
    <n v="477.52"/>
    <n v="7.0000000000000007E-2"/>
    <n v="7.0000000000000007E-2"/>
    <x v="1"/>
    <n v="1776.3743999999999"/>
    <x v="1192"/>
    <s v="Gold"/>
    <n v="18"/>
    <x v="1"/>
    <s v="Clothing"/>
  </r>
  <r>
    <s v="SALE1193"/>
    <d v="2025-02-17T00:00:00"/>
    <x v="415"/>
    <x v="52"/>
    <x v="16"/>
    <n v="3"/>
    <n v="3"/>
    <n v="242.58"/>
    <n v="242.58"/>
    <n v="0.25"/>
    <n v="0.25"/>
    <x v="0"/>
    <n v="545.80500000000006"/>
    <x v="1193"/>
    <s v="Silver"/>
    <n v="32"/>
    <x v="1"/>
    <s v="Clothing"/>
  </r>
  <r>
    <s v="SALE1194"/>
    <d v="2023-11-20T00:00:00"/>
    <x v="54"/>
    <x v="33"/>
    <x v="1"/>
    <n v="2"/>
    <n v="2"/>
    <n v="519.29999999999995"/>
    <n v="519.29999999999995"/>
    <n v="0.09"/>
    <n v="0.09"/>
    <x v="1"/>
    <n v="945.12599999999998"/>
    <x v="1194"/>
    <s v="Bronze"/>
    <n v="51"/>
    <x v="0"/>
    <s v="Electronics"/>
  </r>
  <r>
    <s v="SALE1195"/>
    <d v="2025-01-27T00:00:00"/>
    <x v="354"/>
    <x v="32"/>
    <x v="19"/>
    <n v="3"/>
    <n v="3"/>
    <n v="845.67"/>
    <n v="845.67"/>
    <n v="0.12"/>
    <n v="0.12"/>
    <x v="2"/>
    <n v="2232.5688"/>
    <x v="1195"/>
    <s v="Not Found"/>
    <s v="Not Found"/>
    <x v="2"/>
    <s v="Beauty"/>
  </r>
  <r>
    <s v="SALE1196"/>
    <d v="2024-04-13T00:00:00"/>
    <x v="428"/>
    <x v="76"/>
    <x v="9"/>
    <n v="4"/>
    <n v="4"/>
    <n v="750.26"/>
    <n v="750.26"/>
    <n v="0.01"/>
    <n v="0.01"/>
    <x v="1"/>
    <n v="2971.0295999999998"/>
    <x v="1196"/>
    <s v="Platinum"/>
    <n v="64"/>
    <x v="0"/>
    <s v="Home"/>
  </r>
  <r>
    <s v="SALE1197"/>
    <d v="2024-03-31T00:00:00"/>
    <x v="238"/>
    <x v="80"/>
    <x v="18"/>
    <n v="4"/>
    <n v="4"/>
    <n v="294.38"/>
    <n v="294.38"/>
    <n v="0.2"/>
    <n v="0.2"/>
    <x v="0"/>
    <n v="942.01600000000008"/>
    <x v="1197"/>
    <s v="Bronze"/>
    <n v="34"/>
    <x v="1"/>
    <s v="Home"/>
  </r>
  <r>
    <s v="SALE1198"/>
    <d v="2025-09-19T00:00:00"/>
    <x v="90"/>
    <x v="99"/>
    <x v="17"/>
    <n v="3"/>
    <n v="3"/>
    <n v="583.52"/>
    <n v="583.52"/>
    <n v="7.0000000000000007E-2"/>
    <n v="7.0000000000000007E-2"/>
    <x v="1"/>
    <n v="1628.0208"/>
    <x v="1198"/>
    <s v="Silver"/>
    <n v="36"/>
    <x v="0"/>
    <s v="Clothing"/>
  </r>
  <r>
    <s v="SALE1199"/>
    <d v="2024-06-10T00:00:00"/>
    <x v="44"/>
    <x v="41"/>
    <x v="9"/>
    <n v="2"/>
    <n v="2"/>
    <n v="635.22"/>
    <n v="635.22"/>
    <n v="0.3"/>
    <n v="0.3"/>
    <x v="2"/>
    <n v="889.30799999999999"/>
    <x v="1199"/>
    <s v="Gold"/>
    <n v="21"/>
    <x v="1"/>
    <s v="Beauty"/>
  </r>
  <r>
    <s v="SALE1200"/>
    <d v="2024-01-22T00:00:00"/>
    <x v="155"/>
    <x v="73"/>
    <x v="17"/>
    <n v="1"/>
    <n v="1"/>
    <n v="743.55"/>
    <n v="743.55"/>
    <n v="0.11"/>
    <n v="0.11"/>
    <x v="2"/>
    <n v="661.7595"/>
    <x v="1200"/>
    <s v="Bronze"/>
    <n v="27"/>
    <x v="1"/>
    <s v="Beauty"/>
  </r>
  <r>
    <s v="SALE1201"/>
    <d v="2024-03-26T00:00:00"/>
    <x v="210"/>
    <x v="38"/>
    <x v="0"/>
    <n v="4"/>
    <n v="4"/>
    <n v="530.45000000000005"/>
    <n v="530.45000000000005"/>
    <n v="0.13"/>
    <n v="0.13"/>
    <x v="0"/>
    <n v="1845.9659999999999"/>
    <x v="1201"/>
    <s v="Gold"/>
    <n v="29"/>
    <x v="0"/>
    <s v="Sports"/>
  </r>
  <r>
    <s v="SALE1202"/>
    <d v="2024-03-20T00:00:00"/>
    <x v="105"/>
    <x v="73"/>
    <x v="11"/>
    <n v="2"/>
    <n v="2"/>
    <n v="972.4"/>
    <n v="972.4"/>
    <n v="0.06"/>
    <n v="0.06"/>
    <x v="2"/>
    <n v="1828.1120000000001"/>
    <x v="1202"/>
    <s v="Gold"/>
    <n v="25"/>
    <x v="0"/>
    <s v="Beauty"/>
  </r>
  <r>
    <s v="SALE1203"/>
    <d v="2025-05-20T00:00:00"/>
    <x v="74"/>
    <x v="5"/>
    <x v="14"/>
    <n v="3"/>
    <n v="3"/>
    <n v="197.93"/>
    <n v="197.93"/>
    <n v="0"/>
    <n v="0"/>
    <x v="2"/>
    <n v="593.79"/>
    <x v="1203"/>
    <s v="Bronze"/>
    <n v="44"/>
    <x v="1"/>
    <s v="Electronics"/>
  </r>
  <r>
    <s v="SALE1204"/>
    <d v="2024-10-10T00:00:00"/>
    <x v="395"/>
    <x v="72"/>
    <x v="19"/>
    <n v="4"/>
    <n v="4"/>
    <n v="565.51"/>
    <n v="565.51"/>
    <n v="0.16"/>
    <n v="0.16"/>
    <x v="1"/>
    <n v="1900.1135999999999"/>
    <x v="1204"/>
    <s v="Bronze"/>
    <n v="30"/>
    <x v="1"/>
    <s v="Home"/>
  </r>
  <r>
    <s v="SALE1205"/>
    <d v="2024-10-01T00:00:00"/>
    <x v="453"/>
    <x v="11"/>
    <x v="5"/>
    <n v="4"/>
    <n v="4"/>
    <n v="983.38"/>
    <n v="983.38"/>
    <n v="0.25"/>
    <n v="0.25"/>
    <x v="2"/>
    <n v="2950.14"/>
    <x v="1205"/>
    <s v="Platinum"/>
    <n v="57"/>
    <x v="1"/>
    <s v="Electronics"/>
  </r>
  <r>
    <s v="SALE1206"/>
    <d v="2023-11-22T00:00:00"/>
    <x v="241"/>
    <x v="8"/>
    <x v="11"/>
    <n v="1"/>
    <n v="1"/>
    <n v="955.06"/>
    <n v="955.06"/>
    <n v="0.14000000000000001"/>
    <n v="0.14000000000000001"/>
    <x v="0"/>
    <n v="821.35159999999996"/>
    <x v="1206"/>
    <s v="Gold"/>
    <n v="43"/>
    <x v="1"/>
    <s v="Home"/>
  </r>
  <r>
    <s v="SALE1207"/>
    <d v="2025-02-05T00:00:00"/>
    <x v="316"/>
    <x v="4"/>
    <x v="10"/>
    <n v="3"/>
    <n v="3"/>
    <n v="597.46"/>
    <n v="597.46"/>
    <n v="0.02"/>
    <n v="0.02"/>
    <x v="1"/>
    <n v="1756.5324000000001"/>
    <x v="1207"/>
    <s v="Silver"/>
    <n v="52"/>
    <x v="1"/>
    <s v="Beauty"/>
  </r>
  <r>
    <s v="SALE1208"/>
    <d v="2024-06-03T00:00:00"/>
    <x v="352"/>
    <x v="67"/>
    <x v="9"/>
    <n v="3"/>
    <n v="3"/>
    <n v="581.09"/>
    <n v="581.09"/>
    <n v="0.1"/>
    <n v="0.1"/>
    <x v="2"/>
    <n v="1568.943"/>
    <x v="1208"/>
    <s v="Gold"/>
    <n v="64"/>
    <x v="1"/>
    <s v="Electronics"/>
  </r>
  <r>
    <s v="SALE1209"/>
    <d v="2025-07-24T00:00:00"/>
    <x v="76"/>
    <x v="37"/>
    <x v="5"/>
    <n v="4"/>
    <n v="4"/>
    <n v="153.94999999999999"/>
    <n v="153.94999999999999"/>
    <n v="0.11"/>
    <n v="0.11"/>
    <x v="1"/>
    <n v="548.06200000000001"/>
    <x v="1209"/>
    <s v="Platinum"/>
    <n v="24"/>
    <x v="0"/>
    <s v="Home"/>
  </r>
  <r>
    <s v="SALE1210"/>
    <d v="2024-08-26T00:00:00"/>
    <x v="150"/>
    <x v="14"/>
    <x v="2"/>
    <n v="4"/>
    <n v="4"/>
    <n v="271.04000000000002"/>
    <n v="271.04000000000002"/>
    <n v="0.12"/>
    <n v="0.12"/>
    <x v="2"/>
    <n v="954.06080000000009"/>
    <x v="1210"/>
    <s v="Platinum"/>
    <n v="34"/>
    <x v="1"/>
    <s v="Clothing"/>
  </r>
  <r>
    <s v="SALE1211"/>
    <d v="2024-09-23T00:00:00"/>
    <x v="270"/>
    <x v="68"/>
    <x v="16"/>
    <n v="4"/>
    <n v="4"/>
    <n v="328.27"/>
    <n v="328.27"/>
    <n v="0.09"/>
    <n v="0.09"/>
    <x v="1"/>
    <n v="1194.9028000000001"/>
    <x v="1211"/>
    <s v="Platinum"/>
    <n v="49"/>
    <x v="1"/>
    <s v="Home"/>
  </r>
  <r>
    <s v="SALE1212"/>
    <d v="2024-06-29T00:00:00"/>
    <x v="187"/>
    <x v="53"/>
    <x v="7"/>
    <n v="4"/>
    <n v="4"/>
    <n v="884.71"/>
    <n v="884.71"/>
    <n v="0.09"/>
    <n v="0.09"/>
    <x v="1"/>
    <n v="3220.3444"/>
    <x v="1212"/>
    <s v="Gold"/>
    <n v="21"/>
    <x v="0"/>
    <s v="Sports"/>
  </r>
  <r>
    <s v="SALE1213"/>
    <d v="2025-06-01T00:00:00"/>
    <x v="434"/>
    <x v="18"/>
    <x v="5"/>
    <n v="1"/>
    <n v="1"/>
    <n v="41.39"/>
    <n v="41.39"/>
    <n v="0.01"/>
    <n v="0.01"/>
    <x v="0"/>
    <n v="40.976100000000002"/>
    <x v="1213"/>
    <s v="Gold"/>
    <n v="41"/>
    <x v="1"/>
    <s v="Sports"/>
  </r>
  <r>
    <s v="SALE1214"/>
    <d v="2025-05-06T00:00:00"/>
    <x v="255"/>
    <x v="71"/>
    <x v="11"/>
    <n v="4"/>
    <n v="4"/>
    <n v="64.06"/>
    <n v="64.06"/>
    <n v="0.26"/>
    <n v="0.26"/>
    <x v="0"/>
    <n v="189.61760000000001"/>
    <x v="1214"/>
    <s v="Platinum"/>
    <n v="47"/>
    <x v="1"/>
    <s v="Sports"/>
  </r>
  <r>
    <s v="SALE1215"/>
    <d v="2025-07-11T00:00:00"/>
    <x v="3"/>
    <x v="54"/>
    <x v="11"/>
    <n v="2"/>
    <n v="2"/>
    <n v="152.25"/>
    <n v="152.25"/>
    <n v="0.13"/>
    <n v="0.13"/>
    <x v="0"/>
    <n v="264.91500000000002"/>
    <x v="1215"/>
    <s v="Platinum"/>
    <n v="58"/>
    <x v="1"/>
    <s v="Clothing"/>
  </r>
  <r>
    <s v="SALE1216"/>
    <d v="2023-12-21T00:00:00"/>
    <x v="323"/>
    <x v="26"/>
    <x v="12"/>
    <n v="2"/>
    <n v="2"/>
    <n v="889.04"/>
    <n v="889.04"/>
    <n v="0.23"/>
    <n v="0.23"/>
    <x v="0"/>
    <n v="1369.1215999999999"/>
    <x v="1216"/>
    <s v="Platinum"/>
    <n v="53"/>
    <x v="1"/>
    <s v="Electronics"/>
  </r>
  <r>
    <s v="SALE1217"/>
    <d v="2024-01-31T00:00:00"/>
    <x v="261"/>
    <x v="92"/>
    <x v="15"/>
    <n v="3"/>
    <n v="3"/>
    <n v="145.25"/>
    <n v="145.25"/>
    <n v="0.24"/>
    <n v="0.24"/>
    <x v="1"/>
    <n v="331.17"/>
    <x v="1217"/>
    <s v="Silver"/>
    <n v="18"/>
    <x v="1"/>
    <s v="Clothing"/>
  </r>
  <r>
    <s v="SALE1218"/>
    <d v="2024-09-25T00:00:00"/>
    <x v="2"/>
    <x v="12"/>
    <x v="17"/>
    <n v="2"/>
    <n v="2"/>
    <n v="898.45"/>
    <n v="898.45"/>
    <n v="0.28999999999999998"/>
    <n v="0.28999999999999998"/>
    <x v="2"/>
    <n v="1275.799"/>
    <x v="1218"/>
    <s v="Gold"/>
    <n v="49"/>
    <x v="1"/>
    <s v="Sports"/>
  </r>
  <r>
    <s v="SALE1219"/>
    <d v="2025-09-05T00:00:00"/>
    <x v="454"/>
    <x v="68"/>
    <x v="10"/>
    <n v="4"/>
    <n v="4"/>
    <n v="642.04999999999995"/>
    <n v="642.04999999999995"/>
    <n v="0.25"/>
    <n v="0.25"/>
    <x v="0"/>
    <n v="1926.15"/>
    <x v="1219"/>
    <s v="Bronze"/>
    <n v="64"/>
    <x v="1"/>
    <s v="Home"/>
  </r>
  <r>
    <s v="SALE1220"/>
    <d v="2024-08-27T00:00:00"/>
    <x v="455"/>
    <x v="94"/>
    <x v="4"/>
    <n v="4"/>
    <n v="4"/>
    <n v="450.83"/>
    <n v="450.83"/>
    <n v="0.24"/>
    <n v="0.24"/>
    <x v="0"/>
    <n v="1370.5232000000001"/>
    <x v="1220"/>
    <s v="Platinum"/>
    <n v="62"/>
    <x v="0"/>
    <s v="Home"/>
  </r>
  <r>
    <s v="SALE1221"/>
    <d v="2023-10-17T00:00:00"/>
    <x v="81"/>
    <x v="40"/>
    <x v="12"/>
    <n v="2"/>
    <n v="2"/>
    <n v="441.03"/>
    <n v="441.03"/>
    <n v="0.23"/>
    <n v="0.23"/>
    <x v="2"/>
    <n v="679.18619999999999"/>
    <x v="1221"/>
    <s v="Bronze"/>
    <n v="53"/>
    <x v="0"/>
    <s v="Sports"/>
  </r>
  <r>
    <s v="SALE1222"/>
    <d v="2024-04-02T00:00:00"/>
    <x v="196"/>
    <x v="60"/>
    <x v="17"/>
    <n v="3"/>
    <n v="3"/>
    <n v="377.69"/>
    <n v="377.69"/>
    <n v="7.0000000000000007E-2"/>
    <n v="7.0000000000000007E-2"/>
    <x v="1"/>
    <n v="1053.7551000000001"/>
    <x v="1222"/>
    <s v="Bronze"/>
    <n v="53"/>
    <x v="0"/>
    <s v="Clothing"/>
  </r>
  <r>
    <s v="SALE1223"/>
    <d v="2024-05-04T00:00:00"/>
    <x v="318"/>
    <x v="31"/>
    <x v="4"/>
    <n v="1"/>
    <n v="1"/>
    <n v="457.33"/>
    <n v="457.33"/>
    <n v="0.27"/>
    <n v="0.27"/>
    <x v="0"/>
    <n v="333.85090000000002"/>
    <x v="1223"/>
    <s v="Platinum"/>
    <n v="41"/>
    <x v="1"/>
    <s v="Home"/>
  </r>
  <r>
    <s v="SALE1224"/>
    <d v="2025-08-11T00:00:00"/>
    <x v="85"/>
    <x v="3"/>
    <x v="16"/>
    <n v="4"/>
    <n v="4"/>
    <n v="218.01"/>
    <n v="218.01"/>
    <n v="0.06"/>
    <n v="0.06"/>
    <x v="0"/>
    <n v="819.71759999999995"/>
    <x v="1224"/>
    <s v="Bronze"/>
    <n v="19"/>
    <x v="0"/>
    <s v="Electronics"/>
  </r>
  <r>
    <s v="SALE1225"/>
    <d v="2025-10-03T00:00:00"/>
    <x v="34"/>
    <x v="80"/>
    <x v="14"/>
    <n v="2"/>
    <n v="2"/>
    <n v="682.7"/>
    <n v="682.7"/>
    <n v="0.13"/>
    <n v="0.13"/>
    <x v="0"/>
    <n v="1187.8979999999999"/>
    <x v="1225"/>
    <s v="Platinum"/>
    <n v="46"/>
    <x v="0"/>
    <s v="Home"/>
  </r>
  <r>
    <s v="SALE1226"/>
    <d v="2024-02-23T00:00:00"/>
    <x v="162"/>
    <x v="46"/>
    <x v="14"/>
    <n v="3"/>
    <n v="3"/>
    <n v="726.97"/>
    <n v="726.97"/>
    <n v="0.04"/>
    <n v="0.04"/>
    <x v="1"/>
    <n v="2093.6736000000001"/>
    <x v="1226"/>
    <s v="Platinum"/>
    <n v="64"/>
    <x v="1"/>
    <s v="Sports"/>
  </r>
  <r>
    <s v="SALE1227"/>
    <d v="2025-01-24T00:00:00"/>
    <x v="55"/>
    <x v="4"/>
    <x v="11"/>
    <n v="2"/>
    <n v="2"/>
    <n v="107.97"/>
    <n v="107.97"/>
    <n v="0.06"/>
    <n v="0.06"/>
    <x v="0"/>
    <n v="202.9836"/>
    <x v="1227"/>
    <s v="Gold"/>
    <n v="36"/>
    <x v="0"/>
    <s v="Beauty"/>
  </r>
  <r>
    <s v="SALE1228"/>
    <d v="2025-05-08T00:00:00"/>
    <x v="69"/>
    <x v="23"/>
    <x v="7"/>
    <n v="1"/>
    <n v="1"/>
    <n v="38.880000000000003"/>
    <n v="38.880000000000003"/>
    <n v="0.16"/>
    <n v="0.16"/>
    <x v="2"/>
    <n v="32.659199999999998"/>
    <x v="1228"/>
    <s v="Bronze"/>
    <n v="29"/>
    <x v="1"/>
    <s v="Clothing"/>
  </r>
  <r>
    <s v="SALE1229"/>
    <d v="2025-06-15T00:00:00"/>
    <x v="417"/>
    <x v="30"/>
    <x v="1"/>
    <n v="3"/>
    <n v="3"/>
    <n v="484.39"/>
    <n v="484.39"/>
    <n v="0.28999999999999998"/>
    <n v="0.28999999999999998"/>
    <x v="2"/>
    <n v="1031.7507000000001"/>
    <x v="1229"/>
    <s v="Gold"/>
    <n v="21"/>
    <x v="0"/>
    <s v="OTHERS"/>
  </r>
  <r>
    <s v="SALE1230"/>
    <d v="2024-10-07T00:00:00"/>
    <x v="456"/>
    <x v="61"/>
    <x v="10"/>
    <n v="2"/>
    <n v="2"/>
    <n v="949.3"/>
    <n v="949.3"/>
    <n v="0.08"/>
    <n v="0.08"/>
    <x v="2"/>
    <n v="1746.712"/>
    <x v="1230"/>
    <s v="UNKNOWN"/>
    <n v="43"/>
    <x v="0"/>
    <s v="Home"/>
  </r>
  <r>
    <s v="SALE1231"/>
    <d v="2023-11-29T00:00:00"/>
    <x v="207"/>
    <x v="51"/>
    <x v="16"/>
    <n v="3"/>
    <n v="3"/>
    <n v="664.75"/>
    <n v="664.75"/>
    <n v="0.12"/>
    <n v="0.12"/>
    <x v="0"/>
    <n v="1754.94"/>
    <x v="1231"/>
    <s v="Silver"/>
    <n v="51"/>
    <x v="1"/>
    <s v="Beauty"/>
  </r>
  <r>
    <s v="SALE1232"/>
    <d v="2025-03-24T00:00:00"/>
    <x v="205"/>
    <x v="7"/>
    <x v="1"/>
    <n v="3"/>
    <n v="3"/>
    <n v="190.04"/>
    <n v="190.04"/>
    <n v="7.0000000000000007E-2"/>
    <n v="7.0000000000000007E-2"/>
    <x v="1"/>
    <n v="530.21159999999998"/>
    <x v="1232"/>
    <s v="Gold"/>
    <n v="46"/>
    <x v="1"/>
    <s v="Home"/>
  </r>
  <r>
    <s v="SALE1233"/>
    <d v="2025-07-31T00:00:00"/>
    <x v="107"/>
    <x v="84"/>
    <x v="10"/>
    <n v="3"/>
    <n v="3"/>
    <n v="754.02"/>
    <n v="754.02"/>
    <n v="0.1"/>
    <n v="0.1"/>
    <x v="2"/>
    <n v="2035.854"/>
    <x v="1233"/>
    <s v="Platinum"/>
    <n v="22"/>
    <x v="1"/>
    <s v="Home"/>
  </r>
  <r>
    <s v="SALE1234"/>
    <d v="2024-08-22T00:00:00"/>
    <x v="304"/>
    <x v="13"/>
    <x v="18"/>
    <n v="4"/>
    <n v="4"/>
    <n v="94.13"/>
    <n v="94.13"/>
    <n v="0.04"/>
    <n v="0.04"/>
    <x v="2"/>
    <n v="361.45920000000001"/>
    <x v="1234"/>
    <s v="Bronze"/>
    <n v="52"/>
    <x v="1"/>
    <s v="Electronics"/>
  </r>
  <r>
    <s v="SALE1235"/>
    <d v="2024-07-16T00:00:00"/>
    <x v="228"/>
    <x v="55"/>
    <x v="10"/>
    <n v="3"/>
    <n v="3"/>
    <n v="402.3"/>
    <n v="402.3"/>
    <n v="0.21"/>
    <n v="0.21"/>
    <x v="1"/>
    <n v="953.45100000000014"/>
    <x v="1235"/>
    <s v="Bronze"/>
    <n v="45"/>
    <x v="0"/>
    <s v="Clothing"/>
  </r>
  <r>
    <s v="SALE1236"/>
    <d v="2025-09-08T00:00:00"/>
    <x v="19"/>
    <x v="56"/>
    <x v="4"/>
    <n v="1"/>
    <n v="1"/>
    <n v="729.05"/>
    <n v="729.05"/>
    <n v="0.06"/>
    <n v="0.06"/>
    <x v="2"/>
    <n v="685.3069999999999"/>
    <x v="1236"/>
    <s v="Platinum"/>
    <n v="58"/>
    <x v="1"/>
    <s v="Home"/>
  </r>
  <r>
    <s v="SALE1237"/>
    <d v="2025-09-12T00:00:00"/>
    <x v="211"/>
    <x v="64"/>
    <x v="13"/>
    <n v="1"/>
    <n v="1"/>
    <n v="822.6"/>
    <n v="822.6"/>
    <n v="0.28999999999999998"/>
    <n v="0.28999999999999998"/>
    <x v="1"/>
    <n v="584.04599999999994"/>
    <x v="1237"/>
    <s v="Gold"/>
    <n v="54"/>
    <x v="0"/>
    <s v="Electronics"/>
  </r>
  <r>
    <s v="SALE1238"/>
    <d v="2025-04-24T00:00:00"/>
    <x v="425"/>
    <x v="50"/>
    <x v="2"/>
    <n v="2"/>
    <n v="2"/>
    <n v="327.25"/>
    <n v="327.25"/>
    <n v="0.19"/>
    <n v="0.19"/>
    <x v="1"/>
    <n v="530.14499999999998"/>
    <x v="1238"/>
    <s v="Gold"/>
    <n v="38"/>
    <x v="0"/>
    <s v="Beauty"/>
  </r>
  <r>
    <s v="SALE1239"/>
    <d v="2024-11-23T00:00:00"/>
    <x v="42"/>
    <x v="7"/>
    <x v="11"/>
    <n v="4"/>
    <n v="4"/>
    <n v="930.38"/>
    <n v="930.38"/>
    <n v="0"/>
    <n v="0"/>
    <x v="2"/>
    <n v="3721.52"/>
    <x v="1239"/>
    <s v="Platinum"/>
    <n v="26"/>
    <x v="1"/>
    <s v="Home"/>
  </r>
  <r>
    <s v="SALE1240"/>
    <d v="2024-04-12T00:00:00"/>
    <x v="20"/>
    <x v="16"/>
    <x v="3"/>
    <n v="2"/>
    <n v="2"/>
    <n v="437.84"/>
    <n v="437.84"/>
    <n v="0.24"/>
    <n v="0.24"/>
    <x v="0"/>
    <n v="665.51679999999999"/>
    <x v="1240"/>
    <s v="Bronze"/>
    <n v="62"/>
    <x v="1"/>
    <s v="Home"/>
  </r>
  <r>
    <s v="SALE1241"/>
    <d v="2025-05-09T00:00:00"/>
    <x v="45"/>
    <x v="30"/>
    <x v="9"/>
    <n v="2"/>
    <n v="2"/>
    <n v="126.02"/>
    <n v="126.02"/>
    <n v="0.09"/>
    <n v="0.09"/>
    <x v="2"/>
    <n v="229.35640000000001"/>
    <x v="1241"/>
    <s v="Gold"/>
    <n v="29"/>
    <x v="1"/>
    <s v="OTHERS"/>
  </r>
  <r>
    <s v="SALE1242"/>
    <d v="2025-02-04T00:00:00"/>
    <x v="168"/>
    <x v="50"/>
    <x v="10"/>
    <n v="1"/>
    <n v="1"/>
    <n v="860.84"/>
    <n v="860.84"/>
    <n v="7.0000000000000007E-2"/>
    <n v="7.0000000000000007E-2"/>
    <x v="1"/>
    <n v="800.58119999999997"/>
    <x v="1242"/>
    <s v="Platinum"/>
    <n v="47"/>
    <x v="1"/>
    <s v="Beauty"/>
  </r>
  <r>
    <s v="SALE1243"/>
    <d v="2025-01-20T00:00:00"/>
    <x v="126"/>
    <x v="70"/>
    <x v="13"/>
    <n v="1"/>
    <n v="1"/>
    <n v="161.80000000000001"/>
    <n v="161.80000000000001"/>
    <n v="0.24"/>
    <n v="0.24"/>
    <x v="1"/>
    <n v="122.968"/>
    <x v="1243"/>
    <s v="Gold"/>
    <n v="28"/>
    <x v="1"/>
    <s v="Electronics"/>
  </r>
  <r>
    <s v="SALE1244"/>
    <d v="2025-01-12T00:00:00"/>
    <x v="392"/>
    <x v="48"/>
    <x v="1"/>
    <n v="4"/>
    <n v="4"/>
    <n v="347.82"/>
    <n v="347.82"/>
    <n v="0.02"/>
    <n v="0.02"/>
    <x v="2"/>
    <n v="1363.4544000000001"/>
    <x v="1244"/>
    <s v="Gold"/>
    <n v="60"/>
    <x v="0"/>
    <s v="Sports"/>
  </r>
  <r>
    <s v="SALE1245"/>
    <d v="2024-01-08T00:00:00"/>
    <x v="32"/>
    <x v="65"/>
    <x v="9"/>
    <n v="3"/>
    <n v="3"/>
    <n v="416.44"/>
    <n v="416.44"/>
    <n v="0.27"/>
    <n v="0.27"/>
    <x v="0"/>
    <n v="912.00359999999989"/>
    <x v="1245"/>
    <s v="Platinum"/>
    <n v="62"/>
    <x v="1"/>
    <s v="Clothing"/>
  </r>
  <r>
    <s v="SALE1246"/>
    <d v="2025-08-24T00:00:00"/>
    <x v="399"/>
    <x v="85"/>
    <x v="6"/>
    <n v="1"/>
    <n v="1"/>
    <n v="147.96"/>
    <n v="147.96"/>
    <n v="0.24"/>
    <n v="0.24"/>
    <x v="2"/>
    <n v="112.4496"/>
    <x v="1246"/>
    <s v="Bronze"/>
    <n v="24"/>
    <x v="0"/>
    <s v="Electronics"/>
  </r>
  <r>
    <s v="SALE1247"/>
    <d v="2024-09-25T00:00:00"/>
    <x v="312"/>
    <x v="97"/>
    <x v="2"/>
    <n v="3"/>
    <n v="3"/>
    <n v="550.26"/>
    <n v="550.26"/>
    <n v="0.22"/>
    <n v="0.22"/>
    <x v="0"/>
    <n v="1287.6084000000001"/>
    <x v="1247"/>
    <s v="Platinum"/>
    <n v="41"/>
    <x v="1"/>
    <s v="Clothing"/>
  </r>
  <r>
    <s v="SALE1248"/>
    <d v="2023-12-07T00:00:00"/>
    <x v="171"/>
    <x v="0"/>
    <x v="4"/>
    <n v="4"/>
    <n v="4"/>
    <n v="938.21"/>
    <n v="938.21"/>
    <n v="0.04"/>
    <n v="0.04"/>
    <x v="1"/>
    <n v="3602.7264"/>
    <x v="1248"/>
    <s v="Platinum"/>
    <n v="21"/>
    <x v="1"/>
    <s v="Sports"/>
  </r>
  <r>
    <s v="SALE1249"/>
    <d v="2024-06-24T00:00:00"/>
    <x v="211"/>
    <x v="32"/>
    <x v="9"/>
    <n v="3"/>
    <n v="3"/>
    <n v="517.98"/>
    <n v="517.98"/>
    <n v="0.01"/>
    <n v="0.01"/>
    <x v="1"/>
    <n v="1538.4005999999999"/>
    <x v="1249"/>
    <s v="Gold"/>
    <n v="54"/>
    <x v="0"/>
    <s v="Beauty"/>
  </r>
  <r>
    <s v="SALE1250"/>
    <d v="2025-07-09T00:00:00"/>
    <x v="357"/>
    <x v="96"/>
    <x v="2"/>
    <n v="1"/>
    <n v="1"/>
    <n v="98.27"/>
    <n v="98.27"/>
    <n v="0.16"/>
    <n v="0.16"/>
    <x v="1"/>
    <n v="82.54679999999999"/>
    <x v="1250"/>
    <s v="Gold"/>
    <n v="20"/>
    <x v="1"/>
    <s v="Beauty"/>
  </r>
  <r>
    <s v="SALE1251"/>
    <d v="2024-07-07T00:00:00"/>
    <x v="243"/>
    <x v="70"/>
    <x v="19"/>
    <n v="2"/>
    <n v="2"/>
    <n v="875.2"/>
    <n v="875.2"/>
    <n v="0.19"/>
    <n v="0.19"/>
    <x v="0"/>
    <n v="1417.8240000000001"/>
    <x v="1251"/>
    <s v="Silver"/>
    <n v="64"/>
    <x v="0"/>
    <s v="Electronics"/>
  </r>
  <r>
    <s v="SALE1252"/>
    <d v="2024-02-23T00:00:00"/>
    <x v="428"/>
    <x v="56"/>
    <x v="6"/>
    <n v="1"/>
    <n v="1"/>
    <n v="227.35"/>
    <n v="227.35"/>
    <n v="0.06"/>
    <n v="0.06"/>
    <x v="2"/>
    <n v="213.709"/>
    <x v="1252"/>
    <s v="Platinum"/>
    <n v="64"/>
    <x v="0"/>
    <s v="Home"/>
  </r>
  <r>
    <s v="SALE1253"/>
    <d v="2023-11-05T00:00:00"/>
    <x v="256"/>
    <x v="1"/>
    <x v="8"/>
    <n v="1"/>
    <n v="1"/>
    <n v="842.46"/>
    <n v="842.46"/>
    <n v="0.05"/>
    <n v="0.05"/>
    <x v="2"/>
    <n v="800.33699999999999"/>
    <x v="1253"/>
    <s v="Silver"/>
    <n v="48"/>
    <x v="0"/>
    <s v="Electronics"/>
  </r>
  <r>
    <s v="SALE1254"/>
    <d v="2024-09-08T00:00:00"/>
    <x v="314"/>
    <x v="14"/>
    <x v="19"/>
    <n v="3"/>
    <n v="3"/>
    <n v="120.67"/>
    <n v="120.67"/>
    <n v="0.08"/>
    <n v="0.08"/>
    <x v="2"/>
    <n v="333.04919999999998"/>
    <x v="1254"/>
    <s v="Platinum"/>
    <n v="63"/>
    <x v="1"/>
    <s v="Clothing"/>
  </r>
  <r>
    <s v="SALE1255"/>
    <d v="2024-04-20T00:00:00"/>
    <x v="388"/>
    <x v="42"/>
    <x v="0"/>
    <n v="4"/>
    <n v="4"/>
    <n v="176.13"/>
    <n v="176.13"/>
    <n v="0.27"/>
    <n v="0.27"/>
    <x v="1"/>
    <n v="514.29959999999994"/>
    <x v="1255"/>
    <s v="Gold"/>
    <n v="47"/>
    <x v="1"/>
    <s v="Sports"/>
  </r>
  <r>
    <s v="SALE1256"/>
    <d v="2025-01-14T00:00:00"/>
    <x v="457"/>
    <x v="81"/>
    <x v="19"/>
    <n v="4"/>
    <n v="4"/>
    <n v="592.67999999999995"/>
    <n v="592.67999999999995"/>
    <n v="0.03"/>
    <n v="0.03"/>
    <x v="0"/>
    <n v="2299.5983999999999"/>
    <x v="1256"/>
    <s v="Bronze"/>
    <n v="59"/>
    <x v="0"/>
    <s v="Beauty"/>
  </r>
  <r>
    <s v="SALE1257"/>
    <d v="2024-03-16T00:00:00"/>
    <x v="72"/>
    <x v="7"/>
    <x v="5"/>
    <n v="4"/>
    <n v="4"/>
    <n v="662.43"/>
    <n v="662.43"/>
    <n v="0.24"/>
    <n v="0.24"/>
    <x v="1"/>
    <n v="2013.7872"/>
    <x v="1257"/>
    <s v="Silver"/>
    <n v="48"/>
    <x v="0"/>
    <s v="Home"/>
  </r>
  <r>
    <s v="SALE1258"/>
    <d v="2024-07-15T00:00:00"/>
    <x v="147"/>
    <x v="19"/>
    <x v="2"/>
    <n v="3"/>
    <n v="3"/>
    <n v="518.35"/>
    <n v="518.35"/>
    <n v="0.21"/>
    <n v="0.21"/>
    <x v="2"/>
    <n v="1228.4894999999999"/>
    <x v="1258"/>
    <s v="Silver"/>
    <n v="45"/>
    <x v="0"/>
    <s v="Electronics"/>
  </r>
  <r>
    <s v="SALE1259"/>
    <d v="2024-08-05T00:00:00"/>
    <x v="441"/>
    <x v="86"/>
    <x v="3"/>
    <n v="1"/>
    <n v="1"/>
    <n v="85.58"/>
    <n v="85.58"/>
    <n v="0.1"/>
    <n v="0.1"/>
    <x v="2"/>
    <n v="77.022000000000006"/>
    <x v="1259"/>
    <s v="Silver"/>
    <n v="20"/>
    <x v="0"/>
    <s v="Sports"/>
  </r>
  <r>
    <s v="SALE1260"/>
    <d v="2024-02-01T00:00:00"/>
    <x v="402"/>
    <x v="72"/>
    <x v="8"/>
    <n v="4"/>
    <n v="4"/>
    <n v="800"/>
    <n v="800"/>
    <n v="0.2"/>
    <n v="0.2"/>
    <x v="0"/>
    <n v="2560"/>
    <x v="1260"/>
    <s v="Bronze"/>
    <n v="23"/>
    <x v="0"/>
    <s v="Home"/>
  </r>
  <r>
    <s v="SALE1261"/>
    <d v="2025-08-20T00:00:00"/>
    <x v="440"/>
    <x v="17"/>
    <x v="15"/>
    <n v="3"/>
    <n v="3"/>
    <n v="118.25"/>
    <n v="118.25"/>
    <n v="0.26"/>
    <n v="0.26"/>
    <x v="1"/>
    <n v="262.51499999999999"/>
    <x v="1261"/>
    <s v="Gold"/>
    <n v="60"/>
    <x v="1"/>
    <s v="Beauty"/>
  </r>
  <r>
    <s v="SALE1262"/>
    <d v="2023-11-23T00:00:00"/>
    <x v="436"/>
    <x v="79"/>
    <x v="10"/>
    <n v="1"/>
    <n v="1"/>
    <n v="223.25"/>
    <n v="223.25"/>
    <n v="0.28999999999999998"/>
    <n v="0.28999999999999998"/>
    <x v="0"/>
    <n v="158.50749999999999"/>
    <x v="1262"/>
    <s v="Platinum"/>
    <n v="45"/>
    <x v="1"/>
    <s v="Beauty"/>
  </r>
  <r>
    <s v="SALE1263"/>
    <d v="2024-08-26T00:00:00"/>
    <x v="115"/>
    <x v="79"/>
    <x v="5"/>
    <n v="3"/>
    <n v="3"/>
    <n v="918.76"/>
    <n v="918.76"/>
    <n v="0.2"/>
    <n v="0.2"/>
    <x v="1"/>
    <n v="2205.0239999999999"/>
    <x v="1263"/>
    <s v="Gold"/>
    <n v="18"/>
    <x v="1"/>
    <s v="Beauty"/>
  </r>
  <r>
    <s v="SALE1264"/>
    <d v="2024-07-18T00:00:00"/>
    <x v="432"/>
    <x v="94"/>
    <x v="13"/>
    <n v="2"/>
    <n v="2"/>
    <n v="905.26"/>
    <n v="905.26"/>
    <n v="0.15"/>
    <n v="0.15"/>
    <x v="2"/>
    <n v="1538.942"/>
    <x v="1264"/>
    <s v="Bronze"/>
    <n v="48"/>
    <x v="0"/>
    <s v="Home"/>
  </r>
  <r>
    <s v="SALE1265"/>
    <d v="2024-12-02T00:00:00"/>
    <x v="212"/>
    <x v="30"/>
    <x v="12"/>
    <n v="4"/>
    <n v="4"/>
    <n v="295.39999999999998"/>
    <n v="295.39999999999998"/>
    <n v="0.23"/>
    <n v="0.23"/>
    <x v="1"/>
    <n v="909.83199999999999"/>
    <x v="1265"/>
    <s v="Silver"/>
    <n v="47"/>
    <x v="1"/>
    <s v="OTHERS"/>
  </r>
  <r>
    <s v="SALE1266"/>
    <d v="2025-07-23T00:00:00"/>
    <x v="98"/>
    <x v="32"/>
    <x v="3"/>
    <n v="1"/>
    <n v="1"/>
    <n v="252.18"/>
    <n v="252.18"/>
    <n v="0.23"/>
    <n v="0.23"/>
    <x v="1"/>
    <n v="194.17859999999999"/>
    <x v="1266"/>
    <s v="Bronze"/>
    <n v="58"/>
    <x v="1"/>
    <s v="Beauty"/>
  </r>
  <r>
    <s v="SALE1267"/>
    <d v="2025-08-09T00:00:00"/>
    <x v="7"/>
    <x v="0"/>
    <x v="18"/>
    <n v="4"/>
    <n v="4"/>
    <n v="792.1"/>
    <n v="792.1"/>
    <n v="0.19"/>
    <n v="0.19"/>
    <x v="2"/>
    <n v="2566.404"/>
    <x v="1267"/>
    <s v="Platinum"/>
    <n v="41"/>
    <x v="1"/>
    <s v="Sports"/>
  </r>
  <r>
    <s v="SALE1268"/>
    <d v="2024-05-14T00:00:00"/>
    <x v="136"/>
    <x v="12"/>
    <x v="7"/>
    <n v="1"/>
    <n v="1"/>
    <n v="883.36"/>
    <n v="883.36"/>
    <n v="0.11"/>
    <n v="0.11"/>
    <x v="1"/>
    <n v="786.19040000000007"/>
    <x v="1268"/>
    <s v="Gold"/>
    <n v="37"/>
    <x v="0"/>
    <s v="Sports"/>
  </r>
  <r>
    <s v="SALE1269"/>
    <d v="2023-11-01T00:00:00"/>
    <x v="16"/>
    <x v="20"/>
    <x v="6"/>
    <n v="4"/>
    <n v="4"/>
    <n v="305.95"/>
    <n v="305.95"/>
    <n v="0.08"/>
    <n v="0.08"/>
    <x v="1"/>
    <n v="1125.896"/>
    <x v="1269"/>
    <s v="Gold"/>
    <n v="38"/>
    <x v="0"/>
    <s v="Clothing"/>
  </r>
  <r>
    <s v="SALE1270"/>
    <d v="2024-11-13T00:00:00"/>
    <x v="123"/>
    <x v="87"/>
    <x v="4"/>
    <n v="3"/>
    <n v="3"/>
    <n v="742.45"/>
    <n v="742.45"/>
    <n v="0.23"/>
    <n v="0.23"/>
    <x v="2"/>
    <n v="1715.0595000000001"/>
    <x v="1270"/>
    <s v="Platinum"/>
    <n v="51"/>
    <x v="1"/>
    <s v="Clothing"/>
  </r>
  <r>
    <s v="SALE1271"/>
    <d v="2024-04-10T00:00:00"/>
    <x v="394"/>
    <x v="60"/>
    <x v="14"/>
    <n v="3"/>
    <n v="3"/>
    <n v="336.1"/>
    <n v="336.1"/>
    <n v="0.12"/>
    <n v="0.12"/>
    <x v="2"/>
    <n v="887.30400000000009"/>
    <x v="1271"/>
    <s v="Gold"/>
    <n v="20"/>
    <x v="0"/>
    <s v="Clothing"/>
  </r>
  <r>
    <s v="SALE1272"/>
    <d v="2025-08-07T00:00:00"/>
    <x v="30"/>
    <x v="35"/>
    <x v="4"/>
    <n v="3"/>
    <n v="3"/>
    <n v="310.36"/>
    <n v="310.36"/>
    <n v="0.14000000000000001"/>
    <n v="0.14000000000000001"/>
    <x v="2"/>
    <n v="800.72879999999998"/>
    <x v="1272"/>
    <s v="Gold"/>
    <n v="23"/>
    <x v="1"/>
    <s v="Home"/>
  </r>
  <r>
    <s v="SALE1273"/>
    <d v="2025-04-25T00:00:00"/>
    <x v="419"/>
    <x v="24"/>
    <x v="2"/>
    <n v="3"/>
    <n v="3"/>
    <n v="992.81"/>
    <n v="992.81"/>
    <n v="0.04"/>
    <n v="0.04"/>
    <x v="1"/>
    <n v="2859.2928000000002"/>
    <x v="1273"/>
    <s v="Bronze"/>
    <n v="21"/>
    <x v="1"/>
    <s v="Electronics"/>
  </r>
  <r>
    <s v="SALE1274"/>
    <d v="2023-10-18T00:00:00"/>
    <x v="227"/>
    <x v="17"/>
    <x v="19"/>
    <n v="3"/>
    <n v="3"/>
    <n v="257.11"/>
    <n v="257.11"/>
    <n v="0.26"/>
    <n v="0.26"/>
    <x v="2"/>
    <n v="570.78420000000006"/>
    <x v="1274"/>
    <s v="Bronze"/>
    <n v="54"/>
    <x v="0"/>
    <s v="Beauty"/>
  </r>
  <r>
    <s v="SALE1275"/>
    <d v="2025-03-23T00:00:00"/>
    <x v="233"/>
    <x v="98"/>
    <x v="18"/>
    <n v="4"/>
    <n v="4"/>
    <n v="816.29"/>
    <n v="816.29"/>
    <n v="0.24"/>
    <n v="0.24"/>
    <x v="1"/>
    <n v="2481.5216"/>
    <x v="1275"/>
    <s v="Bronze"/>
    <n v="50"/>
    <x v="1"/>
    <s v="Sports"/>
  </r>
  <r>
    <s v="SALE1276"/>
    <d v="2023-12-12T00:00:00"/>
    <x v="397"/>
    <x v="17"/>
    <x v="18"/>
    <n v="4"/>
    <n v="4"/>
    <n v="755.82"/>
    <n v="755.82"/>
    <n v="0.22"/>
    <n v="0.22"/>
    <x v="2"/>
    <n v="2358.1583999999998"/>
    <x v="1276"/>
    <s v="Platinum"/>
    <n v="50"/>
    <x v="0"/>
    <s v="Beauty"/>
  </r>
  <r>
    <s v="SALE1277"/>
    <d v="2024-08-20T00:00:00"/>
    <x v="458"/>
    <x v="90"/>
    <x v="7"/>
    <n v="1"/>
    <n v="1"/>
    <n v="449.6"/>
    <n v="449.6"/>
    <n v="0.01"/>
    <n v="0.01"/>
    <x v="1"/>
    <n v="445.10399999999998"/>
    <x v="1277"/>
    <s v="Bronze"/>
    <n v="59"/>
    <x v="1"/>
    <s v="Electronics"/>
  </r>
  <r>
    <s v="SALE1278"/>
    <d v="2024-07-08T00:00:00"/>
    <x v="378"/>
    <x v="66"/>
    <x v="6"/>
    <n v="2"/>
    <n v="2"/>
    <n v="779.29"/>
    <n v="779.29"/>
    <n v="0.12"/>
    <n v="0.12"/>
    <x v="2"/>
    <n v="1371.5504000000001"/>
    <x v="1278"/>
    <s v="Bronze"/>
    <n v="25"/>
    <x v="1"/>
    <s v="Home"/>
  </r>
  <r>
    <s v="SALE1279"/>
    <d v="2023-12-07T00:00:00"/>
    <x v="9"/>
    <x v="25"/>
    <x v="1"/>
    <n v="1"/>
    <n v="1"/>
    <n v="748.75"/>
    <n v="748.75"/>
    <n v="0.1"/>
    <n v="0.1"/>
    <x v="2"/>
    <n v="673.875"/>
    <x v="1279"/>
    <s v="Not Found"/>
    <s v="Not Found"/>
    <x v="2"/>
    <s v="Electronics"/>
  </r>
  <r>
    <s v="SALE1280"/>
    <d v="2024-02-06T00:00:00"/>
    <x v="282"/>
    <x v="41"/>
    <x v="6"/>
    <n v="2"/>
    <n v="2"/>
    <n v="121.67"/>
    <n v="121.67"/>
    <n v="0.08"/>
    <n v="0.08"/>
    <x v="2"/>
    <n v="223.87280000000001"/>
    <x v="1280"/>
    <s v="Bronze"/>
    <n v="60"/>
    <x v="0"/>
    <s v="Beauty"/>
  </r>
  <r>
    <s v="SALE1281"/>
    <d v="2025-05-10T00:00:00"/>
    <x v="36"/>
    <x v="2"/>
    <x v="10"/>
    <n v="3"/>
    <n v="3"/>
    <n v="225.14"/>
    <n v="225.14"/>
    <n v="0.15"/>
    <n v="0.15"/>
    <x v="2"/>
    <n v="574.10699999999997"/>
    <x v="1281"/>
    <s v="Platinum"/>
    <n v="59"/>
    <x v="1"/>
    <s v="Beauty"/>
  </r>
  <r>
    <s v="SALE1282"/>
    <d v="2025-08-07T00:00:00"/>
    <x v="84"/>
    <x v="35"/>
    <x v="12"/>
    <n v="1"/>
    <n v="1"/>
    <n v="654.17999999999995"/>
    <n v="654.17999999999995"/>
    <n v="0.19"/>
    <n v="0.19"/>
    <x v="1"/>
    <n v="529.88580000000002"/>
    <x v="1282"/>
    <s v="Bronze"/>
    <n v="21"/>
    <x v="1"/>
    <s v="Home"/>
  </r>
  <r>
    <s v="SALE1283"/>
    <d v="2024-09-17T00:00:00"/>
    <x v="63"/>
    <x v="51"/>
    <x v="3"/>
    <n v="2"/>
    <n v="2"/>
    <n v="504.98"/>
    <n v="504.98"/>
    <n v="0.08"/>
    <n v="0.08"/>
    <x v="2"/>
    <n v="929.16320000000007"/>
    <x v="1283"/>
    <s v="Platinum"/>
    <n v="51"/>
    <x v="0"/>
    <s v="Beauty"/>
  </r>
  <r>
    <s v="SALE1284"/>
    <d v="2025-06-15T00:00:00"/>
    <x v="74"/>
    <x v="59"/>
    <x v="2"/>
    <n v="2"/>
    <n v="2"/>
    <n v="623.20000000000005"/>
    <n v="623.20000000000005"/>
    <n v="0.14000000000000001"/>
    <n v="0.14000000000000001"/>
    <x v="2"/>
    <n v="1071.904"/>
    <x v="1284"/>
    <s v="Bronze"/>
    <n v="44"/>
    <x v="1"/>
    <s v="Sports"/>
  </r>
  <r>
    <s v="SALE1285"/>
    <d v="2024-11-26T00:00:00"/>
    <x v="88"/>
    <x v="23"/>
    <x v="9"/>
    <n v="2"/>
    <n v="2"/>
    <n v="530.54"/>
    <n v="530.54"/>
    <n v="0.28000000000000003"/>
    <n v="0.28000000000000003"/>
    <x v="2"/>
    <n v="763.97759999999994"/>
    <x v="1285"/>
    <s v="Bronze"/>
    <n v="60"/>
    <x v="0"/>
    <s v="Clothing"/>
  </r>
  <r>
    <s v="SALE1286"/>
    <d v="2025-06-02T00:00:00"/>
    <x v="317"/>
    <x v="90"/>
    <x v="9"/>
    <n v="3"/>
    <n v="3"/>
    <n v="279.45"/>
    <n v="279.45"/>
    <n v="0.15"/>
    <n v="0.15"/>
    <x v="2"/>
    <n v="712.59749999999985"/>
    <x v="1286"/>
    <s v="Platinum"/>
    <n v="63"/>
    <x v="1"/>
    <s v="Electronics"/>
  </r>
  <r>
    <s v="SALE1287"/>
    <d v="2024-12-19T00:00:00"/>
    <x v="176"/>
    <x v="21"/>
    <x v="2"/>
    <n v="3"/>
    <n v="3"/>
    <n v="906.99"/>
    <n v="906.99"/>
    <n v="0.26"/>
    <n v="0.26"/>
    <x v="2"/>
    <n v="2013.5178000000001"/>
    <x v="1287"/>
    <s v="Bronze"/>
    <n v="32"/>
    <x v="1"/>
    <s v="Beauty"/>
  </r>
  <r>
    <s v="SALE1288"/>
    <d v="2025-04-02T00:00:00"/>
    <x v="45"/>
    <x v="61"/>
    <x v="1"/>
    <n v="4"/>
    <n v="4"/>
    <n v="408.76"/>
    <n v="408.76"/>
    <n v="0.12"/>
    <n v="0.12"/>
    <x v="2"/>
    <n v="1438.8352"/>
    <x v="1288"/>
    <s v="Gold"/>
    <n v="29"/>
    <x v="1"/>
    <s v="Home"/>
  </r>
  <r>
    <s v="SALE1289"/>
    <d v="2024-09-02T00:00:00"/>
    <x v="372"/>
    <x v="14"/>
    <x v="11"/>
    <n v="2"/>
    <n v="2"/>
    <n v="117.34"/>
    <n v="117.34"/>
    <n v="0.09"/>
    <n v="0.09"/>
    <x v="1"/>
    <n v="213.55879999999999"/>
    <x v="1289"/>
    <s v="Platinum"/>
    <n v="55"/>
    <x v="0"/>
    <s v="Clothing"/>
  </r>
  <r>
    <s v="SALE1290"/>
    <d v="2024-03-25T00:00:00"/>
    <x v="64"/>
    <x v="52"/>
    <x v="7"/>
    <n v="3"/>
    <n v="3"/>
    <n v="690.27"/>
    <n v="690.27"/>
    <n v="7.0000000000000007E-2"/>
    <n v="7.0000000000000007E-2"/>
    <x v="1"/>
    <n v="1925.8533"/>
    <x v="1290"/>
    <s v="Platinum"/>
    <n v="36"/>
    <x v="1"/>
    <s v="Clothing"/>
  </r>
  <r>
    <s v="SALE1291"/>
    <d v="2025-02-21T00:00:00"/>
    <x v="140"/>
    <x v="77"/>
    <x v="1"/>
    <n v="4"/>
    <n v="4"/>
    <n v="377.18"/>
    <n v="377.18"/>
    <n v="0.24"/>
    <n v="0.24"/>
    <x v="1"/>
    <n v="1146.6271999999999"/>
    <x v="1291"/>
    <s v="Bronze"/>
    <n v="38"/>
    <x v="0"/>
    <s v="Sports"/>
  </r>
  <r>
    <s v="SALE1292"/>
    <d v="2024-06-03T00:00:00"/>
    <x v="459"/>
    <x v="43"/>
    <x v="6"/>
    <n v="1"/>
    <n v="1"/>
    <n v="70.52"/>
    <n v="70.52"/>
    <n v="0.08"/>
    <n v="0.08"/>
    <x v="2"/>
    <n v="64.878399999999999"/>
    <x v="1292"/>
    <s v="Silver"/>
    <n v="27"/>
    <x v="1"/>
    <s v="Electronics"/>
  </r>
  <r>
    <s v="SALE1293"/>
    <d v="2024-02-08T00:00:00"/>
    <x v="185"/>
    <x v="48"/>
    <x v="11"/>
    <n v="1"/>
    <n v="1"/>
    <n v="40.25"/>
    <n v="40.25"/>
    <n v="0.1"/>
    <n v="0.1"/>
    <x v="1"/>
    <n v="36.225000000000001"/>
    <x v="1293"/>
    <s v="Gold"/>
    <n v="22"/>
    <x v="0"/>
    <s v="Sports"/>
  </r>
  <r>
    <s v="SALE1294"/>
    <d v="2024-04-06T00:00:00"/>
    <x v="309"/>
    <x v="41"/>
    <x v="19"/>
    <n v="3"/>
    <n v="3"/>
    <n v="539.44000000000005"/>
    <n v="539.44000000000005"/>
    <n v="0.05"/>
    <n v="0.05"/>
    <x v="2"/>
    <n v="1537.404"/>
    <x v="1294"/>
    <s v="Platinum"/>
    <n v="27"/>
    <x v="1"/>
    <s v="Beauty"/>
  </r>
  <r>
    <s v="SALE1295"/>
    <d v="2024-01-22T00:00:00"/>
    <x v="400"/>
    <x v="17"/>
    <x v="5"/>
    <n v="3"/>
    <n v="3"/>
    <n v="543.49"/>
    <n v="543.49"/>
    <n v="0.05"/>
    <n v="0.05"/>
    <x v="1"/>
    <n v="1548.9465"/>
    <x v="1295"/>
    <s v="Platinum"/>
    <n v="32"/>
    <x v="0"/>
    <s v="Beauty"/>
  </r>
  <r>
    <s v="SALE1296"/>
    <d v="2023-10-22T00:00:00"/>
    <x v="49"/>
    <x v="84"/>
    <x v="16"/>
    <n v="4"/>
    <n v="4"/>
    <n v="547.21"/>
    <n v="547.21"/>
    <n v="0.1"/>
    <n v="0.1"/>
    <x v="2"/>
    <n v="1969.9559999999999"/>
    <x v="1296"/>
    <s v="Bronze"/>
    <n v="58"/>
    <x v="0"/>
    <s v="Home"/>
  </r>
  <r>
    <s v="SALE1297"/>
    <d v="2024-11-23T00:00:00"/>
    <x v="254"/>
    <x v="15"/>
    <x v="8"/>
    <n v="2"/>
    <n v="2"/>
    <n v="892.46"/>
    <n v="892.46"/>
    <n v="7.0000000000000007E-2"/>
    <n v="7.0000000000000007E-2"/>
    <x v="1"/>
    <n v="1659.9756"/>
    <x v="1297"/>
    <s v="Platinum"/>
    <n v="31"/>
    <x v="0"/>
    <s v="Sports"/>
  </r>
  <r>
    <s v="SALE1298"/>
    <d v="2023-12-26T00:00:00"/>
    <x v="391"/>
    <x v="33"/>
    <x v="2"/>
    <n v="2"/>
    <n v="2"/>
    <n v="853.41"/>
    <n v="853.41"/>
    <n v="0.25"/>
    <n v="0.25"/>
    <x v="0"/>
    <n v="1280.115"/>
    <x v="1298"/>
    <s v="Silver"/>
    <n v="28"/>
    <x v="1"/>
    <s v="Electronics"/>
  </r>
  <r>
    <s v="SALE1299"/>
    <d v="2024-06-08T00:00:00"/>
    <x v="407"/>
    <x v="74"/>
    <x v="4"/>
    <n v="1"/>
    <n v="1"/>
    <n v="162.13999999999999"/>
    <n v="162.13999999999999"/>
    <n v="7.0000000000000007E-2"/>
    <n v="7.0000000000000007E-2"/>
    <x v="1"/>
    <n v="150.7902"/>
    <x v="1299"/>
    <s v="Gold"/>
    <n v="40"/>
    <x v="1"/>
    <s v="Sports"/>
  </r>
  <r>
    <s v="SALE1300"/>
    <d v="2024-07-05T00:00:00"/>
    <x v="347"/>
    <x v="99"/>
    <x v="9"/>
    <n v="1"/>
    <n v="1"/>
    <n v="893.14"/>
    <n v="893.14"/>
    <n v="0.09"/>
    <n v="0.09"/>
    <x v="0"/>
    <n v="812.75739999999996"/>
    <x v="1300"/>
    <s v="Platinum"/>
    <n v="49"/>
    <x v="1"/>
    <s v="Clothing"/>
  </r>
  <r>
    <s v="SALE1301"/>
    <d v="2024-08-24T00:00:00"/>
    <x v="202"/>
    <x v="13"/>
    <x v="2"/>
    <n v="4"/>
    <n v="4"/>
    <n v="349.07"/>
    <n v="349.07"/>
    <n v="0.28000000000000003"/>
    <n v="0.28000000000000003"/>
    <x v="0"/>
    <n v="1005.3216"/>
    <x v="1301"/>
    <s v="Bronze"/>
    <n v="21"/>
    <x v="0"/>
    <s v="Electronics"/>
  </r>
  <r>
    <s v="SALE1302"/>
    <d v="2024-05-06T00:00:00"/>
    <x v="413"/>
    <x v="82"/>
    <x v="13"/>
    <n v="1"/>
    <n v="1"/>
    <n v="747.9"/>
    <n v="747.9"/>
    <n v="0.21"/>
    <n v="0.21"/>
    <x v="2"/>
    <n v="590.84100000000001"/>
    <x v="1302"/>
    <s v="Silver"/>
    <n v="54"/>
    <x v="1"/>
    <s v="Sports"/>
  </r>
  <r>
    <s v="SALE1303"/>
    <d v="2024-07-05T00:00:00"/>
    <x v="189"/>
    <x v="82"/>
    <x v="16"/>
    <n v="3"/>
    <n v="3"/>
    <n v="438.92"/>
    <n v="438.92"/>
    <n v="0.21"/>
    <n v="0.21"/>
    <x v="0"/>
    <n v="1040.2403999999999"/>
    <x v="1303"/>
    <s v="Silver"/>
    <n v="41"/>
    <x v="0"/>
    <s v="Sports"/>
  </r>
  <r>
    <s v="SALE1304"/>
    <d v="2023-11-02T00:00:00"/>
    <x v="331"/>
    <x v="25"/>
    <x v="5"/>
    <n v="4"/>
    <n v="4"/>
    <n v="665.38"/>
    <n v="665.38"/>
    <n v="0.18"/>
    <n v="0.18"/>
    <x v="0"/>
    <n v="2182.4463999999998"/>
    <x v="1304"/>
    <s v="Silver"/>
    <n v="40"/>
    <x v="0"/>
    <s v="Electronics"/>
  </r>
  <r>
    <s v="SALE1305"/>
    <d v="2024-11-20T00:00:00"/>
    <x v="458"/>
    <x v="17"/>
    <x v="14"/>
    <n v="1"/>
    <n v="1"/>
    <n v="146.49"/>
    <n v="146.49"/>
    <n v="0.28000000000000003"/>
    <n v="0.28000000000000003"/>
    <x v="0"/>
    <n v="105.47280000000001"/>
    <x v="1305"/>
    <s v="Bronze"/>
    <n v="59"/>
    <x v="1"/>
    <s v="Beauty"/>
  </r>
  <r>
    <s v="SALE1306"/>
    <d v="2025-04-27T00:00:00"/>
    <x v="379"/>
    <x v="48"/>
    <x v="10"/>
    <n v="2"/>
    <n v="2"/>
    <n v="235.39"/>
    <n v="235.39"/>
    <n v="0.27"/>
    <n v="0.27"/>
    <x v="2"/>
    <n v="343.6694"/>
    <x v="1306"/>
    <s v="Bronze"/>
    <n v="32"/>
    <x v="0"/>
    <s v="Sports"/>
  </r>
  <r>
    <s v="SALE1307"/>
    <d v="2024-12-25T00:00:00"/>
    <x v="29"/>
    <x v="86"/>
    <x v="3"/>
    <n v="3"/>
    <n v="3"/>
    <n v="38.07"/>
    <n v="38.07"/>
    <n v="0.09"/>
    <n v="0.09"/>
    <x v="1"/>
    <n v="103.9311"/>
    <x v="1307"/>
    <s v="Platinum"/>
    <n v="27"/>
    <x v="1"/>
    <s v="Sports"/>
  </r>
  <r>
    <s v="SALE1308"/>
    <d v="2025-09-02T00:00:00"/>
    <x v="75"/>
    <x v="13"/>
    <x v="5"/>
    <n v="2"/>
    <n v="2"/>
    <n v="511.7"/>
    <n v="511.7"/>
    <n v="0.12"/>
    <n v="0.12"/>
    <x v="2"/>
    <n v="900.59199999999998"/>
    <x v="1308"/>
    <s v="Bronze"/>
    <n v="34"/>
    <x v="0"/>
    <s v="Electronics"/>
  </r>
  <r>
    <s v="SALE1309"/>
    <d v="2024-04-19T00:00:00"/>
    <x v="325"/>
    <x v="28"/>
    <x v="2"/>
    <n v="4"/>
    <n v="4"/>
    <n v="488.72"/>
    <n v="488.72"/>
    <n v="0.23"/>
    <n v="0.23"/>
    <x v="1"/>
    <n v="1505.2575999999999"/>
    <x v="1309"/>
    <s v="Platinum"/>
    <n v="44"/>
    <x v="1"/>
    <s v="Clothing"/>
  </r>
  <r>
    <s v="SALE1310"/>
    <d v="2025-03-01T00:00:00"/>
    <x v="277"/>
    <x v="57"/>
    <x v="18"/>
    <n v="2"/>
    <n v="2"/>
    <n v="520.45000000000005"/>
    <n v="520.45000000000005"/>
    <n v="0.11"/>
    <n v="0.11"/>
    <x v="2"/>
    <n v="926.40100000000007"/>
    <x v="1310"/>
    <s v="Bronze"/>
    <n v="40"/>
    <x v="1"/>
    <s v="Sports"/>
  </r>
  <r>
    <s v="SALE1311"/>
    <d v="2024-03-25T00:00:00"/>
    <x v="450"/>
    <x v="70"/>
    <x v="3"/>
    <n v="1"/>
    <n v="1"/>
    <n v="340.9"/>
    <n v="340.9"/>
    <n v="0.28999999999999998"/>
    <n v="0.28999999999999998"/>
    <x v="0"/>
    <n v="242.03899999999999"/>
    <x v="1311"/>
    <s v="Bronze"/>
    <n v="37"/>
    <x v="0"/>
    <s v="Electronics"/>
  </r>
  <r>
    <s v="SALE1312"/>
    <d v="2024-10-11T00:00:00"/>
    <x v="3"/>
    <x v="45"/>
    <x v="2"/>
    <n v="3"/>
    <n v="3"/>
    <n v="653.59"/>
    <n v="653.59"/>
    <n v="0.17"/>
    <n v="0.17"/>
    <x v="2"/>
    <n v="1627.4391000000001"/>
    <x v="1312"/>
    <s v="Platinum"/>
    <n v="58"/>
    <x v="1"/>
    <s v="Sports"/>
  </r>
  <r>
    <s v="SALE1313"/>
    <d v="2025-09-06T00:00:00"/>
    <x v="460"/>
    <x v="33"/>
    <x v="14"/>
    <n v="1"/>
    <n v="1"/>
    <n v="179.77"/>
    <n v="179.77"/>
    <n v="0.23"/>
    <n v="0.23"/>
    <x v="2"/>
    <n v="138.4229"/>
    <x v="1313"/>
    <s v="Gold"/>
    <n v="36"/>
    <x v="1"/>
    <s v="Electronics"/>
  </r>
  <r>
    <s v="SALE1314"/>
    <d v="2024-08-19T00:00:00"/>
    <x v="46"/>
    <x v="90"/>
    <x v="11"/>
    <n v="2"/>
    <n v="2"/>
    <n v="943.8"/>
    <n v="943.8"/>
    <n v="0.06"/>
    <n v="0.06"/>
    <x v="0"/>
    <n v="1774.3440000000001"/>
    <x v="1314"/>
    <s v="Gold"/>
    <n v="53"/>
    <x v="1"/>
    <s v="Electronics"/>
  </r>
  <r>
    <s v="SALE1315"/>
    <d v="2023-11-04T00:00:00"/>
    <x v="0"/>
    <x v="51"/>
    <x v="10"/>
    <n v="2"/>
    <n v="2"/>
    <n v="985"/>
    <n v="985"/>
    <n v="0.25"/>
    <n v="0.25"/>
    <x v="0"/>
    <n v="1477.5"/>
    <x v="1315"/>
    <s v="Gold"/>
    <n v="55"/>
    <x v="0"/>
    <s v="Beauty"/>
  </r>
  <r>
    <s v="SALE1316"/>
    <d v="2024-04-23T00:00:00"/>
    <x v="144"/>
    <x v="12"/>
    <x v="15"/>
    <n v="4"/>
    <n v="4"/>
    <n v="216.81"/>
    <n v="216.81"/>
    <n v="0.28999999999999998"/>
    <n v="0.28999999999999998"/>
    <x v="0"/>
    <n v="615.74040000000002"/>
    <x v="1316"/>
    <s v="Bronze"/>
    <n v="46"/>
    <x v="1"/>
    <s v="Sports"/>
  </r>
  <r>
    <s v="SALE1317"/>
    <d v="2023-10-24T00:00:00"/>
    <x v="355"/>
    <x v="91"/>
    <x v="17"/>
    <n v="4"/>
    <n v="4"/>
    <n v="950.21"/>
    <n v="950.21"/>
    <n v="0.27"/>
    <n v="0.27"/>
    <x v="2"/>
    <n v="2774.6131999999998"/>
    <x v="1317"/>
    <s v="Platinum"/>
    <n v="21"/>
    <x v="1"/>
    <s v="Beauty"/>
  </r>
  <r>
    <s v="SALE1318"/>
    <d v="2025-06-30T00:00:00"/>
    <x v="142"/>
    <x v="70"/>
    <x v="4"/>
    <n v="2"/>
    <n v="2"/>
    <n v="271.39999999999998"/>
    <n v="271.39999999999998"/>
    <n v="0.17"/>
    <n v="0.17"/>
    <x v="1"/>
    <n v="450.52399999999989"/>
    <x v="1318"/>
    <s v="Platinum"/>
    <n v="57"/>
    <x v="0"/>
    <s v="Electronics"/>
  </r>
  <r>
    <s v="SALE1319"/>
    <d v="2025-08-14T00:00:00"/>
    <x v="64"/>
    <x v="11"/>
    <x v="2"/>
    <n v="4"/>
    <n v="4"/>
    <n v="708.19"/>
    <n v="708.19"/>
    <n v="0.1"/>
    <n v="0.1"/>
    <x v="1"/>
    <n v="2549.4839999999999"/>
    <x v="1319"/>
    <s v="Platinum"/>
    <n v="36"/>
    <x v="1"/>
    <s v="Electronics"/>
  </r>
  <r>
    <s v="SALE1320"/>
    <d v="2025-05-11T00:00:00"/>
    <x v="433"/>
    <x v="59"/>
    <x v="0"/>
    <n v="3"/>
    <n v="3"/>
    <n v="477.05"/>
    <n v="477.05"/>
    <n v="0.05"/>
    <n v="0.05"/>
    <x v="1"/>
    <n v="1359.5925"/>
    <x v="1320"/>
    <s v="Gold"/>
    <n v="19"/>
    <x v="0"/>
    <s v="Sports"/>
  </r>
  <r>
    <s v="SALE1321"/>
    <d v="2024-04-01T00:00:00"/>
    <x v="132"/>
    <x v="1"/>
    <x v="11"/>
    <n v="3"/>
    <n v="3"/>
    <n v="627.29"/>
    <n v="627.29"/>
    <n v="0.27"/>
    <n v="0.27"/>
    <x v="2"/>
    <n v="1373.7651000000001"/>
    <x v="1321"/>
    <s v="Bronze"/>
    <n v="56"/>
    <x v="1"/>
    <s v="Electronics"/>
  </r>
  <r>
    <s v="SALE1322"/>
    <d v="2024-02-13T00:00:00"/>
    <x v="235"/>
    <x v="32"/>
    <x v="19"/>
    <n v="3"/>
    <n v="3"/>
    <n v="206.84"/>
    <n v="206.84"/>
    <n v="0.19"/>
    <n v="0.19"/>
    <x v="1"/>
    <n v="502.62119999999999"/>
    <x v="1322"/>
    <s v="Silver"/>
    <n v="41"/>
    <x v="0"/>
    <s v="Beauty"/>
  </r>
  <r>
    <s v="SALE1323"/>
    <d v="2024-01-13T00:00:00"/>
    <x v="243"/>
    <x v="37"/>
    <x v="8"/>
    <n v="4"/>
    <n v="4"/>
    <n v="629.04999999999995"/>
    <n v="629.04999999999995"/>
    <n v="0.26"/>
    <n v="0.26"/>
    <x v="0"/>
    <n v="1861.9880000000001"/>
    <x v="1323"/>
    <s v="Silver"/>
    <n v="64"/>
    <x v="0"/>
    <s v="Home"/>
  </r>
  <r>
    <s v="SALE1324"/>
    <d v="2024-09-08T00:00:00"/>
    <x v="240"/>
    <x v="1"/>
    <x v="1"/>
    <n v="4"/>
    <n v="4"/>
    <n v="529.04"/>
    <n v="529.04"/>
    <n v="0.1"/>
    <n v="0.1"/>
    <x v="1"/>
    <n v="1904.5440000000001"/>
    <x v="1324"/>
    <s v="Platinum"/>
    <n v="59"/>
    <x v="1"/>
    <s v="Electronics"/>
  </r>
  <r>
    <s v="SALE1325"/>
    <d v="2024-02-04T00:00:00"/>
    <x v="116"/>
    <x v="37"/>
    <x v="1"/>
    <n v="1"/>
    <n v="1"/>
    <n v="350.67"/>
    <n v="350.67"/>
    <n v="0.22"/>
    <n v="0.22"/>
    <x v="1"/>
    <n v="273.52260000000001"/>
    <x v="1325"/>
    <s v="Bronze"/>
    <n v="31"/>
    <x v="0"/>
    <s v="Home"/>
  </r>
  <r>
    <s v="SALE1326"/>
    <d v="2024-07-25T00:00:00"/>
    <x v="171"/>
    <x v="98"/>
    <x v="8"/>
    <n v="1"/>
    <n v="1"/>
    <n v="128.93"/>
    <n v="128.93"/>
    <n v="0.26"/>
    <n v="0.26"/>
    <x v="0"/>
    <n v="95.408200000000008"/>
    <x v="1326"/>
    <s v="Platinum"/>
    <n v="21"/>
    <x v="1"/>
    <s v="Sports"/>
  </r>
  <r>
    <s v="SALE1327"/>
    <d v="2024-09-09T00:00:00"/>
    <x v="281"/>
    <x v="56"/>
    <x v="10"/>
    <n v="2"/>
    <n v="2"/>
    <n v="384.92"/>
    <n v="384.92"/>
    <n v="0.09"/>
    <n v="0.09"/>
    <x v="0"/>
    <n v="700.5544000000001"/>
    <x v="1327"/>
    <s v="Platinum"/>
    <n v="46"/>
    <x v="0"/>
    <s v="Home"/>
  </r>
  <r>
    <s v="SALE1328"/>
    <d v="2023-12-08T00:00:00"/>
    <x v="159"/>
    <x v="23"/>
    <x v="2"/>
    <n v="3"/>
    <n v="3"/>
    <n v="120.77"/>
    <n v="120.77"/>
    <n v="0.28999999999999998"/>
    <n v="0.28999999999999998"/>
    <x v="1"/>
    <n v="257.24009999999998"/>
    <x v="1328"/>
    <s v="Silver"/>
    <n v="50"/>
    <x v="1"/>
    <s v="Clothing"/>
  </r>
  <r>
    <s v="SALE1329"/>
    <d v="2025-06-16T00:00:00"/>
    <x v="248"/>
    <x v="3"/>
    <x v="1"/>
    <n v="4"/>
    <n v="4"/>
    <n v="661.39"/>
    <n v="661.39"/>
    <n v="7.0000000000000007E-2"/>
    <n v="7.0000000000000007E-2"/>
    <x v="0"/>
    <n v="2460.3708000000001"/>
    <x v="1329"/>
    <s v="Platinum"/>
    <n v="35"/>
    <x v="0"/>
    <s v="Electronics"/>
  </r>
  <r>
    <s v="SALE1330"/>
    <d v="2023-12-01T00:00:00"/>
    <x v="194"/>
    <x v="85"/>
    <x v="17"/>
    <n v="1"/>
    <n v="1"/>
    <n v="195.24"/>
    <n v="195.24"/>
    <n v="0.27"/>
    <n v="0.27"/>
    <x v="1"/>
    <n v="142.52520000000001"/>
    <x v="1330"/>
    <s v="Bronze"/>
    <n v="29"/>
    <x v="0"/>
    <s v="Electronics"/>
  </r>
  <r>
    <s v="SALE1331"/>
    <d v="2023-11-03T00:00:00"/>
    <x v="435"/>
    <x v="80"/>
    <x v="14"/>
    <n v="2"/>
    <n v="2"/>
    <n v="177.4"/>
    <n v="177.4"/>
    <n v="0.19"/>
    <n v="0.19"/>
    <x v="1"/>
    <n v="287.38799999999998"/>
    <x v="1331"/>
    <s v="Silver"/>
    <n v="64"/>
    <x v="1"/>
    <s v="Home"/>
  </r>
  <r>
    <s v="SALE1332"/>
    <d v="2025-01-16T00:00:00"/>
    <x v="333"/>
    <x v="24"/>
    <x v="19"/>
    <n v="4"/>
    <n v="4"/>
    <n v="862.67"/>
    <n v="862.67"/>
    <n v="0.2"/>
    <n v="0.2"/>
    <x v="1"/>
    <n v="2760.5439999999999"/>
    <x v="1332"/>
    <s v="Platinum"/>
    <n v="43"/>
    <x v="1"/>
    <s v="Electronics"/>
  </r>
  <r>
    <s v="SALE1333"/>
    <d v="2024-09-30T00:00:00"/>
    <x v="433"/>
    <x v="53"/>
    <x v="16"/>
    <n v="1"/>
    <n v="1"/>
    <n v="55.04"/>
    <n v="55.04"/>
    <n v="0.01"/>
    <n v="0.01"/>
    <x v="2"/>
    <n v="54.489600000000003"/>
    <x v="1333"/>
    <s v="Gold"/>
    <n v="19"/>
    <x v="0"/>
    <s v="Sports"/>
  </r>
  <r>
    <s v="SALE1334"/>
    <d v="2024-12-20T00:00:00"/>
    <x v="184"/>
    <x v="49"/>
    <x v="6"/>
    <n v="2"/>
    <n v="2"/>
    <n v="905.47"/>
    <n v="905.47"/>
    <n v="0.2"/>
    <n v="0.2"/>
    <x v="2"/>
    <n v="1448.752"/>
    <x v="1334"/>
    <s v="Gold"/>
    <n v="45"/>
    <x v="1"/>
    <s v="Sports"/>
  </r>
  <r>
    <s v="SALE1335"/>
    <d v="2024-09-04T00:00:00"/>
    <x v="343"/>
    <x v="81"/>
    <x v="13"/>
    <n v="3"/>
    <n v="3"/>
    <n v="217.13"/>
    <n v="217.13"/>
    <n v="0.28000000000000003"/>
    <n v="0.28000000000000003"/>
    <x v="0"/>
    <n v="469.00080000000003"/>
    <x v="1335"/>
    <s v="Silver"/>
    <n v="60"/>
    <x v="1"/>
    <s v="Beauty"/>
  </r>
  <r>
    <s v="SALE1336"/>
    <d v="2025-10-06T00:00:00"/>
    <x v="337"/>
    <x v="28"/>
    <x v="6"/>
    <n v="3"/>
    <n v="3"/>
    <n v="580.45000000000005"/>
    <n v="580.45000000000005"/>
    <n v="0"/>
    <n v="0"/>
    <x v="1"/>
    <n v="1741.35"/>
    <x v="1336"/>
    <s v="Platinum"/>
    <n v="50"/>
    <x v="0"/>
    <s v="Clothing"/>
  </r>
  <r>
    <s v="SALE1337"/>
    <d v="2025-07-16T00:00:00"/>
    <x v="202"/>
    <x v="83"/>
    <x v="1"/>
    <n v="2"/>
    <n v="2"/>
    <n v="892.88"/>
    <n v="892.88"/>
    <n v="0.17"/>
    <n v="0.17"/>
    <x v="1"/>
    <n v="1482.1808000000001"/>
    <x v="1337"/>
    <s v="Bronze"/>
    <n v="21"/>
    <x v="0"/>
    <s v="Clothing"/>
  </r>
  <r>
    <s v="SALE1338"/>
    <d v="2025-10-06T00:00:00"/>
    <x v="158"/>
    <x v="43"/>
    <x v="14"/>
    <n v="2"/>
    <n v="2"/>
    <n v="356.28"/>
    <n v="356.28"/>
    <n v="0.11"/>
    <n v="0.11"/>
    <x v="2"/>
    <n v="634.17840000000001"/>
    <x v="1338"/>
    <s v="Silver"/>
    <n v="29"/>
    <x v="1"/>
    <s v="Electronics"/>
  </r>
  <r>
    <s v="SALE1339"/>
    <d v="2025-09-21T00:00:00"/>
    <x v="304"/>
    <x v="61"/>
    <x v="17"/>
    <n v="4"/>
    <n v="4"/>
    <n v="806.99"/>
    <n v="806.99"/>
    <n v="0.06"/>
    <n v="0.06"/>
    <x v="0"/>
    <n v="3034.2824000000001"/>
    <x v="1339"/>
    <s v="Bronze"/>
    <n v="52"/>
    <x v="1"/>
    <s v="Home"/>
  </r>
  <r>
    <s v="SALE1340"/>
    <d v="2025-07-17T00:00:00"/>
    <x v="461"/>
    <x v="42"/>
    <x v="8"/>
    <n v="3"/>
    <n v="3"/>
    <n v="684.22"/>
    <n v="684.22"/>
    <n v="0.09"/>
    <n v="0.09"/>
    <x v="0"/>
    <n v="1867.9205999999999"/>
    <x v="1340"/>
    <s v="Silver"/>
    <n v="53"/>
    <x v="0"/>
    <s v="Sports"/>
  </r>
  <r>
    <s v="SALE1341"/>
    <d v="2025-06-29T00:00:00"/>
    <x v="13"/>
    <x v="47"/>
    <x v="4"/>
    <n v="4"/>
    <n v="4"/>
    <n v="763.34"/>
    <n v="763.34"/>
    <n v="7.0000000000000007E-2"/>
    <n v="7.0000000000000007E-2"/>
    <x v="1"/>
    <n v="2839.6248000000001"/>
    <x v="1341"/>
    <s v="Silver"/>
    <n v="51"/>
    <x v="0"/>
    <s v="Electronics"/>
  </r>
  <r>
    <s v="SALE1342"/>
    <d v="2025-03-22T00:00:00"/>
    <x v="447"/>
    <x v="57"/>
    <x v="0"/>
    <n v="3"/>
    <n v="3"/>
    <n v="721.94"/>
    <n v="721.94"/>
    <n v="0.26"/>
    <n v="0.26"/>
    <x v="0"/>
    <n v="1602.7067999999999"/>
    <x v="1342"/>
    <s v="Platinum"/>
    <n v="64"/>
    <x v="0"/>
    <s v="Sports"/>
  </r>
  <r>
    <s v="SALE1343"/>
    <d v="2024-02-01T00:00:00"/>
    <x v="82"/>
    <x v="0"/>
    <x v="8"/>
    <n v="3"/>
    <n v="3"/>
    <n v="760.38"/>
    <n v="760.38"/>
    <n v="0"/>
    <n v="0"/>
    <x v="2"/>
    <n v="2281.14"/>
    <x v="1343"/>
    <s v="Gold"/>
    <n v="23"/>
    <x v="1"/>
    <s v="Sports"/>
  </r>
  <r>
    <s v="SALE1344"/>
    <d v="2024-03-11T00:00:00"/>
    <x v="83"/>
    <x v="0"/>
    <x v="16"/>
    <n v="3"/>
    <n v="3"/>
    <n v="612.53"/>
    <n v="612.53"/>
    <n v="0.21"/>
    <n v="0.21"/>
    <x v="2"/>
    <n v="1451.6960999999999"/>
    <x v="1344"/>
    <s v="Platinum"/>
    <n v="64"/>
    <x v="0"/>
    <s v="Sports"/>
  </r>
  <r>
    <s v="SALE1345"/>
    <d v="2024-09-09T00:00:00"/>
    <x v="95"/>
    <x v="81"/>
    <x v="9"/>
    <n v="3"/>
    <n v="3"/>
    <n v="841.37"/>
    <n v="841.37"/>
    <n v="0.28999999999999998"/>
    <n v="0.28999999999999998"/>
    <x v="1"/>
    <n v="1792.1180999999999"/>
    <x v="1345"/>
    <s v="Platinum"/>
    <n v="21"/>
    <x v="0"/>
    <s v="Beauty"/>
  </r>
  <r>
    <s v="SALE1346"/>
    <d v="2023-11-19T00:00:00"/>
    <x v="321"/>
    <x v="70"/>
    <x v="11"/>
    <n v="2"/>
    <n v="2"/>
    <n v="636.51"/>
    <n v="636.51"/>
    <n v="0.25"/>
    <n v="0.25"/>
    <x v="0"/>
    <n v="954.76499999999999"/>
    <x v="1346"/>
    <s v="Silver"/>
    <n v="27"/>
    <x v="1"/>
    <s v="Electronics"/>
  </r>
  <r>
    <s v="SALE1347"/>
    <d v="2025-01-02T00:00:00"/>
    <x v="158"/>
    <x v="49"/>
    <x v="2"/>
    <n v="2"/>
    <n v="2"/>
    <n v="732.37"/>
    <n v="732.37"/>
    <n v="0.22"/>
    <n v="0.22"/>
    <x v="2"/>
    <n v="1142.4972"/>
    <x v="1347"/>
    <s v="Silver"/>
    <n v="29"/>
    <x v="1"/>
    <s v="Sports"/>
  </r>
  <r>
    <s v="SALE1348"/>
    <d v="2025-09-27T00:00:00"/>
    <x v="112"/>
    <x v="59"/>
    <x v="9"/>
    <n v="3"/>
    <n v="3"/>
    <n v="183.44"/>
    <n v="183.44"/>
    <n v="0.28000000000000003"/>
    <n v="0.28000000000000003"/>
    <x v="2"/>
    <n v="396.23039999999992"/>
    <x v="1348"/>
    <s v="Silver"/>
    <n v="39"/>
    <x v="1"/>
    <s v="Sports"/>
  </r>
  <r>
    <s v="SALE1349"/>
    <d v="2024-03-22T00:00:00"/>
    <x v="10"/>
    <x v="75"/>
    <x v="13"/>
    <n v="4"/>
    <n v="4"/>
    <n v="898.58"/>
    <n v="898.58"/>
    <n v="0.16"/>
    <n v="0.16"/>
    <x v="1"/>
    <n v="3019.2287999999999"/>
    <x v="1349"/>
    <s v="Silver"/>
    <n v="21"/>
    <x v="1"/>
    <s v="Electronics"/>
  </r>
  <r>
    <s v="SALE1350"/>
    <d v="2024-08-25T00:00:00"/>
    <x v="360"/>
    <x v="34"/>
    <x v="17"/>
    <n v="3"/>
    <n v="3"/>
    <n v="152.41"/>
    <n v="152.41"/>
    <n v="0.25"/>
    <n v="0.25"/>
    <x v="0"/>
    <n v="342.92250000000001"/>
    <x v="1350"/>
    <s v="Silver"/>
    <n v="56"/>
    <x v="0"/>
    <s v="Clothing"/>
  </r>
  <r>
    <s v="SALE1351"/>
    <d v="2025-08-03T00:00:00"/>
    <x v="307"/>
    <x v="80"/>
    <x v="7"/>
    <n v="3"/>
    <n v="3"/>
    <n v="972.58"/>
    <n v="972.58"/>
    <n v="0.28000000000000003"/>
    <n v="0.28000000000000003"/>
    <x v="2"/>
    <n v="2100.7728000000002"/>
    <x v="1351"/>
    <s v="Platinum"/>
    <n v="50"/>
    <x v="0"/>
    <s v="Home"/>
  </r>
  <r>
    <s v="SALE1352"/>
    <d v="2023-12-07T00:00:00"/>
    <x v="220"/>
    <x v="20"/>
    <x v="19"/>
    <n v="4"/>
    <n v="4"/>
    <n v="136.4"/>
    <n v="136.4"/>
    <n v="0.04"/>
    <n v="0.04"/>
    <x v="2"/>
    <n v="523.77599999999995"/>
    <x v="1352"/>
    <s v="Silver"/>
    <n v="18"/>
    <x v="0"/>
    <s v="Clothing"/>
  </r>
  <r>
    <s v="SALE1353"/>
    <d v="2025-08-25T00:00:00"/>
    <x v="453"/>
    <x v="32"/>
    <x v="10"/>
    <n v="1"/>
    <n v="1"/>
    <n v="509.63"/>
    <n v="509.63"/>
    <n v="0.27"/>
    <n v="0.27"/>
    <x v="2"/>
    <n v="372.0299"/>
    <x v="1353"/>
    <s v="Platinum"/>
    <n v="57"/>
    <x v="1"/>
    <s v="Beauty"/>
  </r>
  <r>
    <s v="SALE1354"/>
    <d v="2024-02-09T00:00:00"/>
    <x v="458"/>
    <x v="0"/>
    <x v="0"/>
    <n v="4"/>
    <n v="4"/>
    <n v="360.28"/>
    <n v="360.28"/>
    <n v="0.09"/>
    <n v="0.09"/>
    <x v="2"/>
    <n v="1311.4192"/>
    <x v="1354"/>
    <s v="Bronze"/>
    <n v="59"/>
    <x v="1"/>
    <s v="Sports"/>
  </r>
  <r>
    <s v="SALE1355"/>
    <d v="2025-09-10T00:00:00"/>
    <x v="52"/>
    <x v="41"/>
    <x v="10"/>
    <n v="3"/>
    <n v="3"/>
    <n v="882.05"/>
    <n v="882.05"/>
    <n v="0.06"/>
    <n v="0.06"/>
    <x v="1"/>
    <n v="2487.3809999999989"/>
    <x v="1355"/>
    <s v="Bronze"/>
    <n v="61"/>
    <x v="1"/>
    <s v="Beauty"/>
  </r>
  <r>
    <s v="SALE1356"/>
    <d v="2024-09-29T00:00:00"/>
    <x v="420"/>
    <x v="29"/>
    <x v="2"/>
    <n v="3"/>
    <n v="3"/>
    <n v="141.54"/>
    <n v="141.54"/>
    <n v="0.12"/>
    <n v="0.12"/>
    <x v="1"/>
    <n v="373.66559999999998"/>
    <x v="1356"/>
    <s v="Silver"/>
    <n v="60"/>
    <x v="0"/>
    <s v="Home"/>
  </r>
  <r>
    <s v="SALE1357"/>
    <d v="2024-06-18T00:00:00"/>
    <x v="278"/>
    <x v="5"/>
    <x v="5"/>
    <n v="3"/>
    <n v="3"/>
    <n v="83.5"/>
    <n v="83.5"/>
    <n v="0.23"/>
    <n v="0.23"/>
    <x v="2"/>
    <n v="192.88499999999999"/>
    <x v="1357"/>
    <s v="Gold"/>
    <n v="45"/>
    <x v="0"/>
    <s v="Electronics"/>
  </r>
  <r>
    <s v="SALE1358"/>
    <d v="2023-11-28T00:00:00"/>
    <x v="331"/>
    <x v="66"/>
    <x v="16"/>
    <n v="2"/>
    <n v="2"/>
    <n v="629.73"/>
    <n v="629.73"/>
    <n v="7.0000000000000007E-2"/>
    <n v="7.0000000000000007E-2"/>
    <x v="1"/>
    <n v="1171.2978000000001"/>
    <x v="1358"/>
    <s v="Silver"/>
    <n v="40"/>
    <x v="0"/>
    <s v="Home"/>
  </r>
  <r>
    <s v="SALE1359"/>
    <d v="2023-10-29T00:00:00"/>
    <x v="172"/>
    <x v="9"/>
    <x v="16"/>
    <n v="2"/>
    <n v="2"/>
    <n v="159.93"/>
    <n v="159.93"/>
    <n v="0.2"/>
    <n v="0.2"/>
    <x v="2"/>
    <n v="255.88800000000001"/>
    <x v="1359"/>
    <s v="Platinum"/>
    <n v="55"/>
    <x v="1"/>
    <s v="Home"/>
  </r>
  <r>
    <s v="SALE1360"/>
    <d v="2025-07-20T00:00:00"/>
    <x v="172"/>
    <x v="49"/>
    <x v="14"/>
    <n v="1"/>
    <n v="1"/>
    <n v="459.89"/>
    <n v="459.89"/>
    <n v="0.18"/>
    <n v="0.18"/>
    <x v="2"/>
    <n v="377.10980000000001"/>
    <x v="1360"/>
    <s v="Platinum"/>
    <n v="55"/>
    <x v="1"/>
    <s v="Sports"/>
  </r>
  <r>
    <s v="SALE1361"/>
    <d v="2024-08-28T00:00:00"/>
    <x v="338"/>
    <x v="9"/>
    <x v="12"/>
    <n v="4"/>
    <n v="4"/>
    <n v="885.57"/>
    <n v="885.57"/>
    <n v="0.27"/>
    <n v="0.27"/>
    <x v="0"/>
    <n v="2585.8643999999999"/>
    <x v="1361"/>
    <s v="Silver"/>
    <n v="42"/>
    <x v="0"/>
    <s v="Home"/>
  </r>
  <r>
    <s v="SALE1362"/>
    <d v="2024-06-11T00:00:00"/>
    <x v="363"/>
    <x v="59"/>
    <x v="10"/>
    <n v="3"/>
    <n v="3"/>
    <n v="789.05"/>
    <n v="789.05"/>
    <n v="0"/>
    <n v="0"/>
    <x v="1"/>
    <n v="2367.15"/>
    <x v="1362"/>
    <s v="Bronze"/>
    <n v="31"/>
    <x v="0"/>
    <s v="Sports"/>
  </r>
  <r>
    <s v="SALE1363"/>
    <d v="2023-11-14T00:00:00"/>
    <x v="431"/>
    <x v="73"/>
    <x v="6"/>
    <n v="1"/>
    <n v="1"/>
    <n v="570.52"/>
    <n v="570.52"/>
    <n v="0"/>
    <n v="0"/>
    <x v="1"/>
    <n v="570.52"/>
    <x v="1363"/>
    <s v="Gold"/>
    <n v="35"/>
    <x v="1"/>
    <s v="Beauty"/>
  </r>
  <r>
    <s v="SALE1364"/>
    <d v="2024-01-31T00:00:00"/>
    <x v="449"/>
    <x v="16"/>
    <x v="9"/>
    <n v="4"/>
    <n v="4"/>
    <n v="310.79000000000002"/>
    <n v="310.79000000000002"/>
    <n v="0.22"/>
    <n v="0.22"/>
    <x v="2"/>
    <n v="969.66480000000013"/>
    <x v="1364"/>
    <s v="Silver"/>
    <n v="43"/>
    <x v="1"/>
    <s v="Home"/>
  </r>
  <r>
    <s v="SALE1365"/>
    <d v="2025-04-10T00:00:00"/>
    <x v="333"/>
    <x v="88"/>
    <x v="1"/>
    <n v="4"/>
    <n v="4"/>
    <n v="255.67"/>
    <n v="255.67"/>
    <n v="0.17"/>
    <n v="0.17"/>
    <x v="0"/>
    <n v="848.82439999999997"/>
    <x v="1365"/>
    <s v="Platinum"/>
    <n v="43"/>
    <x v="1"/>
    <s v="Home"/>
  </r>
  <r>
    <s v="SALE1366"/>
    <d v="2024-04-15T00:00:00"/>
    <x v="298"/>
    <x v="16"/>
    <x v="9"/>
    <n v="2"/>
    <n v="2"/>
    <n v="270.66000000000003"/>
    <n v="270.66000000000003"/>
    <n v="0.1"/>
    <n v="0.1"/>
    <x v="2"/>
    <n v="487.18799999999999"/>
    <x v="1366"/>
    <s v="Silver"/>
    <n v="43"/>
    <x v="1"/>
    <s v="Home"/>
  </r>
  <r>
    <s v="SALE1367"/>
    <d v="2025-09-14T00:00:00"/>
    <x v="462"/>
    <x v="34"/>
    <x v="1"/>
    <n v="3"/>
    <n v="3"/>
    <n v="373.35"/>
    <n v="373.35"/>
    <n v="0.2"/>
    <n v="0.2"/>
    <x v="2"/>
    <n v="896.04000000000019"/>
    <x v="1367"/>
    <s v="Platinum"/>
    <n v="48"/>
    <x v="1"/>
    <s v="Clothing"/>
  </r>
  <r>
    <s v="SALE1368"/>
    <d v="2024-05-20T00:00:00"/>
    <x v="357"/>
    <x v="4"/>
    <x v="19"/>
    <n v="2"/>
    <n v="2"/>
    <n v="23.58"/>
    <n v="23.58"/>
    <n v="0.02"/>
    <n v="0.02"/>
    <x v="1"/>
    <n v="46.216799999999999"/>
    <x v="1368"/>
    <s v="Gold"/>
    <n v="20"/>
    <x v="1"/>
    <s v="Beauty"/>
  </r>
  <r>
    <s v="SALE1369"/>
    <d v="2025-05-21T00:00:00"/>
    <x v="399"/>
    <x v="68"/>
    <x v="4"/>
    <n v="4"/>
    <n v="4"/>
    <n v="185.67"/>
    <n v="185.67"/>
    <n v="0.21"/>
    <n v="0.21"/>
    <x v="1"/>
    <n v="586.71719999999993"/>
    <x v="1369"/>
    <s v="Bronze"/>
    <n v="24"/>
    <x v="0"/>
    <s v="Home"/>
  </r>
  <r>
    <s v="SALE1370"/>
    <d v="2024-04-14T00:00:00"/>
    <x v="263"/>
    <x v="97"/>
    <x v="13"/>
    <n v="3"/>
    <n v="3"/>
    <n v="928.74"/>
    <n v="928.74"/>
    <n v="0.27"/>
    <n v="0.27"/>
    <x v="1"/>
    <n v="2033.9405999999999"/>
    <x v="1370"/>
    <s v="Platinum"/>
    <n v="44"/>
    <x v="1"/>
    <s v="Clothing"/>
  </r>
  <r>
    <s v="SALE1371"/>
    <d v="2023-11-05T00:00:00"/>
    <x v="92"/>
    <x v="94"/>
    <x v="3"/>
    <n v="3"/>
    <n v="3"/>
    <n v="923.38"/>
    <n v="923.38"/>
    <n v="7.0000000000000007E-2"/>
    <n v="7.0000000000000007E-2"/>
    <x v="2"/>
    <n v="2576.2302"/>
    <x v="1371"/>
    <s v="Silver"/>
    <n v="54"/>
    <x v="1"/>
    <s v="Home"/>
  </r>
  <r>
    <s v="SALE1372"/>
    <d v="2024-07-26T00:00:00"/>
    <x v="152"/>
    <x v="83"/>
    <x v="11"/>
    <n v="2"/>
    <n v="2"/>
    <n v="409.26"/>
    <n v="409.26"/>
    <n v="0.1"/>
    <n v="0.1"/>
    <x v="1"/>
    <n v="736.66800000000001"/>
    <x v="1372"/>
    <s v="Silver"/>
    <n v="34"/>
    <x v="1"/>
    <s v="Clothing"/>
  </r>
  <r>
    <s v="SALE1373"/>
    <d v="2023-12-12T00:00:00"/>
    <x v="463"/>
    <x v="34"/>
    <x v="4"/>
    <n v="2"/>
    <n v="2"/>
    <n v="608.46"/>
    <n v="608.46"/>
    <n v="0.16"/>
    <n v="0.16"/>
    <x v="0"/>
    <n v="1022.2128"/>
    <x v="1373"/>
    <s v="Silver"/>
    <n v="34"/>
    <x v="0"/>
    <s v="Clothing"/>
  </r>
  <r>
    <s v="SALE1374"/>
    <d v="2025-05-08T00:00:00"/>
    <x v="314"/>
    <x v="63"/>
    <x v="12"/>
    <n v="4"/>
    <n v="4"/>
    <n v="150.47999999999999"/>
    <n v="150.47999999999999"/>
    <n v="0.09"/>
    <n v="0.09"/>
    <x v="0"/>
    <n v="547.74720000000002"/>
    <x v="1374"/>
    <s v="Platinum"/>
    <n v="63"/>
    <x v="1"/>
    <s v="Electronics"/>
  </r>
  <r>
    <s v="SALE1375"/>
    <d v="2024-08-30T00:00:00"/>
    <x v="427"/>
    <x v="88"/>
    <x v="7"/>
    <n v="4"/>
    <n v="4"/>
    <n v="207.41"/>
    <n v="207.41"/>
    <n v="0.02"/>
    <n v="0.02"/>
    <x v="0"/>
    <n v="813.04719999999998"/>
    <x v="1375"/>
    <s v="Platinum"/>
    <n v="57"/>
    <x v="1"/>
    <s v="Home"/>
  </r>
  <r>
    <s v="SALE1376"/>
    <d v="2025-05-26T00:00:00"/>
    <x v="396"/>
    <x v="75"/>
    <x v="16"/>
    <n v="1"/>
    <n v="1"/>
    <n v="56.59"/>
    <n v="56.59"/>
    <n v="0.15"/>
    <n v="0.15"/>
    <x v="1"/>
    <n v="48.101500000000001"/>
    <x v="1376"/>
    <s v="Bronze"/>
    <n v="41"/>
    <x v="1"/>
    <s v="Electronics"/>
  </r>
  <r>
    <s v="SALE1377"/>
    <d v="2025-01-10T00:00:00"/>
    <x v="131"/>
    <x v="11"/>
    <x v="5"/>
    <n v="4"/>
    <n v="4"/>
    <n v="995.4"/>
    <n v="995.4"/>
    <n v="0.27"/>
    <n v="0.27"/>
    <x v="0"/>
    <n v="2906.5680000000002"/>
    <x v="1377"/>
    <s v="Gold"/>
    <n v="18"/>
    <x v="1"/>
    <s v="Electronics"/>
  </r>
  <r>
    <s v="SALE1378"/>
    <d v="2024-12-30T00:00:00"/>
    <x v="464"/>
    <x v="44"/>
    <x v="18"/>
    <n v="2"/>
    <n v="2"/>
    <n v="591.33000000000004"/>
    <n v="591.33000000000004"/>
    <n v="0.24"/>
    <n v="0.24"/>
    <x v="0"/>
    <n v="898.8216000000001"/>
    <x v="1378"/>
    <s v="Gold"/>
    <n v="33"/>
    <x v="0"/>
    <s v="Beauty"/>
  </r>
  <r>
    <s v="SALE1379"/>
    <d v="2025-07-31T00:00:00"/>
    <x v="74"/>
    <x v="70"/>
    <x v="1"/>
    <n v="2"/>
    <n v="2"/>
    <n v="204.89"/>
    <n v="204.89"/>
    <n v="0.24"/>
    <n v="0.24"/>
    <x v="0"/>
    <n v="311.43279999999999"/>
    <x v="1379"/>
    <s v="Bronze"/>
    <n v="44"/>
    <x v="1"/>
    <s v="Electronics"/>
  </r>
  <r>
    <s v="SALE1380"/>
    <d v="2024-09-14T00:00:00"/>
    <x v="465"/>
    <x v="15"/>
    <x v="7"/>
    <n v="2"/>
    <n v="2"/>
    <n v="546.41"/>
    <n v="546.41"/>
    <n v="0.08"/>
    <n v="0.08"/>
    <x v="2"/>
    <n v="1005.3944"/>
    <x v="1380"/>
    <s v="Platinum"/>
    <n v="58"/>
    <x v="1"/>
    <s v="Sports"/>
  </r>
  <r>
    <s v="SALE1381"/>
    <d v="2024-04-27T00:00:00"/>
    <x v="2"/>
    <x v="97"/>
    <x v="18"/>
    <n v="4"/>
    <n v="4"/>
    <n v="455.49"/>
    <n v="455.49"/>
    <n v="0.17"/>
    <n v="0.17"/>
    <x v="0"/>
    <n v="1512.2267999999999"/>
    <x v="1381"/>
    <s v="Gold"/>
    <n v="49"/>
    <x v="1"/>
    <s v="Clothing"/>
  </r>
  <r>
    <s v="SALE1382"/>
    <d v="2024-03-23T00:00:00"/>
    <x v="293"/>
    <x v="31"/>
    <x v="9"/>
    <n v="2"/>
    <n v="2"/>
    <n v="700.27"/>
    <n v="700.27"/>
    <n v="0.16"/>
    <n v="0.16"/>
    <x v="0"/>
    <n v="1176.4536000000001"/>
    <x v="1382"/>
    <s v="Platinum"/>
    <n v="42"/>
    <x v="1"/>
    <s v="Home"/>
  </r>
  <r>
    <s v="SALE1383"/>
    <d v="2023-12-22T00:00:00"/>
    <x v="290"/>
    <x v="74"/>
    <x v="1"/>
    <n v="2"/>
    <n v="2"/>
    <n v="160.21"/>
    <n v="160.21"/>
    <n v="0.09"/>
    <n v="0.09"/>
    <x v="0"/>
    <n v="291.5822"/>
    <x v="1383"/>
    <s v="Bronze"/>
    <n v="33"/>
    <x v="0"/>
    <s v="Sports"/>
  </r>
  <r>
    <s v="SALE1384"/>
    <d v="2025-03-26T00:00:00"/>
    <x v="189"/>
    <x v="44"/>
    <x v="19"/>
    <n v="1"/>
    <n v="1"/>
    <n v="713.63"/>
    <n v="713.63"/>
    <n v="0.28000000000000003"/>
    <n v="0.28000000000000003"/>
    <x v="2"/>
    <n v="513.81359999999995"/>
    <x v="1384"/>
    <s v="Silver"/>
    <n v="41"/>
    <x v="0"/>
    <s v="Beauty"/>
  </r>
  <r>
    <s v="SALE1385"/>
    <d v="2024-06-04T00:00:00"/>
    <x v="466"/>
    <x v="47"/>
    <x v="4"/>
    <n v="2"/>
    <n v="2"/>
    <n v="224.69"/>
    <n v="224.69"/>
    <n v="0.2"/>
    <n v="0.2"/>
    <x v="2"/>
    <n v="359.50400000000002"/>
    <x v="1385"/>
    <s v="Gold"/>
    <n v="63"/>
    <x v="1"/>
    <s v="Electronics"/>
  </r>
  <r>
    <s v="SALE1386"/>
    <d v="2025-03-17T00:00:00"/>
    <x v="32"/>
    <x v="42"/>
    <x v="7"/>
    <n v="2"/>
    <n v="2"/>
    <n v="740.57"/>
    <n v="740.57"/>
    <n v="0.06"/>
    <n v="0.06"/>
    <x v="0"/>
    <n v="1392.2716"/>
    <x v="1386"/>
    <s v="Platinum"/>
    <n v="62"/>
    <x v="1"/>
    <s v="Sports"/>
  </r>
  <r>
    <s v="SALE1387"/>
    <d v="2024-03-22T00:00:00"/>
    <x v="48"/>
    <x v="75"/>
    <x v="0"/>
    <n v="3"/>
    <n v="3"/>
    <n v="250.14"/>
    <n v="250.14"/>
    <n v="0.23"/>
    <n v="0.23"/>
    <x v="1"/>
    <n v="577.82339999999999"/>
    <x v="1387"/>
    <s v="Bronze"/>
    <n v="37"/>
    <x v="0"/>
    <s v="Electronics"/>
  </r>
  <r>
    <s v="SALE1388"/>
    <d v="2024-12-29T00:00:00"/>
    <x v="135"/>
    <x v="24"/>
    <x v="12"/>
    <n v="3"/>
    <n v="3"/>
    <n v="34.97"/>
    <n v="34.97"/>
    <n v="0.01"/>
    <n v="0.01"/>
    <x v="0"/>
    <n v="103.8609"/>
    <x v="1388"/>
    <s v="Silver"/>
    <n v="59"/>
    <x v="0"/>
    <s v="Electronics"/>
  </r>
  <r>
    <s v="SALE1389"/>
    <d v="2025-07-30T00:00:00"/>
    <x v="235"/>
    <x v="63"/>
    <x v="9"/>
    <n v="1"/>
    <n v="1"/>
    <n v="653.91"/>
    <n v="653.91"/>
    <n v="0.3"/>
    <n v="0.3"/>
    <x v="1"/>
    <n v="457.73700000000002"/>
    <x v="1389"/>
    <s v="Silver"/>
    <n v="41"/>
    <x v="0"/>
    <s v="Electronics"/>
  </r>
  <r>
    <s v="SALE1390"/>
    <d v="2024-02-16T00:00:00"/>
    <x v="402"/>
    <x v="73"/>
    <x v="0"/>
    <n v="1"/>
    <n v="1"/>
    <n v="997.87"/>
    <n v="997.87"/>
    <n v="0.24"/>
    <n v="0.24"/>
    <x v="0"/>
    <n v="758.38120000000004"/>
    <x v="1390"/>
    <s v="Bronze"/>
    <n v="23"/>
    <x v="0"/>
    <s v="Beauty"/>
  </r>
  <r>
    <s v="SALE1391"/>
    <d v="2024-02-27T00:00:00"/>
    <x v="266"/>
    <x v="41"/>
    <x v="7"/>
    <n v="1"/>
    <n v="1"/>
    <n v="174.27"/>
    <n v="174.27"/>
    <n v="0.27"/>
    <n v="0.27"/>
    <x v="2"/>
    <n v="127.2171"/>
    <x v="1391"/>
    <s v="Platinum"/>
    <n v="54"/>
    <x v="0"/>
    <s v="Beauty"/>
  </r>
  <r>
    <s v="SALE1392"/>
    <d v="2024-03-17T00:00:00"/>
    <x v="71"/>
    <x v="2"/>
    <x v="4"/>
    <n v="3"/>
    <n v="3"/>
    <n v="847.44"/>
    <n v="847.44"/>
    <n v="0.17"/>
    <n v="0.17"/>
    <x v="0"/>
    <n v="2110.1255999999998"/>
    <x v="1392"/>
    <s v="Platinum"/>
    <n v="53"/>
    <x v="1"/>
    <s v="Beauty"/>
  </r>
  <r>
    <s v="SALE1393"/>
    <d v="2023-11-13T00:00:00"/>
    <x v="155"/>
    <x v="95"/>
    <x v="17"/>
    <n v="1"/>
    <n v="1"/>
    <n v="493.45"/>
    <n v="493.45"/>
    <n v="0.09"/>
    <n v="0.09"/>
    <x v="0"/>
    <n v="449.03949999999998"/>
    <x v="1393"/>
    <s v="Bronze"/>
    <n v="27"/>
    <x v="1"/>
    <s v="Clothing"/>
  </r>
  <r>
    <s v="SALE1394"/>
    <d v="2024-10-12T00:00:00"/>
    <x v="309"/>
    <x v="85"/>
    <x v="17"/>
    <n v="4"/>
    <n v="4"/>
    <n v="111.66"/>
    <n v="111.66"/>
    <n v="0.14000000000000001"/>
    <n v="0.14000000000000001"/>
    <x v="0"/>
    <n v="384.11040000000003"/>
    <x v="1394"/>
    <s v="Platinum"/>
    <n v="27"/>
    <x v="1"/>
    <s v="Electronics"/>
  </r>
  <r>
    <s v="SALE1395"/>
    <d v="2024-02-21T00:00:00"/>
    <x v="335"/>
    <x v="64"/>
    <x v="19"/>
    <n v="1"/>
    <n v="1"/>
    <n v="413.65"/>
    <n v="413.65"/>
    <n v="0.1"/>
    <n v="0.1"/>
    <x v="2"/>
    <n v="372.28500000000003"/>
    <x v="1395"/>
    <s v="Platinum"/>
    <n v="42"/>
    <x v="1"/>
    <s v="Electronics"/>
  </r>
  <r>
    <s v="SALE1396"/>
    <d v="2025-03-28T00:00:00"/>
    <x v="405"/>
    <x v="41"/>
    <x v="11"/>
    <n v="1"/>
    <n v="1"/>
    <n v="317.14999999999998"/>
    <n v="317.14999999999998"/>
    <n v="0.24"/>
    <n v="0.24"/>
    <x v="2"/>
    <n v="241.03399999999999"/>
    <x v="1396"/>
    <s v="Platinum"/>
    <n v="18"/>
    <x v="1"/>
    <s v="Beauty"/>
  </r>
  <r>
    <s v="SALE1397"/>
    <d v="2025-08-04T00:00:00"/>
    <x v="448"/>
    <x v="12"/>
    <x v="8"/>
    <n v="3"/>
    <n v="3"/>
    <n v="642.94000000000005"/>
    <n v="642.94000000000005"/>
    <n v="0.05"/>
    <n v="0.05"/>
    <x v="2"/>
    <n v="1832.3789999999999"/>
    <x v="1397"/>
    <s v="Silver"/>
    <n v="32"/>
    <x v="0"/>
    <s v="Sports"/>
  </r>
  <r>
    <s v="SALE1398"/>
    <d v="2024-11-05T00:00:00"/>
    <x v="244"/>
    <x v="71"/>
    <x v="15"/>
    <n v="4"/>
    <n v="4"/>
    <n v="559.59"/>
    <n v="559.59"/>
    <n v="0.19"/>
    <n v="0.19"/>
    <x v="2"/>
    <n v="1813.0716"/>
    <x v="1398"/>
    <s v="Bronze"/>
    <n v="62"/>
    <x v="1"/>
    <s v="Sports"/>
  </r>
  <r>
    <s v="SALE1399"/>
    <d v="2024-06-15T00:00:00"/>
    <x v="284"/>
    <x v="35"/>
    <x v="14"/>
    <n v="1"/>
    <n v="1"/>
    <n v="758.54"/>
    <n v="758.54"/>
    <n v="0.28999999999999998"/>
    <n v="0.28999999999999998"/>
    <x v="1"/>
    <n v="538.5634"/>
    <x v="1399"/>
    <s v="Bronze"/>
    <n v="30"/>
    <x v="0"/>
    <s v="Home"/>
  </r>
  <r>
    <s v="SALE1400"/>
    <d v="2024-12-23T00:00:00"/>
    <x v="152"/>
    <x v="61"/>
    <x v="10"/>
    <n v="4"/>
    <n v="4"/>
    <n v="643.96"/>
    <n v="643.96"/>
    <n v="0.16"/>
    <n v="0.16"/>
    <x v="1"/>
    <n v="2163.7055999999998"/>
    <x v="1400"/>
    <s v="Silver"/>
    <n v="34"/>
    <x v="1"/>
    <s v="Home"/>
  </r>
  <r>
    <s v="SALE1401"/>
    <d v="2024-12-27T00:00:00"/>
    <x v="129"/>
    <x v="10"/>
    <x v="11"/>
    <n v="1"/>
    <n v="1"/>
    <n v="882.73"/>
    <n v="882.73"/>
    <n v="0.1"/>
    <n v="0.1"/>
    <x v="0"/>
    <n v="794.45699999999999"/>
    <x v="1401"/>
    <s v="Gold"/>
    <n v="56"/>
    <x v="1"/>
    <s v="Sports"/>
  </r>
  <r>
    <s v="SALE1402"/>
    <d v="2024-03-27T00:00:00"/>
    <x v="88"/>
    <x v="52"/>
    <x v="12"/>
    <n v="2"/>
    <n v="2"/>
    <n v="600.03"/>
    <n v="600.03"/>
    <n v="0.26"/>
    <n v="0.26"/>
    <x v="1"/>
    <n v="888.0444"/>
    <x v="1402"/>
    <s v="Bronze"/>
    <n v="60"/>
    <x v="0"/>
    <s v="Clothing"/>
  </r>
  <r>
    <s v="SALE1403"/>
    <d v="2024-12-12T00:00:00"/>
    <x v="332"/>
    <x v="59"/>
    <x v="3"/>
    <n v="2"/>
    <n v="2"/>
    <n v="628.83000000000004"/>
    <n v="628.83000000000004"/>
    <n v="7.0000000000000007E-2"/>
    <n v="7.0000000000000007E-2"/>
    <x v="1"/>
    <n v="1169.6238000000001"/>
    <x v="1403"/>
    <s v="Platinum"/>
    <n v="59"/>
    <x v="0"/>
    <s v="Sports"/>
  </r>
  <r>
    <s v="SALE1404"/>
    <d v="2023-12-17T00:00:00"/>
    <x v="143"/>
    <x v="82"/>
    <x v="11"/>
    <n v="3"/>
    <n v="3"/>
    <n v="113.87"/>
    <n v="113.87"/>
    <n v="0.21"/>
    <n v="0.21"/>
    <x v="2"/>
    <n v="269.87189999999998"/>
    <x v="1404"/>
    <s v="Platinum"/>
    <n v="56"/>
    <x v="0"/>
    <s v="Sports"/>
  </r>
  <r>
    <s v="SALE1405"/>
    <d v="2024-02-29T00:00:00"/>
    <x v="306"/>
    <x v="18"/>
    <x v="4"/>
    <n v="4"/>
    <n v="4"/>
    <n v="282.07"/>
    <n v="282.07"/>
    <n v="0.18"/>
    <n v="0.18"/>
    <x v="1"/>
    <n v="925.18960000000004"/>
    <x v="1405"/>
    <s v="Silver"/>
    <n v="60"/>
    <x v="1"/>
    <s v="Sports"/>
  </r>
  <r>
    <s v="SALE1406"/>
    <d v="2023-12-30T00:00:00"/>
    <x v="308"/>
    <x v="59"/>
    <x v="16"/>
    <n v="3"/>
    <n v="3"/>
    <n v="676.77"/>
    <n v="676.77"/>
    <n v="0.17"/>
    <n v="0.17"/>
    <x v="1"/>
    <n v="1685.1573000000001"/>
    <x v="1406"/>
    <s v="Bronze"/>
    <n v="46"/>
    <x v="0"/>
    <s v="Sports"/>
  </r>
  <r>
    <s v="SALE1407"/>
    <d v="2024-12-12T00:00:00"/>
    <x v="233"/>
    <x v="84"/>
    <x v="9"/>
    <n v="2"/>
    <n v="2"/>
    <n v="362.7"/>
    <n v="362.7"/>
    <n v="0.09"/>
    <n v="0.09"/>
    <x v="0"/>
    <n v="660.11400000000003"/>
    <x v="1407"/>
    <s v="Bronze"/>
    <n v="50"/>
    <x v="1"/>
    <s v="Home"/>
  </r>
  <r>
    <s v="SALE1408"/>
    <d v="2025-01-22T00:00:00"/>
    <x v="163"/>
    <x v="26"/>
    <x v="17"/>
    <n v="1"/>
    <n v="1"/>
    <n v="908.5"/>
    <n v="908.5"/>
    <n v="0.2"/>
    <n v="0.2"/>
    <x v="2"/>
    <n v="726.80000000000007"/>
    <x v="1408"/>
    <s v="Platinum"/>
    <n v="33"/>
    <x v="1"/>
    <s v="Electronics"/>
  </r>
  <r>
    <s v="SALE1409"/>
    <d v="2024-01-05T00:00:00"/>
    <x v="101"/>
    <x v="60"/>
    <x v="10"/>
    <n v="2"/>
    <n v="2"/>
    <n v="795.37"/>
    <n v="795.37"/>
    <n v="0.2"/>
    <n v="0.2"/>
    <x v="2"/>
    <n v="1272.5920000000001"/>
    <x v="1409"/>
    <s v="Silver"/>
    <n v="58"/>
    <x v="0"/>
    <s v="Clothing"/>
  </r>
  <r>
    <s v="SALE1410"/>
    <d v="2025-04-13T00:00:00"/>
    <x v="20"/>
    <x v="68"/>
    <x v="5"/>
    <n v="2"/>
    <n v="2"/>
    <n v="326.85000000000002"/>
    <n v="326.85000000000002"/>
    <n v="0.17"/>
    <n v="0.17"/>
    <x v="2"/>
    <n v="542.57100000000003"/>
    <x v="1410"/>
    <s v="Bronze"/>
    <n v="62"/>
    <x v="1"/>
    <s v="Home"/>
  </r>
  <r>
    <s v="SALE1411"/>
    <d v="2024-11-07T00:00:00"/>
    <x v="401"/>
    <x v="6"/>
    <x v="7"/>
    <n v="3"/>
    <n v="3"/>
    <n v="169.43"/>
    <n v="169.43"/>
    <n v="0.19"/>
    <n v="0.19"/>
    <x v="0"/>
    <n v="411.71490000000011"/>
    <x v="1411"/>
    <s v="Silver"/>
    <n v="26"/>
    <x v="0"/>
    <s v="Home"/>
  </r>
  <r>
    <s v="SALE1412"/>
    <d v="2024-05-01T00:00:00"/>
    <x v="300"/>
    <x v="50"/>
    <x v="16"/>
    <n v="1"/>
    <n v="1"/>
    <n v="254.47"/>
    <n v="254.47"/>
    <n v="0.1"/>
    <n v="0.1"/>
    <x v="0"/>
    <n v="229.023"/>
    <x v="1412"/>
    <s v="Bronze"/>
    <n v="21"/>
    <x v="0"/>
    <s v="Beauty"/>
  </r>
  <r>
    <s v="SALE1413"/>
    <d v="2024-08-02T00:00:00"/>
    <x v="306"/>
    <x v="60"/>
    <x v="9"/>
    <n v="4"/>
    <n v="4"/>
    <n v="627.73"/>
    <n v="627.73"/>
    <n v="0.11"/>
    <n v="0.11"/>
    <x v="2"/>
    <n v="2234.7188000000001"/>
    <x v="1413"/>
    <s v="Silver"/>
    <n v="60"/>
    <x v="1"/>
    <s v="Clothing"/>
  </r>
  <r>
    <s v="SALE1414"/>
    <d v="2024-04-12T00:00:00"/>
    <x v="171"/>
    <x v="45"/>
    <x v="12"/>
    <n v="4"/>
    <n v="4"/>
    <n v="327.25"/>
    <n v="327.25"/>
    <n v="0.13"/>
    <n v="0.13"/>
    <x v="2"/>
    <n v="1138.83"/>
    <x v="1414"/>
    <s v="Platinum"/>
    <n v="21"/>
    <x v="1"/>
    <s v="Sports"/>
  </r>
  <r>
    <s v="SALE1415"/>
    <d v="2025-04-08T00:00:00"/>
    <x v="281"/>
    <x v="4"/>
    <x v="19"/>
    <n v="4"/>
    <n v="4"/>
    <n v="511.43"/>
    <n v="511.43"/>
    <n v="0.18"/>
    <n v="0.18"/>
    <x v="2"/>
    <n v="1677.4903999999999"/>
    <x v="1415"/>
    <s v="Platinum"/>
    <n v="46"/>
    <x v="0"/>
    <s v="Beauty"/>
  </r>
  <r>
    <s v="SALE1416"/>
    <d v="2024-06-30T00:00:00"/>
    <x v="255"/>
    <x v="81"/>
    <x v="1"/>
    <n v="4"/>
    <n v="4"/>
    <n v="194.67"/>
    <n v="194.67"/>
    <n v="0.23"/>
    <n v="0.23"/>
    <x v="1"/>
    <n v="599.58359999999993"/>
    <x v="1416"/>
    <s v="Platinum"/>
    <n v="47"/>
    <x v="1"/>
    <s v="Beauty"/>
  </r>
  <r>
    <s v="SALE1417"/>
    <d v="2024-01-13T00:00:00"/>
    <x v="358"/>
    <x v="34"/>
    <x v="8"/>
    <n v="2"/>
    <n v="2"/>
    <n v="54.51"/>
    <n v="54.51"/>
    <n v="7.0000000000000007E-2"/>
    <n v="7.0000000000000007E-2"/>
    <x v="0"/>
    <n v="101.3886"/>
    <x v="1417"/>
    <s v="Platinum"/>
    <n v="53"/>
    <x v="0"/>
    <s v="Clothing"/>
  </r>
  <r>
    <s v="SALE1418"/>
    <d v="2024-09-22T00:00:00"/>
    <x v="136"/>
    <x v="85"/>
    <x v="19"/>
    <n v="4"/>
    <n v="4"/>
    <n v="964"/>
    <n v="964"/>
    <n v="0.14000000000000001"/>
    <n v="0.14000000000000001"/>
    <x v="1"/>
    <n v="3316.16"/>
    <x v="1418"/>
    <s v="Gold"/>
    <n v="37"/>
    <x v="0"/>
    <s v="Electronics"/>
  </r>
  <r>
    <s v="SALE1419"/>
    <d v="2024-08-23T00:00:00"/>
    <x v="345"/>
    <x v="41"/>
    <x v="5"/>
    <n v="1"/>
    <n v="1"/>
    <n v="170.12"/>
    <n v="170.12"/>
    <n v="0.26"/>
    <n v="0.26"/>
    <x v="1"/>
    <n v="125.8888"/>
    <x v="1419"/>
    <s v="Gold"/>
    <n v="50"/>
    <x v="0"/>
    <s v="Beauty"/>
  </r>
  <r>
    <s v="SALE1420"/>
    <d v="2025-08-06T00:00:00"/>
    <x v="7"/>
    <x v="27"/>
    <x v="12"/>
    <n v="2"/>
    <n v="2"/>
    <n v="664.5"/>
    <n v="664.5"/>
    <n v="0.23"/>
    <n v="0.23"/>
    <x v="0"/>
    <n v="1023.33"/>
    <x v="1420"/>
    <s v="Platinum"/>
    <n v="41"/>
    <x v="1"/>
    <s v="Clothing"/>
  </r>
  <r>
    <s v="SALE1421"/>
    <d v="2025-10-06T00:00:00"/>
    <x v="171"/>
    <x v="49"/>
    <x v="15"/>
    <n v="4"/>
    <n v="4"/>
    <n v="557.51"/>
    <n v="557.51"/>
    <n v="0.11"/>
    <n v="0.11"/>
    <x v="0"/>
    <n v="1984.7356"/>
    <x v="1421"/>
    <s v="Platinum"/>
    <n v="21"/>
    <x v="1"/>
    <s v="Sports"/>
  </r>
  <r>
    <s v="SALE1422"/>
    <d v="2025-05-30T00:00:00"/>
    <x v="108"/>
    <x v="64"/>
    <x v="8"/>
    <n v="2"/>
    <n v="2"/>
    <n v="410"/>
    <n v="410"/>
    <n v="0.13"/>
    <n v="0.13"/>
    <x v="2"/>
    <n v="713.4"/>
    <x v="1422"/>
    <s v="Platinum"/>
    <n v="62"/>
    <x v="1"/>
    <s v="Electronics"/>
  </r>
  <r>
    <s v="SALE1423"/>
    <d v="2024-06-30T00:00:00"/>
    <x v="408"/>
    <x v="50"/>
    <x v="3"/>
    <n v="2"/>
    <n v="2"/>
    <n v="879.93"/>
    <n v="879.93"/>
    <n v="0.28999999999999998"/>
    <n v="0.28999999999999998"/>
    <x v="2"/>
    <n v="1249.5006000000001"/>
    <x v="1423"/>
    <s v="Platinum"/>
    <n v="44"/>
    <x v="0"/>
    <s v="Beauty"/>
  </r>
  <r>
    <s v="SALE1424"/>
    <d v="2025-01-07T00:00:00"/>
    <x v="69"/>
    <x v="26"/>
    <x v="14"/>
    <n v="1"/>
    <n v="1"/>
    <n v="350.58"/>
    <n v="350.58"/>
    <n v="0.03"/>
    <n v="0.03"/>
    <x v="2"/>
    <n v="340.06259999999997"/>
    <x v="1424"/>
    <s v="Bronze"/>
    <n v="29"/>
    <x v="1"/>
    <s v="Electronics"/>
  </r>
  <r>
    <s v="SALE1425"/>
    <d v="2024-12-07T00:00:00"/>
    <x v="401"/>
    <x v="87"/>
    <x v="0"/>
    <n v="4"/>
    <n v="4"/>
    <n v="348.58"/>
    <n v="348.58"/>
    <n v="0.16"/>
    <n v="0.16"/>
    <x v="0"/>
    <n v="1171.2288000000001"/>
    <x v="1425"/>
    <s v="Silver"/>
    <n v="26"/>
    <x v="0"/>
    <s v="Clothing"/>
  </r>
  <r>
    <s v="SALE1426"/>
    <d v="2024-09-13T00:00:00"/>
    <x v="124"/>
    <x v="60"/>
    <x v="0"/>
    <n v="3"/>
    <n v="3"/>
    <n v="247.66"/>
    <n v="247.66"/>
    <n v="0.02"/>
    <n v="0.02"/>
    <x v="2"/>
    <n v="728.12040000000002"/>
    <x v="1426"/>
    <s v="Gold"/>
    <n v="29"/>
    <x v="1"/>
    <s v="Clothing"/>
  </r>
  <r>
    <s v="SALE1427"/>
    <d v="2023-11-14T00:00:00"/>
    <x v="327"/>
    <x v="11"/>
    <x v="10"/>
    <n v="3"/>
    <n v="3"/>
    <n v="836.27"/>
    <n v="836.27"/>
    <n v="0.16"/>
    <n v="0.16"/>
    <x v="0"/>
    <n v="2107.4004"/>
    <x v="1427"/>
    <s v="Platinum"/>
    <n v="53"/>
    <x v="0"/>
    <s v="Electronics"/>
  </r>
  <r>
    <s v="SALE1428"/>
    <d v="2025-04-06T00:00:00"/>
    <x v="420"/>
    <x v="66"/>
    <x v="15"/>
    <n v="3"/>
    <n v="3"/>
    <n v="696.74"/>
    <n v="696.74"/>
    <n v="0.13"/>
    <n v="0.13"/>
    <x v="2"/>
    <n v="1818.4914000000001"/>
    <x v="1428"/>
    <s v="Silver"/>
    <n v="60"/>
    <x v="0"/>
    <s v="Home"/>
  </r>
  <r>
    <s v="SALE1429"/>
    <d v="2025-05-27T00:00:00"/>
    <x v="427"/>
    <x v="32"/>
    <x v="13"/>
    <n v="2"/>
    <n v="2"/>
    <n v="822.59"/>
    <n v="822.59"/>
    <n v="0.22"/>
    <n v="0.22"/>
    <x v="1"/>
    <n v="1283.2403999999999"/>
    <x v="1429"/>
    <s v="Platinum"/>
    <n v="57"/>
    <x v="1"/>
    <s v="Beauty"/>
  </r>
  <r>
    <s v="SALE1430"/>
    <d v="2023-12-03T00:00:00"/>
    <x v="248"/>
    <x v="29"/>
    <x v="17"/>
    <n v="1"/>
    <n v="1"/>
    <n v="462.23"/>
    <n v="462.23"/>
    <n v="0.3"/>
    <n v="0.3"/>
    <x v="1"/>
    <n v="323.56099999999998"/>
    <x v="1430"/>
    <s v="Platinum"/>
    <n v="35"/>
    <x v="0"/>
    <s v="Home"/>
  </r>
  <r>
    <s v="SALE1431"/>
    <d v="2025-09-06T00:00:00"/>
    <x v="467"/>
    <x v="63"/>
    <x v="1"/>
    <n v="1"/>
    <n v="1"/>
    <n v="361.09"/>
    <n v="361.09"/>
    <n v="0.06"/>
    <n v="0.06"/>
    <x v="1"/>
    <n v="339.42459999999988"/>
    <x v="1431"/>
    <s v="Gold"/>
    <n v="45"/>
    <x v="0"/>
    <s v="Electronics"/>
  </r>
  <r>
    <s v="SALE1432"/>
    <d v="2023-11-13T00:00:00"/>
    <x v="280"/>
    <x v="78"/>
    <x v="12"/>
    <n v="3"/>
    <n v="3"/>
    <n v="59.37"/>
    <n v="59.37"/>
    <n v="0.03"/>
    <n v="0.03"/>
    <x v="1"/>
    <n v="172.76669999999999"/>
    <x v="1432"/>
    <s v="Silver"/>
    <n v="27"/>
    <x v="1"/>
    <s v="Sports"/>
  </r>
  <r>
    <s v="SALE1433"/>
    <d v="2025-01-29T00:00:00"/>
    <x v="357"/>
    <x v="43"/>
    <x v="8"/>
    <n v="3"/>
    <n v="3"/>
    <n v="765.21"/>
    <n v="765.21"/>
    <n v="0.14000000000000001"/>
    <n v="0.14000000000000001"/>
    <x v="2"/>
    <n v="1974.2418"/>
    <x v="1433"/>
    <s v="Gold"/>
    <n v="20"/>
    <x v="1"/>
    <s v="Electronics"/>
  </r>
  <r>
    <s v="SALE1434"/>
    <d v="2024-06-29T00:00:00"/>
    <x v="129"/>
    <x v="79"/>
    <x v="18"/>
    <n v="4"/>
    <n v="4"/>
    <n v="303.56"/>
    <n v="303.56"/>
    <n v="0.2"/>
    <n v="0.2"/>
    <x v="2"/>
    <n v="971.39200000000005"/>
    <x v="1434"/>
    <s v="Gold"/>
    <n v="56"/>
    <x v="1"/>
    <s v="Beauty"/>
  </r>
  <r>
    <s v="SALE1435"/>
    <d v="2025-05-02T00:00:00"/>
    <x v="13"/>
    <x v="16"/>
    <x v="6"/>
    <n v="1"/>
    <n v="1"/>
    <n v="640.92999999999995"/>
    <n v="640.92999999999995"/>
    <n v="0.19"/>
    <n v="0.19"/>
    <x v="1"/>
    <n v="519.15329999999994"/>
    <x v="1435"/>
    <s v="Silver"/>
    <n v="51"/>
    <x v="0"/>
    <s v="Home"/>
  </r>
  <r>
    <s v="SALE1436"/>
    <d v="2025-06-22T00:00:00"/>
    <x v="468"/>
    <x v="56"/>
    <x v="15"/>
    <n v="2"/>
    <n v="2"/>
    <n v="611.25"/>
    <n v="611.25"/>
    <n v="0.22"/>
    <n v="0.22"/>
    <x v="0"/>
    <n v="953.55000000000007"/>
    <x v="1436"/>
    <s v="Gold"/>
    <n v="26"/>
    <x v="1"/>
    <s v="Home"/>
  </r>
  <r>
    <s v="SALE1437"/>
    <d v="2025-04-09T00:00:00"/>
    <x v="343"/>
    <x v="73"/>
    <x v="8"/>
    <n v="1"/>
    <n v="1"/>
    <n v="209.93"/>
    <n v="209.93"/>
    <n v="0.21"/>
    <n v="0.21"/>
    <x v="0"/>
    <n v="165.84469999999999"/>
    <x v="1437"/>
    <s v="Silver"/>
    <n v="60"/>
    <x v="1"/>
    <s v="Beauty"/>
  </r>
  <r>
    <s v="SALE1438"/>
    <d v="2025-07-09T00:00:00"/>
    <x v="407"/>
    <x v="8"/>
    <x v="15"/>
    <n v="3"/>
    <n v="3"/>
    <n v="130.38999999999999"/>
    <n v="130.38999999999999"/>
    <n v="0.24"/>
    <n v="0.24"/>
    <x v="1"/>
    <n v="297.28919999999999"/>
    <x v="1438"/>
    <s v="Gold"/>
    <n v="40"/>
    <x v="1"/>
    <s v="Home"/>
  </r>
  <r>
    <s v="SALE1439"/>
    <d v="2024-01-31T00:00:00"/>
    <x v="469"/>
    <x v="47"/>
    <x v="4"/>
    <n v="2"/>
    <n v="2"/>
    <n v="846.18"/>
    <n v="846.18"/>
    <n v="0.1"/>
    <n v="0.1"/>
    <x v="2"/>
    <n v="1523.124"/>
    <x v="1439"/>
    <s v="Bronze"/>
    <n v="40"/>
    <x v="1"/>
    <s v="Electronics"/>
  </r>
  <r>
    <s v="SALE1440"/>
    <d v="2025-06-21T00:00:00"/>
    <x v="368"/>
    <x v="7"/>
    <x v="7"/>
    <n v="2"/>
    <n v="2"/>
    <n v="424.53"/>
    <n v="424.53"/>
    <n v="0.14000000000000001"/>
    <n v="0.14000000000000001"/>
    <x v="2"/>
    <n v="730.19159999999999"/>
    <x v="1440"/>
    <s v="Silver"/>
    <n v="38"/>
    <x v="0"/>
    <s v="Home"/>
  </r>
  <r>
    <s v="SALE1441"/>
    <d v="2024-09-04T00:00:00"/>
    <x v="470"/>
    <x v="12"/>
    <x v="7"/>
    <n v="4"/>
    <n v="4"/>
    <n v="450.42"/>
    <n v="450.42"/>
    <n v="0.08"/>
    <n v="0.08"/>
    <x v="2"/>
    <n v="1657.5455999999999"/>
    <x v="1441"/>
    <s v="Platinum"/>
    <n v="24"/>
    <x v="1"/>
    <s v="Sports"/>
  </r>
  <r>
    <s v="SALE1442"/>
    <d v="2025-08-24T00:00:00"/>
    <x v="308"/>
    <x v="33"/>
    <x v="11"/>
    <n v="4"/>
    <n v="4"/>
    <n v="896.91"/>
    <n v="896.91"/>
    <n v="0.1"/>
    <n v="0.1"/>
    <x v="0"/>
    <n v="3228.8760000000002"/>
    <x v="1442"/>
    <s v="Bronze"/>
    <n v="46"/>
    <x v="0"/>
    <s v="Electronics"/>
  </r>
  <r>
    <s v="SALE1443"/>
    <d v="2025-06-06T00:00:00"/>
    <x v="144"/>
    <x v="0"/>
    <x v="15"/>
    <n v="3"/>
    <n v="3"/>
    <n v="679.38"/>
    <n v="679.38"/>
    <n v="0.3"/>
    <n v="0.3"/>
    <x v="2"/>
    <n v="1426.6980000000001"/>
    <x v="1443"/>
    <s v="Bronze"/>
    <n v="46"/>
    <x v="1"/>
    <s v="Sports"/>
  </r>
  <r>
    <s v="SALE1444"/>
    <d v="2024-10-06T00:00:00"/>
    <x v="6"/>
    <x v="61"/>
    <x v="9"/>
    <n v="3"/>
    <n v="3"/>
    <n v="483.63"/>
    <n v="483.63"/>
    <n v="0"/>
    <n v="0"/>
    <x v="0"/>
    <n v="1450.89"/>
    <x v="1444"/>
    <s v="Bronze"/>
    <n v="24"/>
    <x v="1"/>
    <s v="Home"/>
  </r>
  <r>
    <s v="SALE1445"/>
    <d v="2024-09-07T00:00:00"/>
    <x v="454"/>
    <x v="11"/>
    <x v="6"/>
    <n v="3"/>
    <n v="3"/>
    <n v="158.27000000000001"/>
    <n v="158.27000000000001"/>
    <n v="0.24"/>
    <n v="0.24"/>
    <x v="2"/>
    <n v="360.85559999999998"/>
    <x v="1445"/>
    <s v="Bronze"/>
    <n v="64"/>
    <x v="1"/>
    <s v="Electronics"/>
  </r>
  <r>
    <s v="SALE1446"/>
    <d v="2025-04-11T00:00:00"/>
    <x v="71"/>
    <x v="95"/>
    <x v="10"/>
    <n v="4"/>
    <n v="4"/>
    <n v="601.5"/>
    <n v="601.5"/>
    <n v="0.18"/>
    <n v="0.18"/>
    <x v="0"/>
    <n v="1972.92"/>
    <x v="1446"/>
    <s v="Platinum"/>
    <n v="53"/>
    <x v="1"/>
    <s v="Clothing"/>
  </r>
  <r>
    <s v="SALE1447"/>
    <d v="2025-02-21T00:00:00"/>
    <x v="182"/>
    <x v="45"/>
    <x v="14"/>
    <n v="2"/>
    <n v="2"/>
    <n v="46.39"/>
    <n v="46.39"/>
    <n v="7.0000000000000007E-2"/>
    <n v="7.0000000000000007E-2"/>
    <x v="0"/>
    <n v="86.285399999999996"/>
    <x v="1447"/>
    <s v="Platinum"/>
    <n v="24"/>
    <x v="1"/>
    <s v="Sports"/>
  </r>
  <r>
    <s v="SALE1448"/>
    <d v="2024-10-22T00:00:00"/>
    <x v="97"/>
    <x v="74"/>
    <x v="2"/>
    <n v="4"/>
    <n v="4"/>
    <n v="892.28"/>
    <n v="892.28"/>
    <n v="0.23"/>
    <n v="0.23"/>
    <x v="0"/>
    <n v="2748.2224000000001"/>
    <x v="1448"/>
    <s v="Bronze"/>
    <n v="40"/>
    <x v="0"/>
    <s v="Sports"/>
  </r>
  <r>
    <s v="SALE1449"/>
    <d v="2024-07-21T00:00:00"/>
    <x v="70"/>
    <x v="31"/>
    <x v="4"/>
    <n v="2"/>
    <n v="2"/>
    <n v="164.23"/>
    <n v="164.23"/>
    <n v="0.17"/>
    <n v="0.17"/>
    <x v="0"/>
    <n v="272.62180000000001"/>
    <x v="1449"/>
    <s v="Platinum"/>
    <n v="38"/>
    <x v="0"/>
    <s v="Home"/>
  </r>
  <r>
    <s v="SALE1450"/>
    <d v="2024-01-14T00:00:00"/>
    <x v="340"/>
    <x v="93"/>
    <x v="4"/>
    <n v="1"/>
    <n v="1"/>
    <n v="484.23"/>
    <n v="484.23"/>
    <n v="0.12"/>
    <n v="0.12"/>
    <x v="2"/>
    <n v="426.12240000000003"/>
    <x v="1450"/>
    <s v="Bronze"/>
    <n v="60"/>
    <x v="1"/>
    <s v="Sports"/>
  </r>
  <r>
    <s v="SALE1451"/>
    <d v="2024-04-01T00:00:00"/>
    <x v="399"/>
    <x v="68"/>
    <x v="14"/>
    <n v="3"/>
    <n v="3"/>
    <n v="341.51"/>
    <n v="341.51"/>
    <n v="0.22"/>
    <n v="0.22"/>
    <x v="2"/>
    <n v="799.13340000000005"/>
    <x v="1451"/>
    <s v="Bronze"/>
    <n v="24"/>
    <x v="0"/>
    <s v="Home"/>
  </r>
  <r>
    <s v="SALE1452"/>
    <d v="2025-05-11T00:00:00"/>
    <x v="423"/>
    <x v="24"/>
    <x v="13"/>
    <n v="3"/>
    <n v="3"/>
    <n v="758.87"/>
    <n v="758.87"/>
    <n v="0.11"/>
    <n v="0.11"/>
    <x v="1"/>
    <n v="2026.1829"/>
    <x v="1452"/>
    <s v="Silver"/>
    <n v="27"/>
    <x v="0"/>
    <s v="Electronics"/>
  </r>
  <r>
    <s v="SALE1453"/>
    <d v="2025-07-17T00:00:00"/>
    <x v="44"/>
    <x v="6"/>
    <x v="18"/>
    <n v="3"/>
    <n v="3"/>
    <n v="560.52"/>
    <n v="560.52"/>
    <n v="0.17"/>
    <n v="0.17"/>
    <x v="0"/>
    <n v="1395.6948"/>
    <x v="1453"/>
    <s v="Gold"/>
    <n v="21"/>
    <x v="1"/>
    <s v="Home"/>
  </r>
  <r>
    <s v="SALE1454"/>
    <d v="2024-08-29T00:00:00"/>
    <x v="378"/>
    <x v="99"/>
    <x v="1"/>
    <n v="2"/>
    <n v="2"/>
    <n v="977.18"/>
    <n v="977.18"/>
    <n v="0.19"/>
    <n v="0.19"/>
    <x v="0"/>
    <n v="1583.0316"/>
    <x v="1454"/>
    <s v="Bronze"/>
    <n v="25"/>
    <x v="1"/>
    <s v="Clothing"/>
  </r>
  <r>
    <s v="SALE1455"/>
    <d v="2025-04-16T00:00:00"/>
    <x v="471"/>
    <x v="30"/>
    <x v="7"/>
    <n v="4"/>
    <n v="4"/>
    <n v="761.35"/>
    <n v="761.35"/>
    <n v="0.08"/>
    <n v="0.08"/>
    <x v="0"/>
    <n v="2801.768"/>
    <x v="1455"/>
    <s v="Bronze"/>
    <n v="42"/>
    <x v="1"/>
    <s v="OTHERS"/>
  </r>
  <r>
    <s v="SALE1456"/>
    <d v="2025-08-31T00:00:00"/>
    <x v="449"/>
    <x v="22"/>
    <x v="14"/>
    <n v="2"/>
    <n v="2"/>
    <n v="947.56"/>
    <n v="947.56"/>
    <n v="0.02"/>
    <n v="0.02"/>
    <x v="2"/>
    <n v="1857.2175999999999"/>
    <x v="1456"/>
    <s v="Silver"/>
    <n v="43"/>
    <x v="1"/>
    <s v="Electronics"/>
  </r>
  <r>
    <s v="SALE1457"/>
    <d v="2025-10-13T00:00:00"/>
    <x v="472"/>
    <x v="19"/>
    <x v="14"/>
    <n v="4"/>
    <n v="4"/>
    <n v="975.47"/>
    <n v="975.47"/>
    <n v="0.04"/>
    <n v="0.04"/>
    <x v="0"/>
    <n v="3745.8047999999999"/>
    <x v="1457"/>
    <s v="Platinum"/>
    <n v="40"/>
    <x v="0"/>
    <s v="Electronics"/>
  </r>
  <r>
    <s v="SALE1458"/>
    <d v="2024-06-05T00:00:00"/>
    <x v="292"/>
    <x v="26"/>
    <x v="11"/>
    <n v="3"/>
    <n v="3"/>
    <n v="769.06"/>
    <n v="769.06"/>
    <n v="0.23"/>
    <n v="0.23"/>
    <x v="2"/>
    <n v="1776.5286000000001"/>
    <x v="1458"/>
    <s v="Platinum"/>
    <n v="41"/>
    <x v="1"/>
    <s v="Electronics"/>
  </r>
  <r>
    <s v="SALE1459"/>
    <d v="2025-09-29T00:00:00"/>
    <x v="371"/>
    <x v="11"/>
    <x v="17"/>
    <n v="3"/>
    <n v="3"/>
    <n v="824.75"/>
    <n v="824.75"/>
    <n v="0.23"/>
    <n v="0.23"/>
    <x v="0"/>
    <n v="1905.1724999999999"/>
    <x v="1459"/>
    <s v="Not Found"/>
    <s v="Not Found"/>
    <x v="2"/>
    <s v="Electronics"/>
  </r>
  <r>
    <s v="SALE1460"/>
    <d v="2024-07-05T00:00:00"/>
    <x v="123"/>
    <x v="88"/>
    <x v="5"/>
    <n v="2"/>
    <n v="2"/>
    <n v="821.35"/>
    <n v="821.35"/>
    <n v="0.11"/>
    <n v="0.11"/>
    <x v="1"/>
    <n v="1462.0029999999999"/>
    <x v="1460"/>
    <s v="Platinum"/>
    <n v="51"/>
    <x v="1"/>
    <s v="Home"/>
  </r>
  <r>
    <s v="SALE1461"/>
    <d v="2025-03-07T00:00:00"/>
    <x v="131"/>
    <x v="26"/>
    <x v="15"/>
    <n v="1"/>
    <n v="1"/>
    <n v="120.57"/>
    <n v="120.57"/>
    <n v="0.06"/>
    <n v="0.06"/>
    <x v="1"/>
    <n v="113.33580000000001"/>
    <x v="1461"/>
    <s v="Gold"/>
    <n v="18"/>
    <x v="1"/>
    <s v="Electronics"/>
  </r>
  <r>
    <s v="SALE1462"/>
    <d v="2023-11-10T00:00:00"/>
    <x v="41"/>
    <x v="41"/>
    <x v="8"/>
    <n v="1"/>
    <n v="1"/>
    <n v="122.27"/>
    <n v="122.27"/>
    <n v="0.26"/>
    <n v="0.26"/>
    <x v="1"/>
    <n v="90.479799999999997"/>
    <x v="1462"/>
    <s v="Platinum"/>
    <n v="37"/>
    <x v="0"/>
    <s v="Beauty"/>
  </r>
  <r>
    <s v="SALE1463"/>
    <d v="2025-08-21T00:00:00"/>
    <x v="166"/>
    <x v="33"/>
    <x v="17"/>
    <n v="2"/>
    <n v="2"/>
    <n v="182.89"/>
    <n v="182.89"/>
    <n v="0.11"/>
    <n v="0.11"/>
    <x v="0"/>
    <n v="325.54419999999999"/>
    <x v="1463"/>
    <s v="Gold"/>
    <n v="18"/>
    <x v="0"/>
    <s v="Electronics"/>
  </r>
  <r>
    <s v="SALE1464"/>
    <d v="2025-05-19T00:00:00"/>
    <x v="171"/>
    <x v="54"/>
    <x v="5"/>
    <n v="1"/>
    <n v="1"/>
    <n v="695.26"/>
    <n v="695.26"/>
    <n v="0.23"/>
    <n v="0.23"/>
    <x v="1"/>
    <n v="535.35019999999997"/>
    <x v="1464"/>
    <s v="Platinum"/>
    <n v="21"/>
    <x v="1"/>
    <s v="Clothing"/>
  </r>
  <r>
    <s v="SALE1465"/>
    <d v="2025-08-26T00:00:00"/>
    <x v="250"/>
    <x v="35"/>
    <x v="16"/>
    <n v="2"/>
    <n v="2"/>
    <n v="408.8"/>
    <n v="408.8"/>
    <n v="0.17"/>
    <n v="0.17"/>
    <x v="2"/>
    <n v="678.60799999999995"/>
    <x v="1465"/>
    <s v="UNKNOWN"/>
    <n v="31"/>
    <x v="0"/>
    <s v="Home"/>
  </r>
  <r>
    <s v="SALE1466"/>
    <d v="2025-01-19T00:00:00"/>
    <x v="473"/>
    <x v="2"/>
    <x v="2"/>
    <n v="3"/>
    <n v="3"/>
    <n v="512.15"/>
    <n v="512.15"/>
    <n v="0.12"/>
    <n v="0.12"/>
    <x v="0"/>
    <n v="1352.076"/>
    <x v="1466"/>
    <s v="Gold"/>
    <n v="54"/>
    <x v="0"/>
    <s v="Beauty"/>
  </r>
  <r>
    <s v="SALE1467"/>
    <d v="2024-10-03T00:00:00"/>
    <x v="0"/>
    <x v="93"/>
    <x v="2"/>
    <n v="3"/>
    <n v="3"/>
    <n v="136.4"/>
    <n v="136.4"/>
    <n v="0.15"/>
    <n v="0.15"/>
    <x v="1"/>
    <n v="347.82000000000011"/>
    <x v="1467"/>
    <s v="Gold"/>
    <n v="55"/>
    <x v="0"/>
    <s v="Sports"/>
  </r>
  <r>
    <s v="SALE1468"/>
    <d v="2023-12-12T00:00:00"/>
    <x v="143"/>
    <x v="96"/>
    <x v="0"/>
    <n v="2"/>
    <n v="2"/>
    <n v="42.51"/>
    <n v="42.51"/>
    <n v="0.04"/>
    <n v="0.04"/>
    <x v="2"/>
    <n v="81.619199999999992"/>
    <x v="1468"/>
    <s v="Platinum"/>
    <n v="56"/>
    <x v="0"/>
    <s v="Beauty"/>
  </r>
  <r>
    <s v="SALE1469"/>
    <d v="2025-03-02T00:00:00"/>
    <x v="448"/>
    <x v="28"/>
    <x v="4"/>
    <n v="3"/>
    <n v="3"/>
    <n v="582.1"/>
    <n v="582.1"/>
    <n v="0.12"/>
    <n v="0.12"/>
    <x v="1"/>
    <n v="1536.7439999999999"/>
    <x v="1469"/>
    <s v="Silver"/>
    <n v="32"/>
    <x v="0"/>
    <s v="Clothing"/>
  </r>
  <r>
    <s v="SALE1470"/>
    <d v="2024-03-05T00:00:00"/>
    <x v="209"/>
    <x v="74"/>
    <x v="1"/>
    <n v="4"/>
    <n v="4"/>
    <n v="461.52"/>
    <n v="461.52"/>
    <n v="0"/>
    <n v="0"/>
    <x v="2"/>
    <n v="1846.08"/>
    <x v="1470"/>
    <s v="Gold"/>
    <n v="47"/>
    <x v="1"/>
    <s v="Sports"/>
  </r>
  <r>
    <s v="SALE1471"/>
    <d v="2024-09-17T00:00:00"/>
    <x v="111"/>
    <x v="30"/>
    <x v="19"/>
    <n v="1"/>
    <n v="1"/>
    <n v="558.41999999999996"/>
    <n v="558.41999999999996"/>
    <n v="0.03"/>
    <n v="0.03"/>
    <x v="0"/>
    <n v="541.66739999999993"/>
    <x v="1471"/>
    <s v="Bronze"/>
    <n v="56"/>
    <x v="0"/>
    <s v="OTHERS"/>
  </r>
  <r>
    <s v="SALE1472"/>
    <d v="2023-12-28T00:00:00"/>
    <x v="221"/>
    <x v="21"/>
    <x v="14"/>
    <n v="4"/>
    <n v="4"/>
    <n v="700.98"/>
    <n v="700.98"/>
    <n v="0.12"/>
    <n v="0.12"/>
    <x v="1"/>
    <n v="2467.4495999999999"/>
    <x v="1472"/>
    <s v="Bronze"/>
    <n v="50"/>
    <x v="0"/>
    <s v="Beauty"/>
  </r>
  <r>
    <s v="SALE1473"/>
    <d v="2024-11-09T00:00:00"/>
    <x v="131"/>
    <x v="65"/>
    <x v="14"/>
    <n v="2"/>
    <n v="2"/>
    <n v="227.97"/>
    <n v="227.97"/>
    <n v="0.08"/>
    <n v="0.08"/>
    <x v="2"/>
    <n v="419.46480000000003"/>
    <x v="1473"/>
    <s v="Gold"/>
    <n v="18"/>
    <x v="1"/>
    <s v="Clothing"/>
  </r>
  <r>
    <s v="SALE1474"/>
    <d v="2024-08-12T00:00:00"/>
    <x v="403"/>
    <x v="11"/>
    <x v="19"/>
    <n v="4"/>
    <n v="4"/>
    <n v="278.70999999999998"/>
    <n v="278.70999999999998"/>
    <n v="0.2"/>
    <n v="0.2"/>
    <x v="1"/>
    <n v="891.87199999999996"/>
    <x v="1474"/>
    <s v="Platinum"/>
    <n v="32"/>
    <x v="1"/>
    <s v="Electronics"/>
  </r>
  <r>
    <s v="SALE1475"/>
    <d v="2024-03-28T00:00:00"/>
    <x v="415"/>
    <x v="8"/>
    <x v="2"/>
    <n v="2"/>
    <n v="2"/>
    <n v="916.12"/>
    <n v="916.12"/>
    <n v="0.05"/>
    <n v="0.05"/>
    <x v="1"/>
    <n v="1740.6279999999999"/>
    <x v="1475"/>
    <s v="Silver"/>
    <n v="32"/>
    <x v="1"/>
    <s v="Home"/>
  </r>
  <r>
    <s v="SALE1476"/>
    <d v="2024-10-02T00:00:00"/>
    <x v="244"/>
    <x v="31"/>
    <x v="18"/>
    <n v="4"/>
    <n v="4"/>
    <n v="228.98"/>
    <n v="228.98"/>
    <n v="0.22"/>
    <n v="0.22"/>
    <x v="1"/>
    <n v="714.41759999999999"/>
    <x v="1476"/>
    <s v="Bronze"/>
    <n v="62"/>
    <x v="1"/>
    <s v="Home"/>
  </r>
  <r>
    <s v="SALE1477"/>
    <d v="2024-08-06T00:00:00"/>
    <x v="241"/>
    <x v="41"/>
    <x v="10"/>
    <n v="4"/>
    <n v="4"/>
    <n v="904.82"/>
    <n v="904.82"/>
    <n v="0.09"/>
    <n v="0.09"/>
    <x v="1"/>
    <n v="3293.5448000000001"/>
    <x v="1477"/>
    <s v="Gold"/>
    <n v="43"/>
    <x v="1"/>
    <s v="Beauty"/>
  </r>
  <r>
    <s v="SALE1478"/>
    <d v="2025-05-29T00:00:00"/>
    <x v="150"/>
    <x v="34"/>
    <x v="19"/>
    <n v="1"/>
    <n v="1"/>
    <n v="588.61"/>
    <n v="588.61"/>
    <n v="0.1"/>
    <n v="0.1"/>
    <x v="1"/>
    <n v="529.74900000000002"/>
    <x v="1478"/>
    <s v="Platinum"/>
    <n v="34"/>
    <x v="1"/>
    <s v="Clothing"/>
  </r>
  <r>
    <s v="SALE1479"/>
    <d v="2023-11-10T00:00:00"/>
    <x v="121"/>
    <x v="9"/>
    <x v="0"/>
    <n v="4"/>
    <n v="4"/>
    <n v="695.97"/>
    <n v="695.97"/>
    <n v="0.02"/>
    <n v="0.02"/>
    <x v="0"/>
    <n v="2728.2024000000001"/>
    <x v="1479"/>
    <s v="Gold"/>
    <n v="51"/>
    <x v="0"/>
    <s v="Home"/>
  </r>
  <r>
    <s v="SALE1480"/>
    <d v="2024-01-18T00:00:00"/>
    <x v="443"/>
    <x v="0"/>
    <x v="19"/>
    <n v="2"/>
    <n v="2"/>
    <n v="181.42"/>
    <n v="181.42"/>
    <n v="0.08"/>
    <n v="0.08"/>
    <x v="1"/>
    <n v="333.81279999999998"/>
    <x v="1480"/>
    <s v="Gold"/>
    <n v="50"/>
    <x v="0"/>
    <s v="Sports"/>
  </r>
  <r>
    <s v="SALE1481"/>
    <d v="2024-03-24T00:00:00"/>
    <x v="193"/>
    <x v="0"/>
    <x v="13"/>
    <n v="1"/>
    <n v="1"/>
    <n v="439.55"/>
    <n v="439.55"/>
    <n v="0.28999999999999998"/>
    <n v="0.28999999999999998"/>
    <x v="2"/>
    <n v="312.08049999999997"/>
    <x v="1481"/>
    <s v="Silver"/>
    <n v="52"/>
    <x v="1"/>
    <s v="Sports"/>
  </r>
  <r>
    <s v="SALE1482"/>
    <d v="2025-03-17T00:00:00"/>
    <x v="284"/>
    <x v="76"/>
    <x v="14"/>
    <n v="3"/>
    <n v="3"/>
    <n v="471.27"/>
    <n v="471.27"/>
    <n v="0.27"/>
    <n v="0.27"/>
    <x v="2"/>
    <n v="1032.0813000000001"/>
    <x v="1482"/>
    <s v="Bronze"/>
    <n v="30"/>
    <x v="0"/>
    <s v="Home"/>
  </r>
  <r>
    <s v="SALE1483"/>
    <d v="2024-05-23T00:00:00"/>
    <x v="197"/>
    <x v="4"/>
    <x v="18"/>
    <n v="1"/>
    <n v="1"/>
    <n v="758.89"/>
    <n v="758.89"/>
    <n v="0.1"/>
    <n v="0.1"/>
    <x v="0"/>
    <n v="683.00099999999998"/>
    <x v="1483"/>
    <s v="Bronze"/>
    <n v="34"/>
    <x v="0"/>
    <s v="Beauty"/>
  </r>
  <r>
    <s v="SALE1484"/>
    <d v="2025-07-26T00:00:00"/>
    <x v="144"/>
    <x v="98"/>
    <x v="10"/>
    <n v="4"/>
    <n v="4"/>
    <n v="918.1"/>
    <n v="918.1"/>
    <n v="0.19"/>
    <n v="0.19"/>
    <x v="2"/>
    <n v="2974.6439999999998"/>
    <x v="1484"/>
    <s v="Bronze"/>
    <n v="46"/>
    <x v="1"/>
    <s v="Sports"/>
  </r>
  <r>
    <s v="SALE1485"/>
    <d v="2024-10-04T00:00:00"/>
    <x v="415"/>
    <x v="32"/>
    <x v="19"/>
    <n v="1"/>
    <n v="1"/>
    <n v="861.5"/>
    <n v="861.5"/>
    <n v="0.05"/>
    <n v="0.05"/>
    <x v="2"/>
    <n v="818.42499999999995"/>
    <x v="1485"/>
    <s v="Silver"/>
    <n v="32"/>
    <x v="1"/>
    <s v="Beauty"/>
  </r>
  <r>
    <s v="SALE1486"/>
    <d v="2025-01-07T00:00:00"/>
    <x v="152"/>
    <x v="62"/>
    <x v="7"/>
    <n v="1"/>
    <n v="1"/>
    <n v="588.29999999999995"/>
    <n v="588.29999999999995"/>
    <n v="0.26"/>
    <n v="0.26"/>
    <x v="2"/>
    <n v="435.34199999999998"/>
    <x v="1486"/>
    <s v="Silver"/>
    <n v="34"/>
    <x v="1"/>
    <s v="Sports"/>
  </r>
  <r>
    <s v="SALE1487"/>
    <d v="2024-12-19T00:00:00"/>
    <x v="152"/>
    <x v="76"/>
    <x v="4"/>
    <n v="1"/>
    <n v="1"/>
    <n v="917.26"/>
    <n v="917.26"/>
    <n v="0.05"/>
    <n v="0.05"/>
    <x v="1"/>
    <n v="871.39699999999993"/>
    <x v="1487"/>
    <s v="Silver"/>
    <n v="34"/>
    <x v="1"/>
    <s v="Home"/>
  </r>
  <r>
    <s v="SALE1488"/>
    <d v="2024-06-06T00:00:00"/>
    <x v="320"/>
    <x v="96"/>
    <x v="14"/>
    <n v="4"/>
    <n v="4"/>
    <n v="96.78"/>
    <n v="96.78"/>
    <n v="0.11"/>
    <n v="0.11"/>
    <x v="1"/>
    <n v="344.53680000000003"/>
    <x v="1488"/>
    <s v="Silver"/>
    <n v="59"/>
    <x v="0"/>
    <s v="Beauty"/>
  </r>
  <r>
    <s v="SALE1489"/>
    <d v="2024-12-03T00:00:00"/>
    <x v="151"/>
    <x v="77"/>
    <x v="5"/>
    <n v="3"/>
    <n v="3"/>
    <n v="199.41"/>
    <n v="199.41"/>
    <n v="0.16"/>
    <n v="0.16"/>
    <x v="2"/>
    <n v="502.51319999999998"/>
    <x v="1489"/>
    <s v="Gold"/>
    <n v="59"/>
    <x v="0"/>
    <s v="Sports"/>
  </r>
  <r>
    <s v="SALE1490"/>
    <d v="2025-03-23T00:00:00"/>
    <x v="68"/>
    <x v="59"/>
    <x v="11"/>
    <n v="1"/>
    <n v="1"/>
    <n v="687.91"/>
    <n v="687.91"/>
    <n v="0.25"/>
    <n v="0.25"/>
    <x v="0"/>
    <n v="515.9325"/>
    <x v="1490"/>
    <s v="Platinum"/>
    <n v="46"/>
    <x v="1"/>
    <s v="Sports"/>
  </r>
  <r>
    <s v="SALE1491"/>
    <d v="2025-07-11T00:00:00"/>
    <x v="276"/>
    <x v="51"/>
    <x v="17"/>
    <n v="3"/>
    <n v="3"/>
    <n v="769.62"/>
    <n v="769.62"/>
    <n v="0.09"/>
    <n v="0.09"/>
    <x v="1"/>
    <n v="2101.0626000000002"/>
    <x v="1491"/>
    <s v="Gold"/>
    <n v="55"/>
    <x v="1"/>
    <s v="Beauty"/>
  </r>
  <r>
    <s v="SALE1492"/>
    <d v="2023-10-31T00:00:00"/>
    <x v="233"/>
    <x v="83"/>
    <x v="0"/>
    <n v="1"/>
    <n v="1"/>
    <n v="492.05"/>
    <n v="492.05"/>
    <n v="0.27"/>
    <n v="0.27"/>
    <x v="0"/>
    <n v="359.19650000000001"/>
    <x v="1492"/>
    <s v="Bronze"/>
    <n v="50"/>
    <x v="1"/>
    <s v="Clothing"/>
  </r>
  <r>
    <s v="SALE1493"/>
    <d v="2024-01-01T00:00:00"/>
    <x v="253"/>
    <x v="53"/>
    <x v="18"/>
    <n v="2"/>
    <n v="2"/>
    <n v="428.55"/>
    <n v="428.55"/>
    <n v="0"/>
    <n v="0"/>
    <x v="1"/>
    <n v="857.1"/>
    <x v="1493"/>
    <s v="Silver"/>
    <n v="64"/>
    <x v="0"/>
    <s v="Sports"/>
  </r>
  <r>
    <s v="SALE1494"/>
    <d v="2023-11-21T00:00:00"/>
    <x v="296"/>
    <x v="31"/>
    <x v="10"/>
    <n v="4"/>
    <n v="4"/>
    <n v="316.18"/>
    <n v="316.18"/>
    <n v="0.12"/>
    <n v="0.12"/>
    <x v="0"/>
    <n v="1112.9536000000001"/>
    <x v="1494"/>
    <s v="Bronze"/>
    <n v="32"/>
    <x v="1"/>
    <s v="Home"/>
  </r>
  <r>
    <s v="SALE1495"/>
    <d v="2024-09-20T00:00:00"/>
    <x v="69"/>
    <x v="26"/>
    <x v="0"/>
    <n v="3"/>
    <n v="3"/>
    <n v="162.16999999999999"/>
    <n v="162.16999999999999"/>
    <n v="0.15"/>
    <n v="0.15"/>
    <x v="1"/>
    <n v="413.5335"/>
    <x v="1495"/>
    <s v="Bronze"/>
    <n v="29"/>
    <x v="1"/>
    <s v="Electronics"/>
  </r>
  <r>
    <s v="SALE1496"/>
    <d v="2024-04-03T00:00:00"/>
    <x v="474"/>
    <x v="83"/>
    <x v="0"/>
    <n v="3"/>
    <n v="3"/>
    <n v="698.14"/>
    <n v="698.14"/>
    <n v="0.04"/>
    <n v="0.04"/>
    <x v="1"/>
    <n v="2010.6432"/>
    <x v="1496"/>
    <s v="Bronze"/>
    <n v="38"/>
    <x v="1"/>
    <s v="Clothing"/>
  </r>
  <r>
    <s v="SALE1497"/>
    <d v="2025-05-10T00:00:00"/>
    <x v="441"/>
    <x v="1"/>
    <x v="14"/>
    <n v="1"/>
    <n v="1"/>
    <n v="478.08"/>
    <n v="478.08"/>
    <n v="7.0000000000000007E-2"/>
    <n v="7.0000000000000007E-2"/>
    <x v="2"/>
    <n v="444.61439999999988"/>
    <x v="1497"/>
    <s v="Silver"/>
    <n v="20"/>
    <x v="0"/>
    <s v="Electronics"/>
  </r>
  <r>
    <s v="SALE1498"/>
    <d v="2025-06-14T00:00:00"/>
    <x v="266"/>
    <x v="4"/>
    <x v="4"/>
    <n v="2"/>
    <n v="2"/>
    <n v="958.64"/>
    <n v="958.64"/>
    <n v="0.2"/>
    <n v="0.2"/>
    <x v="1"/>
    <n v="1533.8240000000001"/>
    <x v="1498"/>
    <s v="Platinum"/>
    <n v="54"/>
    <x v="0"/>
    <s v="Beauty"/>
  </r>
  <r>
    <s v="SALE1499"/>
    <d v="2024-10-25T00:00:00"/>
    <x v="9"/>
    <x v="89"/>
    <x v="18"/>
    <n v="2"/>
    <n v="2"/>
    <n v="581.19000000000005"/>
    <n v="581.19000000000005"/>
    <n v="7.0000000000000007E-2"/>
    <n v="7.0000000000000007E-2"/>
    <x v="2"/>
    <n v="1081.0134"/>
    <x v="1499"/>
    <s v="Not Found"/>
    <s v="Not Found"/>
    <x v="2"/>
    <s v="Sports"/>
  </r>
  <r>
    <s v="SALE1500"/>
    <d v="2024-11-22T00:00:00"/>
    <x v="459"/>
    <x v="8"/>
    <x v="19"/>
    <n v="1"/>
    <n v="1"/>
    <n v="736.54"/>
    <n v="736.54"/>
    <n v="0.16"/>
    <n v="0.16"/>
    <x v="1"/>
    <n v="618.69359999999995"/>
    <x v="1500"/>
    <s v="Silver"/>
    <n v="27"/>
    <x v="1"/>
    <s v="Home"/>
  </r>
  <r>
    <s v="SALE1501"/>
    <d v="2024-10-21T00:00:00"/>
    <x v="123"/>
    <x v="15"/>
    <x v="10"/>
    <n v="1"/>
    <n v="1"/>
    <n v="524"/>
    <n v="524"/>
    <n v="0.28000000000000003"/>
    <n v="0.28000000000000003"/>
    <x v="0"/>
    <n v="377.28"/>
    <x v="1501"/>
    <s v="Platinum"/>
    <n v="51"/>
    <x v="1"/>
    <s v="Sports"/>
  </r>
  <r>
    <s v="SALE1502"/>
    <d v="2024-09-13T00:00:00"/>
    <x v="330"/>
    <x v="77"/>
    <x v="0"/>
    <n v="4"/>
    <n v="4"/>
    <n v="566.09"/>
    <n v="566.09"/>
    <n v="0.28000000000000003"/>
    <n v="0.28000000000000003"/>
    <x v="2"/>
    <n v="1630.3391999999999"/>
    <x v="1502"/>
    <s v="Platinum"/>
    <n v="55"/>
    <x v="1"/>
    <s v="Sports"/>
  </r>
  <r>
    <s v="SALE1503"/>
    <d v="2025-04-25T00:00:00"/>
    <x v="415"/>
    <x v="39"/>
    <x v="15"/>
    <n v="1"/>
    <n v="1"/>
    <n v="251.99"/>
    <n v="251.99"/>
    <n v="0.09"/>
    <n v="0.09"/>
    <x v="0"/>
    <n v="229.3109"/>
    <x v="1503"/>
    <s v="Silver"/>
    <n v="32"/>
    <x v="1"/>
    <s v="Home"/>
  </r>
  <r>
    <s v="SALE1504"/>
    <d v="2024-03-10T00:00:00"/>
    <x v="70"/>
    <x v="53"/>
    <x v="12"/>
    <n v="1"/>
    <n v="1"/>
    <n v="259.2"/>
    <n v="259.2"/>
    <n v="0.27"/>
    <n v="0.27"/>
    <x v="2"/>
    <n v="189.21600000000001"/>
    <x v="1504"/>
    <s v="Platinum"/>
    <n v="38"/>
    <x v="0"/>
    <s v="Sports"/>
  </r>
  <r>
    <s v="SALE1505"/>
    <d v="2023-11-05T00:00:00"/>
    <x v="384"/>
    <x v="4"/>
    <x v="10"/>
    <n v="1"/>
    <n v="1"/>
    <n v="935.66"/>
    <n v="935.66"/>
    <n v="0.26"/>
    <n v="0.26"/>
    <x v="1"/>
    <n v="692.38839999999993"/>
    <x v="1505"/>
    <s v="Silver"/>
    <n v="35"/>
    <x v="0"/>
    <s v="Beauty"/>
  </r>
  <r>
    <s v="SALE1506"/>
    <d v="2025-07-26T00:00:00"/>
    <x v="262"/>
    <x v="68"/>
    <x v="2"/>
    <n v="4"/>
    <n v="4"/>
    <n v="480.75"/>
    <n v="480.75"/>
    <n v="0.02"/>
    <n v="0.02"/>
    <x v="0"/>
    <n v="1884.54"/>
    <x v="1506"/>
    <s v="Gold"/>
    <n v="19"/>
    <x v="0"/>
    <s v="Home"/>
  </r>
  <r>
    <s v="SALE1507"/>
    <d v="2025-01-24T00:00:00"/>
    <x v="89"/>
    <x v="82"/>
    <x v="10"/>
    <n v="2"/>
    <n v="2"/>
    <n v="457.83"/>
    <n v="457.83"/>
    <n v="0.01"/>
    <n v="0.01"/>
    <x v="2"/>
    <n v="906.50339999999994"/>
    <x v="1507"/>
    <s v="Platinum"/>
    <n v="20"/>
    <x v="1"/>
    <s v="Sports"/>
  </r>
  <r>
    <s v="SALE1508"/>
    <d v="2025-09-05T00:00:00"/>
    <x v="112"/>
    <x v="70"/>
    <x v="7"/>
    <n v="1"/>
    <n v="1"/>
    <n v="994.63"/>
    <n v="994.63"/>
    <n v="0.28000000000000003"/>
    <n v="0.28000000000000003"/>
    <x v="0"/>
    <n v="716.1336"/>
    <x v="1508"/>
    <s v="Silver"/>
    <n v="39"/>
    <x v="1"/>
    <s v="Electronics"/>
  </r>
  <r>
    <s v="SALE1509"/>
    <d v="2025-04-18T00:00:00"/>
    <x v="427"/>
    <x v="64"/>
    <x v="6"/>
    <n v="3"/>
    <n v="3"/>
    <n v="65.569999999999993"/>
    <n v="65.569999999999993"/>
    <n v="0.3"/>
    <n v="0.3"/>
    <x v="2"/>
    <n v="137.697"/>
    <x v="1509"/>
    <s v="Platinum"/>
    <n v="57"/>
    <x v="1"/>
    <s v="Electronics"/>
  </r>
  <r>
    <s v="SALE1510"/>
    <d v="2025-06-13T00:00:00"/>
    <x v="318"/>
    <x v="87"/>
    <x v="1"/>
    <n v="3"/>
    <n v="3"/>
    <n v="622.98"/>
    <n v="622.98"/>
    <n v="0.28000000000000003"/>
    <n v="0.28000000000000003"/>
    <x v="1"/>
    <n v="1345.6368"/>
    <x v="1510"/>
    <s v="Platinum"/>
    <n v="41"/>
    <x v="1"/>
    <s v="Clothing"/>
  </r>
  <r>
    <s v="SALE1511"/>
    <d v="2025-02-03T00:00:00"/>
    <x v="475"/>
    <x v="76"/>
    <x v="13"/>
    <n v="1"/>
    <n v="1"/>
    <n v="170.68"/>
    <n v="170.68"/>
    <n v="0.13"/>
    <n v="0.13"/>
    <x v="1"/>
    <n v="148.49160000000001"/>
    <x v="1511"/>
    <s v="Platinum"/>
    <n v="48"/>
    <x v="0"/>
    <s v="Home"/>
  </r>
  <r>
    <s v="SALE1512"/>
    <d v="2025-07-22T00:00:00"/>
    <x v="181"/>
    <x v="84"/>
    <x v="2"/>
    <n v="4"/>
    <n v="4"/>
    <n v="797.83"/>
    <n v="797.83"/>
    <n v="0.08"/>
    <n v="0.08"/>
    <x v="0"/>
    <n v="2936.0144"/>
    <x v="1512"/>
    <s v="Platinum"/>
    <n v="30"/>
    <x v="1"/>
    <s v="Home"/>
  </r>
  <r>
    <s v="SALE1513"/>
    <d v="2025-09-22T00:00:00"/>
    <x v="288"/>
    <x v="95"/>
    <x v="9"/>
    <n v="1"/>
    <n v="1"/>
    <n v="372.75"/>
    <n v="372.75"/>
    <n v="0.12"/>
    <n v="0.12"/>
    <x v="0"/>
    <n v="328.02"/>
    <x v="1513"/>
    <s v="Gold"/>
    <n v="24"/>
    <x v="0"/>
    <s v="Clothing"/>
  </r>
  <r>
    <s v="SALE1514"/>
    <d v="2024-07-04T00:00:00"/>
    <x v="21"/>
    <x v="86"/>
    <x v="5"/>
    <n v="1"/>
    <n v="1"/>
    <n v="994.18"/>
    <n v="994.18"/>
    <n v="0.05"/>
    <n v="0.05"/>
    <x v="1"/>
    <n v="944.47099999999989"/>
    <x v="1514"/>
    <s v="Silver"/>
    <n v="25"/>
    <x v="1"/>
    <s v="Sports"/>
  </r>
  <r>
    <s v="SALE1515"/>
    <d v="2024-07-31T00:00:00"/>
    <x v="293"/>
    <x v="42"/>
    <x v="13"/>
    <n v="1"/>
    <n v="1"/>
    <n v="136.12"/>
    <n v="136.12"/>
    <n v="7.0000000000000007E-2"/>
    <n v="7.0000000000000007E-2"/>
    <x v="0"/>
    <n v="126.5916"/>
    <x v="1515"/>
    <s v="Platinum"/>
    <n v="42"/>
    <x v="1"/>
    <s v="Sports"/>
  </r>
  <r>
    <s v="SALE1516"/>
    <d v="2025-07-24T00:00:00"/>
    <x v="454"/>
    <x v="40"/>
    <x v="14"/>
    <n v="3"/>
    <n v="3"/>
    <n v="634.45000000000005"/>
    <n v="634.45000000000005"/>
    <n v="0.17"/>
    <n v="0.17"/>
    <x v="1"/>
    <n v="1579.7805000000001"/>
    <x v="1516"/>
    <s v="Bronze"/>
    <n v="64"/>
    <x v="1"/>
    <s v="Sports"/>
  </r>
  <r>
    <s v="SALE1517"/>
    <d v="2024-10-14T00:00:00"/>
    <x v="113"/>
    <x v="91"/>
    <x v="6"/>
    <n v="4"/>
    <n v="4"/>
    <n v="179.62"/>
    <n v="179.62"/>
    <n v="0.05"/>
    <n v="0.05"/>
    <x v="0"/>
    <n v="682.55600000000004"/>
    <x v="1517"/>
    <s v="Bronze"/>
    <n v="62"/>
    <x v="1"/>
    <s v="Beauty"/>
  </r>
  <r>
    <s v="SALE1518"/>
    <d v="2025-01-01T00:00:00"/>
    <x v="125"/>
    <x v="42"/>
    <x v="14"/>
    <n v="4"/>
    <n v="4"/>
    <n v="558.83000000000004"/>
    <n v="558.83000000000004"/>
    <n v="0.16"/>
    <n v="0.16"/>
    <x v="1"/>
    <n v="1877.6687999999999"/>
    <x v="1518"/>
    <s v="Platinum"/>
    <n v="29"/>
    <x v="0"/>
    <s v="Sports"/>
  </r>
  <r>
    <s v="SALE1519"/>
    <d v="2025-01-07T00:00:00"/>
    <x v="120"/>
    <x v="32"/>
    <x v="16"/>
    <n v="2"/>
    <n v="2"/>
    <n v="859.74"/>
    <n v="859.74"/>
    <n v="0.25"/>
    <n v="0.25"/>
    <x v="2"/>
    <n v="1289.6099999999999"/>
    <x v="1519"/>
    <s v="Platinum"/>
    <n v="44"/>
    <x v="1"/>
    <s v="Beauty"/>
  </r>
  <r>
    <s v="SALE1520"/>
    <d v="2025-10-06T00:00:00"/>
    <x v="476"/>
    <x v="15"/>
    <x v="9"/>
    <n v="3"/>
    <n v="3"/>
    <n v="578.47"/>
    <n v="578.47"/>
    <n v="0.06"/>
    <n v="0.06"/>
    <x v="2"/>
    <n v="1631.2854"/>
    <x v="1520"/>
    <s v="Bronze"/>
    <n v="53"/>
    <x v="1"/>
    <s v="Sports"/>
  </r>
  <r>
    <s v="SALE1521"/>
    <d v="2024-02-22T00:00:00"/>
    <x v="366"/>
    <x v="39"/>
    <x v="18"/>
    <n v="1"/>
    <n v="1"/>
    <n v="440.48"/>
    <n v="440.48"/>
    <n v="0.11"/>
    <n v="0.11"/>
    <x v="2"/>
    <n v="392.02720000000011"/>
    <x v="1521"/>
    <s v="Bronze"/>
    <n v="56"/>
    <x v="1"/>
    <s v="Home"/>
  </r>
  <r>
    <s v="SALE1522"/>
    <d v="2024-02-07T00:00:00"/>
    <x v="6"/>
    <x v="30"/>
    <x v="12"/>
    <n v="2"/>
    <n v="2"/>
    <n v="303.67"/>
    <n v="303.67"/>
    <n v="0.05"/>
    <n v="0.05"/>
    <x v="1"/>
    <n v="576.97299999999996"/>
    <x v="1522"/>
    <s v="Bronze"/>
    <n v="24"/>
    <x v="1"/>
    <s v="OTHERS"/>
  </r>
  <r>
    <s v="SALE1523"/>
    <d v="2025-08-26T00:00:00"/>
    <x v="361"/>
    <x v="1"/>
    <x v="7"/>
    <n v="2"/>
    <n v="2"/>
    <n v="611.21"/>
    <n v="611.21"/>
    <n v="0.22"/>
    <n v="0.22"/>
    <x v="2"/>
    <n v="953.48760000000004"/>
    <x v="1523"/>
    <s v="Silver"/>
    <n v="58"/>
    <x v="1"/>
    <s v="Electronics"/>
  </r>
  <r>
    <s v="SALE1524"/>
    <d v="2023-11-09T00:00:00"/>
    <x v="349"/>
    <x v="11"/>
    <x v="10"/>
    <n v="2"/>
    <n v="2"/>
    <n v="768.08"/>
    <n v="768.08"/>
    <n v="0.26"/>
    <n v="0.26"/>
    <x v="1"/>
    <n v="1136.7583999999999"/>
    <x v="1524"/>
    <s v="Platinum"/>
    <n v="37"/>
    <x v="1"/>
    <s v="Electronics"/>
  </r>
  <r>
    <s v="SALE1525"/>
    <d v="2024-01-05T00:00:00"/>
    <x v="272"/>
    <x v="34"/>
    <x v="14"/>
    <n v="1"/>
    <n v="1"/>
    <n v="616.82000000000005"/>
    <n v="616.82000000000005"/>
    <n v="0.24"/>
    <n v="0.24"/>
    <x v="0"/>
    <n v="468.78320000000002"/>
    <x v="1525"/>
    <s v="Bronze"/>
    <n v="28"/>
    <x v="1"/>
    <s v="Clothing"/>
  </r>
  <r>
    <s v="SALE1526"/>
    <d v="2025-01-15T00:00:00"/>
    <x v="79"/>
    <x v="43"/>
    <x v="14"/>
    <n v="1"/>
    <n v="1"/>
    <n v="470.34"/>
    <n v="470.34"/>
    <n v="0.18"/>
    <n v="0.18"/>
    <x v="2"/>
    <n v="385.67880000000002"/>
    <x v="1526"/>
    <s v="Platinum"/>
    <n v="18"/>
    <x v="0"/>
    <s v="Electronics"/>
  </r>
  <r>
    <s v="SALE1527"/>
    <d v="2024-07-26T00:00:00"/>
    <x v="209"/>
    <x v="27"/>
    <x v="2"/>
    <n v="2"/>
    <n v="2"/>
    <n v="616.36"/>
    <n v="616.36"/>
    <n v="0.12"/>
    <n v="0.12"/>
    <x v="1"/>
    <n v="1084.7936"/>
    <x v="1527"/>
    <s v="Gold"/>
    <n v="47"/>
    <x v="1"/>
    <s v="Clothing"/>
  </r>
  <r>
    <s v="SALE1528"/>
    <d v="2024-05-22T00:00:00"/>
    <x v="196"/>
    <x v="58"/>
    <x v="11"/>
    <n v="3"/>
    <n v="3"/>
    <n v="657.24"/>
    <n v="657.24"/>
    <n v="0.18"/>
    <n v="0.18"/>
    <x v="1"/>
    <n v="1616.8104000000001"/>
    <x v="1528"/>
    <s v="Bronze"/>
    <n v="53"/>
    <x v="0"/>
    <s v="OTHERS"/>
  </r>
  <r>
    <s v="SALE1529"/>
    <d v="2025-08-24T00:00:00"/>
    <x v="247"/>
    <x v="89"/>
    <x v="12"/>
    <n v="2"/>
    <n v="2"/>
    <n v="392.45"/>
    <n v="392.45"/>
    <n v="0.04"/>
    <n v="0.04"/>
    <x v="1"/>
    <n v="753.50399999999991"/>
    <x v="1529"/>
    <s v="Platinum"/>
    <n v="27"/>
    <x v="1"/>
    <s v="Sports"/>
  </r>
  <r>
    <s v="SALE1530"/>
    <d v="2024-02-24T00:00:00"/>
    <x v="427"/>
    <x v="43"/>
    <x v="7"/>
    <n v="3"/>
    <n v="3"/>
    <n v="62.03"/>
    <n v="62.03"/>
    <n v="0.01"/>
    <n v="0.01"/>
    <x v="2"/>
    <n v="184.22909999999999"/>
    <x v="1530"/>
    <s v="Platinum"/>
    <n v="57"/>
    <x v="1"/>
    <s v="Electronics"/>
  </r>
  <r>
    <s v="SALE1531"/>
    <d v="2024-11-17T00:00:00"/>
    <x v="325"/>
    <x v="99"/>
    <x v="0"/>
    <n v="4"/>
    <n v="4"/>
    <n v="933.73"/>
    <n v="933.73"/>
    <n v="0.25"/>
    <n v="0.25"/>
    <x v="1"/>
    <n v="2801.19"/>
    <x v="1531"/>
    <s v="Platinum"/>
    <n v="44"/>
    <x v="1"/>
    <s v="Clothing"/>
  </r>
  <r>
    <s v="SALE1532"/>
    <d v="2025-09-28T00:00:00"/>
    <x v="440"/>
    <x v="65"/>
    <x v="9"/>
    <n v="3"/>
    <n v="3"/>
    <n v="615.30999999999995"/>
    <n v="615.30999999999995"/>
    <n v="0.14000000000000001"/>
    <n v="0.14000000000000001"/>
    <x v="1"/>
    <n v="1587.4998000000001"/>
    <x v="1532"/>
    <s v="Gold"/>
    <n v="60"/>
    <x v="1"/>
    <s v="Clothing"/>
  </r>
  <r>
    <s v="SALE1533"/>
    <d v="2024-11-23T00:00:00"/>
    <x v="141"/>
    <x v="4"/>
    <x v="14"/>
    <n v="4"/>
    <n v="4"/>
    <n v="790.38"/>
    <n v="790.38"/>
    <n v="0.22"/>
    <n v="0.22"/>
    <x v="2"/>
    <n v="2465.9856"/>
    <x v="1533"/>
    <s v="Gold"/>
    <n v="37"/>
    <x v="1"/>
    <s v="Beauty"/>
  </r>
  <r>
    <s v="SALE1534"/>
    <d v="2024-08-29T00:00:00"/>
    <x v="59"/>
    <x v="4"/>
    <x v="1"/>
    <n v="2"/>
    <n v="2"/>
    <n v="102.85"/>
    <n v="102.85"/>
    <n v="0.08"/>
    <n v="0.08"/>
    <x v="1"/>
    <n v="189.244"/>
    <x v="1534"/>
    <s v="Silver"/>
    <n v="45"/>
    <x v="1"/>
    <s v="Beauty"/>
  </r>
  <r>
    <s v="SALE1535"/>
    <d v="2025-05-04T00:00:00"/>
    <x v="276"/>
    <x v="75"/>
    <x v="9"/>
    <n v="3"/>
    <n v="3"/>
    <n v="866.78"/>
    <n v="866.78"/>
    <n v="0.27"/>
    <n v="0.27"/>
    <x v="1"/>
    <n v="1898.2482"/>
    <x v="1535"/>
    <s v="Gold"/>
    <n v="55"/>
    <x v="1"/>
    <s v="Electronics"/>
  </r>
  <r>
    <s v="SALE1536"/>
    <d v="2024-03-27T00:00:00"/>
    <x v="266"/>
    <x v="36"/>
    <x v="9"/>
    <n v="3"/>
    <n v="3"/>
    <n v="392.84"/>
    <n v="392.84"/>
    <n v="0.27"/>
    <n v="0.27"/>
    <x v="1"/>
    <n v="860.31959999999992"/>
    <x v="1536"/>
    <s v="Platinum"/>
    <n v="54"/>
    <x v="0"/>
    <s v="Home"/>
  </r>
  <r>
    <s v="SALE1537"/>
    <d v="2025-01-31T00:00:00"/>
    <x v="162"/>
    <x v="93"/>
    <x v="3"/>
    <n v="2"/>
    <n v="2"/>
    <n v="753.1"/>
    <n v="753.1"/>
    <n v="0.19"/>
    <n v="0.19"/>
    <x v="1"/>
    <n v="1220.0219999999999"/>
    <x v="1537"/>
    <s v="Platinum"/>
    <n v="64"/>
    <x v="1"/>
    <s v="Sports"/>
  </r>
  <r>
    <s v="SALE1538"/>
    <d v="2025-09-27T00:00:00"/>
    <x v="69"/>
    <x v="59"/>
    <x v="1"/>
    <n v="2"/>
    <n v="2"/>
    <n v="700.91"/>
    <n v="700.91"/>
    <n v="0.1"/>
    <n v="0.1"/>
    <x v="1"/>
    <n v="1261.6379999999999"/>
    <x v="1538"/>
    <s v="Bronze"/>
    <n v="29"/>
    <x v="1"/>
    <s v="Sports"/>
  </r>
  <r>
    <s v="SALE1539"/>
    <d v="2025-04-28T00:00:00"/>
    <x v="39"/>
    <x v="5"/>
    <x v="18"/>
    <n v="4"/>
    <n v="4"/>
    <n v="935.98"/>
    <n v="935.98"/>
    <n v="0.11"/>
    <n v="0.11"/>
    <x v="1"/>
    <n v="3332.0888"/>
    <x v="1539"/>
    <s v="Gold"/>
    <n v="39"/>
    <x v="1"/>
    <s v="Electronics"/>
  </r>
  <r>
    <s v="SALE1540"/>
    <d v="2025-07-11T00:00:00"/>
    <x v="144"/>
    <x v="3"/>
    <x v="9"/>
    <n v="1"/>
    <n v="1"/>
    <n v="539.9"/>
    <n v="539.9"/>
    <n v="7.0000000000000007E-2"/>
    <n v="7.0000000000000007E-2"/>
    <x v="0"/>
    <n v="502.10700000000003"/>
    <x v="1540"/>
    <s v="Bronze"/>
    <n v="46"/>
    <x v="1"/>
    <s v="Electronics"/>
  </r>
  <r>
    <s v="SALE1541"/>
    <d v="2024-10-08T00:00:00"/>
    <x v="120"/>
    <x v="43"/>
    <x v="16"/>
    <n v="1"/>
    <n v="1"/>
    <n v="312.81"/>
    <n v="312.81"/>
    <n v="0.14000000000000001"/>
    <n v="0.14000000000000001"/>
    <x v="1"/>
    <n v="269.01659999999998"/>
    <x v="1541"/>
    <s v="Platinum"/>
    <n v="44"/>
    <x v="1"/>
    <s v="Electronics"/>
  </r>
  <r>
    <s v="SALE1542"/>
    <d v="2024-03-05T00:00:00"/>
    <x v="434"/>
    <x v="70"/>
    <x v="4"/>
    <n v="3"/>
    <n v="3"/>
    <n v="855.96"/>
    <n v="855.96"/>
    <n v="0.28999999999999998"/>
    <n v="0.28999999999999998"/>
    <x v="2"/>
    <n v="1823.1948"/>
    <x v="1542"/>
    <s v="Gold"/>
    <n v="41"/>
    <x v="1"/>
    <s v="Electronics"/>
  </r>
  <r>
    <s v="SALE1543"/>
    <d v="2024-02-04T00:00:00"/>
    <x v="394"/>
    <x v="55"/>
    <x v="19"/>
    <n v="3"/>
    <n v="3"/>
    <n v="305"/>
    <n v="305"/>
    <n v="0.01"/>
    <n v="0.01"/>
    <x v="2"/>
    <n v="905.85"/>
    <x v="1543"/>
    <s v="Gold"/>
    <n v="20"/>
    <x v="0"/>
    <s v="Clothing"/>
  </r>
  <r>
    <s v="SALE1544"/>
    <d v="2024-03-10T00:00:00"/>
    <x v="228"/>
    <x v="8"/>
    <x v="18"/>
    <n v="3"/>
    <n v="3"/>
    <n v="831.15"/>
    <n v="831.15"/>
    <n v="0.19"/>
    <n v="0.19"/>
    <x v="0"/>
    <n v="2019.6945000000001"/>
    <x v="1544"/>
    <s v="Bronze"/>
    <n v="45"/>
    <x v="0"/>
    <s v="Home"/>
  </r>
  <r>
    <s v="SALE1545"/>
    <d v="2025-09-26T00:00:00"/>
    <x v="477"/>
    <x v="99"/>
    <x v="0"/>
    <n v="2"/>
    <n v="2"/>
    <n v="644.97"/>
    <n v="644.97"/>
    <n v="0.24"/>
    <n v="0.24"/>
    <x v="2"/>
    <n v="980.35440000000006"/>
    <x v="1545"/>
    <s v="Bronze"/>
    <n v="28"/>
    <x v="1"/>
    <s v="Clothing"/>
  </r>
  <r>
    <s v="SALE1546"/>
    <d v="2025-07-01T00:00:00"/>
    <x v="50"/>
    <x v="12"/>
    <x v="8"/>
    <n v="1"/>
    <n v="1"/>
    <n v="149.56"/>
    <n v="149.56"/>
    <n v="0.09"/>
    <n v="0.09"/>
    <x v="0"/>
    <n v="136.09960000000001"/>
    <x v="1546"/>
    <s v="Platinum"/>
    <n v="62"/>
    <x v="1"/>
    <s v="Sports"/>
  </r>
  <r>
    <s v="SALE1547"/>
    <d v="2024-05-22T00:00:00"/>
    <x v="478"/>
    <x v="19"/>
    <x v="12"/>
    <n v="1"/>
    <n v="1"/>
    <n v="661.77"/>
    <n v="661.77"/>
    <n v="0.03"/>
    <n v="0.03"/>
    <x v="1"/>
    <n v="641.91689999999994"/>
    <x v="1547"/>
    <s v="Silver"/>
    <n v="42"/>
    <x v="0"/>
    <s v="Electronics"/>
  </r>
  <r>
    <s v="SALE1548"/>
    <d v="2025-06-11T00:00:00"/>
    <x v="140"/>
    <x v="32"/>
    <x v="4"/>
    <n v="3"/>
    <n v="3"/>
    <n v="99.67"/>
    <n v="99.67"/>
    <n v="0.17"/>
    <n v="0.17"/>
    <x v="0"/>
    <n v="248.17830000000001"/>
    <x v="1548"/>
    <s v="Bronze"/>
    <n v="38"/>
    <x v="0"/>
    <s v="Beauty"/>
  </r>
  <r>
    <s v="SALE1549"/>
    <d v="2024-09-18T00:00:00"/>
    <x v="70"/>
    <x v="85"/>
    <x v="8"/>
    <n v="3"/>
    <n v="3"/>
    <n v="103.66"/>
    <n v="103.66"/>
    <n v="0.26"/>
    <n v="0.26"/>
    <x v="2"/>
    <n v="230.12520000000001"/>
    <x v="1549"/>
    <s v="Platinum"/>
    <n v="38"/>
    <x v="0"/>
    <s v="Electronics"/>
  </r>
  <r>
    <s v="SALE1550"/>
    <d v="2023-11-28T00:00:00"/>
    <x v="439"/>
    <x v="43"/>
    <x v="17"/>
    <n v="4"/>
    <n v="4"/>
    <n v="54.4"/>
    <n v="54.4"/>
    <n v="0.22"/>
    <n v="0.22"/>
    <x v="0"/>
    <n v="169.72800000000001"/>
    <x v="1550"/>
    <s v="Gold"/>
    <n v="61"/>
    <x v="0"/>
    <s v="Electronics"/>
  </r>
  <r>
    <s v="SALE1551"/>
    <d v="2024-05-23T00:00:00"/>
    <x v="216"/>
    <x v="94"/>
    <x v="7"/>
    <n v="1"/>
    <n v="1"/>
    <n v="46.66"/>
    <n v="46.66"/>
    <n v="0.2"/>
    <n v="0.2"/>
    <x v="0"/>
    <n v="37.328000000000003"/>
    <x v="1551"/>
    <s v="Platinum"/>
    <n v="23"/>
    <x v="0"/>
    <s v="Home"/>
  </r>
  <r>
    <s v="SALE1552"/>
    <d v="2024-06-04T00:00:00"/>
    <x v="69"/>
    <x v="78"/>
    <x v="19"/>
    <n v="4"/>
    <n v="4"/>
    <n v="871.2"/>
    <n v="871.2"/>
    <n v="0.28999999999999998"/>
    <n v="0.28999999999999998"/>
    <x v="0"/>
    <n v="2474.2080000000001"/>
    <x v="1552"/>
    <s v="Bronze"/>
    <n v="29"/>
    <x v="1"/>
    <s v="Sports"/>
  </r>
  <r>
    <s v="SALE1553"/>
    <d v="2025-03-08T00:00:00"/>
    <x v="273"/>
    <x v="97"/>
    <x v="7"/>
    <n v="4"/>
    <n v="4"/>
    <n v="317.11"/>
    <n v="317.11"/>
    <n v="0.16"/>
    <n v="0.16"/>
    <x v="1"/>
    <n v="1065.4896000000001"/>
    <x v="1553"/>
    <s v="Gold"/>
    <n v="34"/>
    <x v="1"/>
    <s v="Clothing"/>
  </r>
  <r>
    <s v="SALE1554"/>
    <d v="2024-02-16T00:00:00"/>
    <x v="470"/>
    <x v="60"/>
    <x v="13"/>
    <n v="2"/>
    <n v="2"/>
    <n v="388.34"/>
    <n v="388.34"/>
    <n v="0.09"/>
    <n v="0.09"/>
    <x v="1"/>
    <n v="706.77879999999993"/>
    <x v="1554"/>
    <s v="Platinum"/>
    <n v="24"/>
    <x v="1"/>
    <s v="Clothing"/>
  </r>
  <r>
    <s v="SALE1555"/>
    <d v="2023-11-22T00:00:00"/>
    <x v="133"/>
    <x v="37"/>
    <x v="16"/>
    <n v="4"/>
    <n v="4"/>
    <n v="998.2"/>
    <n v="998.2"/>
    <n v="0.15"/>
    <n v="0.15"/>
    <x v="0"/>
    <n v="3393.88"/>
    <x v="1555"/>
    <s v="Platinum"/>
    <n v="54"/>
    <x v="0"/>
    <s v="Home"/>
  </r>
  <r>
    <s v="SALE1556"/>
    <d v="2024-11-10T00:00:00"/>
    <x v="4"/>
    <x v="14"/>
    <x v="6"/>
    <n v="1"/>
    <n v="1"/>
    <n v="887.38"/>
    <n v="887.38"/>
    <n v="0.01"/>
    <n v="0.01"/>
    <x v="2"/>
    <n v="878.50620000000004"/>
    <x v="1556"/>
    <s v="Silver"/>
    <n v="28"/>
    <x v="0"/>
    <s v="Clothing"/>
  </r>
  <r>
    <s v="SALE1557"/>
    <d v="2024-08-20T00:00:00"/>
    <x v="212"/>
    <x v="92"/>
    <x v="18"/>
    <n v="4"/>
    <n v="4"/>
    <n v="332.97"/>
    <n v="332.97"/>
    <n v="0.28000000000000003"/>
    <n v="0.28000000000000003"/>
    <x v="0"/>
    <n v="958.95360000000005"/>
    <x v="1557"/>
    <s v="Silver"/>
    <n v="47"/>
    <x v="1"/>
    <s v="Clothing"/>
  </r>
  <r>
    <s v="SALE1558"/>
    <d v="2025-10-04T00:00:00"/>
    <x v="460"/>
    <x v="54"/>
    <x v="6"/>
    <n v="2"/>
    <n v="2"/>
    <n v="157.91"/>
    <n v="157.91"/>
    <n v="0.09"/>
    <n v="0.09"/>
    <x v="2"/>
    <n v="287.39620000000002"/>
    <x v="1558"/>
    <s v="Gold"/>
    <n v="36"/>
    <x v="1"/>
    <s v="Clothing"/>
  </r>
  <r>
    <s v="SALE1559"/>
    <d v="2024-09-04T00:00:00"/>
    <x v="412"/>
    <x v="21"/>
    <x v="14"/>
    <n v="1"/>
    <n v="1"/>
    <n v="548.15"/>
    <n v="548.15"/>
    <n v="0.11"/>
    <n v="0.11"/>
    <x v="0"/>
    <n v="487.8535"/>
    <x v="1559"/>
    <s v="Bronze"/>
    <n v="54"/>
    <x v="0"/>
    <s v="Beauty"/>
  </r>
  <r>
    <s v="SALE1560"/>
    <d v="2024-09-20T00:00:00"/>
    <x v="204"/>
    <x v="70"/>
    <x v="10"/>
    <n v="1"/>
    <n v="1"/>
    <n v="135.13"/>
    <n v="135.13"/>
    <n v="0.04"/>
    <n v="0.04"/>
    <x v="0"/>
    <n v="129.72479999999999"/>
    <x v="1560"/>
    <s v="Platinum"/>
    <n v="50"/>
    <x v="1"/>
    <s v="Electronics"/>
  </r>
  <r>
    <s v="SALE1561"/>
    <d v="2023-12-21T00:00:00"/>
    <x v="209"/>
    <x v="6"/>
    <x v="0"/>
    <n v="3"/>
    <n v="3"/>
    <n v="579.26"/>
    <n v="579.26"/>
    <n v="0.19"/>
    <n v="0.19"/>
    <x v="0"/>
    <n v="1407.6017999999999"/>
    <x v="1561"/>
    <s v="Gold"/>
    <n v="47"/>
    <x v="1"/>
    <s v="Home"/>
  </r>
  <r>
    <s v="SALE1562"/>
    <d v="2024-10-17T00:00:00"/>
    <x v="337"/>
    <x v="53"/>
    <x v="6"/>
    <n v="1"/>
    <n v="1"/>
    <n v="465.63"/>
    <n v="465.63"/>
    <n v="0.25"/>
    <n v="0.25"/>
    <x v="0"/>
    <n v="349.22250000000003"/>
    <x v="1562"/>
    <s v="Platinum"/>
    <n v="50"/>
    <x v="0"/>
    <s v="Sports"/>
  </r>
  <r>
    <s v="SALE1563"/>
    <d v="2024-03-21T00:00:00"/>
    <x v="234"/>
    <x v="3"/>
    <x v="9"/>
    <n v="2"/>
    <n v="2"/>
    <n v="675.61"/>
    <n v="675.61"/>
    <n v="0.08"/>
    <n v="0.08"/>
    <x v="2"/>
    <n v="1243.1224"/>
    <x v="1563"/>
    <s v="Silver"/>
    <n v="54"/>
    <x v="1"/>
    <s v="Electronics"/>
  </r>
  <r>
    <s v="SALE1564"/>
    <d v="2024-06-15T00:00:00"/>
    <x v="51"/>
    <x v="9"/>
    <x v="16"/>
    <n v="1"/>
    <n v="1"/>
    <n v="718.99"/>
    <n v="718.99"/>
    <n v="0.08"/>
    <n v="0.08"/>
    <x v="1"/>
    <n v="661.47080000000005"/>
    <x v="1564"/>
    <s v="Platinum"/>
    <n v="46"/>
    <x v="0"/>
    <s v="Home"/>
  </r>
  <r>
    <s v="SALE1565"/>
    <d v="2025-10-13T00:00:00"/>
    <x v="365"/>
    <x v="66"/>
    <x v="15"/>
    <n v="2"/>
    <n v="2"/>
    <n v="675.65"/>
    <n v="675.65"/>
    <n v="0.2"/>
    <n v="0.2"/>
    <x v="2"/>
    <n v="1081.04"/>
    <x v="1565"/>
    <s v="Bronze"/>
    <n v="30"/>
    <x v="0"/>
    <s v="Home"/>
  </r>
  <r>
    <s v="SALE1566"/>
    <d v="2024-03-23T00:00:00"/>
    <x v="361"/>
    <x v="98"/>
    <x v="10"/>
    <n v="4"/>
    <n v="4"/>
    <n v="284.24"/>
    <n v="284.24"/>
    <n v="0.1"/>
    <n v="0.1"/>
    <x v="0"/>
    <n v="1023.264"/>
    <x v="1566"/>
    <s v="Silver"/>
    <n v="58"/>
    <x v="1"/>
    <s v="Sports"/>
  </r>
  <r>
    <s v="SALE1567"/>
    <d v="2024-03-23T00:00:00"/>
    <x v="26"/>
    <x v="55"/>
    <x v="0"/>
    <n v="1"/>
    <n v="1"/>
    <n v="94.26"/>
    <n v="94.26"/>
    <n v="0.18"/>
    <n v="0.18"/>
    <x v="1"/>
    <n v="77.293200000000013"/>
    <x v="1567"/>
    <s v="Platinum"/>
    <n v="42"/>
    <x v="1"/>
    <s v="Clothing"/>
  </r>
  <r>
    <s v="SALE1568"/>
    <d v="2025-05-12T00:00:00"/>
    <x v="51"/>
    <x v="96"/>
    <x v="15"/>
    <n v="4"/>
    <n v="4"/>
    <n v="458.58"/>
    <n v="458.58"/>
    <n v="0.28999999999999998"/>
    <n v="0.28999999999999998"/>
    <x v="2"/>
    <n v="1302.3671999999999"/>
    <x v="1568"/>
    <s v="Platinum"/>
    <n v="46"/>
    <x v="0"/>
    <s v="Beauty"/>
  </r>
  <r>
    <s v="SALE1569"/>
    <d v="2024-06-09T00:00:00"/>
    <x v="121"/>
    <x v="15"/>
    <x v="15"/>
    <n v="4"/>
    <n v="4"/>
    <n v="704.49"/>
    <n v="704.49"/>
    <n v="0.05"/>
    <n v="0.05"/>
    <x v="2"/>
    <n v="2677.0619999999999"/>
    <x v="1569"/>
    <s v="Gold"/>
    <n v="51"/>
    <x v="0"/>
    <s v="Sports"/>
  </r>
  <r>
    <s v="SALE1570"/>
    <d v="2023-12-24T00:00:00"/>
    <x v="326"/>
    <x v="16"/>
    <x v="12"/>
    <n v="4"/>
    <n v="4"/>
    <n v="822.32"/>
    <n v="822.32"/>
    <n v="0.26"/>
    <n v="0.26"/>
    <x v="1"/>
    <n v="2434.0672"/>
    <x v="1570"/>
    <s v="Gold"/>
    <n v="48"/>
    <x v="1"/>
    <s v="Home"/>
  </r>
  <r>
    <s v="SALE1571"/>
    <d v="2024-02-03T00:00:00"/>
    <x v="427"/>
    <x v="58"/>
    <x v="13"/>
    <n v="4"/>
    <n v="4"/>
    <n v="785.41"/>
    <n v="785.41"/>
    <n v="0.13"/>
    <n v="0.13"/>
    <x v="2"/>
    <n v="2733.2267999999999"/>
    <x v="1571"/>
    <s v="Platinum"/>
    <n v="57"/>
    <x v="1"/>
    <s v="OTHERS"/>
  </r>
  <r>
    <s v="SALE1572"/>
    <d v="2024-06-22T00:00:00"/>
    <x v="189"/>
    <x v="11"/>
    <x v="7"/>
    <n v="1"/>
    <n v="1"/>
    <n v="405.8"/>
    <n v="405.8"/>
    <n v="0.11"/>
    <n v="0.11"/>
    <x v="1"/>
    <n v="361.16199999999998"/>
    <x v="1572"/>
    <s v="Silver"/>
    <n v="41"/>
    <x v="0"/>
    <s v="Electronics"/>
  </r>
  <r>
    <s v="SALE1573"/>
    <d v="2024-11-16T00:00:00"/>
    <x v="207"/>
    <x v="52"/>
    <x v="11"/>
    <n v="2"/>
    <n v="2"/>
    <n v="976.83"/>
    <n v="976.83"/>
    <n v="0.1"/>
    <n v="0.1"/>
    <x v="1"/>
    <n v="1758.2940000000001"/>
    <x v="1573"/>
    <s v="Silver"/>
    <n v="51"/>
    <x v="1"/>
    <s v="Clothing"/>
  </r>
  <r>
    <s v="SALE1574"/>
    <d v="2024-06-29T00:00:00"/>
    <x v="66"/>
    <x v="91"/>
    <x v="17"/>
    <n v="1"/>
    <n v="1"/>
    <n v="644.15"/>
    <n v="644.15"/>
    <n v="0.06"/>
    <n v="0.06"/>
    <x v="0"/>
    <n v="605.50099999999998"/>
    <x v="1574"/>
    <s v="Bronze"/>
    <n v="23"/>
    <x v="0"/>
    <s v="Beauty"/>
  </r>
  <r>
    <s v="SALE1575"/>
    <d v="2025-08-28T00:00:00"/>
    <x v="119"/>
    <x v="22"/>
    <x v="13"/>
    <n v="1"/>
    <n v="1"/>
    <n v="470.55"/>
    <n v="470.55"/>
    <n v="0.23"/>
    <n v="0.23"/>
    <x v="1"/>
    <n v="362.32350000000002"/>
    <x v="1575"/>
    <s v="Bronze"/>
    <n v="40"/>
    <x v="1"/>
    <s v="Electronics"/>
  </r>
  <r>
    <s v="SALE1576"/>
    <d v="2023-11-11T00:00:00"/>
    <x v="151"/>
    <x v="84"/>
    <x v="16"/>
    <n v="3"/>
    <n v="3"/>
    <n v="598.82000000000005"/>
    <n v="598.82000000000005"/>
    <n v="0.19"/>
    <n v="0.19"/>
    <x v="2"/>
    <n v="1455.1325999999999"/>
    <x v="1576"/>
    <s v="Gold"/>
    <n v="59"/>
    <x v="0"/>
    <s v="Home"/>
  </r>
  <r>
    <s v="SALE1577"/>
    <d v="2025-07-13T00:00:00"/>
    <x v="210"/>
    <x v="42"/>
    <x v="18"/>
    <n v="4"/>
    <n v="4"/>
    <n v="659.17"/>
    <n v="659.17"/>
    <n v="0.12"/>
    <n v="0.12"/>
    <x v="0"/>
    <n v="2320.2784000000001"/>
    <x v="1577"/>
    <s v="Gold"/>
    <n v="29"/>
    <x v="0"/>
    <s v="Sports"/>
  </r>
  <r>
    <s v="SALE1578"/>
    <d v="2024-10-07T00:00:00"/>
    <x v="253"/>
    <x v="54"/>
    <x v="8"/>
    <n v="2"/>
    <n v="2"/>
    <n v="216.02"/>
    <n v="216.02"/>
    <n v="0.25"/>
    <n v="0.25"/>
    <x v="0"/>
    <n v="324.02999999999997"/>
    <x v="1578"/>
    <s v="Silver"/>
    <n v="64"/>
    <x v="0"/>
    <s v="Clothing"/>
  </r>
  <r>
    <s v="SALE1579"/>
    <d v="2025-04-27T00:00:00"/>
    <x v="454"/>
    <x v="45"/>
    <x v="15"/>
    <n v="2"/>
    <n v="2"/>
    <n v="613.47"/>
    <n v="613.47"/>
    <n v="0.02"/>
    <n v="0.02"/>
    <x v="1"/>
    <n v="1202.4012"/>
    <x v="1579"/>
    <s v="Bronze"/>
    <n v="64"/>
    <x v="1"/>
    <s v="Sports"/>
  </r>
  <r>
    <s v="SALE1580"/>
    <d v="2025-09-21T00:00:00"/>
    <x v="288"/>
    <x v="87"/>
    <x v="18"/>
    <n v="2"/>
    <n v="2"/>
    <n v="485.17"/>
    <n v="485.17"/>
    <n v="0.11"/>
    <n v="0.11"/>
    <x v="1"/>
    <n v="863.60260000000005"/>
    <x v="1580"/>
    <s v="Gold"/>
    <n v="24"/>
    <x v="0"/>
    <s v="Clothing"/>
  </r>
  <r>
    <s v="SALE1581"/>
    <d v="2023-12-08T00:00:00"/>
    <x v="132"/>
    <x v="54"/>
    <x v="15"/>
    <n v="1"/>
    <n v="1"/>
    <n v="209.7"/>
    <n v="209.7"/>
    <n v="0.2"/>
    <n v="0.2"/>
    <x v="1"/>
    <n v="167.76"/>
    <x v="1581"/>
    <s v="Bronze"/>
    <n v="56"/>
    <x v="1"/>
    <s v="Clothing"/>
  </r>
  <r>
    <s v="SALE1582"/>
    <d v="2024-04-20T00:00:00"/>
    <x v="215"/>
    <x v="80"/>
    <x v="6"/>
    <n v="1"/>
    <n v="1"/>
    <n v="681.47"/>
    <n v="681.47"/>
    <n v="0.15"/>
    <n v="0.15"/>
    <x v="0"/>
    <n v="579.24950000000001"/>
    <x v="1582"/>
    <s v="Gold"/>
    <n v="58"/>
    <x v="1"/>
    <s v="Home"/>
  </r>
  <r>
    <s v="SALE1583"/>
    <d v="2025-01-10T00:00:00"/>
    <x v="364"/>
    <x v="3"/>
    <x v="1"/>
    <n v="2"/>
    <n v="2"/>
    <n v="877.21"/>
    <n v="877.21"/>
    <n v="0.1"/>
    <n v="0.1"/>
    <x v="0"/>
    <n v="1578.9780000000001"/>
    <x v="1583"/>
    <s v="Silver"/>
    <n v="60"/>
    <x v="0"/>
    <s v="Electronics"/>
  </r>
  <r>
    <s v="SALE1584"/>
    <d v="2025-09-02T00:00:00"/>
    <x v="479"/>
    <x v="36"/>
    <x v="3"/>
    <n v="2"/>
    <n v="2"/>
    <n v="479.77"/>
    <n v="479.77"/>
    <n v="0.21"/>
    <n v="0.21"/>
    <x v="1"/>
    <n v="758.03660000000002"/>
    <x v="1584"/>
    <s v="Platinum"/>
    <n v="25"/>
    <x v="0"/>
    <s v="Home"/>
  </r>
  <r>
    <s v="SALE1585"/>
    <d v="2024-10-24T00:00:00"/>
    <x v="242"/>
    <x v="50"/>
    <x v="10"/>
    <n v="1"/>
    <n v="1"/>
    <n v="140.72"/>
    <n v="140.72"/>
    <n v="0"/>
    <n v="0"/>
    <x v="2"/>
    <n v="140.72"/>
    <x v="1585"/>
    <s v="Bronze"/>
    <n v="54"/>
    <x v="0"/>
    <s v="Beauty"/>
  </r>
  <r>
    <s v="SALE1586"/>
    <d v="2025-01-11T00:00:00"/>
    <x v="250"/>
    <x v="46"/>
    <x v="16"/>
    <n v="2"/>
    <n v="2"/>
    <n v="764.25"/>
    <n v="764.25"/>
    <n v="0.23"/>
    <n v="0.23"/>
    <x v="1"/>
    <n v="1176.9449999999999"/>
    <x v="1586"/>
    <s v="UNKNOWN"/>
    <n v="31"/>
    <x v="0"/>
    <s v="Sports"/>
  </r>
  <r>
    <s v="SALE1587"/>
    <d v="2024-01-09T00:00:00"/>
    <x v="248"/>
    <x v="50"/>
    <x v="3"/>
    <n v="3"/>
    <n v="3"/>
    <n v="107.8"/>
    <n v="107.8"/>
    <n v="0.28999999999999998"/>
    <n v="0.28999999999999998"/>
    <x v="1"/>
    <n v="229.614"/>
    <x v="1587"/>
    <s v="Platinum"/>
    <n v="35"/>
    <x v="0"/>
    <s v="Beauty"/>
  </r>
  <r>
    <s v="SALE1588"/>
    <d v="2025-04-10T00:00:00"/>
    <x v="347"/>
    <x v="62"/>
    <x v="2"/>
    <n v="4"/>
    <n v="4"/>
    <n v="565.37"/>
    <n v="565.37"/>
    <n v="7.0000000000000007E-2"/>
    <n v="7.0000000000000007E-2"/>
    <x v="1"/>
    <n v="2103.1763999999998"/>
    <x v="1588"/>
    <s v="Platinum"/>
    <n v="49"/>
    <x v="1"/>
    <s v="Sports"/>
  </r>
  <r>
    <s v="SALE1589"/>
    <d v="2023-11-05T00:00:00"/>
    <x v="247"/>
    <x v="14"/>
    <x v="5"/>
    <n v="3"/>
    <n v="3"/>
    <n v="811.45"/>
    <n v="811.45"/>
    <n v="0.26"/>
    <n v="0.26"/>
    <x v="0"/>
    <n v="1801.4190000000001"/>
    <x v="1589"/>
    <s v="Platinum"/>
    <n v="27"/>
    <x v="1"/>
    <s v="Clothing"/>
  </r>
  <r>
    <s v="SALE1590"/>
    <d v="2025-04-02T00:00:00"/>
    <x v="362"/>
    <x v="9"/>
    <x v="12"/>
    <n v="4"/>
    <n v="4"/>
    <n v="62.25"/>
    <n v="62.25"/>
    <n v="0.11"/>
    <n v="0.11"/>
    <x v="1"/>
    <n v="221.61"/>
    <x v="1590"/>
    <s v="Bronze"/>
    <n v="48"/>
    <x v="1"/>
    <s v="Home"/>
  </r>
  <r>
    <s v="SALE1591"/>
    <d v="2025-05-30T00:00:00"/>
    <x v="480"/>
    <x v="98"/>
    <x v="15"/>
    <n v="1"/>
    <n v="1"/>
    <n v="749.78"/>
    <n v="749.78"/>
    <n v="0.03"/>
    <n v="0.03"/>
    <x v="0"/>
    <n v="727.28659999999991"/>
    <x v="1591"/>
    <s v="Bronze"/>
    <n v="59"/>
    <x v="1"/>
    <s v="Sports"/>
  </r>
  <r>
    <s v="SALE1592"/>
    <d v="2024-07-23T00:00:00"/>
    <x v="401"/>
    <x v="4"/>
    <x v="3"/>
    <n v="3"/>
    <n v="3"/>
    <n v="630.28"/>
    <n v="630.28"/>
    <n v="7.0000000000000007E-2"/>
    <n v="7.0000000000000007E-2"/>
    <x v="2"/>
    <n v="1758.4811999999999"/>
    <x v="1592"/>
    <s v="Silver"/>
    <n v="26"/>
    <x v="0"/>
    <s v="Beauty"/>
  </r>
  <r>
    <s v="SALE1593"/>
    <d v="2024-03-04T00:00:00"/>
    <x v="80"/>
    <x v="37"/>
    <x v="9"/>
    <n v="1"/>
    <n v="1"/>
    <n v="101.84"/>
    <n v="101.84"/>
    <n v="0.17"/>
    <n v="0.17"/>
    <x v="0"/>
    <n v="84.527199999999993"/>
    <x v="1593"/>
    <s v="Bronze"/>
    <n v="46"/>
    <x v="0"/>
    <s v="Home"/>
  </r>
  <r>
    <s v="SALE1594"/>
    <d v="2023-11-26T00:00:00"/>
    <x v="366"/>
    <x v="10"/>
    <x v="14"/>
    <n v="4"/>
    <n v="4"/>
    <n v="641.45000000000005"/>
    <n v="641.45000000000005"/>
    <n v="0.16"/>
    <n v="0.16"/>
    <x v="2"/>
    <n v="2155.2719999999999"/>
    <x v="1594"/>
    <s v="Bronze"/>
    <n v="56"/>
    <x v="1"/>
    <s v="Sports"/>
  </r>
  <r>
    <s v="SALE1595"/>
    <d v="2025-07-11T00:00:00"/>
    <x v="198"/>
    <x v="19"/>
    <x v="8"/>
    <n v="1"/>
    <n v="1"/>
    <n v="135.87"/>
    <n v="135.87"/>
    <n v="0.23"/>
    <n v="0.23"/>
    <x v="1"/>
    <n v="104.6199"/>
    <x v="1595"/>
    <s v="Platinum"/>
    <n v="42"/>
    <x v="0"/>
    <s v="Electronics"/>
  </r>
  <r>
    <s v="SALE1596"/>
    <d v="2024-02-22T00:00:00"/>
    <x v="50"/>
    <x v="39"/>
    <x v="16"/>
    <n v="1"/>
    <n v="1"/>
    <n v="388.35"/>
    <n v="388.35"/>
    <n v="0.01"/>
    <n v="0.01"/>
    <x v="1"/>
    <n v="384.4665"/>
    <x v="1596"/>
    <s v="Platinum"/>
    <n v="62"/>
    <x v="1"/>
    <s v="Home"/>
  </r>
  <r>
    <s v="SALE1597"/>
    <d v="2024-03-16T00:00:00"/>
    <x v="371"/>
    <x v="48"/>
    <x v="11"/>
    <n v="2"/>
    <n v="2"/>
    <n v="999.08"/>
    <n v="999.08"/>
    <n v="0.3"/>
    <n v="0.3"/>
    <x v="1"/>
    <n v="1398.712"/>
    <x v="1597"/>
    <s v="Not Found"/>
    <s v="Not Found"/>
    <x v="2"/>
    <s v="Sports"/>
  </r>
  <r>
    <s v="SALE1598"/>
    <d v="2025-08-18T00:00:00"/>
    <x v="166"/>
    <x v="48"/>
    <x v="1"/>
    <n v="3"/>
    <n v="3"/>
    <n v="453.19"/>
    <n v="453.19"/>
    <n v="0.08"/>
    <n v="0.08"/>
    <x v="2"/>
    <n v="1250.8044"/>
    <x v="1598"/>
    <s v="Gold"/>
    <n v="18"/>
    <x v="0"/>
    <s v="Sports"/>
  </r>
  <r>
    <s v="SALE1599"/>
    <d v="2024-10-02T00:00:00"/>
    <x v="328"/>
    <x v="61"/>
    <x v="15"/>
    <n v="2"/>
    <n v="2"/>
    <n v="61.31"/>
    <n v="61.31"/>
    <n v="0.15"/>
    <n v="0.15"/>
    <x v="2"/>
    <n v="104.227"/>
    <x v="1599"/>
    <s v="Bronze"/>
    <n v="28"/>
    <x v="1"/>
    <s v="Home"/>
  </r>
  <r>
    <s v="SALE1600"/>
    <d v="2023-10-24T00:00:00"/>
    <x v="395"/>
    <x v="82"/>
    <x v="15"/>
    <n v="2"/>
    <n v="2"/>
    <n v="870.13"/>
    <n v="870.13"/>
    <n v="0.23"/>
    <n v="0.23"/>
    <x v="0"/>
    <n v="1340.0001999999999"/>
    <x v="1600"/>
    <s v="Bronze"/>
    <n v="30"/>
    <x v="1"/>
    <s v="Sports"/>
  </r>
  <r>
    <s v="SALE1601"/>
    <d v="2025-01-07T00:00:00"/>
    <x v="101"/>
    <x v="5"/>
    <x v="12"/>
    <n v="1"/>
    <n v="1"/>
    <n v="336.51"/>
    <n v="336.51"/>
    <n v="0.11"/>
    <n v="0.11"/>
    <x v="1"/>
    <n v="299.4939"/>
    <x v="1601"/>
    <s v="Silver"/>
    <n v="58"/>
    <x v="0"/>
    <s v="Electronics"/>
  </r>
  <r>
    <s v="SALE1602"/>
    <d v="2024-01-22T00:00:00"/>
    <x v="282"/>
    <x v="22"/>
    <x v="6"/>
    <n v="1"/>
    <n v="1"/>
    <n v="305.70999999999998"/>
    <n v="305.70999999999998"/>
    <n v="0.26"/>
    <n v="0.26"/>
    <x v="2"/>
    <n v="226.22540000000001"/>
    <x v="1602"/>
    <s v="Bronze"/>
    <n v="60"/>
    <x v="0"/>
    <s v="Electronics"/>
  </r>
  <r>
    <s v="SALE1603"/>
    <d v="2023-10-25T00:00:00"/>
    <x v="418"/>
    <x v="31"/>
    <x v="14"/>
    <n v="2"/>
    <n v="2"/>
    <n v="635.39"/>
    <n v="635.39"/>
    <n v="0.28999999999999998"/>
    <n v="0.28999999999999998"/>
    <x v="2"/>
    <n v="902.25379999999996"/>
    <x v="1603"/>
    <s v="Platinum"/>
    <n v="62"/>
    <x v="0"/>
    <s v="Home"/>
  </r>
  <r>
    <s v="SALE1604"/>
    <d v="2024-07-18T00:00:00"/>
    <x v="5"/>
    <x v="80"/>
    <x v="12"/>
    <n v="2"/>
    <n v="2"/>
    <n v="253.87"/>
    <n v="253.87"/>
    <n v="0.23"/>
    <n v="0.23"/>
    <x v="2"/>
    <n v="390.95979999999997"/>
    <x v="1604"/>
    <s v="Platinum"/>
    <n v="18"/>
    <x v="1"/>
    <s v="Home"/>
  </r>
  <r>
    <s v="SALE1605"/>
    <d v="2024-06-29T00:00:00"/>
    <x v="213"/>
    <x v="3"/>
    <x v="1"/>
    <n v="3"/>
    <n v="3"/>
    <n v="915.81"/>
    <n v="915.81"/>
    <n v="0.17"/>
    <n v="0.17"/>
    <x v="2"/>
    <n v="2280.3669"/>
    <x v="1605"/>
    <s v="Bronze"/>
    <n v="32"/>
    <x v="0"/>
    <s v="Electronics"/>
  </r>
  <r>
    <s v="SALE1606"/>
    <d v="2025-05-18T00:00:00"/>
    <x v="204"/>
    <x v="63"/>
    <x v="2"/>
    <n v="3"/>
    <n v="3"/>
    <n v="779.5"/>
    <n v="779.5"/>
    <n v="0.02"/>
    <n v="0.02"/>
    <x v="0"/>
    <n v="2291.73"/>
    <x v="1606"/>
    <s v="Platinum"/>
    <n v="50"/>
    <x v="1"/>
    <s v="Electronics"/>
  </r>
  <r>
    <s v="SALE1607"/>
    <d v="2024-06-27T00:00:00"/>
    <x v="262"/>
    <x v="86"/>
    <x v="9"/>
    <n v="2"/>
    <n v="2"/>
    <n v="780.57"/>
    <n v="780.57"/>
    <n v="0.26"/>
    <n v="0.26"/>
    <x v="0"/>
    <n v="1155.2436"/>
    <x v="1607"/>
    <s v="Gold"/>
    <n v="19"/>
    <x v="0"/>
    <s v="Sports"/>
  </r>
  <r>
    <s v="SALE1608"/>
    <d v="2024-04-08T00:00:00"/>
    <x v="280"/>
    <x v="98"/>
    <x v="12"/>
    <n v="1"/>
    <n v="1"/>
    <n v="511.35"/>
    <n v="511.35"/>
    <n v="0"/>
    <n v="0"/>
    <x v="0"/>
    <n v="511.35"/>
    <x v="1608"/>
    <s v="Silver"/>
    <n v="27"/>
    <x v="1"/>
    <s v="Sports"/>
  </r>
  <r>
    <s v="SALE1609"/>
    <d v="2025-05-26T00:00:00"/>
    <x v="6"/>
    <x v="0"/>
    <x v="0"/>
    <n v="4"/>
    <n v="4"/>
    <n v="44.07"/>
    <n v="44.07"/>
    <n v="0.28999999999999998"/>
    <n v="0.28999999999999998"/>
    <x v="2"/>
    <n v="125.1588"/>
    <x v="1609"/>
    <s v="Bronze"/>
    <n v="24"/>
    <x v="1"/>
    <s v="Sports"/>
  </r>
  <r>
    <s v="SALE1610"/>
    <d v="2024-01-29T00:00:00"/>
    <x v="303"/>
    <x v="20"/>
    <x v="19"/>
    <n v="2"/>
    <n v="2"/>
    <n v="895.92"/>
    <n v="895.92"/>
    <n v="0.15"/>
    <n v="0.15"/>
    <x v="0"/>
    <n v="1523.0640000000001"/>
    <x v="1610"/>
    <s v="Platinum"/>
    <n v="45"/>
    <x v="1"/>
    <s v="Clothing"/>
  </r>
  <r>
    <s v="SALE1611"/>
    <d v="2024-11-23T00:00:00"/>
    <x v="428"/>
    <x v="27"/>
    <x v="17"/>
    <n v="4"/>
    <n v="4"/>
    <n v="456.32"/>
    <n v="456.32"/>
    <n v="0.22"/>
    <n v="0.22"/>
    <x v="2"/>
    <n v="1423.7184"/>
    <x v="1611"/>
    <s v="Platinum"/>
    <n v="64"/>
    <x v="0"/>
    <s v="Clothing"/>
  </r>
  <r>
    <s v="SALE1612"/>
    <d v="2025-04-30T00:00:00"/>
    <x v="47"/>
    <x v="13"/>
    <x v="6"/>
    <n v="1"/>
    <n v="1"/>
    <n v="905.5"/>
    <n v="905.5"/>
    <n v="0.28999999999999998"/>
    <n v="0.28999999999999998"/>
    <x v="2"/>
    <n v="642.90499999999997"/>
    <x v="1612"/>
    <s v="Bronze"/>
    <n v="60"/>
    <x v="0"/>
    <s v="Electronics"/>
  </r>
  <r>
    <s v="SALE1613"/>
    <d v="2024-08-19T00:00:00"/>
    <x v="329"/>
    <x v="30"/>
    <x v="13"/>
    <n v="3"/>
    <n v="3"/>
    <n v="63.19"/>
    <n v="63.19"/>
    <n v="0.08"/>
    <n v="0.08"/>
    <x v="0"/>
    <n v="174.40440000000001"/>
    <x v="1613"/>
    <s v="Platinum"/>
    <n v="52"/>
    <x v="0"/>
    <s v="OTHERS"/>
  </r>
  <r>
    <s v="SALE1614"/>
    <d v="2024-12-02T00:00:00"/>
    <x v="274"/>
    <x v="7"/>
    <x v="4"/>
    <n v="3"/>
    <n v="3"/>
    <n v="687.66"/>
    <n v="687.66"/>
    <n v="0.06"/>
    <n v="0.06"/>
    <x v="1"/>
    <n v="1939.2012"/>
    <x v="1614"/>
    <s v="Gold"/>
    <n v="61"/>
    <x v="1"/>
    <s v="Home"/>
  </r>
  <r>
    <s v="SALE1615"/>
    <d v="2025-03-26T00:00:00"/>
    <x v="209"/>
    <x v="19"/>
    <x v="11"/>
    <n v="4"/>
    <n v="4"/>
    <n v="639.05999999999995"/>
    <n v="639.05999999999995"/>
    <n v="0.12"/>
    <n v="0.12"/>
    <x v="1"/>
    <n v="2249.4911999999999"/>
    <x v="1615"/>
    <s v="Gold"/>
    <n v="47"/>
    <x v="1"/>
    <s v="Electronics"/>
  </r>
  <r>
    <s v="SALE1616"/>
    <d v="2024-06-13T00:00:00"/>
    <x v="101"/>
    <x v="51"/>
    <x v="4"/>
    <n v="1"/>
    <n v="1"/>
    <n v="475.15"/>
    <n v="475.15"/>
    <n v="0.04"/>
    <n v="0.04"/>
    <x v="2"/>
    <n v="456.14399999999989"/>
    <x v="1616"/>
    <s v="Silver"/>
    <n v="58"/>
    <x v="0"/>
    <s v="Beauty"/>
  </r>
  <r>
    <s v="SALE1617"/>
    <d v="2024-08-30T00:00:00"/>
    <x v="410"/>
    <x v="38"/>
    <x v="16"/>
    <n v="1"/>
    <n v="1"/>
    <n v="62.38"/>
    <n v="62.38"/>
    <n v="0.08"/>
    <n v="0.08"/>
    <x v="2"/>
    <n v="57.389600000000002"/>
    <x v="1617"/>
    <s v="Bronze"/>
    <n v="21"/>
    <x v="0"/>
    <s v="Sports"/>
  </r>
  <r>
    <s v="SALE1618"/>
    <d v="2024-03-24T00:00:00"/>
    <x v="368"/>
    <x v="5"/>
    <x v="4"/>
    <n v="1"/>
    <n v="1"/>
    <n v="977.02"/>
    <n v="977.02"/>
    <n v="0.2"/>
    <n v="0.2"/>
    <x v="2"/>
    <n v="781.61599999999999"/>
    <x v="1618"/>
    <s v="Silver"/>
    <n v="38"/>
    <x v="0"/>
    <s v="Electronics"/>
  </r>
  <r>
    <s v="SALE1619"/>
    <d v="2024-09-11T00:00:00"/>
    <x v="481"/>
    <x v="50"/>
    <x v="5"/>
    <n v="2"/>
    <n v="2"/>
    <n v="898.81"/>
    <n v="898.81"/>
    <n v="0.25"/>
    <n v="0.25"/>
    <x v="0"/>
    <n v="1348.2149999999999"/>
    <x v="1619"/>
    <s v="Bronze"/>
    <n v="58"/>
    <x v="0"/>
    <s v="Beauty"/>
  </r>
  <r>
    <s v="SALE1620"/>
    <d v="2025-04-22T00:00:00"/>
    <x v="378"/>
    <x v="71"/>
    <x v="0"/>
    <n v="2"/>
    <n v="2"/>
    <n v="422.13"/>
    <n v="422.13"/>
    <n v="0.28000000000000003"/>
    <n v="0.28000000000000003"/>
    <x v="0"/>
    <n v="607.86720000000003"/>
    <x v="1620"/>
    <s v="Bronze"/>
    <n v="25"/>
    <x v="1"/>
    <s v="Sports"/>
  </r>
  <r>
    <s v="SALE1621"/>
    <d v="2024-08-20T00:00:00"/>
    <x v="274"/>
    <x v="13"/>
    <x v="19"/>
    <n v="1"/>
    <n v="1"/>
    <n v="324.56"/>
    <n v="324.56"/>
    <n v="0.03"/>
    <n v="0.03"/>
    <x v="2"/>
    <n v="314.82319999999999"/>
    <x v="1621"/>
    <s v="Gold"/>
    <n v="61"/>
    <x v="1"/>
    <s v="Electronics"/>
  </r>
  <r>
    <s v="SALE1622"/>
    <d v="2024-08-27T00:00:00"/>
    <x v="228"/>
    <x v="76"/>
    <x v="9"/>
    <n v="4"/>
    <n v="4"/>
    <n v="570.38"/>
    <n v="570.38"/>
    <n v="0.26"/>
    <n v="0.26"/>
    <x v="1"/>
    <n v="1688.3248000000001"/>
    <x v="1622"/>
    <s v="Bronze"/>
    <n v="45"/>
    <x v="0"/>
    <s v="Home"/>
  </r>
  <r>
    <s v="SALE1623"/>
    <d v="2024-07-06T00:00:00"/>
    <x v="134"/>
    <x v="13"/>
    <x v="10"/>
    <n v="2"/>
    <n v="2"/>
    <n v="223.73"/>
    <n v="223.73"/>
    <n v="0.11"/>
    <n v="0.11"/>
    <x v="1"/>
    <n v="398.23939999999999"/>
    <x v="1623"/>
    <s v="Bronze"/>
    <n v="43"/>
    <x v="1"/>
    <s v="Electronics"/>
  </r>
  <r>
    <s v="SALE1624"/>
    <d v="2025-07-30T00:00:00"/>
    <x v="378"/>
    <x v="56"/>
    <x v="9"/>
    <n v="4"/>
    <n v="4"/>
    <n v="164.93"/>
    <n v="164.93"/>
    <n v="0.11"/>
    <n v="0.11"/>
    <x v="0"/>
    <n v="587.1508"/>
    <x v="1624"/>
    <s v="Bronze"/>
    <n v="25"/>
    <x v="1"/>
    <s v="Home"/>
  </r>
  <r>
    <s v="SALE1625"/>
    <d v="2024-10-04T00:00:00"/>
    <x v="434"/>
    <x v="5"/>
    <x v="4"/>
    <n v="3"/>
    <n v="3"/>
    <n v="326.66000000000003"/>
    <n v="326.66000000000003"/>
    <n v="0.28000000000000003"/>
    <n v="0.28000000000000003"/>
    <x v="2"/>
    <n v="705.5856"/>
    <x v="1625"/>
    <s v="Gold"/>
    <n v="41"/>
    <x v="1"/>
    <s v="Electronics"/>
  </r>
  <r>
    <s v="SALE1626"/>
    <d v="2024-03-31T00:00:00"/>
    <x v="91"/>
    <x v="55"/>
    <x v="10"/>
    <n v="2"/>
    <n v="2"/>
    <n v="462.93"/>
    <n v="462.93"/>
    <n v="0.17"/>
    <n v="0.17"/>
    <x v="1"/>
    <n v="768.46379999999999"/>
    <x v="1626"/>
    <s v="Silver"/>
    <n v="23"/>
    <x v="1"/>
    <s v="Clothing"/>
  </r>
  <r>
    <s v="SALE1627"/>
    <d v="2025-08-16T00:00:00"/>
    <x v="347"/>
    <x v="90"/>
    <x v="9"/>
    <n v="3"/>
    <n v="3"/>
    <n v="60.26"/>
    <n v="60.26"/>
    <n v="0.04"/>
    <n v="0.04"/>
    <x v="0"/>
    <n v="173.5488"/>
    <x v="1627"/>
    <s v="Platinum"/>
    <n v="49"/>
    <x v="1"/>
    <s v="Electronics"/>
  </r>
  <r>
    <s v="SALE1628"/>
    <d v="2025-06-21T00:00:00"/>
    <x v="291"/>
    <x v="13"/>
    <x v="11"/>
    <n v="3"/>
    <n v="3"/>
    <n v="109.5"/>
    <n v="109.5"/>
    <n v="0.06"/>
    <n v="0.06"/>
    <x v="2"/>
    <n v="308.79000000000002"/>
    <x v="1628"/>
    <s v="Gold"/>
    <n v="61"/>
    <x v="1"/>
    <s v="Electronics"/>
  </r>
  <r>
    <s v="SALE1629"/>
    <d v="2025-03-05T00:00:00"/>
    <x v="157"/>
    <x v="7"/>
    <x v="9"/>
    <n v="1"/>
    <n v="1"/>
    <n v="505.83"/>
    <n v="505.83"/>
    <n v="0.14000000000000001"/>
    <n v="0.14000000000000001"/>
    <x v="2"/>
    <n v="435.0138"/>
    <x v="1629"/>
    <s v="Gold"/>
    <n v="20"/>
    <x v="1"/>
    <s v="Home"/>
  </r>
  <r>
    <s v="SALE1630"/>
    <d v="2024-08-07T00:00:00"/>
    <x v="300"/>
    <x v="24"/>
    <x v="15"/>
    <n v="2"/>
    <n v="2"/>
    <n v="443.15"/>
    <n v="443.15"/>
    <n v="0.27"/>
    <n v="0.27"/>
    <x v="1"/>
    <n v="646.99899999999991"/>
    <x v="1630"/>
    <s v="Bronze"/>
    <n v="21"/>
    <x v="0"/>
    <s v="Electronics"/>
  </r>
  <r>
    <s v="SALE1631"/>
    <d v="2025-03-23T00:00:00"/>
    <x v="388"/>
    <x v="84"/>
    <x v="4"/>
    <n v="2"/>
    <n v="2"/>
    <n v="784.26"/>
    <n v="784.26"/>
    <n v="0.23"/>
    <n v="0.23"/>
    <x v="1"/>
    <n v="1207.7603999999999"/>
    <x v="1631"/>
    <s v="Gold"/>
    <n v="47"/>
    <x v="1"/>
    <s v="Home"/>
  </r>
  <r>
    <s v="SALE1632"/>
    <d v="2024-08-29T00:00:00"/>
    <x v="264"/>
    <x v="11"/>
    <x v="19"/>
    <n v="3"/>
    <n v="3"/>
    <n v="590.30999999999995"/>
    <n v="590.30999999999995"/>
    <n v="0.17"/>
    <n v="0.17"/>
    <x v="1"/>
    <n v="1469.8719000000001"/>
    <x v="1632"/>
    <s v="Gold"/>
    <n v="54"/>
    <x v="0"/>
    <s v="Electronics"/>
  </r>
  <r>
    <s v="SALE1633"/>
    <d v="2024-09-18T00:00:00"/>
    <x v="263"/>
    <x v="20"/>
    <x v="9"/>
    <n v="1"/>
    <n v="1"/>
    <n v="696.13"/>
    <n v="696.13"/>
    <n v="0.06"/>
    <n v="0.06"/>
    <x v="2"/>
    <n v="654.36219999999992"/>
    <x v="1633"/>
    <s v="Platinum"/>
    <n v="44"/>
    <x v="1"/>
    <s v="Clothing"/>
  </r>
  <r>
    <s v="SALE1634"/>
    <d v="2024-02-19T00:00:00"/>
    <x v="253"/>
    <x v="69"/>
    <x v="16"/>
    <n v="4"/>
    <n v="4"/>
    <n v="194.39"/>
    <n v="194.39"/>
    <n v="0.25"/>
    <n v="0.25"/>
    <x v="0"/>
    <n v="583.16999999999996"/>
    <x v="1634"/>
    <s v="Silver"/>
    <n v="64"/>
    <x v="0"/>
    <s v="Electronics"/>
  </r>
  <r>
    <s v="SALE1635"/>
    <d v="2024-05-18T00:00:00"/>
    <x v="393"/>
    <x v="9"/>
    <x v="8"/>
    <n v="1"/>
    <n v="1"/>
    <n v="339.7"/>
    <n v="339.7"/>
    <n v="0.1"/>
    <n v="0.1"/>
    <x v="0"/>
    <n v="305.73"/>
    <x v="1635"/>
    <s v="Platinum"/>
    <n v="54"/>
    <x v="0"/>
    <s v="Home"/>
  </r>
  <r>
    <s v="SALE1636"/>
    <d v="2025-09-12T00:00:00"/>
    <x v="369"/>
    <x v="88"/>
    <x v="13"/>
    <n v="4"/>
    <n v="4"/>
    <n v="463.16"/>
    <n v="463.16"/>
    <n v="0.27"/>
    <n v="0.27"/>
    <x v="1"/>
    <n v="1352.4272000000001"/>
    <x v="1636"/>
    <s v="Platinum"/>
    <n v="54"/>
    <x v="0"/>
    <s v="Home"/>
  </r>
  <r>
    <s v="SALE1637"/>
    <d v="2025-02-21T00:00:00"/>
    <x v="183"/>
    <x v="23"/>
    <x v="15"/>
    <n v="2"/>
    <n v="2"/>
    <n v="824.91"/>
    <n v="824.91"/>
    <n v="0.09"/>
    <n v="0.09"/>
    <x v="0"/>
    <n v="1501.3362"/>
    <x v="1637"/>
    <s v="Platinum"/>
    <n v="62"/>
    <x v="1"/>
    <s v="Clothing"/>
  </r>
  <r>
    <s v="SALE1638"/>
    <d v="2024-08-16T00:00:00"/>
    <x v="45"/>
    <x v="23"/>
    <x v="17"/>
    <n v="4"/>
    <n v="4"/>
    <n v="796.89"/>
    <n v="796.89"/>
    <n v="0.17"/>
    <n v="0.17"/>
    <x v="0"/>
    <n v="2645.6747999999998"/>
    <x v="1638"/>
    <s v="Gold"/>
    <n v="29"/>
    <x v="1"/>
    <s v="Clothing"/>
  </r>
  <r>
    <s v="SALE1639"/>
    <d v="2024-07-05T00:00:00"/>
    <x v="195"/>
    <x v="33"/>
    <x v="1"/>
    <n v="3"/>
    <n v="3"/>
    <n v="543.92999999999995"/>
    <n v="543.92999999999995"/>
    <n v="0.3"/>
    <n v="0.3"/>
    <x v="2"/>
    <n v="1142.2529999999999"/>
    <x v="1639"/>
    <s v="Platinum"/>
    <n v="59"/>
    <x v="1"/>
    <s v="Electronics"/>
  </r>
  <r>
    <s v="SALE1640"/>
    <d v="2024-07-23T00:00:00"/>
    <x v="348"/>
    <x v="66"/>
    <x v="4"/>
    <n v="2"/>
    <n v="2"/>
    <n v="44.65"/>
    <n v="44.65"/>
    <n v="0.03"/>
    <n v="0.03"/>
    <x v="1"/>
    <n v="86.620999999999995"/>
    <x v="1640"/>
    <s v="Platinum"/>
    <n v="41"/>
    <x v="1"/>
    <s v="Home"/>
  </r>
  <r>
    <s v="SALE1641"/>
    <d v="2025-03-26T00:00:00"/>
    <x v="475"/>
    <x v="6"/>
    <x v="6"/>
    <n v="4"/>
    <n v="4"/>
    <n v="827.39"/>
    <n v="827.39"/>
    <n v="0.06"/>
    <n v="0.06"/>
    <x v="2"/>
    <n v="3110.9863999999998"/>
    <x v="1641"/>
    <s v="Platinum"/>
    <n v="48"/>
    <x v="0"/>
    <s v="Home"/>
  </r>
  <r>
    <s v="SALE1642"/>
    <d v="2024-01-10T00:00:00"/>
    <x v="482"/>
    <x v="66"/>
    <x v="18"/>
    <n v="2"/>
    <n v="2"/>
    <n v="403.2"/>
    <n v="403.2"/>
    <n v="0.21"/>
    <n v="0.21"/>
    <x v="1"/>
    <n v="637.05600000000004"/>
    <x v="1642"/>
    <s v="Gold"/>
    <n v="60"/>
    <x v="1"/>
    <s v="Home"/>
  </r>
  <r>
    <s v="SALE1643"/>
    <d v="2024-09-12T00:00:00"/>
    <x v="223"/>
    <x v="56"/>
    <x v="13"/>
    <n v="4"/>
    <n v="4"/>
    <n v="292.31"/>
    <n v="292.31"/>
    <n v="0.27"/>
    <n v="0.27"/>
    <x v="1"/>
    <n v="853.54520000000002"/>
    <x v="1643"/>
    <s v="Platinum"/>
    <n v="60"/>
    <x v="1"/>
    <s v="Home"/>
  </r>
  <r>
    <s v="SALE1644"/>
    <d v="2025-05-29T00:00:00"/>
    <x v="36"/>
    <x v="95"/>
    <x v="15"/>
    <n v="1"/>
    <n v="1"/>
    <n v="948.33"/>
    <n v="948.33"/>
    <n v="0.11"/>
    <n v="0.11"/>
    <x v="0"/>
    <n v="844.01370000000009"/>
    <x v="1644"/>
    <s v="Platinum"/>
    <n v="59"/>
    <x v="1"/>
    <s v="Clothing"/>
  </r>
  <r>
    <s v="SALE1645"/>
    <d v="2024-01-03T00:00:00"/>
    <x v="110"/>
    <x v="11"/>
    <x v="3"/>
    <n v="1"/>
    <n v="1"/>
    <n v="702.27"/>
    <n v="702.27"/>
    <n v="0.17"/>
    <n v="0.17"/>
    <x v="2"/>
    <n v="582.88409999999999"/>
    <x v="1645"/>
    <s v="Bronze"/>
    <n v="38"/>
    <x v="0"/>
    <s v="Electronics"/>
  </r>
  <r>
    <s v="SALE1646"/>
    <d v="2025-08-06T00:00:00"/>
    <x v="95"/>
    <x v="37"/>
    <x v="0"/>
    <n v="2"/>
    <n v="2"/>
    <n v="379.28"/>
    <n v="379.28"/>
    <n v="0.26"/>
    <n v="0.26"/>
    <x v="0"/>
    <n v="561.33439999999996"/>
    <x v="1646"/>
    <s v="Platinum"/>
    <n v="21"/>
    <x v="0"/>
    <s v="Home"/>
  </r>
  <r>
    <s v="SALE1647"/>
    <d v="2025-01-12T00:00:00"/>
    <x v="483"/>
    <x v="44"/>
    <x v="6"/>
    <n v="4"/>
    <n v="4"/>
    <n v="92.35"/>
    <n v="92.35"/>
    <n v="0.15"/>
    <n v="0.15"/>
    <x v="0"/>
    <n v="313.99"/>
    <x v="1647"/>
    <s v="Gold"/>
    <n v="57"/>
    <x v="1"/>
    <s v="Beauty"/>
  </r>
  <r>
    <s v="SALE1648"/>
    <d v="2024-11-10T00:00:00"/>
    <x v="209"/>
    <x v="11"/>
    <x v="18"/>
    <n v="4"/>
    <n v="4"/>
    <n v="721.54"/>
    <n v="721.54"/>
    <n v="0.21"/>
    <n v="0.21"/>
    <x v="0"/>
    <n v="2280.0664000000002"/>
    <x v="1648"/>
    <s v="Gold"/>
    <n v="47"/>
    <x v="1"/>
    <s v="Electronics"/>
  </r>
  <r>
    <s v="SALE1649"/>
    <d v="2025-05-10T00:00:00"/>
    <x v="286"/>
    <x v="48"/>
    <x v="11"/>
    <n v="1"/>
    <n v="1"/>
    <n v="228.69"/>
    <n v="228.69"/>
    <n v="0.14000000000000001"/>
    <n v="0.14000000000000001"/>
    <x v="0"/>
    <n v="196.67339999999999"/>
    <x v="1649"/>
    <s v="Gold"/>
    <n v="37"/>
    <x v="1"/>
    <s v="Sports"/>
  </r>
  <r>
    <s v="SALE1650"/>
    <d v="2025-09-29T00:00:00"/>
    <x v="394"/>
    <x v="27"/>
    <x v="15"/>
    <n v="1"/>
    <n v="1"/>
    <n v="899.09"/>
    <n v="899.09"/>
    <n v="0.2"/>
    <n v="0.2"/>
    <x v="1"/>
    <n v="719.27200000000005"/>
    <x v="1650"/>
    <s v="Gold"/>
    <n v="20"/>
    <x v="0"/>
    <s v="Clothing"/>
  </r>
  <r>
    <s v="SALE1651"/>
    <d v="2024-03-28T00:00:00"/>
    <x v="304"/>
    <x v="67"/>
    <x v="2"/>
    <n v="4"/>
    <n v="4"/>
    <n v="195.75"/>
    <n v="195.75"/>
    <n v="0.17"/>
    <n v="0.17"/>
    <x v="0"/>
    <n v="649.89"/>
    <x v="1651"/>
    <s v="Bronze"/>
    <n v="52"/>
    <x v="1"/>
    <s v="Electronics"/>
  </r>
  <r>
    <s v="SALE1652"/>
    <d v="2024-08-28T00:00:00"/>
    <x v="438"/>
    <x v="47"/>
    <x v="10"/>
    <n v="3"/>
    <n v="3"/>
    <n v="199.13"/>
    <n v="199.13"/>
    <n v="0.24"/>
    <n v="0.24"/>
    <x v="0"/>
    <n v="454.01639999999998"/>
    <x v="1652"/>
    <s v="Platinum"/>
    <n v="28"/>
    <x v="0"/>
    <s v="Electronics"/>
  </r>
  <r>
    <s v="SALE1653"/>
    <d v="2024-06-23T00:00:00"/>
    <x v="318"/>
    <x v="62"/>
    <x v="7"/>
    <n v="2"/>
    <n v="2"/>
    <n v="833.62"/>
    <n v="833.62"/>
    <n v="0.18"/>
    <n v="0.18"/>
    <x v="0"/>
    <n v="1367.1368"/>
    <x v="1653"/>
    <s v="Platinum"/>
    <n v="41"/>
    <x v="1"/>
    <s v="Sports"/>
  </r>
  <r>
    <s v="SALE1654"/>
    <d v="2024-04-13T00:00:00"/>
    <x v="213"/>
    <x v="28"/>
    <x v="6"/>
    <n v="1"/>
    <n v="1"/>
    <n v="676.26"/>
    <n v="676.26"/>
    <n v="0.14000000000000001"/>
    <n v="0.14000000000000001"/>
    <x v="0"/>
    <n v="581.58359999999993"/>
    <x v="1654"/>
    <s v="Bronze"/>
    <n v="32"/>
    <x v="0"/>
    <s v="Clothing"/>
  </r>
  <r>
    <s v="SALE1655"/>
    <d v="2025-02-20T00:00:00"/>
    <x v="326"/>
    <x v="17"/>
    <x v="11"/>
    <n v="2"/>
    <n v="2"/>
    <n v="666.49"/>
    <n v="666.49"/>
    <n v="0.06"/>
    <n v="0.06"/>
    <x v="0"/>
    <n v="1253.0011999999999"/>
    <x v="1655"/>
    <s v="Gold"/>
    <n v="48"/>
    <x v="1"/>
    <s v="Beauty"/>
  </r>
  <r>
    <s v="SALE1656"/>
    <d v="2025-03-19T00:00:00"/>
    <x v="484"/>
    <x v="5"/>
    <x v="5"/>
    <n v="3"/>
    <n v="3"/>
    <n v="471.19"/>
    <n v="471.19"/>
    <n v="0.28000000000000003"/>
    <n v="0.28000000000000003"/>
    <x v="2"/>
    <n v="1017.7704"/>
    <x v="1656"/>
    <s v="Gold"/>
    <n v="35"/>
    <x v="0"/>
    <s v="Electronics"/>
  </r>
  <r>
    <s v="SALE1657"/>
    <d v="2023-11-07T00:00:00"/>
    <x v="97"/>
    <x v="67"/>
    <x v="0"/>
    <n v="4"/>
    <n v="4"/>
    <n v="555.65"/>
    <n v="555.65"/>
    <n v="0.25"/>
    <n v="0.25"/>
    <x v="2"/>
    <n v="1666.95"/>
    <x v="1657"/>
    <s v="Bronze"/>
    <n v="40"/>
    <x v="0"/>
    <s v="Electronics"/>
  </r>
  <r>
    <s v="SALE1658"/>
    <d v="2023-12-22T00:00:00"/>
    <x v="67"/>
    <x v="98"/>
    <x v="7"/>
    <n v="2"/>
    <n v="2"/>
    <n v="100.42"/>
    <n v="100.42"/>
    <n v="0.06"/>
    <n v="0.06"/>
    <x v="0"/>
    <n v="188.78960000000001"/>
    <x v="1658"/>
    <s v="Silver"/>
    <n v="52"/>
    <x v="0"/>
    <s v="Sports"/>
  </r>
  <r>
    <s v="SALE1659"/>
    <d v="2024-02-15T00:00:00"/>
    <x v="274"/>
    <x v="24"/>
    <x v="14"/>
    <n v="3"/>
    <n v="3"/>
    <n v="981.69"/>
    <n v="981.69"/>
    <n v="0.05"/>
    <n v="0.05"/>
    <x v="2"/>
    <n v="2797.8164999999999"/>
    <x v="1659"/>
    <s v="Gold"/>
    <n v="61"/>
    <x v="1"/>
    <s v="Electronics"/>
  </r>
  <r>
    <s v="SALE1660"/>
    <d v="2024-01-19T00:00:00"/>
    <x v="78"/>
    <x v="31"/>
    <x v="9"/>
    <n v="2"/>
    <n v="2"/>
    <n v="848.87"/>
    <n v="848.87"/>
    <n v="0.09"/>
    <n v="0.09"/>
    <x v="2"/>
    <n v="1544.9434000000001"/>
    <x v="1660"/>
    <s v="Bronze"/>
    <n v="62"/>
    <x v="1"/>
    <s v="Home"/>
  </r>
  <r>
    <s v="SALE1661"/>
    <d v="2023-10-31T00:00:00"/>
    <x v="446"/>
    <x v="99"/>
    <x v="15"/>
    <n v="3"/>
    <n v="3"/>
    <n v="582.32000000000005"/>
    <n v="582.32000000000005"/>
    <n v="0"/>
    <n v="0"/>
    <x v="1"/>
    <n v="1746.96"/>
    <x v="1661"/>
    <s v="Platinum"/>
    <n v="26"/>
    <x v="0"/>
    <s v="Clothing"/>
  </r>
  <r>
    <s v="SALE1662"/>
    <d v="2024-02-19T00:00:00"/>
    <x v="120"/>
    <x v="2"/>
    <x v="1"/>
    <n v="2"/>
    <n v="2"/>
    <n v="869.43"/>
    <n v="869.43"/>
    <n v="0.24"/>
    <n v="0.24"/>
    <x v="2"/>
    <n v="1321.5336"/>
    <x v="1662"/>
    <s v="Platinum"/>
    <n v="44"/>
    <x v="1"/>
    <s v="Beauty"/>
  </r>
  <r>
    <s v="SALE1663"/>
    <d v="2024-05-28T00:00:00"/>
    <x v="460"/>
    <x v="59"/>
    <x v="5"/>
    <n v="1"/>
    <n v="1"/>
    <n v="62.26"/>
    <n v="62.26"/>
    <n v="0.03"/>
    <n v="0.03"/>
    <x v="2"/>
    <n v="60.392200000000003"/>
    <x v="1663"/>
    <s v="Gold"/>
    <n v="36"/>
    <x v="1"/>
    <s v="Sports"/>
  </r>
  <r>
    <s v="SALE1664"/>
    <d v="2025-05-21T00:00:00"/>
    <x v="7"/>
    <x v="11"/>
    <x v="7"/>
    <n v="3"/>
    <n v="3"/>
    <n v="343.97"/>
    <n v="343.97"/>
    <n v="0.04"/>
    <n v="0.04"/>
    <x v="2"/>
    <n v="990.6336"/>
    <x v="1664"/>
    <s v="Platinum"/>
    <n v="41"/>
    <x v="1"/>
    <s v="Electronics"/>
  </r>
  <r>
    <s v="SALE1665"/>
    <d v="2024-01-02T00:00:00"/>
    <x v="77"/>
    <x v="10"/>
    <x v="18"/>
    <n v="3"/>
    <n v="3"/>
    <n v="304.67"/>
    <n v="304.67"/>
    <n v="0.11"/>
    <n v="0.11"/>
    <x v="0"/>
    <n v="813.46889999999996"/>
    <x v="1665"/>
    <s v="Platinum"/>
    <n v="23"/>
    <x v="1"/>
    <s v="Sports"/>
  </r>
  <r>
    <s v="SALE1666"/>
    <d v="2024-01-05T00:00:00"/>
    <x v="317"/>
    <x v="16"/>
    <x v="11"/>
    <n v="4"/>
    <n v="4"/>
    <n v="208.34"/>
    <n v="208.34"/>
    <n v="0.01"/>
    <n v="0.01"/>
    <x v="1"/>
    <n v="825.02639999999997"/>
    <x v="1666"/>
    <s v="Platinum"/>
    <n v="63"/>
    <x v="1"/>
    <s v="Home"/>
  </r>
  <r>
    <s v="SALE1667"/>
    <d v="2025-07-22T00:00:00"/>
    <x v="212"/>
    <x v="56"/>
    <x v="8"/>
    <n v="1"/>
    <n v="1"/>
    <n v="119.04"/>
    <n v="119.04"/>
    <n v="0.13"/>
    <n v="0.13"/>
    <x v="2"/>
    <n v="103.56480000000001"/>
    <x v="1667"/>
    <s v="Silver"/>
    <n v="47"/>
    <x v="1"/>
    <s v="Home"/>
  </r>
  <r>
    <s v="SALE1668"/>
    <d v="2025-07-05T00:00:00"/>
    <x v="84"/>
    <x v="38"/>
    <x v="11"/>
    <n v="4"/>
    <n v="4"/>
    <n v="791.65"/>
    <n v="791.65"/>
    <n v="0.06"/>
    <n v="0.06"/>
    <x v="2"/>
    <n v="2976.6039999999998"/>
    <x v="1668"/>
    <s v="Bronze"/>
    <n v="21"/>
    <x v="1"/>
    <s v="Sports"/>
  </r>
  <r>
    <s v="SALE1669"/>
    <d v="2025-07-24T00:00:00"/>
    <x v="406"/>
    <x v="66"/>
    <x v="17"/>
    <n v="2"/>
    <n v="2"/>
    <n v="414.86"/>
    <n v="414.86"/>
    <n v="0.23"/>
    <n v="0.23"/>
    <x v="0"/>
    <n v="638.88440000000003"/>
    <x v="1669"/>
    <s v="Bronze"/>
    <n v="55"/>
    <x v="0"/>
    <s v="Home"/>
  </r>
  <r>
    <s v="SALE1670"/>
    <d v="2024-04-03T00:00:00"/>
    <x v="151"/>
    <x v="48"/>
    <x v="18"/>
    <n v="2"/>
    <n v="2"/>
    <n v="960.81"/>
    <n v="960.81"/>
    <n v="0.28000000000000003"/>
    <n v="0.28000000000000003"/>
    <x v="1"/>
    <n v="1383.5663999999999"/>
    <x v="1670"/>
    <s v="Gold"/>
    <n v="59"/>
    <x v="0"/>
    <s v="Sports"/>
  </r>
  <r>
    <s v="SALE1671"/>
    <d v="2025-01-11T00:00:00"/>
    <x v="314"/>
    <x v="57"/>
    <x v="5"/>
    <n v="4"/>
    <n v="4"/>
    <n v="943.36"/>
    <n v="943.36"/>
    <n v="0.18"/>
    <n v="0.18"/>
    <x v="1"/>
    <n v="3094.2208000000001"/>
    <x v="1671"/>
    <s v="Platinum"/>
    <n v="63"/>
    <x v="1"/>
    <s v="Sports"/>
  </r>
  <r>
    <s v="SALE1672"/>
    <d v="2024-09-26T00:00:00"/>
    <x v="26"/>
    <x v="58"/>
    <x v="13"/>
    <n v="1"/>
    <n v="1"/>
    <n v="830.42"/>
    <n v="830.42"/>
    <n v="0.26"/>
    <n v="0.26"/>
    <x v="2"/>
    <n v="614.51080000000002"/>
    <x v="1672"/>
    <s v="Platinum"/>
    <n v="42"/>
    <x v="1"/>
    <s v="OTHERS"/>
  </r>
  <r>
    <s v="SALE1673"/>
    <d v="2024-12-11T00:00:00"/>
    <x v="356"/>
    <x v="22"/>
    <x v="1"/>
    <n v="1"/>
    <n v="1"/>
    <n v="762.55"/>
    <n v="762.55"/>
    <n v="0.19"/>
    <n v="0.19"/>
    <x v="0"/>
    <n v="617.66549999999995"/>
    <x v="1673"/>
    <s v="Platinum"/>
    <n v="56"/>
    <x v="1"/>
    <s v="Electronics"/>
  </r>
  <r>
    <s v="SALE1674"/>
    <d v="2025-07-01T00:00:00"/>
    <x v="110"/>
    <x v="1"/>
    <x v="14"/>
    <n v="2"/>
    <n v="2"/>
    <n v="464.43"/>
    <n v="464.43"/>
    <n v="0.24"/>
    <n v="0.24"/>
    <x v="2"/>
    <n v="705.93360000000007"/>
    <x v="1674"/>
    <s v="Bronze"/>
    <n v="38"/>
    <x v="0"/>
    <s v="Electronics"/>
  </r>
  <r>
    <s v="SALE1675"/>
    <d v="2025-07-13T00:00:00"/>
    <x v="6"/>
    <x v="91"/>
    <x v="14"/>
    <n v="1"/>
    <n v="1"/>
    <n v="711.08"/>
    <n v="711.08"/>
    <n v="0.24"/>
    <n v="0.24"/>
    <x v="1"/>
    <n v="540.42079999999999"/>
    <x v="1675"/>
    <s v="Bronze"/>
    <n v="24"/>
    <x v="1"/>
    <s v="Beauty"/>
  </r>
  <r>
    <s v="SALE1676"/>
    <d v="2024-12-30T00:00:00"/>
    <x v="243"/>
    <x v="49"/>
    <x v="7"/>
    <n v="2"/>
    <n v="2"/>
    <n v="984.96"/>
    <n v="984.96"/>
    <n v="0.16"/>
    <n v="0.16"/>
    <x v="1"/>
    <n v="1654.7328"/>
    <x v="1676"/>
    <s v="Silver"/>
    <n v="64"/>
    <x v="0"/>
    <s v="Sports"/>
  </r>
  <r>
    <s v="SALE1677"/>
    <d v="2025-04-12T00:00:00"/>
    <x v="110"/>
    <x v="48"/>
    <x v="18"/>
    <n v="1"/>
    <n v="1"/>
    <n v="21.14"/>
    <n v="21.14"/>
    <n v="0.06"/>
    <n v="0.06"/>
    <x v="2"/>
    <n v="19.871600000000001"/>
    <x v="1677"/>
    <s v="Bronze"/>
    <n v="38"/>
    <x v="0"/>
    <s v="Sports"/>
  </r>
  <r>
    <s v="SALE1678"/>
    <d v="2025-01-22T00:00:00"/>
    <x v="476"/>
    <x v="24"/>
    <x v="2"/>
    <n v="1"/>
    <n v="1"/>
    <n v="343.03"/>
    <n v="343.03"/>
    <n v="0.16"/>
    <n v="0.16"/>
    <x v="0"/>
    <n v="288.14519999999999"/>
    <x v="1678"/>
    <s v="Bronze"/>
    <n v="53"/>
    <x v="1"/>
    <s v="Electronics"/>
  </r>
  <r>
    <s v="SALE1679"/>
    <d v="2023-11-07T00:00:00"/>
    <x v="400"/>
    <x v="42"/>
    <x v="14"/>
    <n v="3"/>
    <n v="3"/>
    <n v="94.83"/>
    <n v="94.83"/>
    <n v="0.16"/>
    <n v="0.16"/>
    <x v="2"/>
    <n v="238.9716"/>
    <x v="1679"/>
    <s v="Platinum"/>
    <n v="32"/>
    <x v="0"/>
    <s v="Sports"/>
  </r>
  <r>
    <s v="SALE1680"/>
    <d v="2025-05-13T00:00:00"/>
    <x v="456"/>
    <x v="20"/>
    <x v="12"/>
    <n v="3"/>
    <n v="3"/>
    <n v="74.66"/>
    <n v="74.66"/>
    <n v="0.03"/>
    <n v="0.03"/>
    <x v="1"/>
    <n v="217.26060000000001"/>
    <x v="1680"/>
    <s v="UNKNOWN"/>
    <n v="43"/>
    <x v="0"/>
    <s v="Clothing"/>
  </r>
  <r>
    <s v="SALE1681"/>
    <d v="2023-12-08T00:00:00"/>
    <x v="200"/>
    <x v="92"/>
    <x v="10"/>
    <n v="3"/>
    <n v="3"/>
    <n v="281.95999999999998"/>
    <n v="281.95999999999998"/>
    <n v="0.01"/>
    <n v="0.01"/>
    <x v="2"/>
    <n v="837.42119999999989"/>
    <x v="1681"/>
    <s v="Silver"/>
    <n v="29"/>
    <x v="0"/>
    <s v="Clothing"/>
  </r>
  <r>
    <s v="SALE1682"/>
    <d v="2025-01-07T00:00:00"/>
    <x v="471"/>
    <x v="51"/>
    <x v="14"/>
    <n v="4"/>
    <n v="4"/>
    <n v="622.27"/>
    <n v="622.27"/>
    <n v="0.02"/>
    <n v="0.02"/>
    <x v="1"/>
    <n v="2439.2984000000001"/>
    <x v="1682"/>
    <s v="Bronze"/>
    <n v="42"/>
    <x v="1"/>
    <s v="Beauty"/>
  </r>
  <r>
    <s v="SALE1683"/>
    <d v="2024-07-02T00:00:00"/>
    <x v="257"/>
    <x v="92"/>
    <x v="4"/>
    <n v="2"/>
    <n v="2"/>
    <n v="78.27"/>
    <n v="78.27"/>
    <n v="0.28999999999999998"/>
    <n v="0.28999999999999998"/>
    <x v="2"/>
    <n v="111.1434"/>
    <x v="1683"/>
    <s v="Bronze"/>
    <n v="34"/>
    <x v="1"/>
    <s v="Clothing"/>
  </r>
  <r>
    <s v="SALE1684"/>
    <d v="2025-07-07T00:00:00"/>
    <x v="172"/>
    <x v="85"/>
    <x v="13"/>
    <n v="4"/>
    <n v="4"/>
    <n v="676.58"/>
    <n v="676.58"/>
    <n v="0.23"/>
    <n v="0.23"/>
    <x v="2"/>
    <n v="2083.8663999999999"/>
    <x v="1684"/>
    <s v="Platinum"/>
    <n v="55"/>
    <x v="1"/>
    <s v="Electronics"/>
  </r>
  <r>
    <s v="SALE1685"/>
    <d v="2024-06-03T00:00:00"/>
    <x v="371"/>
    <x v="45"/>
    <x v="8"/>
    <n v="2"/>
    <n v="2"/>
    <n v="938.6"/>
    <n v="938.6"/>
    <n v="0.04"/>
    <n v="0.04"/>
    <x v="1"/>
    <n v="1802.1120000000001"/>
    <x v="1685"/>
    <s v="Not Found"/>
    <s v="Not Found"/>
    <x v="2"/>
    <s v="Sports"/>
  </r>
  <r>
    <s v="SALE1686"/>
    <d v="2025-04-14T00:00:00"/>
    <x v="394"/>
    <x v="26"/>
    <x v="7"/>
    <n v="2"/>
    <n v="2"/>
    <n v="859.47"/>
    <n v="859.47"/>
    <n v="0.01"/>
    <n v="0.01"/>
    <x v="0"/>
    <n v="1701.7506000000001"/>
    <x v="1686"/>
    <s v="Gold"/>
    <n v="20"/>
    <x v="0"/>
    <s v="Electronics"/>
  </r>
  <r>
    <s v="SALE1687"/>
    <d v="2024-03-12T00:00:00"/>
    <x v="333"/>
    <x v="16"/>
    <x v="7"/>
    <n v="3"/>
    <n v="3"/>
    <n v="672.98"/>
    <n v="672.98"/>
    <n v="0.23"/>
    <n v="0.23"/>
    <x v="1"/>
    <n v="1554.5838000000001"/>
    <x v="1687"/>
    <s v="Platinum"/>
    <n v="43"/>
    <x v="1"/>
    <s v="Home"/>
  </r>
  <r>
    <s v="SALE1688"/>
    <d v="2024-05-08T00:00:00"/>
    <x v="271"/>
    <x v="6"/>
    <x v="14"/>
    <n v="1"/>
    <n v="1"/>
    <n v="75.8"/>
    <n v="75.8"/>
    <n v="0.28999999999999998"/>
    <n v="0.28999999999999998"/>
    <x v="1"/>
    <n v="53.817999999999998"/>
    <x v="1688"/>
    <s v="Silver"/>
    <n v="26"/>
    <x v="1"/>
    <s v="Home"/>
  </r>
  <r>
    <s v="SALE1689"/>
    <d v="2024-09-01T00:00:00"/>
    <x v="247"/>
    <x v="53"/>
    <x v="10"/>
    <n v="4"/>
    <n v="4"/>
    <n v="742.15"/>
    <n v="742.15"/>
    <n v="0.1"/>
    <n v="0.1"/>
    <x v="2"/>
    <n v="2671.74"/>
    <x v="1689"/>
    <s v="Platinum"/>
    <n v="27"/>
    <x v="1"/>
    <s v="Sports"/>
  </r>
  <r>
    <s v="SALE1690"/>
    <d v="2024-06-02T00:00:00"/>
    <x v="39"/>
    <x v="37"/>
    <x v="4"/>
    <n v="1"/>
    <n v="1"/>
    <n v="637.39"/>
    <n v="637.39"/>
    <n v="0.22"/>
    <n v="0.22"/>
    <x v="1"/>
    <n v="497.16419999999999"/>
    <x v="1690"/>
    <s v="Gold"/>
    <n v="39"/>
    <x v="1"/>
    <s v="Home"/>
  </r>
  <r>
    <s v="SALE1691"/>
    <d v="2023-10-31T00:00:00"/>
    <x v="277"/>
    <x v="96"/>
    <x v="1"/>
    <n v="1"/>
    <n v="1"/>
    <n v="631"/>
    <n v="631"/>
    <n v="0.04"/>
    <n v="0.04"/>
    <x v="0"/>
    <n v="605.76"/>
    <x v="1691"/>
    <s v="Bronze"/>
    <n v="40"/>
    <x v="1"/>
    <s v="Beauty"/>
  </r>
  <r>
    <s v="SALE1692"/>
    <d v="2025-09-16T00:00:00"/>
    <x v="485"/>
    <x v="61"/>
    <x v="0"/>
    <n v="4"/>
    <n v="4"/>
    <n v="983.98"/>
    <n v="983.98"/>
    <n v="0.11"/>
    <n v="0.11"/>
    <x v="2"/>
    <n v="3502.9688000000001"/>
    <x v="1692"/>
    <s v="Bronze"/>
    <n v="46"/>
    <x v="0"/>
    <s v="Home"/>
  </r>
  <r>
    <s v="SALE1693"/>
    <d v="2024-03-02T00:00:00"/>
    <x v="76"/>
    <x v="76"/>
    <x v="19"/>
    <n v="4"/>
    <n v="4"/>
    <n v="73.69"/>
    <n v="73.69"/>
    <n v="0.08"/>
    <n v="0.08"/>
    <x v="0"/>
    <n v="271.17919999999998"/>
    <x v="1693"/>
    <s v="Platinum"/>
    <n v="24"/>
    <x v="0"/>
    <s v="Home"/>
  </r>
  <r>
    <s v="SALE1694"/>
    <d v="2024-07-17T00:00:00"/>
    <x v="207"/>
    <x v="75"/>
    <x v="4"/>
    <n v="3"/>
    <n v="3"/>
    <n v="110.99"/>
    <n v="110.99"/>
    <n v="0.21"/>
    <n v="0.21"/>
    <x v="0"/>
    <n v="263.04629999999997"/>
    <x v="1694"/>
    <s v="Silver"/>
    <n v="51"/>
    <x v="1"/>
    <s v="Electronics"/>
  </r>
  <r>
    <s v="SALE1695"/>
    <d v="2025-07-12T00:00:00"/>
    <x v="192"/>
    <x v="31"/>
    <x v="4"/>
    <n v="1"/>
    <n v="1"/>
    <n v="66.86"/>
    <n v="66.86"/>
    <n v="0.22"/>
    <n v="0.22"/>
    <x v="2"/>
    <n v="52.150799999999997"/>
    <x v="1695"/>
    <s v="Bronze"/>
    <n v="48"/>
    <x v="1"/>
    <s v="Home"/>
  </r>
  <r>
    <s v="SALE1696"/>
    <d v="2024-08-11T00:00:00"/>
    <x v="222"/>
    <x v="22"/>
    <x v="14"/>
    <n v="1"/>
    <n v="1"/>
    <n v="980.26"/>
    <n v="980.26"/>
    <n v="0.14000000000000001"/>
    <n v="0.14000000000000001"/>
    <x v="1"/>
    <n v="843.02359999999999"/>
    <x v="1696"/>
    <s v="Bronze"/>
    <n v="64"/>
    <x v="1"/>
    <s v="Electronics"/>
  </r>
  <r>
    <s v="SALE1697"/>
    <d v="2024-01-31T00:00:00"/>
    <x v="65"/>
    <x v="97"/>
    <x v="14"/>
    <n v="1"/>
    <n v="1"/>
    <n v="235.28"/>
    <n v="235.28"/>
    <n v="0.05"/>
    <n v="0.05"/>
    <x v="1"/>
    <n v="223.51599999999999"/>
    <x v="1697"/>
    <s v="UNKNOWN"/>
    <n v="27"/>
    <x v="1"/>
    <s v="Clothing"/>
  </r>
  <r>
    <s v="SALE1698"/>
    <d v="2024-09-07T00:00:00"/>
    <x v="51"/>
    <x v="90"/>
    <x v="10"/>
    <n v="3"/>
    <n v="3"/>
    <n v="407.39"/>
    <n v="407.39"/>
    <n v="0.08"/>
    <n v="0.08"/>
    <x v="1"/>
    <n v="1124.3964000000001"/>
    <x v="1698"/>
    <s v="Platinum"/>
    <n v="46"/>
    <x v="0"/>
    <s v="Electronics"/>
  </r>
  <r>
    <s v="SALE1699"/>
    <d v="2025-01-18T00:00:00"/>
    <x v="127"/>
    <x v="16"/>
    <x v="7"/>
    <n v="4"/>
    <n v="4"/>
    <n v="459.83"/>
    <n v="459.83"/>
    <n v="0.12"/>
    <n v="0.12"/>
    <x v="2"/>
    <n v="1618.6016"/>
    <x v="1699"/>
    <s v="Silver"/>
    <n v="24"/>
    <x v="1"/>
    <s v="Home"/>
  </r>
  <r>
    <s v="SALE1700"/>
    <d v="2024-02-11T00:00:00"/>
    <x v="347"/>
    <x v="47"/>
    <x v="5"/>
    <n v="3"/>
    <n v="3"/>
    <n v="706.6"/>
    <n v="706.6"/>
    <n v="0.17"/>
    <n v="0.17"/>
    <x v="1"/>
    <n v="1759.434"/>
    <x v="1700"/>
    <s v="Platinum"/>
    <n v="49"/>
    <x v="1"/>
    <s v="Electronics"/>
  </r>
  <r>
    <s v="SALE1701"/>
    <d v="2025-06-11T00:00:00"/>
    <x v="152"/>
    <x v="52"/>
    <x v="12"/>
    <n v="3"/>
    <n v="3"/>
    <n v="811.16"/>
    <n v="811.16"/>
    <n v="0.1"/>
    <n v="0.1"/>
    <x v="2"/>
    <n v="2190.1320000000001"/>
    <x v="1701"/>
    <s v="Silver"/>
    <n v="34"/>
    <x v="1"/>
    <s v="Clothing"/>
  </r>
  <r>
    <s v="SALE1702"/>
    <d v="2023-12-08T00:00:00"/>
    <x v="478"/>
    <x v="92"/>
    <x v="4"/>
    <n v="2"/>
    <n v="2"/>
    <n v="985.79"/>
    <n v="985.79"/>
    <n v="0.04"/>
    <n v="0.04"/>
    <x v="1"/>
    <n v="1892.7167999999999"/>
    <x v="1702"/>
    <s v="Silver"/>
    <n v="42"/>
    <x v="0"/>
    <s v="Clothing"/>
  </r>
  <r>
    <s v="SALE1703"/>
    <d v="2024-08-17T00:00:00"/>
    <x v="8"/>
    <x v="9"/>
    <x v="7"/>
    <n v="1"/>
    <n v="1"/>
    <n v="255.02"/>
    <n v="255.02"/>
    <n v="0.3"/>
    <n v="0.3"/>
    <x v="0"/>
    <n v="178.51400000000001"/>
    <x v="1703"/>
    <s v="Platinum"/>
    <n v="60"/>
    <x v="1"/>
    <s v="Home"/>
  </r>
  <r>
    <s v="SALE1704"/>
    <d v="2025-02-05T00:00:00"/>
    <x v="50"/>
    <x v="46"/>
    <x v="2"/>
    <n v="1"/>
    <n v="1"/>
    <n v="153.57"/>
    <n v="153.57"/>
    <n v="0.01"/>
    <n v="0.01"/>
    <x v="1"/>
    <n v="152.0343"/>
    <x v="1704"/>
    <s v="Platinum"/>
    <n v="62"/>
    <x v="1"/>
    <s v="Sports"/>
  </r>
  <r>
    <s v="SALE1705"/>
    <d v="2025-03-18T00:00:00"/>
    <x v="73"/>
    <x v="19"/>
    <x v="14"/>
    <n v="3"/>
    <n v="3"/>
    <n v="962.98"/>
    <n v="962.98"/>
    <n v="0.21"/>
    <n v="0.21"/>
    <x v="0"/>
    <n v="2282.2626"/>
    <x v="1705"/>
    <s v="Bronze"/>
    <n v="32"/>
    <x v="0"/>
    <s v="Electronics"/>
  </r>
  <r>
    <s v="SALE1706"/>
    <d v="2024-03-26T00:00:00"/>
    <x v="333"/>
    <x v="38"/>
    <x v="2"/>
    <n v="3"/>
    <n v="3"/>
    <n v="884.46"/>
    <n v="884.46"/>
    <n v="0.25"/>
    <n v="0.25"/>
    <x v="0"/>
    <n v="1990.0350000000001"/>
    <x v="1706"/>
    <s v="Platinum"/>
    <n v="43"/>
    <x v="1"/>
    <s v="Sports"/>
  </r>
  <r>
    <s v="SALE1707"/>
    <d v="2025-05-01T00:00:00"/>
    <x v="168"/>
    <x v="22"/>
    <x v="15"/>
    <n v="4"/>
    <n v="4"/>
    <n v="359.71"/>
    <n v="359.71"/>
    <n v="0.05"/>
    <n v="0.05"/>
    <x v="1"/>
    <n v="1366.8979999999999"/>
    <x v="1707"/>
    <s v="Platinum"/>
    <n v="47"/>
    <x v="1"/>
    <s v="Electronics"/>
  </r>
  <r>
    <s v="SALE1708"/>
    <d v="2025-02-27T00:00:00"/>
    <x v="370"/>
    <x v="57"/>
    <x v="5"/>
    <n v="3"/>
    <n v="3"/>
    <n v="766.47"/>
    <n v="766.47"/>
    <n v="0.18"/>
    <n v="0.18"/>
    <x v="0"/>
    <n v="1885.5162"/>
    <x v="1708"/>
    <s v="Gold"/>
    <n v="23"/>
    <x v="1"/>
    <s v="Sports"/>
  </r>
  <r>
    <s v="SALE1709"/>
    <d v="2024-07-19T00:00:00"/>
    <x v="307"/>
    <x v="6"/>
    <x v="14"/>
    <n v="1"/>
    <n v="1"/>
    <n v="772.07"/>
    <n v="772.07"/>
    <n v="0.26"/>
    <n v="0.26"/>
    <x v="1"/>
    <n v="571.33180000000004"/>
    <x v="1709"/>
    <s v="Platinum"/>
    <n v="50"/>
    <x v="0"/>
    <s v="Home"/>
  </r>
  <r>
    <s v="SALE1710"/>
    <d v="2024-01-01T00:00:00"/>
    <x v="107"/>
    <x v="46"/>
    <x v="3"/>
    <n v="3"/>
    <n v="3"/>
    <n v="108.31"/>
    <n v="108.31"/>
    <n v="0.26"/>
    <n v="0.26"/>
    <x v="2"/>
    <n v="240.44820000000001"/>
    <x v="1710"/>
    <s v="Platinum"/>
    <n v="22"/>
    <x v="1"/>
    <s v="Sports"/>
  </r>
  <r>
    <s v="SALE1711"/>
    <d v="2024-01-25T00:00:00"/>
    <x v="34"/>
    <x v="29"/>
    <x v="16"/>
    <n v="1"/>
    <n v="1"/>
    <n v="502.53"/>
    <n v="502.53"/>
    <n v="0"/>
    <n v="0"/>
    <x v="1"/>
    <n v="502.53"/>
    <x v="1711"/>
    <s v="Platinum"/>
    <n v="46"/>
    <x v="0"/>
    <s v="Home"/>
  </r>
  <r>
    <s v="SALE1712"/>
    <d v="2024-09-13T00:00:00"/>
    <x v="136"/>
    <x v="55"/>
    <x v="9"/>
    <n v="2"/>
    <n v="2"/>
    <n v="508.52"/>
    <n v="508.52"/>
    <n v="0.11"/>
    <n v="0.11"/>
    <x v="2"/>
    <n v="905.16559999999993"/>
    <x v="1712"/>
    <s v="Gold"/>
    <n v="37"/>
    <x v="0"/>
    <s v="Clothing"/>
  </r>
  <r>
    <s v="SALE1713"/>
    <d v="2024-10-07T00:00:00"/>
    <x v="228"/>
    <x v="1"/>
    <x v="0"/>
    <n v="1"/>
    <n v="1"/>
    <n v="492"/>
    <n v="492"/>
    <n v="0.26"/>
    <n v="0.26"/>
    <x v="1"/>
    <n v="364.08"/>
    <x v="1713"/>
    <s v="Bronze"/>
    <n v="45"/>
    <x v="0"/>
    <s v="Electronics"/>
  </r>
  <r>
    <s v="SALE1714"/>
    <d v="2024-02-25T00:00:00"/>
    <x v="144"/>
    <x v="92"/>
    <x v="7"/>
    <n v="4"/>
    <n v="4"/>
    <n v="746.36"/>
    <n v="746.36"/>
    <n v="0.02"/>
    <n v="0.02"/>
    <x v="0"/>
    <n v="2925.7312000000002"/>
    <x v="1714"/>
    <s v="Bronze"/>
    <n v="46"/>
    <x v="1"/>
    <s v="Clothing"/>
  </r>
  <r>
    <s v="SALE1715"/>
    <d v="2025-06-15T00:00:00"/>
    <x v="207"/>
    <x v="21"/>
    <x v="8"/>
    <n v="1"/>
    <n v="1"/>
    <n v="120.83"/>
    <n v="120.83"/>
    <n v="0.08"/>
    <n v="0.08"/>
    <x v="0"/>
    <n v="111.1636"/>
    <x v="1715"/>
    <s v="Silver"/>
    <n v="51"/>
    <x v="1"/>
    <s v="Beauty"/>
  </r>
  <r>
    <s v="SALE1716"/>
    <d v="2024-04-12T00:00:00"/>
    <x v="122"/>
    <x v="25"/>
    <x v="14"/>
    <n v="2"/>
    <n v="2"/>
    <n v="68.31"/>
    <n v="68.31"/>
    <n v="0.28999999999999998"/>
    <n v="0.28999999999999998"/>
    <x v="2"/>
    <n v="97.000199999999992"/>
    <x v="1716"/>
    <s v="Bronze"/>
    <n v="27"/>
    <x v="0"/>
    <s v="Electronics"/>
  </r>
  <r>
    <s v="SALE1717"/>
    <d v="2023-12-05T00:00:00"/>
    <x v="336"/>
    <x v="62"/>
    <x v="14"/>
    <n v="2"/>
    <n v="2"/>
    <n v="761.71"/>
    <n v="761.71"/>
    <n v="0.02"/>
    <n v="0.02"/>
    <x v="1"/>
    <n v="1492.9516000000001"/>
    <x v="1717"/>
    <s v="Bronze"/>
    <n v="50"/>
    <x v="0"/>
    <s v="Sports"/>
  </r>
  <r>
    <s v="SALE1718"/>
    <d v="2023-12-01T00:00:00"/>
    <x v="149"/>
    <x v="36"/>
    <x v="0"/>
    <n v="4"/>
    <n v="4"/>
    <n v="346.37"/>
    <n v="346.37"/>
    <n v="0.18"/>
    <n v="0.18"/>
    <x v="2"/>
    <n v="1136.0935999999999"/>
    <x v="1718"/>
    <s v="Silver"/>
    <n v="27"/>
    <x v="1"/>
    <s v="Home"/>
  </r>
  <r>
    <s v="SALE1719"/>
    <d v="2025-02-14T00:00:00"/>
    <x v="69"/>
    <x v="76"/>
    <x v="18"/>
    <n v="1"/>
    <n v="1"/>
    <n v="846.3"/>
    <n v="846.3"/>
    <n v="0.14000000000000001"/>
    <n v="0.14000000000000001"/>
    <x v="1"/>
    <n v="727.81799999999998"/>
    <x v="1719"/>
    <s v="Bronze"/>
    <n v="29"/>
    <x v="1"/>
    <s v="Home"/>
  </r>
  <r>
    <s v="SALE1720"/>
    <d v="2024-11-28T00:00:00"/>
    <x v="450"/>
    <x v="90"/>
    <x v="12"/>
    <n v="1"/>
    <n v="1"/>
    <n v="458.97"/>
    <n v="458.97"/>
    <n v="0.1"/>
    <n v="0.1"/>
    <x v="1"/>
    <n v="413.07299999999998"/>
    <x v="1720"/>
    <s v="Bronze"/>
    <n v="37"/>
    <x v="0"/>
    <s v="Electronics"/>
  </r>
  <r>
    <s v="SALE1721"/>
    <d v="2025-03-20T00:00:00"/>
    <x v="486"/>
    <x v="19"/>
    <x v="4"/>
    <n v="2"/>
    <n v="2"/>
    <n v="536.61"/>
    <n v="536.61"/>
    <n v="0.14000000000000001"/>
    <n v="0.14000000000000001"/>
    <x v="0"/>
    <n v="922.9692"/>
    <x v="1721"/>
    <s v="Bronze"/>
    <n v="45"/>
    <x v="0"/>
    <s v="Electronics"/>
  </r>
  <r>
    <s v="SALE1722"/>
    <d v="2025-02-21T00:00:00"/>
    <x v="47"/>
    <x v="87"/>
    <x v="6"/>
    <n v="3"/>
    <n v="3"/>
    <n v="130.41"/>
    <n v="130.41"/>
    <n v="0.14000000000000001"/>
    <n v="0.14000000000000001"/>
    <x v="1"/>
    <n v="336.45780000000002"/>
    <x v="1722"/>
    <s v="Bronze"/>
    <n v="60"/>
    <x v="0"/>
    <s v="Clothing"/>
  </r>
  <r>
    <s v="SALE1723"/>
    <d v="2025-03-22T00:00:00"/>
    <x v="111"/>
    <x v="41"/>
    <x v="18"/>
    <n v="4"/>
    <n v="4"/>
    <n v="706.67"/>
    <n v="706.67"/>
    <n v="0.01"/>
    <n v="0.01"/>
    <x v="0"/>
    <n v="2798.4132"/>
    <x v="1723"/>
    <s v="Bronze"/>
    <n v="56"/>
    <x v="0"/>
    <s v="Beauty"/>
  </r>
  <r>
    <s v="SALE1724"/>
    <d v="2025-01-28T00:00:00"/>
    <x v="422"/>
    <x v="16"/>
    <x v="0"/>
    <n v="3"/>
    <n v="3"/>
    <n v="523.45000000000005"/>
    <n v="523.45000000000005"/>
    <n v="0.17"/>
    <n v="0.17"/>
    <x v="0"/>
    <n v="1303.3905"/>
    <x v="1724"/>
    <s v="Gold"/>
    <n v="46"/>
    <x v="0"/>
    <s v="Home"/>
  </r>
  <r>
    <s v="SALE1725"/>
    <d v="2025-02-13T00:00:00"/>
    <x v="442"/>
    <x v="52"/>
    <x v="14"/>
    <n v="3"/>
    <n v="3"/>
    <n v="482.2"/>
    <n v="482.2"/>
    <n v="0.23"/>
    <n v="0.23"/>
    <x v="2"/>
    <n v="1113.8820000000001"/>
    <x v="1725"/>
    <s v="Platinum"/>
    <n v="64"/>
    <x v="0"/>
    <s v="Clothing"/>
  </r>
  <r>
    <s v="SALE1726"/>
    <d v="2025-03-29T00:00:00"/>
    <x v="377"/>
    <x v="81"/>
    <x v="3"/>
    <n v="4"/>
    <n v="4"/>
    <n v="688.86"/>
    <n v="688.86"/>
    <n v="0.02"/>
    <n v="0.02"/>
    <x v="2"/>
    <n v="2700.3312000000001"/>
    <x v="1726"/>
    <s v="Bronze"/>
    <n v="26"/>
    <x v="0"/>
    <s v="Beauty"/>
  </r>
  <r>
    <s v="SALE1727"/>
    <d v="2023-10-15T00:00:00"/>
    <x v="193"/>
    <x v="21"/>
    <x v="6"/>
    <n v="1"/>
    <n v="1"/>
    <n v="145.47999999999999"/>
    <n v="145.47999999999999"/>
    <n v="0.1"/>
    <n v="0.1"/>
    <x v="2"/>
    <n v="130.93199999999999"/>
    <x v="1727"/>
    <s v="Silver"/>
    <n v="52"/>
    <x v="1"/>
    <s v="Beauty"/>
  </r>
  <r>
    <s v="SALE1728"/>
    <d v="2024-09-12T00:00:00"/>
    <x v="406"/>
    <x v="45"/>
    <x v="19"/>
    <n v="4"/>
    <n v="4"/>
    <n v="862.25"/>
    <n v="862.25"/>
    <n v="0.28000000000000003"/>
    <n v="0.28000000000000003"/>
    <x v="1"/>
    <n v="2483.2800000000002"/>
    <x v="1728"/>
    <s v="Bronze"/>
    <n v="55"/>
    <x v="0"/>
    <s v="Sports"/>
  </r>
  <r>
    <s v="SALE1729"/>
    <d v="2024-01-05T00:00:00"/>
    <x v="404"/>
    <x v="55"/>
    <x v="7"/>
    <n v="4"/>
    <n v="4"/>
    <n v="146.12"/>
    <n v="146.12"/>
    <n v="0.12"/>
    <n v="0.12"/>
    <x v="2"/>
    <n v="514.3424"/>
    <x v="1729"/>
    <s v="Silver"/>
    <n v="30"/>
    <x v="0"/>
    <s v="Clothing"/>
  </r>
  <r>
    <s v="SALE1730"/>
    <d v="2024-09-14T00:00:00"/>
    <x v="151"/>
    <x v="45"/>
    <x v="14"/>
    <n v="2"/>
    <n v="2"/>
    <n v="695.02"/>
    <n v="695.02"/>
    <n v="0.3"/>
    <n v="0.3"/>
    <x v="2"/>
    <n v="973.02799999999991"/>
    <x v="1730"/>
    <s v="Gold"/>
    <n v="59"/>
    <x v="0"/>
    <s v="Sports"/>
  </r>
  <r>
    <s v="SALE1731"/>
    <d v="2023-11-01T00:00:00"/>
    <x v="209"/>
    <x v="32"/>
    <x v="15"/>
    <n v="2"/>
    <n v="2"/>
    <n v="886.67"/>
    <n v="886.67"/>
    <n v="0.24"/>
    <n v="0.24"/>
    <x v="1"/>
    <n v="1347.7384"/>
    <x v="1731"/>
    <s v="Gold"/>
    <n v="47"/>
    <x v="1"/>
    <s v="Beauty"/>
  </r>
  <r>
    <s v="SALE1732"/>
    <d v="2024-12-02T00:00:00"/>
    <x v="76"/>
    <x v="73"/>
    <x v="14"/>
    <n v="2"/>
    <n v="2"/>
    <n v="864.09"/>
    <n v="864.09"/>
    <n v="0.06"/>
    <n v="0.06"/>
    <x v="2"/>
    <n v="1624.4892"/>
    <x v="1732"/>
    <s v="Platinum"/>
    <n v="24"/>
    <x v="0"/>
    <s v="Beauty"/>
  </r>
  <r>
    <s v="SALE1733"/>
    <d v="2025-07-24T00:00:00"/>
    <x v="458"/>
    <x v="21"/>
    <x v="11"/>
    <n v="1"/>
    <n v="1"/>
    <n v="437.65"/>
    <n v="437.65"/>
    <n v="0.02"/>
    <n v="0.02"/>
    <x v="1"/>
    <n v="428.89699999999999"/>
    <x v="1733"/>
    <s v="Bronze"/>
    <n v="59"/>
    <x v="1"/>
    <s v="Beauty"/>
  </r>
  <r>
    <s v="SALE1734"/>
    <d v="2025-07-05T00:00:00"/>
    <x v="349"/>
    <x v="14"/>
    <x v="13"/>
    <n v="2"/>
    <n v="2"/>
    <n v="208.09"/>
    <n v="208.09"/>
    <n v="0.27"/>
    <n v="0.27"/>
    <x v="0"/>
    <n v="303.81139999999999"/>
    <x v="1734"/>
    <s v="Platinum"/>
    <n v="37"/>
    <x v="1"/>
    <s v="Clothing"/>
  </r>
  <r>
    <s v="SALE1735"/>
    <d v="2024-07-09T00:00:00"/>
    <x v="76"/>
    <x v="47"/>
    <x v="1"/>
    <n v="4"/>
    <n v="4"/>
    <n v="825.78"/>
    <n v="825.78"/>
    <n v="0.02"/>
    <n v="0.02"/>
    <x v="0"/>
    <n v="3237.0576000000001"/>
    <x v="1735"/>
    <s v="Platinum"/>
    <n v="24"/>
    <x v="0"/>
    <s v="Electronics"/>
  </r>
  <r>
    <s v="SALE1736"/>
    <d v="2024-01-22T00:00:00"/>
    <x v="5"/>
    <x v="60"/>
    <x v="1"/>
    <n v="3"/>
    <n v="3"/>
    <n v="849.77"/>
    <n v="849.77"/>
    <n v="0.12"/>
    <n v="0.12"/>
    <x v="1"/>
    <n v="2243.3928000000001"/>
    <x v="1736"/>
    <s v="Platinum"/>
    <n v="18"/>
    <x v="1"/>
    <s v="Clothing"/>
  </r>
  <r>
    <s v="SALE1737"/>
    <d v="2024-01-23T00:00:00"/>
    <x v="33"/>
    <x v="17"/>
    <x v="5"/>
    <n v="1"/>
    <n v="1"/>
    <n v="88.78"/>
    <n v="88.78"/>
    <n v="0.18"/>
    <n v="0.18"/>
    <x v="0"/>
    <n v="72.799600000000012"/>
    <x v="1737"/>
    <s v="Gold"/>
    <n v="39"/>
    <x v="0"/>
    <s v="Beauty"/>
  </r>
  <r>
    <s v="SALE1738"/>
    <d v="2024-08-22T00:00:00"/>
    <x v="226"/>
    <x v="36"/>
    <x v="5"/>
    <n v="4"/>
    <n v="4"/>
    <n v="507.22"/>
    <n v="507.22"/>
    <n v="0.14000000000000001"/>
    <n v="0.14000000000000001"/>
    <x v="1"/>
    <n v="1744.8368"/>
    <x v="1738"/>
    <s v="Bronze"/>
    <n v="29"/>
    <x v="1"/>
    <s v="Home"/>
  </r>
  <r>
    <s v="SALE1739"/>
    <d v="2025-08-18T00:00:00"/>
    <x v="214"/>
    <x v="99"/>
    <x v="6"/>
    <n v="3"/>
    <n v="3"/>
    <n v="330.98"/>
    <n v="330.98"/>
    <n v="0.11"/>
    <n v="0.11"/>
    <x v="0"/>
    <n v="883.71660000000008"/>
    <x v="1739"/>
    <s v="Gold"/>
    <n v="34"/>
    <x v="0"/>
    <s v="Clothing"/>
  </r>
  <r>
    <s v="SALE1740"/>
    <d v="2024-09-27T00:00:00"/>
    <x v="370"/>
    <x v="92"/>
    <x v="12"/>
    <n v="4"/>
    <n v="4"/>
    <n v="442.87"/>
    <n v="442.87"/>
    <n v="0.08"/>
    <n v="0.08"/>
    <x v="0"/>
    <n v="1629.7616"/>
    <x v="1740"/>
    <s v="Gold"/>
    <n v="23"/>
    <x v="1"/>
    <s v="Clothing"/>
  </r>
  <r>
    <s v="SALE1741"/>
    <d v="2025-08-11T00:00:00"/>
    <x v="442"/>
    <x v="99"/>
    <x v="17"/>
    <n v="2"/>
    <n v="2"/>
    <n v="939.66"/>
    <n v="939.66"/>
    <n v="0.14000000000000001"/>
    <n v="0.14000000000000001"/>
    <x v="1"/>
    <n v="1616.2152000000001"/>
    <x v="1741"/>
    <s v="Platinum"/>
    <n v="64"/>
    <x v="0"/>
    <s v="Clothing"/>
  </r>
  <r>
    <s v="SALE1742"/>
    <d v="2024-09-21T00:00:00"/>
    <x v="145"/>
    <x v="78"/>
    <x v="0"/>
    <n v="1"/>
    <n v="1"/>
    <n v="24.13"/>
    <n v="24.13"/>
    <n v="0"/>
    <n v="0"/>
    <x v="0"/>
    <n v="24.13"/>
    <x v="1742"/>
    <s v="Platinum"/>
    <n v="56"/>
    <x v="1"/>
    <s v="Sports"/>
  </r>
  <r>
    <s v="SALE1743"/>
    <d v="2024-03-04T00:00:00"/>
    <x v="190"/>
    <x v="89"/>
    <x v="0"/>
    <n v="3"/>
    <n v="3"/>
    <n v="239.54"/>
    <n v="239.54"/>
    <n v="0.28999999999999998"/>
    <n v="0.28999999999999998"/>
    <x v="2"/>
    <n v="510.22019999999998"/>
    <x v="1743"/>
    <s v="Bronze"/>
    <n v="58"/>
    <x v="0"/>
    <s v="Sports"/>
  </r>
  <r>
    <s v="SALE1744"/>
    <d v="2023-11-14T00:00:00"/>
    <x v="382"/>
    <x v="54"/>
    <x v="7"/>
    <n v="1"/>
    <n v="1"/>
    <n v="588.53"/>
    <n v="588.53"/>
    <n v="0.1"/>
    <n v="0.1"/>
    <x v="0"/>
    <n v="529.67700000000002"/>
    <x v="1744"/>
    <s v="Platinum"/>
    <n v="26"/>
    <x v="0"/>
    <s v="Clothing"/>
  </r>
  <r>
    <s v="SALE1745"/>
    <d v="2025-07-25T00:00:00"/>
    <x v="285"/>
    <x v="17"/>
    <x v="10"/>
    <n v="1"/>
    <n v="1"/>
    <n v="145.96"/>
    <n v="145.96"/>
    <n v="0.3"/>
    <n v="0.3"/>
    <x v="0"/>
    <n v="102.172"/>
    <x v="1745"/>
    <s v="Gold"/>
    <n v="58"/>
    <x v="0"/>
    <s v="Beauty"/>
  </r>
  <r>
    <s v="SALE1746"/>
    <d v="2024-10-08T00:00:00"/>
    <x v="210"/>
    <x v="7"/>
    <x v="5"/>
    <n v="4"/>
    <n v="4"/>
    <n v="640.91"/>
    <n v="640.91"/>
    <n v="0.06"/>
    <n v="0.06"/>
    <x v="0"/>
    <n v="2409.8216000000002"/>
    <x v="1746"/>
    <s v="Gold"/>
    <n v="29"/>
    <x v="0"/>
    <s v="Home"/>
  </r>
  <r>
    <s v="SALE1747"/>
    <d v="2025-05-15T00:00:00"/>
    <x v="229"/>
    <x v="91"/>
    <x v="19"/>
    <n v="3"/>
    <n v="3"/>
    <n v="773.86"/>
    <n v="773.86"/>
    <n v="0.22"/>
    <n v="0.22"/>
    <x v="0"/>
    <n v="1810.8324"/>
    <x v="1747"/>
    <s v="Platinum"/>
    <n v="19"/>
    <x v="0"/>
    <s v="Beauty"/>
  </r>
  <r>
    <s v="SALE1748"/>
    <d v="2025-03-28T00:00:00"/>
    <x v="191"/>
    <x v="45"/>
    <x v="10"/>
    <n v="2"/>
    <n v="2"/>
    <n v="31.28"/>
    <n v="31.28"/>
    <n v="0.2"/>
    <n v="0.2"/>
    <x v="2"/>
    <n v="50.048000000000002"/>
    <x v="1748"/>
    <s v="Bronze"/>
    <n v="36"/>
    <x v="1"/>
    <s v="Sports"/>
  </r>
  <r>
    <s v="SALE1749"/>
    <d v="2025-07-04T00:00:00"/>
    <x v="141"/>
    <x v="74"/>
    <x v="16"/>
    <n v="4"/>
    <n v="4"/>
    <n v="389.22"/>
    <n v="389.22"/>
    <n v="0.18"/>
    <n v="0.18"/>
    <x v="0"/>
    <n v="1276.6415999999999"/>
    <x v="1749"/>
    <s v="Gold"/>
    <n v="37"/>
    <x v="1"/>
    <s v="Sports"/>
  </r>
  <r>
    <s v="SALE1750"/>
    <d v="2024-07-29T00:00:00"/>
    <x v="270"/>
    <x v="91"/>
    <x v="10"/>
    <n v="3"/>
    <n v="3"/>
    <n v="543.44000000000005"/>
    <n v="543.44000000000005"/>
    <n v="0.13"/>
    <n v="0.13"/>
    <x v="1"/>
    <n v="1418.3784000000001"/>
    <x v="1750"/>
    <s v="Platinum"/>
    <n v="49"/>
    <x v="1"/>
    <s v="Beauty"/>
  </r>
  <r>
    <s v="SALE1751"/>
    <d v="2024-01-05T00:00:00"/>
    <x v="99"/>
    <x v="0"/>
    <x v="12"/>
    <n v="4"/>
    <n v="4"/>
    <n v="715.42"/>
    <n v="715.42"/>
    <n v="0.28999999999999998"/>
    <n v="0.28999999999999998"/>
    <x v="1"/>
    <n v="2031.7927999999999"/>
    <x v="1751"/>
    <s v="Silver"/>
    <n v="42"/>
    <x v="0"/>
    <s v="Sports"/>
  </r>
  <r>
    <s v="SALE1752"/>
    <d v="2025-08-17T00:00:00"/>
    <x v="370"/>
    <x v="21"/>
    <x v="5"/>
    <n v="4"/>
    <n v="4"/>
    <n v="676.14"/>
    <n v="676.14"/>
    <n v="0.11"/>
    <n v="0.11"/>
    <x v="2"/>
    <n v="2407.0583999999999"/>
    <x v="1752"/>
    <s v="Gold"/>
    <n v="23"/>
    <x v="1"/>
    <s v="Beauty"/>
  </r>
  <r>
    <s v="SALE1753"/>
    <d v="2024-05-13T00:00:00"/>
    <x v="269"/>
    <x v="11"/>
    <x v="8"/>
    <n v="4"/>
    <n v="4"/>
    <n v="352.72"/>
    <n v="352.72"/>
    <n v="0.25"/>
    <n v="0.25"/>
    <x v="0"/>
    <n v="1058.1600000000001"/>
    <x v="1753"/>
    <s v="Platinum"/>
    <n v="43"/>
    <x v="0"/>
    <s v="Electronics"/>
  </r>
  <r>
    <s v="SALE1754"/>
    <d v="2025-05-20T00:00:00"/>
    <x v="348"/>
    <x v="75"/>
    <x v="18"/>
    <n v="1"/>
    <n v="1"/>
    <n v="470.18"/>
    <n v="470.18"/>
    <n v="0.19"/>
    <n v="0.19"/>
    <x v="1"/>
    <n v="380.84580000000011"/>
    <x v="1754"/>
    <s v="Platinum"/>
    <n v="41"/>
    <x v="1"/>
    <s v="Electronics"/>
  </r>
  <r>
    <s v="SALE1755"/>
    <d v="2025-08-29T00:00:00"/>
    <x v="409"/>
    <x v="73"/>
    <x v="19"/>
    <n v="1"/>
    <n v="1"/>
    <n v="891.79"/>
    <n v="891.79"/>
    <n v="0.03"/>
    <n v="0.03"/>
    <x v="0"/>
    <n v="865.03629999999998"/>
    <x v="1755"/>
    <s v="Bronze"/>
    <n v="29"/>
    <x v="0"/>
    <s v="Beauty"/>
  </r>
  <r>
    <s v="SALE1756"/>
    <d v="2024-04-08T00:00:00"/>
    <x v="14"/>
    <x v="41"/>
    <x v="1"/>
    <n v="2"/>
    <n v="2"/>
    <n v="433.07"/>
    <n v="433.07"/>
    <n v="0.25"/>
    <n v="0.25"/>
    <x v="2"/>
    <n v="649.60500000000002"/>
    <x v="1756"/>
    <s v="Silver"/>
    <n v="55"/>
    <x v="0"/>
    <s v="Beauty"/>
  </r>
  <r>
    <s v="SALE1757"/>
    <d v="2024-03-04T00:00:00"/>
    <x v="172"/>
    <x v="73"/>
    <x v="12"/>
    <n v="3"/>
    <n v="3"/>
    <n v="626.71"/>
    <n v="626.71"/>
    <n v="7.0000000000000007E-2"/>
    <n v="7.0000000000000007E-2"/>
    <x v="2"/>
    <n v="1748.5209"/>
    <x v="1757"/>
    <s v="Platinum"/>
    <n v="55"/>
    <x v="1"/>
    <s v="Beauty"/>
  </r>
  <r>
    <s v="SALE1758"/>
    <d v="2025-09-16T00:00:00"/>
    <x v="136"/>
    <x v="14"/>
    <x v="6"/>
    <n v="2"/>
    <n v="2"/>
    <n v="324.18"/>
    <n v="324.18"/>
    <n v="0.06"/>
    <n v="0.06"/>
    <x v="2"/>
    <n v="609.45839999999998"/>
    <x v="1758"/>
    <s v="Gold"/>
    <n v="37"/>
    <x v="0"/>
    <s v="Clothing"/>
  </r>
  <r>
    <s v="SALE1759"/>
    <d v="2024-06-05T00:00:00"/>
    <x v="199"/>
    <x v="66"/>
    <x v="1"/>
    <n v="4"/>
    <n v="4"/>
    <n v="839.74"/>
    <n v="839.74"/>
    <n v="0.13"/>
    <n v="0.13"/>
    <x v="1"/>
    <n v="2922.2952"/>
    <x v="1759"/>
    <s v="Silver"/>
    <n v="32"/>
    <x v="1"/>
    <s v="Home"/>
  </r>
  <r>
    <s v="SALE1760"/>
    <d v="2024-04-20T00:00:00"/>
    <x v="308"/>
    <x v="85"/>
    <x v="10"/>
    <n v="3"/>
    <n v="3"/>
    <n v="252.63"/>
    <n v="252.63"/>
    <n v="0.28000000000000003"/>
    <n v="0.28000000000000003"/>
    <x v="0"/>
    <n v="545.68079999999998"/>
    <x v="1760"/>
    <s v="Bronze"/>
    <n v="46"/>
    <x v="0"/>
    <s v="Electronics"/>
  </r>
  <r>
    <s v="SALE1761"/>
    <d v="2024-10-16T00:00:00"/>
    <x v="57"/>
    <x v="29"/>
    <x v="12"/>
    <n v="2"/>
    <n v="2"/>
    <n v="60.53"/>
    <n v="60.53"/>
    <n v="0.18"/>
    <n v="0.18"/>
    <x v="0"/>
    <n v="99.269200000000012"/>
    <x v="1761"/>
    <s v="Gold"/>
    <n v="21"/>
    <x v="0"/>
    <s v="Home"/>
  </r>
  <r>
    <s v="SALE1762"/>
    <d v="2024-11-14T00:00:00"/>
    <x v="76"/>
    <x v="94"/>
    <x v="13"/>
    <n v="4"/>
    <n v="4"/>
    <n v="341.95"/>
    <n v="341.95"/>
    <n v="0.25"/>
    <n v="0.25"/>
    <x v="0"/>
    <n v="1025.8499999999999"/>
    <x v="1762"/>
    <s v="Platinum"/>
    <n v="24"/>
    <x v="0"/>
    <s v="Home"/>
  </r>
  <r>
    <s v="SALE1763"/>
    <d v="2024-05-26T00:00:00"/>
    <x v="413"/>
    <x v="62"/>
    <x v="9"/>
    <n v="4"/>
    <n v="4"/>
    <n v="300.12"/>
    <n v="300.12"/>
    <n v="0.05"/>
    <n v="0.05"/>
    <x v="1"/>
    <n v="1140.4559999999999"/>
    <x v="1763"/>
    <s v="Silver"/>
    <n v="54"/>
    <x v="1"/>
    <s v="Sports"/>
  </r>
  <r>
    <s v="SALE1764"/>
    <d v="2025-02-17T00:00:00"/>
    <x v="71"/>
    <x v="77"/>
    <x v="1"/>
    <n v="2"/>
    <n v="2"/>
    <n v="289.14"/>
    <n v="289.14"/>
    <n v="0.12"/>
    <n v="0.12"/>
    <x v="2"/>
    <n v="508.88639999999998"/>
    <x v="1764"/>
    <s v="Platinum"/>
    <n v="53"/>
    <x v="1"/>
    <s v="Sports"/>
  </r>
  <r>
    <s v="SALE1765"/>
    <d v="2025-02-07T00:00:00"/>
    <x v="444"/>
    <x v="60"/>
    <x v="6"/>
    <n v="2"/>
    <n v="2"/>
    <n v="596.84"/>
    <n v="596.84"/>
    <n v="0.01"/>
    <n v="0.01"/>
    <x v="1"/>
    <n v="1181.7431999999999"/>
    <x v="1765"/>
    <s v="Gold"/>
    <n v="54"/>
    <x v="0"/>
    <s v="Clothing"/>
  </r>
  <r>
    <s v="SALE1766"/>
    <d v="2024-10-06T00:00:00"/>
    <x v="439"/>
    <x v="46"/>
    <x v="2"/>
    <n v="4"/>
    <n v="4"/>
    <n v="466.24"/>
    <n v="466.24"/>
    <n v="0.16"/>
    <n v="0.16"/>
    <x v="0"/>
    <n v="1566.5663999999999"/>
    <x v="1766"/>
    <s v="Gold"/>
    <n v="61"/>
    <x v="0"/>
    <s v="Sports"/>
  </r>
  <r>
    <s v="SALE1767"/>
    <d v="2024-09-09T00:00:00"/>
    <x v="487"/>
    <x v="26"/>
    <x v="9"/>
    <n v="2"/>
    <n v="2"/>
    <n v="330.59"/>
    <n v="330.59"/>
    <n v="0.14000000000000001"/>
    <n v="0.14000000000000001"/>
    <x v="0"/>
    <n v="568.61479999999995"/>
    <x v="1767"/>
    <s v="Silver"/>
    <n v="26"/>
    <x v="0"/>
    <s v="Electronics"/>
  </r>
  <r>
    <s v="SALE1768"/>
    <d v="2024-12-28T00:00:00"/>
    <x v="4"/>
    <x v="62"/>
    <x v="16"/>
    <n v="2"/>
    <n v="2"/>
    <n v="616.42999999999995"/>
    <n v="616.42999999999995"/>
    <n v="0.02"/>
    <n v="0.02"/>
    <x v="2"/>
    <n v="1208.2028"/>
    <x v="1768"/>
    <s v="Silver"/>
    <n v="28"/>
    <x v="0"/>
    <s v="Sports"/>
  </r>
  <r>
    <s v="SALE1769"/>
    <d v="2024-10-24T00:00:00"/>
    <x v="75"/>
    <x v="81"/>
    <x v="16"/>
    <n v="3"/>
    <n v="3"/>
    <n v="195.89"/>
    <n v="195.89"/>
    <n v="0.16"/>
    <n v="0.16"/>
    <x v="1"/>
    <n v="493.64280000000002"/>
    <x v="1769"/>
    <s v="Bronze"/>
    <n v="34"/>
    <x v="0"/>
    <s v="Beauty"/>
  </r>
  <r>
    <s v="SALE1770"/>
    <d v="2024-07-14T00:00:00"/>
    <x v="110"/>
    <x v="84"/>
    <x v="15"/>
    <n v="4"/>
    <n v="4"/>
    <n v="614.76"/>
    <n v="614.76"/>
    <n v="0.16"/>
    <n v="0.16"/>
    <x v="0"/>
    <n v="2065.5936000000002"/>
    <x v="1770"/>
    <s v="Bronze"/>
    <n v="38"/>
    <x v="0"/>
    <s v="Home"/>
  </r>
  <r>
    <s v="SALE1771"/>
    <d v="2024-05-06T00:00:00"/>
    <x v="53"/>
    <x v="29"/>
    <x v="4"/>
    <n v="1"/>
    <n v="1"/>
    <n v="224.49"/>
    <n v="224.49"/>
    <n v="0.11"/>
    <n v="0.11"/>
    <x v="1"/>
    <n v="199.7961"/>
    <x v="1771"/>
    <s v="Silver"/>
    <n v="22"/>
    <x v="1"/>
    <s v="Home"/>
  </r>
  <r>
    <s v="SALE1772"/>
    <d v="2024-02-16T00:00:00"/>
    <x v="412"/>
    <x v="76"/>
    <x v="18"/>
    <n v="1"/>
    <n v="1"/>
    <n v="967.76"/>
    <n v="967.76"/>
    <n v="0.09"/>
    <n v="0.09"/>
    <x v="0"/>
    <n v="880.66160000000002"/>
    <x v="1772"/>
    <s v="Bronze"/>
    <n v="54"/>
    <x v="0"/>
    <s v="Home"/>
  </r>
  <r>
    <s v="SALE1773"/>
    <d v="2024-08-03T00:00:00"/>
    <x v="101"/>
    <x v="89"/>
    <x v="12"/>
    <n v="2"/>
    <n v="2"/>
    <n v="56.52"/>
    <n v="56.52"/>
    <n v="0.17"/>
    <n v="0.17"/>
    <x v="1"/>
    <n v="93.8232"/>
    <x v="1773"/>
    <s v="Silver"/>
    <n v="58"/>
    <x v="0"/>
    <s v="Sports"/>
  </r>
  <r>
    <s v="SALE1774"/>
    <d v="2023-12-15T00:00:00"/>
    <x v="216"/>
    <x v="22"/>
    <x v="8"/>
    <n v="4"/>
    <n v="4"/>
    <n v="921.84"/>
    <n v="921.84"/>
    <n v="0.04"/>
    <n v="0.04"/>
    <x v="0"/>
    <n v="3539.8656000000001"/>
    <x v="1774"/>
    <s v="Platinum"/>
    <n v="23"/>
    <x v="0"/>
    <s v="Electronics"/>
  </r>
  <r>
    <s v="SALE1775"/>
    <d v="2024-01-28T00:00:00"/>
    <x v="342"/>
    <x v="56"/>
    <x v="9"/>
    <n v="3"/>
    <n v="3"/>
    <n v="738.47"/>
    <n v="738.47"/>
    <n v="0.28000000000000003"/>
    <n v="0.28000000000000003"/>
    <x v="0"/>
    <n v="1595.0952"/>
    <x v="1775"/>
    <s v="Platinum"/>
    <n v="46"/>
    <x v="0"/>
    <s v="Home"/>
  </r>
  <r>
    <s v="SALE1776"/>
    <d v="2024-11-24T00:00:00"/>
    <x v="342"/>
    <x v="23"/>
    <x v="6"/>
    <n v="4"/>
    <n v="4"/>
    <n v="477.83"/>
    <n v="477.83"/>
    <n v="0.05"/>
    <n v="0.05"/>
    <x v="2"/>
    <n v="1815.7539999999999"/>
    <x v="1776"/>
    <s v="Platinum"/>
    <n v="46"/>
    <x v="0"/>
    <s v="Clothing"/>
  </r>
  <r>
    <s v="SALE1777"/>
    <d v="2025-06-23T00:00:00"/>
    <x v="64"/>
    <x v="63"/>
    <x v="18"/>
    <n v="3"/>
    <n v="3"/>
    <n v="605.83000000000004"/>
    <n v="605.83000000000004"/>
    <n v="0.28000000000000003"/>
    <n v="0.28000000000000003"/>
    <x v="2"/>
    <n v="1308.5927999999999"/>
    <x v="1777"/>
    <s v="Platinum"/>
    <n v="36"/>
    <x v="1"/>
    <s v="Electronics"/>
  </r>
  <r>
    <s v="SALE1778"/>
    <d v="2024-03-22T00:00:00"/>
    <x v="101"/>
    <x v="19"/>
    <x v="0"/>
    <n v="2"/>
    <n v="2"/>
    <n v="521.44000000000005"/>
    <n v="521.44000000000005"/>
    <n v="0.25"/>
    <n v="0.25"/>
    <x v="2"/>
    <n v="782.16000000000008"/>
    <x v="1778"/>
    <s v="Silver"/>
    <n v="58"/>
    <x v="0"/>
    <s v="Electronics"/>
  </r>
  <r>
    <s v="SALE1779"/>
    <d v="2025-07-25T00:00:00"/>
    <x v="141"/>
    <x v="31"/>
    <x v="4"/>
    <n v="4"/>
    <n v="4"/>
    <n v="499.02"/>
    <n v="499.02"/>
    <n v="0.06"/>
    <n v="0.06"/>
    <x v="0"/>
    <n v="1876.3152"/>
    <x v="1779"/>
    <s v="Gold"/>
    <n v="37"/>
    <x v="1"/>
    <s v="Home"/>
  </r>
  <r>
    <s v="SALE1780"/>
    <d v="2025-04-11T00:00:00"/>
    <x v="175"/>
    <x v="83"/>
    <x v="14"/>
    <n v="4"/>
    <n v="4"/>
    <n v="299.45999999999998"/>
    <n v="299.45999999999998"/>
    <n v="0.18"/>
    <n v="0.18"/>
    <x v="2"/>
    <n v="982.22879999999998"/>
    <x v="1780"/>
    <s v="Bronze"/>
    <n v="31"/>
    <x v="0"/>
    <s v="Clothing"/>
  </r>
  <r>
    <s v="SALE1781"/>
    <d v="2023-12-25T00:00:00"/>
    <x v="414"/>
    <x v="11"/>
    <x v="6"/>
    <n v="1"/>
    <n v="1"/>
    <n v="609.29"/>
    <n v="609.29"/>
    <n v="0.15"/>
    <n v="0.15"/>
    <x v="0"/>
    <n v="517.89649999999995"/>
    <x v="1781"/>
    <s v="Platinum"/>
    <n v="59"/>
    <x v="0"/>
    <s v="Electronics"/>
  </r>
  <r>
    <s v="SALE1782"/>
    <d v="2024-12-30T00:00:00"/>
    <x v="210"/>
    <x v="95"/>
    <x v="2"/>
    <n v="1"/>
    <n v="1"/>
    <n v="213.74"/>
    <n v="213.74"/>
    <n v="7.0000000000000007E-2"/>
    <n v="7.0000000000000007E-2"/>
    <x v="2"/>
    <n v="198.7782"/>
    <x v="1782"/>
    <s v="Gold"/>
    <n v="29"/>
    <x v="0"/>
    <s v="Clothing"/>
  </r>
  <r>
    <s v="SALE1783"/>
    <d v="2025-03-02T00:00:00"/>
    <x v="175"/>
    <x v="76"/>
    <x v="9"/>
    <n v="4"/>
    <n v="4"/>
    <n v="613.16999999999996"/>
    <n v="613.16999999999996"/>
    <n v="0.26"/>
    <n v="0.26"/>
    <x v="0"/>
    <n v="1814.9831999999999"/>
    <x v="1783"/>
    <s v="Bronze"/>
    <n v="31"/>
    <x v="0"/>
    <s v="Home"/>
  </r>
  <r>
    <s v="SALE1784"/>
    <d v="2024-01-02T00:00:00"/>
    <x v="374"/>
    <x v="4"/>
    <x v="19"/>
    <n v="2"/>
    <n v="2"/>
    <n v="687.36"/>
    <n v="687.36"/>
    <n v="7.0000000000000007E-2"/>
    <n v="7.0000000000000007E-2"/>
    <x v="2"/>
    <n v="1278.4896000000001"/>
    <x v="1784"/>
    <s v="Gold"/>
    <n v="41"/>
    <x v="0"/>
    <s v="Beauty"/>
  </r>
  <r>
    <s v="SALE1785"/>
    <d v="2025-09-15T00:00:00"/>
    <x v="215"/>
    <x v="22"/>
    <x v="13"/>
    <n v="3"/>
    <n v="3"/>
    <n v="115.39"/>
    <n v="115.39"/>
    <n v="0.02"/>
    <n v="0.02"/>
    <x v="1"/>
    <n v="339.2466"/>
    <x v="1785"/>
    <s v="Gold"/>
    <n v="58"/>
    <x v="1"/>
    <s v="Electronics"/>
  </r>
  <r>
    <s v="SALE1786"/>
    <d v="2024-03-08T00:00:00"/>
    <x v="449"/>
    <x v="10"/>
    <x v="18"/>
    <n v="2"/>
    <n v="2"/>
    <n v="722.06"/>
    <n v="722.06"/>
    <n v="7.0000000000000007E-2"/>
    <n v="7.0000000000000007E-2"/>
    <x v="0"/>
    <n v="1343.0316"/>
    <x v="1786"/>
    <s v="Silver"/>
    <n v="43"/>
    <x v="1"/>
    <s v="Sports"/>
  </r>
  <r>
    <s v="SALE1787"/>
    <d v="2024-12-26T00:00:00"/>
    <x v="353"/>
    <x v="84"/>
    <x v="10"/>
    <n v="1"/>
    <n v="1"/>
    <n v="384.57"/>
    <n v="384.57"/>
    <n v="0.06"/>
    <n v="0.06"/>
    <x v="1"/>
    <n v="361.49579999999997"/>
    <x v="1787"/>
    <s v="Bronze"/>
    <n v="40"/>
    <x v="0"/>
    <s v="Home"/>
  </r>
  <r>
    <s v="SALE1788"/>
    <d v="2025-03-19T00:00:00"/>
    <x v="256"/>
    <x v="67"/>
    <x v="13"/>
    <n v="2"/>
    <n v="2"/>
    <n v="194.09"/>
    <n v="194.09"/>
    <n v="0.18"/>
    <n v="0.18"/>
    <x v="1"/>
    <n v="318.30759999999998"/>
    <x v="1788"/>
    <s v="Silver"/>
    <n v="48"/>
    <x v="0"/>
    <s v="Electronics"/>
  </r>
  <r>
    <s v="SALE1789"/>
    <d v="2024-10-14T00:00:00"/>
    <x v="396"/>
    <x v="12"/>
    <x v="0"/>
    <n v="2"/>
    <n v="2"/>
    <n v="403.91"/>
    <n v="403.91"/>
    <n v="7.0000000000000007E-2"/>
    <n v="7.0000000000000007E-2"/>
    <x v="0"/>
    <n v="751.27260000000001"/>
    <x v="1789"/>
    <s v="Bronze"/>
    <n v="41"/>
    <x v="1"/>
    <s v="Sports"/>
  </r>
  <r>
    <s v="SALE1790"/>
    <d v="2025-03-05T00:00:00"/>
    <x v="136"/>
    <x v="53"/>
    <x v="7"/>
    <n v="1"/>
    <n v="1"/>
    <n v="878.69"/>
    <n v="878.69"/>
    <n v="0.3"/>
    <n v="0.3"/>
    <x v="1"/>
    <n v="615.08299999999997"/>
    <x v="1790"/>
    <s v="Gold"/>
    <n v="37"/>
    <x v="0"/>
    <s v="Sports"/>
  </r>
  <r>
    <s v="SALE1791"/>
    <d v="2024-06-03T00:00:00"/>
    <x v="25"/>
    <x v="9"/>
    <x v="10"/>
    <n v="1"/>
    <n v="1"/>
    <n v="161.16999999999999"/>
    <n v="161.16999999999999"/>
    <n v="0.05"/>
    <n v="0.05"/>
    <x v="0"/>
    <n v="153.11150000000001"/>
    <x v="1791"/>
    <s v="Silver"/>
    <n v="50"/>
    <x v="0"/>
    <s v="Home"/>
  </r>
  <r>
    <s v="SALE1792"/>
    <d v="2024-04-05T00:00:00"/>
    <x v="96"/>
    <x v="78"/>
    <x v="7"/>
    <n v="2"/>
    <n v="2"/>
    <n v="720.15"/>
    <n v="720.15"/>
    <n v="0.22"/>
    <n v="0.22"/>
    <x v="2"/>
    <n v="1123.434"/>
    <x v="1792"/>
    <s v="Gold"/>
    <n v="61"/>
    <x v="0"/>
    <s v="Sports"/>
  </r>
  <r>
    <s v="SALE1793"/>
    <d v="2023-10-23T00:00:00"/>
    <x v="268"/>
    <x v="33"/>
    <x v="2"/>
    <n v="1"/>
    <n v="1"/>
    <n v="361.8"/>
    <n v="361.8"/>
    <n v="0.02"/>
    <n v="0.02"/>
    <x v="2"/>
    <n v="354.56400000000002"/>
    <x v="1793"/>
    <s v="Gold"/>
    <n v="39"/>
    <x v="1"/>
    <s v="Electronics"/>
  </r>
  <r>
    <s v="SALE1794"/>
    <d v="2024-04-20T00:00:00"/>
    <x v="409"/>
    <x v="98"/>
    <x v="16"/>
    <n v="1"/>
    <n v="1"/>
    <n v="779.84"/>
    <n v="779.84"/>
    <n v="0.28999999999999998"/>
    <n v="0.28999999999999998"/>
    <x v="1"/>
    <n v="553.68640000000005"/>
    <x v="1794"/>
    <s v="Bronze"/>
    <n v="29"/>
    <x v="0"/>
    <s v="Sports"/>
  </r>
  <r>
    <s v="SALE1795"/>
    <d v="2024-06-12T00:00:00"/>
    <x v="435"/>
    <x v="99"/>
    <x v="5"/>
    <n v="2"/>
    <n v="2"/>
    <n v="649.89"/>
    <n v="649.89"/>
    <n v="0.17"/>
    <n v="0.17"/>
    <x v="2"/>
    <n v="1078.8173999999999"/>
    <x v="1795"/>
    <s v="Silver"/>
    <n v="64"/>
    <x v="1"/>
    <s v="Clothing"/>
  </r>
  <r>
    <s v="SALE1796"/>
    <d v="2025-08-08T00:00:00"/>
    <x v="329"/>
    <x v="27"/>
    <x v="16"/>
    <n v="1"/>
    <n v="1"/>
    <n v="952.73"/>
    <n v="952.73"/>
    <n v="0.17"/>
    <n v="0.17"/>
    <x v="0"/>
    <n v="790.76589999999999"/>
    <x v="1796"/>
    <s v="Platinum"/>
    <n v="52"/>
    <x v="0"/>
    <s v="Clothing"/>
  </r>
  <r>
    <s v="SALE1797"/>
    <d v="2025-08-06T00:00:00"/>
    <x v="42"/>
    <x v="8"/>
    <x v="9"/>
    <n v="4"/>
    <n v="4"/>
    <n v="820.78"/>
    <n v="820.78"/>
    <n v="0.25"/>
    <n v="0.25"/>
    <x v="0"/>
    <n v="2462.34"/>
    <x v="1797"/>
    <s v="Platinum"/>
    <n v="26"/>
    <x v="1"/>
    <s v="Home"/>
  </r>
  <r>
    <s v="SALE1798"/>
    <d v="2024-10-27T00:00:00"/>
    <x v="395"/>
    <x v="48"/>
    <x v="0"/>
    <n v="4"/>
    <n v="4"/>
    <n v="247.55"/>
    <n v="247.55"/>
    <n v="0.05"/>
    <n v="0.05"/>
    <x v="0"/>
    <n v="940.69"/>
    <x v="1798"/>
    <s v="Bronze"/>
    <n v="30"/>
    <x v="1"/>
    <s v="Sports"/>
  </r>
  <r>
    <s v="SALE1799"/>
    <d v="2024-03-18T00:00:00"/>
    <x v="466"/>
    <x v="8"/>
    <x v="2"/>
    <n v="3"/>
    <n v="3"/>
    <n v="561.44000000000005"/>
    <n v="561.44000000000005"/>
    <n v="0.2"/>
    <n v="0.2"/>
    <x v="2"/>
    <n v="1347.4559999999999"/>
    <x v="1799"/>
    <s v="Gold"/>
    <n v="63"/>
    <x v="1"/>
    <s v="Home"/>
  </r>
  <r>
    <s v="SALE1800"/>
    <d v="2023-11-19T00:00:00"/>
    <x v="373"/>
    <x v="18"/>
    <x v="2"/>
    <n v="4"/>
    <n v="4"/>
    <n v="214.37"/>
    <n v="214.37"/>
    <n v="0.11"/>
    <n v="0.11"/>
    <x v="2"/>
    <n v="763.15719999999999"/>
    <x v="1800"/>
    <s v="Platinum"/>
    <n v="59"/>
    <x v="0"/>
    <s v="Sports"/>
  </r>
  <r>
    <s v="SALE1801"/>
    <d v="2025-03-25T00:00:00"/>
    <x v="222"/>
    <x v="53"/>
    <x v="9"/>
    <n v="3"/>
    <n v="3"/>
    <n v="123.74"/>
    <n v="123.74"/>
    <n v="0.23"/>
    <n v="0.23"/>
    <x v="1"/>
    <n v="285.83940000000001"/>
    <x v="1801"/>
    <s v="Bronze"/>
    <n v="64"/>
    <x v="1"/>
    <s v="Sports"/>
  </r>
  <r>
    <s v="SALE1802"/>
    <d v="2024-05-15T00:00:00"/>
    <x v="199"/>
    <x v="22"/>
    <x v="19"/>
    <n v="4"/>
    <n v="4"/>
    <n v="645.71"/>
    <n v="645.71"/>
    <n v="0.1"/>
    <n v="0.1"/>
    <x v="1"/>
    <n v="2324.556"/>
    <x v="1802"/>
    <s v="Silver"/>
    <n v="32"/>
    <x v="1"/>
    <s v="Electronics"/>
  </r>
  <r>
    <s v="SALE1803"/>
    <d v="2025-03-20T00:00:00"/>
    <x v="153"/>
    <x v="39"/>
    <x v="18"/>
    <n v="3"/>
    <n v="3"/>
    <n v="587.12"/>
    <n v="587.12"/>
    <n v="0.3"/>
    <n v="0.3"/>
    <x v="0"/>
    <n v="1232.952"/>
    <x v="1803"/>
    <s v="Platinum"/>
    <n v="25"/>
    <x v="0"/>
    <s v="Home"/>
  </r>
  <r>
    <s v="SALE1804"/>
    <d v="2025-10-11T00:00:00"/>
    <x v="254"/>
    <x v="60"/>
    <x v="14"/>
    <n v="1"/>
    <n v="1"/>
    <n v="401.18"/>
    <n v="401.18"/>
    <n v="0.15"/>
    <n v="0.15"/>
    <x v="2"/>
    <n v="341.00299999999999"/>
    <x v="1804"/>
    <s v="Platinum"/>
    <n v="31"/>
    <x v="0"/>
    <s v="Clothing"/>
  </r>
  <r>
    <s v="SALE1805"/>
    <d v="2024-07-13T00:00:00"/>
    <x v="302"/>
    <x v="87"/>
    <x v="14"/>
    <n v="3"/>
    <n v="3"/>
    <n v="658.33"/>
    <n v="658.33"/>
    <n v="0.12"/>
    <n v="0.12"/>
    <x v="2"/>
    <n v="1737.9911999999999"/>
    <x v="1805"/>
    <s v="Platinum"/>
    <n v="40"/>
    <x v="1"/>
    <s v="Clothing"/>
  </r>
  <r>
    <s v="SALE1806"/>
    <d v="2024-07-01T00:00:00"/>
    <x v="114"/>
    <x v="2"/>
    <x v="19"/>
    <n v="4"/>
    <n v="4"/>
    <n v="450.3"/>
    <n v="450.3"/>
    <n v="0.02"/>
    <n v="0.02"/>
    <x v="0"/>
    <n v="1765.1759999999999"/>
    <x v="1806"/>
    <s v="Bronze"/>
    <n v="25"/>
    <x v="1"/>
    <s v="Beauty"/>
  </r>
  <r>
    <s v="SALE1807"/>
    <d v="2025-04-10T00:00:00"/>
    <x v="281"/>
    <x v="32"/>
    <x v="15"/>
    <n v="4"/>
    <n v="4"/>
    <n v="33.630000000000003"/>
    <n v="33.630000000000003"/>
    <n v="0.05"/>
    <n v="0.05"/>
    <x v="0"/>
    <n v="127.794"/>
    <x v="1807"/>
    <s v="Platinum"/>
    <n v="46"/>
    <x v="0"/>
    <s v="Beauty"/>
  </r>
  <r>
    <s v="SALE1808"/>
    <d v="2024-07-02T00:00:00"/>
    <x v="67"/>
    <x v="30"/>
    <x v="6"/>
    <n v="3"/>
    <n v="3"/>
    <n v="168.89"/>
    <n v="168.89"/>
    <n v="0.03"/>
    <n v="0.03"/>
    <x v="2"/>
    <n v="491.46989999999988"/>
    <x v="1808"/>
    <s v="Silver"/>
    <n v="52"/>
    <x v="0"/>
    <s v="OTHERS"/>
  </r>
  <r>
    <s v="SALE1809"/>
    <d v="2024-09-11T00:00:00"/>
    <x v="50"/>
    <x v="17"/>
    <x v="19"/>
    <n v="1"/>
    <n v="1"/>
    <n v="141.85"/>
    <n v="141.85"/>
    <n v="0.06"/>
    <n v="0.06"/>
    <x v="1"/>
    <n v="133.339"/>
    <x v="1809"/>
    <s v="Platinum"/>
    <n v="62"/>
    <x v="1"/>
    <s v="Beauty"/>
  </r>
  <r>
    <s v="SALE1810"/>
    <d v="2024-08-16T00:00:00"/>
    <x v="408"/>
    <x v="68"/>
    <x v="4"/>
    <n v="1"/>
    <n v="1"/>
    <n v="617.4"/>
    <n v="617.4"/>
    <n v="0.21"/>
    <n v="0.21"/>
    <x v="0"/>
    <n v="487.74599999999998"/>
    <x v="1810"/>
    <s v="Platinum"/>
    <n v="44"/>
    <x v="0"/>
    <s v="Home"/>
  </r>
  <r>
    <s v="SALE1811"/>
    <d v="2024-08-30T00:00:00"/>
    <x v="347"/>
    <x v="27"/>
    <x v="8"/>
    <n v="3"/>
    <n v="3"/>
    <n v="841.47"/>
    <n v="841.47"/>
    <n v="0.15"/>
    <n v="0.15"/>
    <x v="2"/>
    <n v="2145.7485000000001"/>
    <x v="1811"/>
    <s v="Platinum"/>
    <n v="49"/>
    <x v="1"/>
    <s v="Clothing"/>
  </r>
  <r>
    <s v="SALE1812"/>
    <d v="2024-02-12T00:00:00"/>
    <x v="358"/>
    <x v="39"/>
    <x v="13"/>
    <n v="2"/>
    <n v="2"/>
    <n v="960.41"/>
    <n v="960.41"/>
    <n v="0.18"/>
    <n v="0.18"/>
    <x v="0"/>
    <n v="1575.0724"/>
    <x v="1812"/>
    <s v="Platinum"/>
    <n v="53"/>
    <x v="0"/>
    <s v="Home"/>
  </r>
  <r>
    <s v="SALE1813"/>
    <d v="2023-12-29T00:00:00"/>
    <x v="231"/>
    <x v="28"/>
    <x v="14"/>
    <n v="3"/>
    <n v="3"/>
    <n v="717.22"/>
    <n v="717.22"/>
    <n v="0.24"/>
    <n v="0.24"/>
    <x v="1"/>
    <n v="1635.2616"/>
    <x v="1813"/>
    <s v="Gold"/>
    <n v="46"/>
    <x v="0"/>
    <s v="Clothing"/>
  </r>
  <r>
    <s v="SALE1814"/>
    <d v="2025-06-24T00:00:00"/>
    <x v="71"/>
    <x v="21"/>
    <x v="6"/>
    <n v="1"/>
    <n v="1"/>
    <n v="281.83"/>
    <n v="281.83"/>
    <n v="0.16"/>
    <n v="0.16"/>
    <x v="2"/>
    <n v="236.7372"/>
    <x v="1814"/>
    <s v="Platinum"/>
    <n v="53"/>
    <x v="1"/>
    <s v="Beauty"/>
  </r>
  <r>
    <s v="SALE1815"/>
    <d v="2024-04-18T00:00:00"/>
    <x v="329"/>
    <x v="4"/>
    <x v="7"/>
    <n v="1"/>
    <n v="1"/>
    <n v="509.08"/>
    <n v="509.08"/>
    <n v="0.04"/>
    <n v="0.04"/>
    <x v="1"/>
    <n v="488.71679999999998"/>
    <x v="1815"/>
    <s v="Platinum"/>
    <n v="52"/>
    <x v="0"/>
    <s v="Beauty"/>
  </r>
  <r>
    <s v="SALE1816"/>
    <d v="2025-09-30T00:00:00"/>
    <x v="453"/>
    <x v="99"/>
    <x v="17"/>
    <n v="4"/>
    <n v="4"/>
    <n v="827.09"/>
    <n v="827.09"/>
    <n v="0.3"/>
    <n v="0.3"/>
    <x v="0"/>
    <n v="2315.8519999999999"/>
    <x v="1816"/>
    <s v="Platinum"/>
    <n v="57"/>
    <x v="1"/>
    <s v="Clothing"/>
  </r>
  <r>
    <s v="SALE1817"/>
    <d v="2025-10-05T00:00:00"/>
    <x v="256"/>
    <x v="35"/>
    <x v="5"/>
    <n v="2"/>
    <n v="2"/>
    <n v="823.36"/>
    <n v="823.36"/>
    <n v="0.23"/>
    <n v="0.23"/>
    <x v="0"/>
    <n v="1267.9744000000001"/>
    <x v="1817"/>
    <s v="Silver"/>
    <n v="48"/>
    <x v="0"/>
    <s v="Home"/>
  </r>
  <r>
    <s v="SALE1818"/>
    <d v="2025-06-06T00:00:00"/>
    <x v="488"/>
    <x v="33"/>
    <x v="3"/>
    <n v="4"/>
    <n v="4"/>
    <n v="282.18"/>
    <n v="282.18"/>
    <n v="0.13"/>
    <n v="0.13"/>
    <x v="2"/>
    <n v="981.9864"/>
    <x v="1818"/>
    <s v="Platinum"/>
    <n v="55"/>
    <x v="1"/>
    <s v="Electronics"/>
  </r>
  <r>
    <s v="SALE1819"/>
    <d v="2024-02-01T00:00:00"/>
    <x v="396"/>
    <x v="39"/>
    <x v="8"/>
    <n v="1"/>
    <n v="1"/>
    <n v="486.39"/>
    <n v="486.39"/>
    <n v="0.09"/>
    <n v="0.09"/>
    <x v="2"/>
    <n v="442.61489999999998"/>
    <x v="1819"/>
    <s v="Bronze"/>
    <n v="41"/>
    <x v="1"/>
    <s v="Home"/>
  </r>
  <r>
    <s v="SALE1820"/>
    <d v="2024-01-21T00:00:00"/>
    <x v="197"/>
    <x v="97"/>
    <x v="0"/>
    <n v="2"/>
    <n v="2"/>
    <n v="603.62"/>
    <n v="603.62"/>
    <n v="0.18"/>
    <n v="0.18"/>
    <x v="2"/>
    <n v="989.93680000000006"/>
    <x v="1820"/>
    <s v="Bronze"/>
    <n v="34"/>
    <x v="0"/>
    <s v="Clothing"/>
  </r>
  <r>
    <s v="SALE1821"/>
    <d v="2024-09-19T00:00:00"/>
    <x v="347"/>
    <x v="92"/>
    <x v="2"/>
    <n v="3"/>
    <n v="3"/>
    <n v="204.17"/>
    <n v="204.17"/>
    <n v="0.1"/>
    <n v="0.1"/>
    <x v="1"/>
    <n v="551.25900000000001"/>
    <x v="1821"/>
    <s v="Platinum"/>
    <n v="49"/>
    <x v="1"/>
    <s v="Clothing"/>
  </r>
  <r>
    <s v="SALE1822"/>
    <d v="2024-01-19T00:00:00"/>
    <x v="488"/>
    <x v="67"/>
    <x v="10"/>
    <n v="1"/>
    <n v="1"/>
    <n v="43.58"/>
    <n v="43.58"/>
    <n v="0.01"/>
    <n v="0.01"/>
    <x v="2"/>
    <n v="43.144199999999998"/>
    <x v="1822"/>
    <s v="Platinum"/>
    <n v="55"/>
    <x v="1"/>
    <s v="Electronics"/>
  </r>
  <r>
    <s v="SALE1823"/>
    <d v="2024-10-29T00:00:00"/>
    <x v="238"/>
    <x v="44"/>
    <x v="17"/>
    <n v="3"/>
    <n v="3"/>
    <n v="469.33"/>
    <n v="469.33"/>
    <n v="0.14000000000000001"/>
    <n v="0.14000000000000001"/>
    <x v="1"/>
    <n v="1210.8714"/>
    <x v="1823"/>
    <s v="Bronze"/>
    <n v="34"/>
    <x v="1"/>
    <s v="Beauty"/>
  </r>
  <r>
    <s v="SALE1824"/>
    <d v="2025-07-02T00:00:00"/>
    <x v="204"/>
    <x v="67"/>
    <x v="2"/>
    <n v="4"/>
    <n v="4"/>
    <n v="836.23"/>
    <n v="836.23"/>
    <n v="0.12"/>
    <n v="0.12"/>
    <x v="0"/>
    <n v="2943.5295999999998"/>
    <x v="1824"/>
    <s v="Platinum"/>
    <n v="50"/>
    <x v="1"/>
    <s v="Electronics"/>
  </r>
  <r>
    <s v="SALE1825"/>
    <d v="2024-09-14T00:00:00"/>
    <x v="118"/>
    <x v="22"/>
    <x v="12"/>
    <n v="2"/>
    <n v="2"/>
    <n v="661.53"/>
    <n v="661.53"/>
    <n v="0.2"/>
    <n v="0.2"/>
    <x v="1"/>
    <n v="1058.4480000000001"/>
    <x v="1825"/>
    <s v="Bronze"/>
    <n v="33"/>
    <x v="1"/>
    <s v="Electronics"/>
  </r>
  <r>
    <s v="SALE1826"/>
    <d v="2025-09-03T00:00:00"/>
    <x v="208"/>
    <x v="6"/>
    <x v="9"/>
    <n v="3"/>
    <n v="3"/>
    <n v="753.47"/>
    <n v="753.47"/>
    <n v="0.25"/>
    <n v="0.25"/>
    <x v="1"/>
    <n v="1695.3074999999999"/>
    <x v="1826"/>
    <s v="Platinum"/>
    <n v="36"/>
    <x v="0"/>
    <s v="Home"/>
  </r>
  <r>
    <s v="SALE1827"/>
    <d v="2025-01-16T00:00:00"/>
    <x v="308"/>
    <x v="91"/>
    <x v="6"/>
    <n v="3"/>
    <n v="3"/>
    <n v="713.95"/>
    <n v="713.95"/>
    <n v="0"/>
    <n v="0"/>
    <x v="0"/>
    <n v="2141.85"/>
    <x v="1827"/>
    <s v="Bronze"/>
    <n v="46"/>
    <x v="0"/>
    <s v="Beauty"/>
  </r>
  <r>
    <s v="SALE1828"/>
    <d v="2024-04-13T00:00:00"/>
    <x v="179"/>
    <x v="75"/>
    <x v="3"/>
    <n v="3"/>
    <n v="3"/>
    <n v="596"/>
    <n v="596"/>
    <n v="0.28000000000000003"/>
    <n v="0.28000000000000003"/>
    <x v="2"/>
    <n v="1287.3599999999999"/>
    <x v="1828"/>
    <s v="Silver"/>
    <n v="35"/>
    <x v="0"/>
    <s v="Electronics"/>
  </r>
  <r>
    <s v="SALE1829"/>
    <d v="2024-03-28T00:00:00"/>
    <x v="159"/>
    <x v="93"/>
    <x v="11"/>
    <n v="2"/>
    <n v="2"/>
    <n v="169.46"/>
    <n v="169.46"/>
    <n v="0.03"/>
    <n v="0.03"/>
    <x v="1"/>
    <n v="328.75240000000002"/>
    <x v="1829"/>
    <s v="Silver"/>
    <n v="50"/>
    <x v="1"/>
    <s v="Sports"/>
  </r>
  <r>
    <s v="SALE1830"/>
    <d v="2025-07-22T00:00:00"/>
    <x v="301"/>
    <x v="15"/>
    <x v="7"/>
    <n v="4"/>
    <n v="4"/>
    <n v="611.91999999999996"/>
    <n v="611.91999999999996"/>
    <n v="0.2"/>
    <n v="0.2"/>
    <x v="1"/>
    <n v="1958.144"/>
    <x v="1830"/>
    <s v="Silver"/>
    <n v="29"/>
    <x v="0"/>
    <s v="Sports"/>
  </r>
  <r>
    <s v="SALE1831"/>
    <d v="2025-02-16T00:00:00"/>
    <x v="458"/>
    <x v="1"/>
    <x v="10"/>
    <n v="2"/>
    <n v="2"/>
    <n v="25.3"/>
    <n v="25.3"/>
    <n v="0.21"/>
    <n v="0.21"/>
    <x v="0"/>
    <n v="39.973999999999997"/>
    <x v="1831"/>
    <s v="Bronze"/>
    <n v="59"/>
    <x v="1"/>
    <s v="Electronics"/>
  </r>
  <r>
    <s v="SALE1832"/>
    <d v="2024-02-05T00:00:00"/>
    <x v="207"/>
    <x v="78"/>
    <x v="15"/>
    <n v="4"/>
    <n v="4"/>
    <n v="166.93"/>
    <n v="166.93"/>
    <n v="0.02"/>
    <n v="0.02"/>
    <x v="1"/>
    <n v="654.36559999999997"/>
    <x v="1832"/>
    <s v="Silver"/>
    <n v="51"/>
    <x v="1"/>
    <s v="Sports"/>
  </r>
  <r>
    <s v="SALE1833"/>
    <d v="2025-03-05T00:00:00"/>
    <x v="432"/>
    <x v="17"/>
    <x v="19"/>
    <n v="4"/>
    <n v="4"/>
    <n v="861.55"/>
    <n v="861.55"/>
    <n v="0.12"/>
    <n v="0.12"/>
    <x v="0"/>
    <n v="3032.6559999999999"/>
    <x v="1833"/>
    <s v="Bronze"/>
    <n v="48"/>
    <x v="0"/>
    <s v="Beauty"/>
  </r>
  <r>
    <s v="SALE1834"/>
    <d v="2025-07-04T00:00:00"/>
    <x v="258"/>
    <x v="19"/>
    <x v="3"/>
    <n v="3"/>
    <n v="3"/>
    <n v="56.17"/>
    <n v="56.17"/>
    <n v="0.01"/>
    <n v="0.01"/>
    <x v="2"/>
    <n v="166.82490000000001"/>
    <x v="1834"/>
    <s v="Platinum"/>
    <n v="34"/>
    <x v="0"/>
    <s v="Electronics"/>
  </r>
  <r>
    <s v="SALE1835"/>
    <d v="2025-07-24T00:00:00"/>
    <x v="176"/>
    <x v="5"/>
    <x v="12"/>
    <n v="1"/>
    <n v="1"/>
    <n v="582.29"/>
    <n v="582.29"/>
    <n v="0.2"/>
    <n v="0.2"/>
    <x v="0"/>
    <n v="465.83199999999999"/>
    <x v="1835"/>
    <s v="Bronze"/>
    <n v="32"/>
    <x v="1"/>
    <s v="Electronics"/>
  </r>
  <r>
    <s v="SALE1836"/>
    <d v="2025-01-24T00:00:00"/>
    <x v="321"/>
    <x v="50"/>
    <x v="6"/>
    <n v="3"/>
    <n v="3"/>
    <n v="63.96"/>
    <n v="63.96"/>
    <n v="0.02"/>
    <n v="0.02"/>
    <x v="0"/>
    <n v="188.04239999999999"/>
    <x v="1836"/>
    <s v="Silver"/>
    <n v="27"/>
    <x v="1"/>
    <s v="Beauty"/>
  </r>
  <r>
    <s v="SALE1837"/>
    <d v="2024-04-10T00:00:00"/>
    <x v="10"/>
    <x v="93"/>
    <x v="18"/>
    <n v="1"/>
    <n v="1"/>
    <n v="829.83"/>
    <n v="829.83"/>
    <n v="0.26"/>
    <n v="0.26"/>
    <x v="2"/>
    <n v="614.07420000000002"/>
    <x v="1837"/>
    <s v="Silver"/>
    <n v="21"/>
    <x v="1"/>
    <s v="Sports"/>
  </r>
  <r>
    <s v="SALE1838"/>
    <d v="2024-10-21T00:00:00"/>
    <x v="260"/>
    <x v="13"/>
    <x v="9"/>
    <n v="2"/>
    <n v="2"/>
    <n v="858.15"/>
    <n v="858.15"/>
    <n v="0.03"/>
    <n v="0.03"/>
    <x v="0"/>
    <n v="1664.8109999999999"/>
    <x v="1838"/>
    <s v="Silver"/>
    <n v="45"/>
    <x v="0"/>
    <s v="Electronics"/>
  </r>
  <r>
    <s v="SALE1839"/>
    <d v="2024-02-18T00:00:00"/>
    <x v="448"/>
    <x v="78"/>
    <x v="13"/>
    <n v="3"/>
    <n v="3"/>
    <n v="717.32"/>
    <n v="717.32"/>
    <n v="0.23"/>
    <n v="0.23"/>
    <x v="2"/>
    <n v="1657.0092"/>
    <x v="1839"/>
    <s v="Silver"/>
    <n v="32"/>
    <x v="0"/>
    <s v="Sports"/>
  </r>
  <r>
    <s v="SALE1840"/>
    <d v="2025-07-15T00:00:00"/>
    <x v="155"/>
    <x v="50"/>
    <x v="18"/>
    <n v="1"/>
    <n v="1"/>
    <n v="163.19999999999999"/>
    <n v="163.19999999999999"/>
    <n v="0.22"/>
    <n v="0.22"/>
    <x v="1"/>
    <n v="127.29600000000001"/>
    <x v="1840"/>
    <s v="Bronze"/>
    <n v="27"/>
    <x v="1"/>
    <s v="Beauty"/>
  </r>
  <r>
    <s v="SALE1841"/>
    <d v="2024-07-16T00:00:00"/>
    <x v="56"/>
    <x v="82"/>
    <x v="18"/>
    <n v="2"/>
    <n v="2"/>
    <n v="966.71"/>
    <n v="966.71"/>
    <n v="0.11"/>
    <n v="0.11"/>
    <x v="0"/>
    <n v="1720.7438"/>
    <x v="1841"/>
    <s v="Gold"/>
    <n v="62"/>
    <x v="1"/>
    <s v="Sports"/>
  </r>
  <r>
    <s v="SALE1842"/>
    <d v="2025-04-14T00:00:00"/>
    <x v="14"/>
    <x v="68"/>
    <x v="13"/>
    <n v="2"/>
    <n v="2"/>
    <n v="873.94"/>
    <n v="873.94"/>
    <n v="0.14000000000000001"/>
    <n v="0.14000000000000001"/>
    <x v="2"/>
    <n v="1503.1768"/>
    <x v="1842"/>
    <s v="Silver"/>
    <n v="55"/>
    <x v="0"/>
    <s v="Home"/>
  </r>
  <r>
    <s v="SALE1843"/>
    <d v="2024-03-28T00:00:00"/>
    <x v="341"/>
    <x v="90"/>
    <x v="0"/>
    <n v="1"/>
    <n v="1"/>
    <n v="140.24"/>
    <n v="140.24"/>
    <n v="0.27"/>
    <n v="0.27"/>
    <x v="0"/>
    <n v="102.37520000000001"/>
    <x v="1843"/>
    <s v="Platinum"/>
    <n v="33"/>
    <x v="0"/>
    <s v="Electronics"/>
  </r>
  <r>
    <s v="SALE1844"/>
    <d v="2025-02-28T00:00:00"/>
    <x v="114"/>
    <x v="19"/>
    <x v="3"/>
    <n v="2"/>
    <n v="2"/>
    <n v="549.91999999999996"/>
    <n v="549.91999999999996"/>
    <n v="0.28000000000000003"/>
    <n v="0.28000000000000003"/>
    <x v="0"/>
    <n v="791.88479999999993"/>
    <x v="1844"/>
    <s v="Bronze"/>
    <n v="25"/>
    <x v="1"/>
    <s v="Electronics"/>
  </r>
  <r>
    <s v="SALE1845"/>
    <d v="2024-03-13T00:00:00"/>
    <x v="489"/>
    <x v="53"/>
    <x v="3"/>
    <n v="4"/>
    <n v="4"/>
    <n v="715.88"/>
    <n v="715.88"/>
    <n v="0.19"/>
    <n v="0.19"/>
    <x v="1"/>
    <n v="2319.4512"/>
    <x v="1845"/>
    <s v="Platinum"/>
    <n v="18"/>
    <x v="1"/>
    <s v="Sports"/>
  </r>
  <r>
    <s v="SALE1846"/>
    <d v="2025-04-05T00:00:00"/>
    <x v="171"/>
    <x v="95"/>
    <x v="2"/>
    <n v="3"/>
    <n v="3"/>
    <n v="591.9"/>
    <n v="591.9"/>
    <n v="0.27"/>
    <n v="0.27"/>
    <x v="0"/>
    <n v="1296.261"/>
    <x v="1846"/>
    <s v="Platinum"/>
    <n v="21"/>
    <x v="1"/>
    <s v="Clothing"/>
  </r>
  <r>
    <s v="SALE1847"/>
    <d v="2025-08-14T00:00:00"/>
    <x v="446"/>
    <x v="62"/>
    <x v="15"/>
    <n v="2"/>
    <n v="2"/>
    <n v="523.14"/>
    <n v="523.14"/>
    <n v="0.13"/>
    <n v="0.13"/>
    <x v="1"/>
    <n v="910.2636"/>
    <x v="1847"/>
    <s v="Platinum"/>
    <n v="26"/>
    <x v="0"/>
    <s v="Sports"/>
  </r>
  <r>
    <s v="SALE1848"/>
    <d v="2024-07-04T00:00:00"/>
    <x v="473"/>
    <x v="20"/>
    <x v="7"/>
    <n v="2"/>
    <n v="2"/>
    <n v="478.62"/>
    <n v="478.62"/>
    <n v="0.17"/>
    <n v="0.17"/>
    <x v="2"/>
    <n v="794.50919999999996"/>
    <x v="1848"/>
    <s v="Gold"/>
    <n v="54"/>
    <x v="0"/>
    <s v="Clothing"/>
  </r>
  <r>
    <s v="SALE1849"/>
    <d v="2024-09-21T00:00:00"/>
    <x v="462"/>
    <x v="74"/>
    <x v="8"/>
    <n v="4"/>
    <n v="4"/>
    <n v="740.5"/>
    <n v="740.5"/>
    <n v="0.17"/>
    <n v="0.17"/>
    <x v="1"/>
    <n v="2458.46"/>
    <x v="1849"/>
    <s v="Platinum"/>
    <n v="48"/>
    <x v="1"/>
    <s v="Sports"/>
  </r>
  <r>
    <s v="SALE1850"/>
    <d v="2024-06-22T00:00:00"/>
    <x v="459"/>
    <x v="54"/>
    <x v="17"/>
    <n v="1"/>
    <n v="1"/>
    <n v="780.24"/>
    <n v="780.24"/>
    <n v="0.04"/>
    <n v="0.04"/>
    <x v="2"/>
    <n v="749.03039999999999"/>
    <x v="1850"/>
    <s v="Silver"/>
    <n v="27"/>
    <x v="1"/>
    <s v="Clothing"/>
  </r>
  <r>
    <s v="SALE1851"/>
    <d v="2024-09-17T00:00:00"/>
    <x v="183"/>
    <x v="7"/>
    <x v="9"/>
    <n v="4"/>
    <n v="4"/>
    <n v="579.24"/>
    <n v="579.24"/>
    <n v="0.04"/>
    <n v="0.04"/>
    <x v="2"/>
    <n v="2224.2815999999998"/>
    <x v="1851"/>
    <s v="Platinum"/>
    <n v="62"/>
    <x v="1"/>
    <s v="Home"/>
  </r>
  <r>
    <s v="SALE1852"/>
    <d v="2024-12-09T00:00:00"/>
    <x v="171"/>
    <x v="55"/>
    <x v="17"/>
    <n v="3"/>
    <n v="3"/>
    <n v="268.95"/>
    <n v="268.95"/>
    <n v="0.04"/>
    <n v="0.04"/>
    <x v="1"/>
    <n v="774.57599999999991"/>
    <x v="1852"/>
    <s v="Platinum"/>
    <n v="21"/>
    <x v="1"/>
    <s v="Clothing"/>
  </r>
  <r>
    <s v="SALE1853"/>
    <d v="2025-03-24T00:00:00"/>
    <x v="428"/>
    <x v="23"/>
    <x v="5"/>
    <n v="1"/>
    <n v="1"/>
    <n v="47.47"/>
    <n v="47.47"/>
    <n v="0.28000000000000003"/>
    <n v="0.28000000000000003"/>
    <x v="0"/>
    <n v="34.178400000000003"/>
    <x v="1853"/>
    <s v="Platinum"/>
    <n v="64"/>
    <x v="0"/>
    <s v="Clothing"/>
  </r>
  <r>
    <s v="SALE1854"/>
    <d v="2025-05-19T00:00:00"/>
    <x v="99"/>
    <x v="9"/>
    <x v="1"/>
    <n v="3"/>
    <n v="3"/>
    <n v="858.81"/>
    <n v="858.81"/>
    <n v="7.0000000000000007E-2"/>
    <n v="7.0000000000000007E-2"/>
    <x v="0"/>
    <n v="2396.0799000000002"/>
    <x v="1854"/>
    <s v="Silver"/>
    <n v="42"/>
    <x v="0"/>
    <s v="Home"/>
  </r>
  <r>
    <s v="SALE1855"/>
    <d v="2025-02-22T00:00:00"/>
    <x v="441"/>
    <x v="46"/>
    <x v="15"/>
    <n v="3"/>
    <n v="3"/>
    <n v="569.98"/>
    <n v="569.98"/>
    <n v="0.05"/>
    <n v="0.05"/>
    <x v="0"/>
    <n v="1624.443"/>
    <x v="1855"/>
    <s v="Silver"/>
    <n v="20"/>
    <x v="0"/>
    <s v="Sports"/>
  </r>
  <r>
    <s v="SALE1856"/>
    <d v="2024-10-31T00:00:00"/>
    <x v="78"/>
    <x v="1"/>
    <x v="18"/>
    <n v="3"/>
    <n v="3"/>
    <n v="306.52"/>
    <n v="306.52"/>
    <n v="0.01"/>
    <n v="0.01"/>
    <x v="2"/>
    <n v="910.36439999999993"/>
    <x v="1856"/>
    <s v="Bronze"/>
    <n v="62"/>
    <x v="1"/>
    <s v="Electronics"/>
  </r>
  <r>
    <s v="SALE1857"/>
    <d v="2024-03-03T00:00:00"/>
    <x v="464"/>
    <x v="6"/>
    <x v="13"/>
    <n v="3"/>
    <n v="3"/>
    <n v="184.67"/>
    <n v="184.67"/>
    <n v="0.03"/>
    <n v="0.03"/>
    <x v="2"/>
    <n v="537.38969999999995"/>
    <x v="1857"/>
    <s v="Gold"/>
    <n v="33"/>
    <x v="0"/>
    <s v="Home"/>
  </r>
  <r>
    <s v="SALE1858"/>
    <d v="2024-05-16T00:00:00"/>
    <x v="382"/>
    <x v="33"/>
    <x v="3"/>
    <n v="4"/>
    <n v="4"/>
    <n v="189.56"/>
    <n v="189.56"/>
    <n v="0"/>
    <n v="0"/>
    <x v="2"/>
    <n v="758.24"/>
    <x v="1858"/>
    <s v="Platinum"/>
    <n v="26"/>
    <x v="0"/>
    <s v="Electronics"/>
  </r>
  <r>
    <s v="SALE1859"/>
    <d v="2024-08-07T00:00:00"/>
    <x v="266"/>
    <x v="28"/>
    <x v="3"/>
    <n v="1"/>
    <n v="1"/>
    <n v="805.24"/>
    <n v="805.24"/>
    <n v="0.04"/>
    <n v="0.04"/>
    <x v="1"/>
    <n v="773.03039999999999"/>
    <x v="1859"/>
    <s v="Platinum"/>
    <n v="54"/>
    <x v="0"/>
    <s v="Clothing"/>
  </r>
  <r>
    <s v="SALE1860"/>
    <d v="2024-09-14T00:00:00"/>
    <x v="338"/>
    <x v="59"/>
    <x v="1"/>
    <n v="3"/>
    <n v="3"/>
    <n v="683.74"/>
    <n v="683.74"/>
    <n v="0.24"/>
    <n v="0.24"/>
    <x v="0"/>
    <n v="1558.9272000000001"/>
    <x v="1860"/>
    <s v="Silver"/>
    <n v="42"/>
    <x v="0"/>
    <s v="Sports"/>
  </r>
  <r>
    <s v="SALE1861"/>
    <d v="2024-10-08T00:00:00"/>
    <x v="256"/>
    <x v="6"/>
    <x v="14"/>
    <n v="3"/>
    <n v="3"/>
    <n v="439.21"/>
    <n v="439.21"/>
    <n v="0.28000000000000003"/>
    <n v="0.28000000000000003"/>
    <x v="2"/>
    <n v="948.69359999999983"/>
    <x v="1861"/>
    <s v="Silver"/>
    <n v="48"/>
    <x v="0"/>
    <s v="Home"/>
  </r>
  <r>
    <s v="SALE1862"/>
    <d v="2025-09-04T00:00:00"/>
    <x v="97"/>
    <x v="73"/>
    <x v="16"/>
    <n v="1"/>
    <n v="1"/>
    <n v="126.92"/>
    <n v="126.92"/>
    <n v="0.24"/>
    <n v="0.24"/>
    <x v="2"/>
    <n v="96.459199999999996"/>
    <x v="1862"/>
    <s v="Bronze"/>
    <n v="40"/>
    <x v="0"/>
    <s v="Beauty"/>
  </r>
  <r>
    <s v="SALE1863"/>
    <d v="2024-07-16T00:00:00"/>
    <x v="435"/>
    <x v="78"/>
    <x v="5"/>
    <n v="4"/>
    <n v="4"/>
    <n v="834.7"/>
    <n v="834.7"/>
    <n v="0.14000000000000001"/>
    <n v="0.14000000000000001"/>
    <x v="0"/>
    <n v="2871.3679999999999"/>
    <x v="1863"/>
    <s v="Silver"/>
    <n v="64"/>
    <x v="1"/>
    <s v="Sports"/>
  </r>
  <r>
    <s v="SALE1864"/>
    <d v="2025-09-09T00:00:00"/>
    <x v="389"/>
    <x v="63"/>
    <x v="19"/>
    <n v="2"/>
    <n v="2"/>
    <n v="271.88"/>
    <n v="271.88"/>
    <n v="0.11"/>
    <n v="0.11"/>
    <x v="2"/>
    <n v="483.94639999999998"/>
    <x v="1864"/>
    <s v="Bronze"/>
    <n v="56"/>
    <x v="1"/>
    <s v="Electronics"/>
  </r>
  <r>
    <s v="SALE1865"/>
    <d v="2025-03-04T00:00:00"/>
    <x v="451"/>
    <x v="75"/>
    <x v="8"/>
    <n v="4"/>
    <n v="4"/>
    <n v="972.14"/>
    <n v="972.14"/>
    <n v="0.25"/>
    <n v="0.25"/>
    <x v="0"/>
    <n v="2916.42"/>
    <x v="1865"/>
    <s v="Bronze"/>
    <n v="33"/>
    <x v="0"/>
    <s v="Electronics"/>
  </r>
  <r>
    <s v="SALE1866"/>
    <d v="2025-06-23T00:00:00"/>
    <x v="126"/>
    <x v="19"/>
    <x v="5"/>
    <n v="3"/>
    <n v="3"/>
    <n v="523.66"/>
    <n v="523.66"/>
    <n v="0.27"/>
    <n v="0.27"/>
    <x v="1"/>
    <n v="1146.8154"/>
    <x v="1866"/>
    <s v="Gold"/>
    <n v="28"/>
    <x v="1"/>
    <s v="Electronics"/>
  </r>
  <r>
    <s v="SALE1867"/>
    <d v="2024-11-06T00:00:00"/>
    <x v="28"/>
    <x v="91"/>
    <x v="17"/>
    <n v="4"/>
    <n v="4"/>
    <n v="838.99"/>
    <n v="838.99"/>
    <n v="0.16"/>
    <n v="0.16"/>
    <x v="0"/>
    <n v="2819.0064000000002"/>
    <x v="1867"/>
    <s v="Bronze"/>
    <n v="42"/>
    <x v="1"/>
    <s v="Beauty"/>
  </r>
  <r>
    <s v="SALE1868"/>
    <d v="2025-03-06T00:00:00"/>
    <x v="163"/>
    <x v="75"/>
    <x v="1"/>
    <n v="4"/>
    <n v="4"/>
    <n v="838.7"/>
    <n v="838.7"/>
    <n v="0.21"/>
    <n v="0.21"/>
    <x v="2"/>
    <n v="2650.2919999999999"/>
    <x v="1868"/>
    <s v="Platinum"/>
    <n v="33"/>
    <x v="1"/>
    <s v="Electronics"/>
  </r>
  <r>
    <s v="SALE1869"/>
    <d v="2025-05-17T00:00:00"/>
    <x v="47"/>
    <x v="1"/>
    <x v="2"/>
    <n v="3"/>
    <n v="3"/>
    <n v="943.24"/>
    <n v="943.24"/>
    <n v="0.21"/>
    <n v="0.21"/>
    <x v="0"/>
    <n v="2235.4787999999999"/>
    <x v="1869"/>
    <s v="Bronze"/>
    <n v="60"/>
    <x v="0"/>
    <s v="Electronics"/>
  </r>
  <r>
    <s v="SALE1870"/>
    <d v="2025-01-02T00:00:00"/>
    <x v="462"/>
    <x v="90"/>
    <x v="1"/>
    <n v="2"/>
    <n v="2"/>
    <n v="310.33"/>
    <n v="310.33"/>
    <n v="0.26"/>
    <n v="0.26"/>
    <x v="0"/>
    <n v="459.28840000000002"/>
    <x v="1870"/>
    <s v="Platinum"/>
    <n v="48"/>
    <x v="1"/>
    <s v="Electronics"/>
  </r>
  <r>
    <s v="SALE1871"/>
    <d v="2024-07-28T00:00:00"/>
    <x v="3"/>
    <x v="49"/>
    <x v="6"/>
    <n v="3"/>
    <n v="3"/>
    <n v="201.05"/>
    <n v="201.05"/>
    <n v="0.23"/>
    <n v="0.23"/>
    <x v="1"/>
    <n v="464.42550000000011"/>
    <x v="1871"/>
    <s v="Platinum"/>
    <n v="58"/>
    <x v="1"/>
    <s v="Sports"/>
  </r>
  <r>
    <s v="SALE1872"/>
    <d v="2024-04-26T00:00:00"/>
    <x v="487"/>
    <x v="87"/>
    <x v="1"/>
    <n v="1"/>
    <n v="1"/>
    <n v="803.37"/>
    <n v="803.37"/>
    <n v="0.3"/>
    <n v="0.3"/>
    <x v="1"/>
    <n v="562.35899999999992"/>
    <x v="1872"/>
    <s v="Silver"/>
    <n v="26"/>
    <x v="0"/>
    <s v="Clothing"/>
  </r>
  <r>
    <s v="SALE1873"/>
    <d v="2025-08-17T00:00:00"/>
    <x v="357"/>
    <x v="86"/>
    <x v="10"/>
    <n v="3"/>
    <n v="3"/>
    <n v="259.98"/>
    <n v="259.98"/>
    <n v="7.0000000000000007E-2"/>
    <n v="7.0000000000000007E-2"/>
    <x v="2"/>
    <n v="725.3442"/>
    <x v="1873"/>
    <s v="Gold"/>
    <n v="20"/>
    <x v="1"/>
    <s v="Sports"/>
  </r>
  <r>
    <s v="SALE1874"/>
    <d v="2024-05-14T00:00:00"/>
    <x v="377"/>
    <x v="95"/>
    <x v="0"/>
    <n v="4"/>
    <n v="4"/>
    <n v="591.9"/>
    <n v="591.9"/>
    <n v="0.2"/>
    <n v="0.2"/>
    <x v="1"/>
    <n v="1894.08"/>
    <x v="1874"/>
    <s v="Bronze"/>
    <n v="26"/>
    <x v="0"/>
    <s v="Clothing"/>
  </r>
  <r>
    <s v="SALE1875"/>
    <d v="2025-03-14T00:00:00"/>
    <x v="189"/>
    <x v="17"/>
    <x v="18"/>
    <n v="2"/>
    <n v="2"/>
    <n v="396.9"/>
    <n v="396.9"/>
    <n v="0.18"/>
    <n v="0.18"/>
    <x v="1"/>
    <n v="650.91600000000005"/>
    <x v="1875"/>
    <s v="Silver"/>
    <n v="41"/>
    <x v="0"/>
    <s v="Beauty"/>
  </r>
  <r>
    <s v="SALE1876"/>
    <d v="2025-03-15T00:00:00"/>
    <x v="32"/>
    <x v="24"/>
    <x v="17"/>
    <n v="1"/>
    <n v="1"/>
    <n v="176.84"/>
    <n v="176.84"/>
    <n v="0.19"/>
    <n v="0.19"/>
    <x v="0"/>
    <n v="143.24039999999999"/>
    <x v="1876"/>
    <s v="Platinum"/>
    <n v="62"/>
    <x v="1"/>
    <s v="Electronics"/>
  </r>
  <r>
    <s v="SALE1877"/>
    <d v="2023-12-12T00:00:00"/>
    <x v="463"/>
    <x v="33"/>
    <x v="6"/>
    <n v="2"/>
    <n v="2"/>
    <n v="614.21"/>
    <n v="614.21"/>
    <n v="0.11"/>
    <n v="0.11"/>
    <x v="1"/>
    <n v="1093.2937999999999"/>
    <x v="1877"/>
    <s v="Silver"/>
    <n v="34"/>
    <x v="0"/>
    <s v="Electronics"/>
  </r>
  <r>
    <s v="SALE1878"/>
    <d v="2024-10-19T00:00:00"/>
    <x v="140"/>
    <x v="58"/>
    <x v="4"/>
    <n v="3"/>
    <n v="3"/>
    <n v="604.66"/>
    <n v="604.66"/>
    <n v="0.18"/>
    <n v="0.18"/>
    <x v="2"/>
    <n v="1487.4636"/>
    <x v="1878"/>
    <s v="Bronze"/>
    <n v="38"/>
    <x v="0"/>
    <s v="OTHERS"/>
  </r>
  <r>
    <s v="SALE1879"/>
    <d v="2024-08-30T00:00:00"/>
    <x v="106"/>
    <x v="95"/>
    <x v="18"/>
    <n v="3"/>
    <n v="3"/>
    <n v="24.29"/>
    <n v="24.29"/>
    <n v="0.12"/>
    <n v="0.12"/>
    <x v="1"/>
    <n v="64.125600000000006"/>
    <x v="1879"/>
    <s v="Silver"/>
    <n v="35"/>
    <x v="0"/>
    <s v="Clothing"/>
  </r>
  <r>
    <s v="SALE1880"/>
    <d v="2024-07-09T00:00:00"/>
    <x v="418"/>
    <x v="81"/>
    <x v="19"/>
    <n v="1"/>
    <n v="1"/>
    <n v="503.95"/>
    <n v="503.95"/>
    <n v="0.24"/>
    <n v="0.24"/>
    <x v="1"/>
    <n v="383.00200000000001"/>
    <x v="1880"/>
    <s v="Platinum"/>
    <n v="62"/>
    <x v="0"/>
    <s v="Beauty"/>
  </r>
  <r>
    <s v="SALE1881"/>
    <d v="2024-07-02T00:00:00"/>
    <x v="133"/>
    <x v="69"/>
    <x v="7"/>
    <n v="4"/>
    <n v="4"/>
    <n v="860.78"/>
    <n v="860.78"/>
    <n v="0.03"/>
    <n v="0.03"/>
    <x v="0"/>
    <n v="3339.8263999999999"/>
    <x v="1881"/>
    <s v="Platinum"/>
    <n v="54"/>
    <x v="0"/>
    <s v="Electronics"/>
  </r>
  <r>
    <s v="SALE1882"/>
    <d v="2023-11-04T00:00:00"/>
    <x v="303"/>
    <x v="63"/>
    <x v="0"/>
    <n v="3"/>
    <n v="3"/>
    <n v="41.97"/>
    <n v="41.97"/>
    <n v="0.03"/>
    <n v="0.03"/>
    <x v="2"/>
    <n v="122.1327"/>
    <x v="1882"/>
    <s v="Platinum"/>
    <n v="45"/>
    <x v="1"/>
    <s v="Electronics"/>
  </r>
  <r>
    <s v="SALE1883"/>
    <d v="2024-04-15T00:00:00"/>
    <x v="153"/>
    <x v="5"/>
    <x v="3"/>
    <n v="1"/>
    <n v="1"/>
    <n v="649.59"/>
    <n v="649.59"/>
    <n v="0.12"/>
    <n v="0.12"/>
    <x v="2"/>
    <n v="571.63920000000007"/>
    <x v="1883"/>
    <s v="Platinum"/>
    <n v="25"/>
    <x v="0"/>
    <s v="Electronics"/>
  </r>
  <r>
    <s v="SALE1884"/>
    <d v="2024-07-29T00:00:00"/>
    <x v="286"/>
    <x v="81"/>
    <x v="11"/>
    <n v="2"/>
    <n v="2"/>
    <n v="386.09"/>
    <n v="386.09"/>
    <n v="0.19"/>
    <n v="0.19"/>
    <x v="1"/>
    <n v="625.46579999999994"/>
    <x v="1884"/>
    <s v="Gold"/>
    <n v="37"/>
    <x v="1"/>
    <s v="Beauty"/>
  </r>
  <r>
    <s v="SALE1885"/>
    <d v="2024-12-18T00:00:00"/>
    <x v="179"/>
    <x v="69"/>
    <x v="18"/>
    <n v="1"/>
    <n v="1"/>
    <n v="891.62"/>
    <n v="891.62"/>
    <n v="0.06"/>
    <n v="0.06"/>
    <x v="1"/>
    <n v="838.12279999999998"/>
    <x v="1885"/>
    <s v="Silver"/>
    <n v="35"/>
    <x v="0"/>
    <s v="Electronics"/>
  </r>
  <r>
    <s v="SALE1886"/>
    <d v="2024-11-21T00:00:00"/>
    <x v="25"/>
    <x v="91"/>
    <x v="10"/>
    <n v="2"/>
    <n v="2"/>
    <n v="558.9"/>
    <n v="558.9"/>
    <n v="0.05"/>
    <n v="0.05"/>
    <x v="2"/>
    <n v="1061.9100000000001"/>
    <x v="1886"/>
    <s v="Silver"/>
    <n v="50"/>
    <x v="0"/>
    <s v="Beauty"/>
  </r>
  <r>
    <s v="SALE1887"/>
    <d v="2025-05-20T00:00:00"/>
    <x v="316"/>
    <x v="55"/>
    <x v="0"/>
    <n v="2"/>
    <n v="2"/>
    <n v="99.04"/>
    <n v="99.04"/>
    <n v="0.26"/>
    <n v="0.26"/>
    <x v="2"/>
    <n v="146.57919999999999"/>
    <x v="1887"/>
    <s v="Silver"/>
    <n v="52"/>
    <x v="1"/>
    <s v="Clothing"/>
  </r>
  <r>
    <s v="SALE1888"/>
    <d v="2025-03-24T00:00:00"/>
    <x v="469"/>
    <x v="58"/>
    <x v="2"/>
    <n v="4"/>
    <n v="4"/>
    <n v="625.13"/>
    <n v="625.13"/>
    <n v="0.06"/>
    <n v="0.06"/>
    <x v="0"/>
    <n v="2350.4888000000001"/>
    <x v="1888"/>
    <s v="Bronze"/>
    <n v="40"/>
    <x v="1"/>
    <s v="OTHERS"/>
  </r>
  <r>
    <s v="SALE1889"/>
    <d v="2025-06-16T00:00:00"/>
    <x v="357"/>
    <x v="43"/>
    <x v="14"/>
    <n v="4"/>
    <n v="4"/>
    <n v="38.380000000000003"/>
    <n v="38.380000000000003"/>
    <n v="0.16"/>
    <n v="0.16"/>
    <x v="2"/>
    <n v="128.95679999999999"/>
    <x v="1889"/>
    <s v="Gold"/>
    <n v="20"/>
    <x v="1"/>
    <s v="Electronics"/>
  </r>
  <r>
    <s v="SALE1890"/>
    <d v="2024-04-22T00:00:00"/>
    <x v="36"/>
    <x v="32"/>
    <x v="15"/>
    <n v="4"/>
    <n v="4"/>
    <n v="731.72"/>
    <n v="731.72"/>
    <n v="0.22"/>
    <n v="0.22"/>
    <x v="2"/>
    <n v="2282.9663999999998"/>
    <x v="1890"/>
    <s v="Platinum"/>
    <n v="59"/>
    <x v="1"/>
    <s v="Beauty"/>
  </r>
  <r>
    <s v="SALE1891"/>
    <d v="2025-09-16T00:00:00"/>
    <x v="414"/>
    <x v="82"/>
    <x v="12"/>
    <n v="3"/>
    <n v="3"/>
    <n v="825.33"/>
    <n v="825.33"/>
    <n v="0.21"/>
    <n v="0.21"/>
    <x v="0"/>
    <n v="1956.0320999999999"/>
    <x v="1891"/>
    <s v="Platinum"/>
    <n v="59"/>
    <x v="0"/>
    <s v="Sports"/>
  </r>
  <r>
    <s v="SALE1892"/>
    <d v="2023-12-09T00:00:00"/>
    <x v="358"/>
    <x v="7"/>
    <x v="7"/>
    <n v="2"/>
    <n v="2"/>
    <n v="47.3"/>
    <n v="47.3"/>
    <n v="0.01"/>
    <n v="0.01"/>
    <x v="1"/>
    <n v="93.653999999999996"/>
    <x v="1892"/>
    <s v="Platinum"/>
    <n v="53"/>
    <x v="0"/>
    <s v="Home"/>
  </r>
  <r>
    <s v="SALE1893"/>
    <d v="2024-07-20T00:00:00"/>
    <x v="120"/>
    <x v="18"/>
    <x v="1"/>
    <n v="1"/>
    <n v="1"/>
    <n v="389.12"/>
    <n v="389.12"/>
    <n v="0.18"/>
    <n v="0.18"/>
    <x v="1"/>
    <n v="319.07839999999999"/>
    <x v="1893"/>
    <s v="Platinum"/>
    <n v="44"/>
    <x v="1"/>
    <s v="Sports"/>
  </r>
  <r>
    <s v="SALE1894"/>
    <d v="2024-09-23T00:00:00"/>
    <x v="246"/>
    <x v="74"/>
    <x v="14"/>
    <n v="3"/>
    <n v="3"/>
    <n v="543.83000000000004"/>
    <n v="543.83000000000004"/>
    <n v="0.05"/>
    <n v="0.05"/>
    <x v="0"/>
    <n v="1549.9155000000001"/>
    <x v="1894"/>
    <s v="Silver"/>
    <n v="62"/>
    <x v="1"/>
    <s v="Sports"/>
  </r>
  <r>
    <s v="SALE1895"/>
    <d v="2024-05-11T00:00:00"/>
    <x v="385"/>
    <x v="66"/>
    <x v="8"/>
    <n v="2"/>
    <n v="2"/>
    <n v="660.27"/>
    <n v="660.27"/>
    <n v="0.01"/>
    <n v="0.01"/>
    <x v="1"/>
    <n v="1307.3345999999999"/>
    <x v="1895"/>
    <s v="Platinum"/>
    <n v="40"/>
    <x v="0"/>
    <s v="Home"/>
  </r>
  <r>
    <s v="SALE1896"/>
    <d v="2025-05-03T00:00:00"/>
    <x v="490"/>
    <x v="26"/>
    <x v="2"/>
    <n v="4"/>
    <n v="4"/>
    <n v="729.31"/>
    <n v="729.31"/>
    <n v="0.03"/>
    <n v="0.03"/>
    <x v="0"/>
    <n v="2829.7228"/>
    <x v="1896"/>
    <s v="Gold"/>
    <n v="48"/>
    <x v="1"/>
    <s v="Electronics"/>
  </r>
  <r>
    <s v="SALE1897"/>
    <d v="2024-02-23T00:00:00"/>
    <x v="436"/>
    <x v="72"/>
    <x v="16"/>
    <n v="2"/>
    <n v="2"/>
    <n v="152.91"/>
    <n v="152.91"/>
    <n v="0.24"/>
    <n v="0.24"/>
    <x v="1"/>
    <n v="232.42320000000001"/>
    <x v="1897"/>
    <s v="Platinum"/>
    <n v="45"/>
    <x v="1"/>
    <s v="Home"/>
  </r>
  <r>
    <s v="SALE1898"/>
    <d v="2024-02-22T00:00:00"/>
    <x v="343"/>
    <x v="1"/>
    <x v="10"/>
    <n v="4"/>
    <n v="4"/>
    <n v="592.14"/>
    <n v="592.14"/>
    <n v="0.12"/>
    <n v="0.12"/>
    <x v="2"/>
    <n v="2084.3328000000001"/>
    <x v="1898"/>
    <s v="Silver"/>
    <n v="60"/>
    <x v="1"/>
    <s v="Electronics"/>
  </r>
  <r>
    <s v="SALE1899"/>
    <d v="2024-08-21T00:00:00"/>
    <x v="336"/>
    <x v="36"/>
    <x v="18"/>
    <n v="1"/>
    <n v="1"/>
    <n v="984.37"/>
    <n v="984.37"/>
    <n v="0"/>
    <n v="0"/>
    <x v="1"/>
    <n v="984.37"/>
    <x v="1899"/>
    <s v="Bronze"/>
    <n v="50"/>
    <x v="0"/>
    <s v="Home"/>
  </r>
  <r>
    <s v="SALE1900"/>
    <d v="2024-02-07T00:00:00"/>
    <x v="404"/>
    <x v="55"/>
    <x v="18"/>
    <n v="2"/>
    <n v="2"/>
    <n v="237.59"/>
    <n v="237.59"/>
    <n v="0.12"/>
    <n v="0.12"/>
    <x v="0"/>
    <n v="418.15839999999997"/>
    <x v="1900"/>
    <s v="Silver"/>
    <n v="30"/>
    <x v="0"/>
    <s v="Clothing"/>
  </r>
  <r>
    <s v="SALE1901"/>
    <d v="2023-11-20T00:00:00"/>
    <x v="38"/>
    <x v="60"/>
    <x v="2"/>
    <n v="1"/>
    <n v="1"/>
    <n v="52.06"/>
    <n v="52.06"/>
    <n v="0.27"/>
    <n v="0.27"/>
    <x v="2"/>
    <n v="38.003799999999998"/>
    <x v="1901"/>
    <s v="Platinum"/>
    <n v="27"/>
    <x v="0"/>
    <s v="Clothing"/>
  </r>
  <r>
    <s v="SALE1902"/>
    <d v="2025-02-03T00:00:00"/>
    <x v="264"/>
    <x v="58"/>
    <x v="8"/>
    <n v="2"/>
    <n v="2"/>
    <n v="594.63"/>
    <n v="594.63"/>
    <n v="0.12"/>
    <n v="0.12"/>
    <x v="0"/>
    <n v="1046.5488"/>
    <x v="1902"/>
    <s v="Gold"/>
    <n v="54"/>
    <x v="0"/>
    <s v="OTHERS"/>
  </r>
  <r>
    <s v="SALE1903"/>
    <d v="2024-12-18T00:00:00"/>
    <x v="313"/>
    <x v="58"/>
    <x v="6"/>
    <n v="3"/>
    <n v="3"/>
    <n v="476.1"/>
    <n v="476.1"/>
    <n v="0.05"/>
    <n v="0.05"/>
    <x v="2"/>
    <n v="1356.885"/>
    <x v="1903"/>
    <s v="Gold"/>
    <n v="36"/>
    <x v="1"/>
    <s v="OTHERS"/>
  </r>
  <r>
    <s v="SALE1904"/>
    <d v="2024-08-10T00:00:00"/>
    <x v="252"/>
    <x v="86"/>
    <x v="16"/>
    <n v="1"/>
    <n v="1"/>
    <n v="546.47"/>
    <n v="546.47"/>
    <n v="0.08"/>
    <n v="0.08"/>
    <x v="2"/>
    <n v="502.75240000000002"/>
    <x v="1904"/>
    <s v="Silver"/>
    <n v="23"/>
    <x v="0"/>
    <s v="Sports"/>
  </r>
  <r>
    <s v="SALE1905"/>
    <d v="2025-04-13T00:00:00"/>
    <x v="72"/>
    <x v="28"/>
    <x v="18"/>
    <n v="1"/>
    <n v="1"/>
    <n v="979.49"/>
    <n v="979.49"/>
    <n v="0.19"/>
    <n v="0.19"/>
    <x v="2"/>
    <n v="793.38690000000008"/>
    <x v="1905"/>
    <s v="Silver"/>
    <n v="48"/>
    <x v="0"/>
    <s v="Clothing"/>
  </r>
  <r>
    <s v="SALE1906"/>
    <d v="2023-12-29T00:00:00"/>
    <x v="425"/>
    <x v="53"/>
    <x v="17"/>
    <n v="3"/>
    <n v="3"/>
    <n v="988.53"/>
    <n v="988.53"/>
    <n v="0.3"/>
    <n v="0.3"/>
    <x v="2"/>
    <n v="2075.913"/>
    <x v="1906"/>
    <s v="Gold"/>
    <n v="38"/>
    <x v="0"/>
    <s v="Sports"/>
  </r>
  <r>
    <s v="SALE1907"/>
    <d v="2025-02-16T00:00:00"/>
    <x v="57"/>
    <x v="3"/>
    <x v="0"/>
    <n v="4"/>
    <n v="4"/>
    <n v="849.29"/>
    <n v="849.29"/>
    <n v="0.26"/>
    <n v="0.26"/>
    <x v="0"/>
    <n v="2513.8984"/>
    <x v="1907"/>
    <s v="Gold"/>
    <n v="21"/>
    <x v="0"/>
    <s v="Electronics"/>
  </r>
  <r>
    <s v="SALE1908"/>
    <d v="2024-01-27T00:00:00"/>
    <x v="110"/>
    <x v="98"/>
    <x v="7"/>
    <n v="2"/>
    <n v="2"/>
    <n v="452.29"/>
    <n v="452.29"/>
    <n v="0.01"/>
    <n v="0.01"/>
    <x v="2"/>
    <n v="895.53420000000006"/>
    <x v="1908"/>
    <s v="Bronze"/>
    <n v="38"/>
    <x v="0"/>
    <s v="Sports"/>
  </r>
  <r>
    <s v="SALE1909"/>
    <d v="2024-07-22T00:00:00"/>
    <x v="312"/>
    <x v="59"/>
    <x v="14"/>
    <n v="2"/>
    <n v="2"/>
    <n v="810.81"/>
    <n v="810.81"/>
    <n v="0.11"/>
    <n v="0.11"/>
    <x v="2"/>
    <n v="1443.2418"/>
    <x v="1909"/>
    <s v="Platinum"/>
    <n v="41"/>
    <x v="1"/>
    <s v="Sports"/>
  </r>
  <r>
    <s v="SALE1910"/>
    <d v="2024-09-25T00:00:00"/>
    <x v="189"/>
    <x v="86"/>
    <x v="2"/>
    <n v="1"/>
    <n v="1"/>
    <n v="846.67"/>
    <n v="846.67"/>
    <n v="0.1"/>
    <n v="0.1"/>
    <x v="2"/>
    <n v="762.00299999999993"/>
    <x v="1910"/>
    <s v="Silver"/>
    <n v="41"/>
    <x v="0"/>
    <s v="Sports"/>
  </r>
  <r>
    <s v="SALE1911"/>
    <d v="2024-03-16T00:00:00"/>
    <x v="223"/>
    <x v="10"/>
    <x v="16"/>
    <n v="4"/>
    <n v="4"/>
    <n v="73.55"/>
    <n v="73.55"/>
    <n v="0.24"/>
    <n v="0.24"/>
    <x v="2"/>
    <n v="223.59200000000001"/>
    <x v="1911"/>
    <s v="Platinum"/>
    <n v="60"/>
    <x v="1"/>
    <s v="Sports"/>
  </r>
  <r>
    <s v="SALE1912"/>
    <d v="2025-07-23T00:00:00"/>
    <x v="335"/>
    <x v="80"/>
    <x v="16"/>
    <n v="1"/>
    <n v="1"/>
    <n v="882.03"/>
    <n v="882.03"/>
    <n v="0.04"/>
    <n v="0.04"/>
    <x v="2"/>
    <n v="846.74879999999996"/>
    <x v="1912"/>
    <s v="Platinum"/>
    <n v="42"/>
    <x v="1"/>
    <s v="Home"/>
  </r>
  <r>
    <s v="SALE1913"/>
    <d v="2024-10-24T00:00:00"/>
    <x v="46"/>
    <x v="62"/>
    <x v="7"/>
    <n v="1"/>
    <n v="1"/>
    <n v="958.44"/>
    <n v="958.44"/>
    <n v="0.21"/>
    <n v="0.21"/>
    <x v="0"/>
    <n v="757.16760000000011"/>
    <x v="1913"/>
    <s v="Gold"/>
    <n v="53"/>
    <x v="1"/>
    <s v="Sports"/>
  </r>
  <r>
    <s v="SALE1914"/>
    <d v="2024-09-25T00:00:00"/>
    <x v="46"/>
    <x v="8"/>
    <x v="17"/>
    <n v="1"/>
    <n v="1"/>
    <n v="716.29"/>
    <n v="716.29"/>
    <n v="0.01"/>
    <n v="0.01"/>
    <x v="1"/>
    <n v="709.12709999999993"/>
    <x v="1914"/>
    <s v="Gold"/>
    <n v="53"/>
    <x v="1"/>
    <s v="Home"/>
  </r>
  <r>
    <s v="SALE1915"/>
    <d v="2024-04-26T00:00:00"/>
    <x v="162"/>
    <x v="93"/>
    <x v="9"/>
    <n v="2"/>
    <n v="2"/>
    <n v="409.14"/>
    <n v="409.14"/>
    <n v="0.01"/>
    <n v="0.01"/>
    <x v="1"/>
    <n v="810.09719999999993"/>
    <x v="1915"/>
    <s v="Platinum"/>
    <n v="64"/>
    <x v="1"/>
    <s v="Sports"/>
  </r>
  <r>
    <s v="SALE1916"/>
    <d v="2025-02-26T00:00:00"/>
    <x v="42"/>
    <x v="8"/>
    <x v="11"/>
    <n v="4"/>
    <n v="4"/>
    <n v="261.73"/>
    <n v="261.73"/>
    <n v="0.1"/>
    <n v="0.1"/>
    <x v="1"/>
    <n v="942.22800000000007"/>
    <x v="1916"/>
    <s v="Platinum"/>
    <n v="26"/>
    <x v="1"/>
    <s v="Home"/>
  </r>
  <r>
    <s v="SALE1917"/>
    <d v="2025-01-04T00:00:00"/>
    <x v="220"/>
    <x v="21"/>
    <x v="6"/>
    <n v="2"/>
    <n v="2"/>
    <n v="687.35"/>
    <n v="687.35"/>
    <n v="0.2"/>
    <n v="0.2"/>
    <x v="2"/>
    <n v="1099.76"/>
    <x v="1917"/>
    <s v="Silver"/>
    <n v="18"/>
    <x v="0"/>
    <s v="Beauty"/>
  </r>
  <r>
    <s v="SALE1918"/>
    <d v="2025-09-21T00:00:00"/>
    <x v="477"/>
    <x v="94"/>
    <x v="2"/>
    <n v="2"/>
    <n v="2"/>
    <n v="30.14"/>
    <n v="30.14"/>
    <n v="0.21"/>
    <n v="0.21"/>
    <x v="0"/>
    <n v="47.621200000000002"/>
    <x v="1918"/>
    <s v="Bronze"/>
    <n v="28"/>
    <x v="1"/>
    <s v="Home"/>
  </r>
  <r>
    <s v="SALE1919"/>
    <d v="2024-12-25T00:00:00"/>
    <x v="179"/>
    <x v="13"/>
    <x v="2"/>
    <n v="3"/>
    <n v="3"/>
    <n v="570.12"/>
    <n v="570.12"/>
    <n v="0.12"/>
    <n v="0.12"/>
    <x v="1"/>
    <n v="1505.1168"/>
    <x v="1919"/>
    <s v="Silver"/>
    <n v="35"/>
    <x v="0"/>
    <s v="Electronics"/>
  </r>
  <r>
    <s v="SALE1920"/>
    <d v="2025-08-14T00:00:00"/>
    <x v="373"/>
    <x v="25"/>
    <x v="12"/>
    <n v="3"/>
    <n v="3"/>
    <n v="401.87"/>
    <n v="401.87"/>
    <n v="0.28999999999999998"/>
    <n v="0.28999999999999998"/>
    <x v="2"/>
    <n v="855.98310000000004"/>
    <x v="1920"/>
    <s v="Platinum"/>
    <n v="59"/>
    <x v="0"/>
    <s v="Electronics"/>
  </r>
  <r>
    <s v="SALE1921"/>
    <d v="2024-11-28T00:00:00"/>
    <x v="111"/>
    <x v="29"/>
    <x v="18"/>
    <n v="4"/>
    <n v="4"/>
    <n v="619.35"/>
    <n v="619.35"/>
    <n v="0.3"/>
    <n v="0.3"/>
    <x v="0"/>
    <n v="1734.18"/>
    <x v="1921"/>
    <s v="Bronze"/>
    <n v="56"/>
    <x v="0"/>
    <s v="Home"/>
  </r>
  <r>
    <s v="SALE1922"/>
    <d v="2023-12-16T00:00:00"/>
    <x v="400"/>
    <x v="54"/>
    <x v="1"/>
    <n v="4"/>
    <n v="4"/>
    <n v="569.36"/>
    <n v="569.36"/>
    <n v="0.27"/>
    <n v="0.27"/>
    <x v="1"/>
    <n v="1662.5311999999999"/>
    <x v="1922"/>
    <s v="Platinum"/>
    <n v="32"/>
    <x v="0"/>
    <s v="Clothing"/>
  </r>
  <r>
    <s v="SALE1923"/>
    <d v="2024-02-22T00:00:00"/>
    <x v="22"/>
    <x v="16"/>
    <x v="5"/>
    <n v="2"/>
    <n v="2"/>
    <n v="846.35"/>
    <n v="846.35"/>
    <n v="0.3"/>
    <n v="0.3"/>
    <x v="2"/>
    <n v="1184.8900000000001"/>
    <x v="1923"/>
    <s v="Gold"/>
    <n v="33"/>
    <x v="1"/>
    <s v="Home"/>
  </r>
  <r>
    <s v="SALE1924"/>
    <d v="2025-07-11T00:00:00"/>
    <x v="490"/>
    <x v="37"/>
    <x v="17"/>
    <n v="1"/>
    <n v="1"/>
    <n v="788.45"/>
    <n v="788.45"/>
    <n v="0.28999999999999998"/>
    <n v="0.28999999999999998"/>
    <x v="1"/>
    <n v="559.79949999999997"/>
    <x v="1924"/>
    <s v="Gold"/>
    <n v="48"/>
    <x v="1"/>
    <s v="Home"/>
  </r>
  <r>
    <s v="SALE1925"/>
    <d v="2025-08-11T00:00:00"/>
    <x v="258"/>
    <x v="68"/>
    <x v="18"/>
    <n v="2"/>
    <n v="2"/>
    <n v="338.81"/>
    <n v="338.81"/>
    <n v="7.0000000000000007E-2"/>
    <n v="7.0000000000000007E-2"/>
    <x v="2"/>
    <n v="630.1866"/>
    <x v="1925"/>
    <s v="Platinum"/>
    <n v="34"/>
    <x v="0"/>
    <s v="Home"/>
  </r>
  <r>
    <s v="SALE1926"/>
    <d v="2025-09-07T00:00:00"/>
    <x v="339"/>
    <x v="66"/>
    <x v="3"/>
    <n v="4"/>
    <n v="4"/>
    <n v="94.48"/>
    <n v="94.48"/>
    <n v="0.06"/>
    <n v="0.06"/>
    <x v="2"/>
    <n v="355.2448"/>
    <x v="1926"/>
    <s v="Gold"/>
    <n v="18"/>
    <x v="1"/>
    <s v="Home"/>
  </r>
  <r>
    <s v="SALE1927"/>
    <d v="2024-09-10T00:00:00"/>
    <x v="292"/>
    <x v="46"/>
    <x v="13"/>
    <n v="3"/>
    <n v="3"/>
    <n v="941.85"/>
    <n v="941.85"/>
    <n v="0.16"/>
    <n v="0.16"/>
    <x v="1"/>
    <n v="2373.462"/>
    <x v="1927"/>
    <s v="Platinum"/>
    <n v="41"/>
    <x v="1"/>
    <s v="Sports"/>
  </r>
  <r>
    <s v="SALE1928"/>
    <d v="2023-11-27T00:00:00"/>
    <x v="261"/>
    <x v="49"/>
    <x v="3"/>
    <n v="2"/>
    <n v="2"/>
    <n v="336.97"/>
    <n v="336.97"/>
    <n v="0.14000000000000001"/>
    <n v="0.14000000000000001"/>
    <x v="1"/>
    <n v="579.58840000000009"/>
    <x v="1928"/>
    <s v="Silver"/>
    <n v="18"/>
    <x v="1"/>
    <s v="Sports"/>
  </r>
  <r>
    <s v="SALE1929"/>
    <d v="2024-06-23T00:00:00"/>
    <x v="441"/>
    <x v="23"/>
    <x v="3"/>
    <n v="2"/>
    <n v="2"/>
    <n v="344.16"/>
    <n v="344.16"/>
    <n v="0.09"/>
    <n v="0.09"/>
    <x v="1"/>
    <n v="626.37120000000004"/>
    <x v="1929"/>
    <s v="Silver"/>
    <n v="20"/>
    <x v="0"/>
    <s v="Clothing"/>
  </r>
  <r>
    <s v="SALE1930"/>
    <d v="2025-07-09T00:00:00"/>
    <x v="301"/>
    <x v="70"/>
    <x v="11"/>
    <n v="1"/>
    <n v="1"/>
    <n v="841.53"/>
    <n v="841.53"/>
    <n v="0.15"/>
    <n v="0.15"/>
    <x v="0"/>
    <n v="715.30049999999994"/>
    <x v="1930"/>
    <s v="Silver"/>
    <n v="29"/>
    <x v="0"/>
    <s v="Electronics"/>
  </r>
  <r>
    <s v="SALE1931"/>
    <d v="2025-06-17T00:00:00"/>
    <x v="161"/>
    <x v="50"/>
    <x v="1"/>
    <n v="3"/>
    <n v="3"/>
    <n v="63.36"/>
    <n v="63.36"/>
    <n v="0.28999999999999998"/>
    <n v="0.28999999999999998"/>
    <x v="2"/>
    <n v="134.95679999999999"/>
    <x v="1931"/>
    <s v="Bronze"/>
    <n v="53"/>
    <x v="0"/>
    <s v="Beauty"/>
  </r>
  <r>
    <s v="SALE1932"/>
    <d v="2025-07-01T00:00:00"/>
    <x v="111"/>
    <x v="36"/>
    <x v="2"/>
    <n v="2"/>
    <n v="2"/>
    <n v="552.49"/>
    <n v="552.49"/>
    <n v="0.1"/>
    <n v="0.1"/>
    <x v="0"/>
    <n v="994.48200000000008"/>
    <x v="1932"/>
    <s v="Bronze"/>
    <n v="56"/>
    <x v="0"/>
    <s v="Home"/>
  </r>
  <r>
    <s v="SALE1933"/>
    <d v="2025-03-04T00:00:00"/>
    <x v="471"/>
    <x v="10"/>
    <x v="16"/>
    <n v="3"/>
    <n v="3"/>
    <n v="447.38"/>
    <n v="447.38"/>
    <n v="0.03"/>
    <n v="0.03"/>
    <x v="0"/>
    <n v="1301.8758"/>
    <x v="1933"/>
    <s v="Bronze"/>
    <n v="42"/>
    <x v="1"/>
    <s v="Sports"/>
  </r>
  <r>
    <s v="SALE1934"/>
    <d v="2023-11-20T00:00:00"/>
    <x v="457"/>
    <x v="78"/>
    <x v="12"/>
    <n v="1"/>
    <n v="1"/>
    <n v="727.7"/>
    <n v="727.7"/>
    <n v="0.21"/>
    <n v="0.21"/>
    <x v="2"/>
    <n v="574.88300000000004"/>
    <x v="1934"/>
    <s v="Bronze"/>
    <n v="59"/>
    <x v="0"/>
    <s v="Sports"/>
  </r>
  <r>
    <s v="SALE1935"/>
    <d v="2023-11-28T00:00:00"/>
    <x v="439"/>
    <x v="69"/>
    <x v="4"/>
    <n v="4"/>
    <n v="4"/>
    <n v="581.34"/>
    <n v="581.34"/>
    <n v="0.08"/>
    <n v="0.08"/>
    <x v="0"/>
    <n v="2139.3312000000001"/>
    <x v="1935"/>
    <s v="Gold"/>
    <n v="61"/>
    <x v="0"/>
    <s v="Electronics"/>
  </r>
  <r>
    <s v="SALE1936"/>
    <d v="2025-05-16T00:00:00"/>
    <x v="181"/>
    <x v="73"/>
    <x v="8"/>
    <n v="1"/>
    <n v="1"/>
    <n v="338.83"/>
    <n v="338.83"/>
    <n v="0.19"/>
    <n v="0.19"/>
    <x v="1"/>
    <n v="274.45229999999998"/>
    <x v="1936"/>
    <s v="Platinum"/>
    <n v="30"/>
    <x v="1"/>
    <s v="Beauty"/>
  </r>
  <r>
    <s v="SALE1937"/>
    <d v="2023-12-05T00:00:00"/>
    <x v="380"/>
    <x v="2"/>
    <x v="13"/>
    <n v="4"/>
    <n v="4"/>
    <n v="568.80999999999995"/>
    <n v="568.80999999999995"/>
    <n v="0.25"/>
    <n v="0.25"/>
    <x v="0"/>
    <n v="1706.43"/>
    <x v="1937"/>
    <s v="Silver"/>
    <n v="46"/>
    <x v="1"/>
    <s v="Beauty"/>
  </r>
  <r>
    <s v="SALE1938"/>
    <d v="2024-11-11T00:00:00"/>
    <x v="446"/>
    <x v="86"/>
    <x v="1"/>
    <n v="2"/>
    <n v="2"/>
    <n v="352.63"/>
    <n v="352.63"/>
    <n v="0.15"/>
    <n v="0.15"/>
    <x v="1"/>
    <n v="599.471"/>
    <x v="1938"/>
    <s v="Platinum"/>
    <n v="26"/>
    <x v="0"/>
    <s v="Sports"/>
  </r>
  <r>
    <s v="SALE1939"/>
    <d v="2024-03-31T00:00:00"/>
    <x v="308"/>
    <x v="99"/>
    <x v="13"/>
    <n v="2"/>
    <n v="2"/>
    <n v="629.86"/>
    <n v="629.86"/>
    <n v="0.15"/>
    <n v="0.15"/>
    <x v="1"/>
    <n v="1070.7619999999999"/>
    <x v="1939"/>
    <s v="Bronze"/>
    <n v="46"/>
    <x v="0"/>
    <s v="Clothing"/>
  </r>
  <r>
    <s v="SALE1940"/>
    <d v="2025-05-16T00:00:00"/>
    <x v="4"/>
    <x v="24"/>
    <x v="0"/>
    <n v="3"/>
    <n v="3"/>
    <n v="212.08"/>
    <n v="212.08"/>
    <n v="7.0000000000000007E-2"/>
    <n v="7.0000000000000007E-2"/>
    <x v="0"/>
    <n v="591.70319999999992"/>
    <x v="1940"/>
    <s v="Silver"/>
    <n v="28"/>
    <x v="0"/>
    <s v="Electronics"/>
  </r>
  <r>
    <s v="SALE1941"/>
    <d v="2024-10-25T00:00:00"/>
    <x v="261"/>
    <x v="71"/>
    <x v="17"/>
    <n v="3"/>
    <n v="3"/>
    <n v="878.62"/>
    <n v="878.62"/>
    <n v="0.05"/>
    <n v="0.05"/>
    <x v="1"/>
    <n v="2504.067"/>
    <x v="1941"/>
    <s v="Silver"/>
    <n v="18"/>
    <x v="1"/>
    <s v="Sports"/>
  </r>
  <r>
    <s v="SALE1942"/>
    <d v="2025-01-22T00:00:00"/>
    <x v="321"/>
    <x v="61"/>
    <x v="15"/>
    <n v="4"/>
    <n v="4"/>
    <n v="87.83"/>
    <n v="87.83"/>
    <n v="0.23"/>
    <n v="0.23"/>
    <x v="1"/>
    <n v="270.51639999999998"/>
    <x v="1942"/>
    <s v="Silver"/>
    <n v="27"/>
    <x v="1"/>
    <s v="Home"/>
  </r>
  <r>
    <s v="SALE1943"/>
    <d v="2025-06-06T00:00:00"/>
    <x v="185"/>
    <x v="6"/>
    <x v="11"/>
    <n v="3"/>
    <n v="3"/>
    <n v="442.64"/>
    <n v="442.64"/>
    <n v="0.15"/>
    <n v="0.15"/>
    <x v="2"/>
    <n v="1128.732"/>
    <x v="1943"/>
    <s v="Gold"/>
    <n v="22"/>
    <x v="0"/>
    <s v="Home"/>
  </r>
  <r>
    <s v="SALE1944"/>
    <d v="2025-05-18T00:00:00"/>
    <x v="126"/>
    <x v="48"/>
    <x v="17"/>
    <n v="3"/>
    <n v="3"/>
    <n v="410.04"/>
    <n v="410.04"/>
    <n v="0.09"/>
    <n v="0.09"/>
    <x v="2"/>
    <n v="1119.4092000000001"/>
    <x v="1944"/>
    <s v="Gold"/>
    <n v="28"/>
    <x v="1"/>
    <s v="Sports"/>
  </r>
  <r>
    <s v="SALE1945"/>
    <d v="2025-05-20T00:00:00"/>
    <x v="244"/>
    <x v="32"/>
    <x v="1"/>
    <n v="1"/>
    <n v="1"/>
    <n v="355.31"/>
    <n v="355.31"/>
    <n v="0.27"/>
    <n v="0.27"/>
    <x v="0"/>
    <n v="259.37630000000001"/>
    <x v="1945"/>
    <s v="Bronze"/>
    <n v="62"/>
    <x v="1"/>
    <s v="Beauty"/>
  </r>
  <r>
    <s v="SALE1946"/>
    <d v="2024-11-11T00:00:00"/>
    <x v="365"/>
    <x v="93"/>
    <x v="13"/>
    <n v="4"/>
    <n v="4"/>
    <n v="243.13"/>
    <n v="243.13"/>
    <n v="0.25"/>
    <n v="0.25"/>
    <x v="2"/>
    <n v="729.39"/>
    <x v="1946"/>
    <s v="Bronze"/>
    <n v="30"/>
    <x v="0"/>
    <s v="Sports"/>
  </r>
  <r>
    <s v="SALE1947"/>
    <d v="2024-11-18T00:00:00"/>
    <x v="296"/>
    <x v="4"/>
    <x v="19"/>
    <n v="2"/>
    <n v="2"/>
    <n v="410.63"/>
    <n v="410.63"/>
    <n v="0.28000000000000003"/>
    <n v="0.28000000000000003"/>
    <x v="2"/>
    <n v="591.30719999999997"/>
    <x v="1947"/>
    <s v="Bronze"/>
    <n v="32"/>
    <x v="1"/>
    <s v="Beauty"/>
  </r>
  <r>
    <s v="SALE1948"/>
    <d v="2024-01-02T00:00:00"/>
    <x v="353"/>
    <x v="32"/>
    <x v="15"/>
    <n v="4"/>
    <n v="4"/>
    <n v="101.25"/>
    <n v="101.25"/>
    <n v="0.16"/>
    <n v="0.16"/>
    <x v="1"/>
    <n v="340.2"/>
    <x v="1948"/>
    <s v="Bronze"/>
    <n v="40"/>
    <x v="0"/>
    <s v="Beauty"/>
  </r>
  <r>
    <s v="SALE1949"/>
    <d v="2024-01-10T00:00:00"/>
    <x v="473"/>
    <x v="84"/>
    <x v="1"/>
    <n v="4"/>
    <n v="4"/>
    <n v="716.39"/>
    <n v="716.39"/>
    <n v="0.03"/>
    <n v="0.03"/>
    <x v="1"/>
    <n v="2779.5931999999998"/>
    <x v="1949"/>
    <s v="Gold"/>
    <n v="54"/>
    <x v="0"/>
    <s v="Home"/>
  </r>
  <r>
    <s v="SALE1950"/>
    <d v="2024-01-20T00:00:00"/>
    <x v="18"/>
    <x v="78"/>
    <x v="8"/>
    <n v="1"/>
    <n v="1"/>
    <n v="721.74"/>
    <n v="721.74"/>
    <n v="0.24"/>
    <n v="0.24"/>
    <x v="1"/>
    <n v="548.52240000000006"/>
    <x v="1950"/>
    <s v="Gold"/>
    <n v="43"/>
    <x v="1"/>
    <s v="Sports"/>
  </r>
  <r>
    <s v="SALE1951"/>
    <d v="2025-02-14T00:00:00"/>
    <x v="76"/>
    <x v="85"/>
    <x v="19"/>
    <n v="2"/>
    <n v="2"/>
    <n v="527.91"/>
    <n v="527.91"/>
    <n v="0.02"/>
    <n v="0.02"/>
    <x v="0"/>
    <n v="1034.7036000000001"/>
    <x v="1951"/>
    <s v="Platinum"/>
    <n v="24"/>
    <x v="0"/>
    <s v="Electronics"/>
  </r>
  <r>
    <s v="SALE1952"/>
    <d v="2024-08-21T00:00:00"/>
    <x v="133"/>
    <x v="40"/>
    <x v="13"/>
    <n v="2"/>
    <n v="2"/>
    <n v="945.92"/>
    <n v="945.92"/>
    <n v="0.19"/>
    <n v="0.19"/>
    <x v="2"/>
    <n v="1532.3904"/>
    <x v="1952"/>
    <s v="Platinum"/>
    <n v="54"/>
    <x v="0"/>
    <s v="Sports"/>
  </r>
  <r>
    <s v="SALE1953"/>
    <d v="2025-05-03T00:00:00"/>
    <x v="150"/>
    <x v="6"/>
    <x v="1"/>
    <n v="2"/>
    <n v="2"/>
    <n v="981.35"/>
    <n v="981.35"/>
    <n v="0.16"/>
    <n v="0.16"/>
    <x v="1"/>
    <n v="1648.6679999999999"/>
    <x v="1953"/>
    <s v="Platinum"/>
    <n v="34"/>
    <x v="1"/>
    <s v="Home"/>
  </r>
  <r>
    <s v="SALE1954"/>
    <d v="2025-06-11T00:00:00"/>
    <x v="307"/>
    <x v="4"/>
    <x v="0"/>
    <n v="1"/>
    <n v="1"/>
    <n v="913.99"/>
    <n v="913.99"/>
    <n v="0.14000000000000001"/>
    <n v="0.14000000000000001"/>
    <x v="0"/>
    <n v="786.03139999999996"/>
    <x v="1954"/>
    <s v="Platinum"/>
    <n v="50"/>
    <x v="0"/>
    <s v="Beauty"/>
  </r>
  <r>
    <s v="SALE1955"/>
    <d v="2025-07-25T00:00:00"/>
    <x v="311"/>
    <x v="73"/>
    <x v="2"/>
    <n v="4"/>
    <n v="4"/>
    <n v="270.69"/>
    <n v="270.69"/>
    <n v="0.18"/>
    <n v="0.18"/>
    <x v="1"/>
    <n v="887.86320000000001"/>
    <x v="1955"/>
    <s v="Gold"/>
    <n v="28"/>
    <x v="1"/>
    <s v="Beauty"/>
  </r>
  <r>
    <s v="SALE1956"/>
    <d v="2025-01-30T00:00:00"/>
    <x v="261"/>
    <x v="25"/>
    <x v="16"/>
    <n v="3"/>
    <n v="3"/>
    <n v="998.58"/>
    <n v="998.58"/>
    <n v="0.02"/>
    <n v="0.02"/>
    <x v="0"/>
    <n v="2935.8252000000002"/>
    <x v="1956"/>
    <s v="Silver"/>
    <n v="18"/>
    <x v="1"/>
    <s v="Electronics"/>
  </r>
  <r>
    <s v="SALE1957"/>
    <d v="2025-05-29T00:00:00"/>
    <x v="376"/>
    <x v="92"/>
    <x v="11"/>
    <n v="3"/>
    <n v="3"/>
    <n v="765.12"/>
    <n v="765.12"/>
    <n v="0.18"/>
    <n v="0.18"/>
    <x v="0"/>
    <n v="1882.1952000000001"/>
    <x v="1957"/>
    <s v="Gold"/>
    <n v="59"/>
    <x v="1"/>
    <s v="Clothing"/>
  </r>
  <r>
    <s v="SALE1958"/>
    <d v="2023-10-17T00:00:00"/>
    <x v="39"/>
    <x v="91"/>
    <x v="12"/>
    <n v="3"/>
    <n v="3"/>
    <n v="449.99"/>
    <n v="449.99"/>
    <n v="0.17"/>
    <n v="0.17"/>
    <x v="2"/>
    <n v="1120.4751000000001"/>
    <x v="1958"/>
    <s v="Gold"/>
    <n v="39"/>
    <x v="1"/>
    <s v="Beauty"/>
  </r>
  <r>
    <s v="SALE1959"/>
    <d v="2024-12-13T00:00:00"/>
    <x v="487"/>
    <x v="19"/>
    <x v="19"/>
    <n v="2"/>
    <n v="2"/>
    <n v="249.02"/>
    <n v="249.02"/>
    <n v="0.01"/>
    <n v="0.01"/>
    <x v="2"/>
    <n v="493.05959999999999"/>
    <x v="1959"/>
    <s v="Silver"/>
    <n v="26"/>
    <x v="0"/>
    <s v="Electronics"/>
  </r>
  <r>
    <s v="SALE1960"/>
    <d v="2024-06-11T00:00:00"/>
    <x v="488"/>
    <x v="71"/>
    <x v="12"/>
    <n v="3"/>
    <n v="3"/>
    <n v="223.64"/>
    <n v="223.64"/>
    <n v="0.05"/>
    <n v="0.05"/>
    <x v="0"/>
    <n v="637.37399999999991"/>
    <x v="1960"/>
    <s v="Platinum"/>
    <n v="55"/>
    <x v="1"/>
    <s v="Sports"/>
  </r>
  <r>
    <s v="SALE1961"/>
    <d v="2025-10-04T00:00:00"/>
    <x v="476"/>
    <x v="10"/>
    <x v="5"/>
    <n v="2"/>
    <n v="2"/>
    <n v="92.94"/>
    <n v="92.94"/>
    <n v="0.12"/>
    <n v="0.12"/>
    <x v="0"/>
    <n v="163.5744"/>
    <x v="1961"/>
    <s v="Bronze"/>
    <n v="53"/>
    <x v="1"/>
    <s v="Sports"/>
  </r>
  <r>
    <s v="SALE1962"/>
    <d v="2024-04-19T00:00:00"/>
    <x v="447"/>
    <x v="30"/>
    <x v="17"/>
    <n v="4"/>
    <n v="4"/>
    <n v="268.3"/>
    <n v="268.3"/>
    <n v="0.02"/>
    <n v="0.02"/>
    <x v="2"/>
    <n v="1051.7360000000001"/>
    <x v="1962"/>
    <s v="Platinum"/>
    <n v="64"/>
    <x v="0"/>
    <s v="OTHERS"/>
  </r>
  <r>
    <s v="SALE1963"/>
    <d v="2025-04-23T00:00:00"/>
    <x v="173"/>
    <x v="4"/>
    <x v="12"/>
    <n v="4"/>
    <n v="4"/>
    <n v="835.61"/>
    <n v="835.61"/>
    <n v="0.03"/>
    <n v="0.03"/>
    <x v="0"/>
    <n v="3242.1668"/>
    <x v="1963"/>
    <s v="Bronze"/>
    <n v="42"/>
    <x v="1"/>
    <s v="Beauty"/>
  </r>
  <r>
    <s v="SALE1964"/>
    <d v="2024-04-23T00:00:00"/>
    <x v="157"/>
    <x v="88"/>
    <x v="3"/>
    <n v="3"/>
    <n v="3"/>
    <n v="120.97"/>
    <n v="120.97"/>
    <n v="0.11"/>
    <n v="0.11"/>
    <x v="0"/>
    <n v="322.98989999999998"/>
    <x v="1964"/>
    <s v="Gold"/>
    <n v="20"/>
    <x v="1"/>
    <s v="Home"/>
  </r>
  <r>
    <s v="SALE1965"/>
    <d v="2024-05-12T00:00:00"/>
    <x v="454"/>
    <x v="43"/>
    <x v="11"/>
    <n v="2"/>
    <n v="2"/>
    <n v="26.36"/>
    <n v="26.36"/>
    <n v="0.03"/>
    <n v="0.03"/>
    <x v="2"/>
    <n v="51.138399999999997"/>
    <x v="1965"/>
    <s v="Bronze"/>
    <n v="64"/>
    <x v="1"/>
    <s v="Electronics"/>
  </r>
  <r>
    <s v="SALE1966"/>
    <d v="2025-08-12T00:00:00"/>
    <x v="153"/>
    <x v="25"/>
    <x v="16"/>
    <n v="1"/>
    <n v="1"/>
    <n v="918.87"/>
    <n v="918.87"/>
    <n v="0.11"/>
    <n v="0.11"/>
    <x v="1"/>
    <n v="817.79430000000002"/>
    <x v="1966"/>
    <s v="Platinum"/>
    <n v="25"/>
    <x v="0"/>
    <s v="Electronics"/>
  </r>
  <r>
    <s v="SALE1967"/>
    <d v="2025-05-17T00:00:00"/>
    <x v="189"/>
    <x v="22"/>
    <x v="19"/>
    <n v="2"/>
    <n v="2"/>
    <n v="924.73"/>
    <n v="924.73"/>
    <n v="0.28999999999999998"/>
    <n v="0.28999999999999998"/>
    <x v="1"/>
    <n v="1313.1166000000001"/>
    <x v="1967"/>
    <s v="Silver"/>
    <n v="41"/>
    <x v="0"/>
    <s v="Electronics"/>
  </r>
  <r>
    <s v="SALE1968"/>
    <d v="2025-01-08T00:00:00"/>
    <x v="460"/>
    <x v="21"/>
    <x v="15"/>
    <n v="3"/>
    <n v="3"/>
    <n v="195.31"/>
    <n v="195.31"/>
    <n v="0.13"/>
    <n v="0.13"/>
    <x v="2"/>
    <n v="509.75909999999999"/>
    <x v="1968"/>
    <s v="Gold"/>
    <n v="36"/>
    <x v="1"/>
    <s v="Beauty"/>
  </r>
  <r>
    <s v="SALE1969"/>
    <d v="2025-05-16T00:00:00"/>
    <x v="48"/>
    <x v="48"/>
    <x v="2"/>
    <n v="1"/>
    <n v="1"/>
    <n v="91.38"/>
    <n v="91.38"/>
    <n v="0.14000000000000001"/>
    <n v="0.14000000000000001"/>
    <x v="0"/>
    <n v="78.586799999999997"/>
    <x v="1969"/>
    <s v="Bronze"/>
    <n v="37"/>
    <x v="0"/>
    <s v="Sports"/>
  </r>
  <r>
    <s v="SALE1970"/>
    <d v="2024-09-28T00:00:00"/>
    <x v="60"/>
    <x v="56"/>
    <x v="19"/>
    <n v="2"/>
    <n v="2"/>
    <n v="494.35"/>
    <n v="494.35"/>
    <n v="0.1"/>
    <n v="0.1"/>
    <x v="0"/>
    <n v="889.83"/>
    <x v="1970"/>
    <s v="Gold"/>
    <n v="48"/>
    <x v="0"/>
    <s v="Home"/>
  </r>
  <r>
    <s v="SALE1971"/>
    <d v="2024-10-12T00:00:00"/>
    <x v="57"/>
    <x v="10"/>
    <x v="15"/>
    <n v="1"/>
    <n v="1"/>
    <n v="412.2"/>
    <n v="412.2"/>
    <n v="0.11"/>
    <n v="0.11"/>
    <x v="0"/>
    <n v="366.858"/>
    <x v="1971"/>
    <s v="Gold"/>
    <n v="21"/>
    <x v="0"/>
    <s v="Sports"/>
  </r>
  <r>
    <s v="SALE1972"/>
    <d v="2024-06-23T00:00:00"/>
    <x v="134"/>
    <x v="29"/>
    <x v="9"/>
    <n v="1"/>
    <n v="1"/>
    <n v="650.47"/>
    <n v="650.47"/>
    <n v="0.13"/>
    <n v="0.13"/>
    <x v="1"/>
    <n v="565.90890000000002"/>
    <x v="1972"/>
    <s v="Bronze"/>
    <n v="43"/>
    <x v="1"/>
    <s v="Home"/>
  </r>
  <r>
    <s v="SALE1973"/>
    <d v="2023-11-26T00:00:00"/>
    <x v="440"/>
    <x v="66"/>
    <x v="18"/>
    <n v="1"/>
    <n v="1"/>
    <n v="68.209999999999994"/>
    <n v="68.209999999999994"/>
    <n v="0.05"/>
    <n v="0.05"/>
    <x v="1"/>
    <n v="64.799499999999995"/>
    <x v="1973"/>
    <s v="Gold"/>
    <n v="60"/>
    <x v="1"/>
    <s v="Home"/>
  </r>
  <r>
    <s v="SALE1974"/>
    <d v="2025-08-17T00:00:00"/>
    <x v="163"/>
    <x v="27"/>
    <x v="4"/>
    <n v="2"/>
    <n v="2"/>
    <n v="842.89"/>
    <n v="842.89"/>
    <n v="0.25"/>
    <n v="0.25"/>
    <x v="2"/>
    <n v="1264.335"/>
    <x v="1974"/>
    <s v="Platinum"/>
    <n v="33"/>
    <x v="1"/>
    <s v="Clothing"/>
  </r>
  <r>
    <s v="SALE1975"/>
    <d v="2024-04-08T00:00:00"/>
    <x v="301"/>
    <x v="23"/>
    <x v="5"/>
    <n v="2"/>
    <n v="2"/>
    <n v="227.95"/>
    <n v="227.95"/>
    <n v="0.24"/>
    <n v="0.24"/>
    <x v="2"/>
    <n v="346.48399999999998"/>
    <x v="1975"/>
    <s v="Silver"/>
    <n v="29"/>
    <x v="0"/>
    <s v="Clothing"/>
  </r>
  <r>
    <s v="SALE1976"/>
    <d v="2024-04-06T00:00:00"/>
    <x v="375"/>
    <x v="73"/>
    <x v="18"/>
    <n v="3"/>
    <n v="3"/>
    <n v="685.97"/>
    <n v="685.97"/>
    <n v="0.24"/>
    <n v="0.24"/>
    <x v="1"/>
    <n v="1564.0116"/>
    <x v="1976"/>
    <s v="Gold"/>
    <n v="26"/>
    <x v="0"/>
    <s v="Beauty"/>
  </r>
  <r>
    <s v="SALE1977"/>
    <d v="2025-05-16T00:00:00"/>
    <x v="317"/>
    <x v="35"/>
    <x v="17"/>
    <n v="1"/>
    <n v="1"/>
    <n v="722.57"/>
    <n v="722.57"/>
    <n v="0.18"/>
    <n v="0.18"/>
    <x v="0"/>
    <n v="592.50740000000008"/>
    <x v="1977"/>
    <s v="Platinum"/>
    <n v="63"/>
    <x v="1"/>
    <s v="Home"/>
  </r>
  <r>
    <s v="SALE1978"/>
    <d v="2024-11-19T00:00:00"/>
    <x v="429"/>
    <x v="68"/>
    <x v="3"/>
    <n v="3"/>
    <n v="3"/>
    <n v="585.54999999999995"/>
    <n v="585.54999999999995"/>
    <n v="0.14000000000000001"/>
    <n v="0.14000000000000001"/>
    <x v="2"/>
    <n v="1510.7190000000001"/>
    <x v="1978"/>
    <s v="Gold"/>
    <n v="63"/>
    <x v="1"/>
    <s v="Home"/>
  </r>
  <r>
    <s v="SALE1979"/>
    <d v="2025-01-09T00:00:00"/>
    <x v="430"/>
    <x v="54"/>
    <x v="13"/>
    <n v="2"/>
    <n v="2"/>
    <n v="635.80999999999995"/>
    <n v="635.80999999999995"/>
    <n v="0.13"/>
    <n v="0.13"/>
    <x v="1"/>
    <n v="1106.3094000000001"/>
    <x v="1979"/>
    <s v="Bronze"/>
    <n v="41"/>
    <x v="1"/>
    <s v="Clothing"/>
  </r>
  <r>
    <s v="SALE1980"/>
    <d v="2024-12-18T00:00:00"/>
    <x v="107"/>
    <x v="66"/>
    <x v="5"/>
    <n v="2"/>
    <n v="2"/>
    <n v="353.74"/>
    <n v="353.74"/>
    <n v="0.01"/>
    <n v="0.01"/>
    <x v="0"/>
    <n v="700.40520000000004"/>
    <x v="1980"/>
    <s v="Platinum"/>
    <n v="22"/>
    <x v="1"/>
    <s v="Home"/>
  </r>
  <r>
    <s v="SALE1981"/>
    <d v="2024-12-22T00:00:00"/>
    <x v="105"/>
    <x v="14"/>
    <x v="4"/>
    <n v="1"/>
    <n v="1"/>
    <n v="377.52"/>
    <n v="377.52"/>
    <n v="0.15"/>
    <n v="0.15"/>
    <x v="0"/>
    <n v="320.892"/>
    <x v="1981"/>
    <s v="Gold"/>
    <n v="25"/>
    <x v="0"/>
    <s v="Clothing"/>
  </r>
  <r>
    <s v="SALE1982"/>
    <d v="2024-07-27T00:00:00"/>
    <x v="297"/>
    <x v="88"/>
    <x v="17"/>
    <n v="3"/>
    <n v="3"/>
    <n v="901.49"/>
    <n v="901.49"/>
    <n v="0"/>
    <n v="0"/>
    <x v="0"/>
    <n v="2704.47"/>
    <x v="1982"/>
    <s v="Gold"/>
    <n v="44"/>
    <x v="1"/>
    <s v="Home"/>
  </r>
  <r>
    <s v="SALE1983"/>
    <d v="2025-05-29T00:00:00"/>
    <x v="27"/>
    <x v="37"/>
    <x v="3"/>
    <n v="1"/>
    <n v="1"/>
    <n v="563.01"/>
    <n v="563.01"/>
    <n v="0.1"/>
    <n v="0.1"/>
    <x v="0"/>
    <n v="506.709"/>
    <x v="1983"/>
    <s v="Platinum"/>
    <n v="30"/>
    <x v="0"/>
    <s v="Home"/>
  </r>
  <r>
    <s v="SALE1984"/>
    <d v="2024-03-14T00:00:00"/>
    <x v="406"/>
    <x v="7"/>
    <x v="16"/>
    <n v="4"/>
    <n v="4"/>
    <n v="167.25"/>
    <n v="167.25"/>
    <n v="0.11"/>
    <n v="0.11"/>
    <x v="0"/>
    <n v="595.41"/>
    <x v="1984"/>
    <s v="Bronze"/>
    <n v="55"/>
    <x v="0"/>
    <s v="Home"/>
  </r>
  <r>
    <s v="SALE1985"/>
    <d v="2023-10-30T00:00:00"/>
    <x v="491"/>
    <x v="17"/>
    <x v="14"/>
    <n v="3"/>
    <n v="3"/>
    <n v="345.43"/>
    <n v="345.43"/>
    <n v="0.08"/>
    <n v="0.08"/>
    <x v="2"/>
    <n v="953.38679999999999"/>
    <x v="1985"/>
    <s v="Gold"/>
    <n v="60"/>
    <x v="0"/>
    <s v="Beauty"/>
  </r>
  <r>
    <s v="SALE1986"/>
    <d v="2024-02-27T00:00:00"/>
    <x v="482"/>
    <x v="74"/>
    <x v="11"/>
    <n v="4"/>
    <n v="4"/>
    <n v="752.48"/>
    <n v="752.48"/>
    <n v="0.23"/>
    <n v="0.23"/>
    <x v="0"/>
    <n v="2317.6383999999998"/>
    <x v="1986"/>
    <s v="Gold"/>
    <n v="60"/>
    <x v="1"/>
    <s v="Sports"/>
  </r>
  <r>
    <s v="SALE1987"/>
    <d v="2025-08-17T00:00:00"/>
    <x v="194"/>
    <x v="71"/>
    <x v="12"/>
    <n v="1"/>
    <n v="1"/>
    <n v="120.02"/>
    <n v="120.02"/>
    <n v="0.26"/>
    <n v="0.26"/>
    <x v="0"/>
    <n v="88.814799999999991"/>
    <x v="1987"/>
    <s v="Bronze"/>
    <n v="29"/>
    <x v="0"/>
    <s v="Sports"/>
  </r>
  <r>
    <s v="SALE1988"/>
    <d v="2024-03-08T00:00:00"/>
    <x v="162"/>
    <x v="89"/>
    <x v="2"/>
    <n v="3"/>
    <n v="3"/>
    <n v="146.71"/>
    <n v="146.71"/>
    <n v="0.28000000000000003"/>
    <n v="0.28000000000000003"/>
    <x v="0"/>
    <n v="316.89359999999999"/>
    <x v="1988"/>
    <s v="Platinum"/>
    <n v="64"/>
    <x v="1"/>
    <s v="Sports"/>
  </r>
  <r>
    <s v="SALE1989"/>
    <d v="2025-03-14T00:00:00"/>
    <x v="196"/>
    <x v="91"/>
    <x v="6"/>
    <n v="2"/>
    <n v="2"/>
    <n v="358.87"/>
    <n v="358.87"/>
    <n v="0.24"/>
    <n v="0.24"/>
    <x v="0"/>
    <n v="545.48239999999998"/>
    <x v="1989"/>
    <s v="Bronze"/>
    <n v="53"/>
    <x v="0"/>
    <s v="Beauty"/>
  </r>
  <r>
    <s v="SALE1990"/>
    <d v="2024-06-13T00:00:00"/>
    <x v="254"/>
    <x v="40"/>
    <x v="0"/>
    <n v="4"/>
    <n v="4"/>
    <n v="212.75"/>
    <n v="212.75"/>
    <n v="0.11"/>
    <n v="0.11"/>
    <x v="2"/>
    <n v="757.39"/>
    <x v="1990"/>
    <s v="Platinum"/>
    <n v="31"/>
    <x v="0"/>
    <s v="Sports"/>
  </r>
  <r>
    <s v="SALE1991"/>
    <d v="2024-06-07T00:00:00"/>
    <x v="78"/>
    <x v="49"/>
    <x v="19"/>
    <n v="1"/>
    <n v="1"/>
    <n v="183.47"/>
    <n v="183.47"/>
    <n v="0.17"/>
    <n v="0.17"/>
    <x v="1"/>
    <n v="152.2801"/>
    <x v="1991"/>
    <s v="Bronze"/>
    <n v="62"/>
    <x v="1"/>
    <s v="Sports"/>
  </r>
  <r>
    <s v="SALE1992"/>
    <d v="2024-07-20T00:00:00"/>
    <x v="127"/>
    <x v="41"/>
    <x v="10"/>
    <n v="4"/>
    <n v="4"/>
    <n v="569.98"/>
    <n v="569.98"/>
    <n v="0.23"/>
    <n v="0.23"/>
    <x v="0"/>
    <n v="1755.5383999999999"/>
    <x v="1992"/>
    <s v="Silver"/>
    <n v="24"/>
    <x v="1"/>
    <s v="Beauty"/>
  </r>
  <r>
    <s v="SALE1993"/>
    <d v="2023-12-14T00:00:00"/>
    <x v="167"/>
    <x v="39"/>
    <x v="18"/>
    <n v="3"/>
    <n v="3"/>
    <n v="984.12"/>
    <n v="984.12"/>
    <n v="0.27"/>
    <n v="0.27"/>
    <x v="0"/>
    <n v="2155.2228"/>
    <x v="1993"/>
    <s v="Silver"/>
    <n v="42"/>
    <x v="0"/>
    <s v="Home"/>
  </r>
  <r>
    <s v="SALE1994"/>
    <d v="2025-07-06T00:00:00"/>
    <x v="117"/>
    <x v="94"/>
    <x v="2"/>
    <n v="1"/>
    <n v="1"/>
    <n v="905.23"/>
    <n v="905.23"/>
    <n v="0"/>
    <n v="0"/>
    <x v="0"/>
    <n v="905.23"/>
    <x v="1994"/>
    <s v="Bronze"/>
    <n v="53"/>
    <x v="0"/>
    <s v="Home"/>
  </r>
  <r>
    <s v="SALE1995"/>
    <d v="2023-12-04T00:00:00"/>
    <x v="24"/>
    <x v="8"/>
    <x v="12"/>
    <n v="3"/>
    <n v="3"/>
    <n v="112.77"/>
    <n v="112.77"/>
    <n v="0.19"/>
    <n v="0.19"/>
    <x v="0"/>
    <n v="274.03109999999998"/>
    <x v="1995"/>
    <s v="Silver"/>
    <n v="53"/>
    <x v="0"/>
    <s v="Home"/>
  </r>
  <r>
    <s v="SALE1996"/>
    <d v="2025-04-26T00:00:00"/>
    <x v="261"/>
    <x v="68"/>
    <x v="2"/>
    <n v="3"/>
    <n v="3"/>
    <n v="875.99"/>
    <n v="875.99"/>
    <n v="0.09"/>
    <n v="0.09"/>
    <x v="1"/>
    <n v="2391.4526999999998"/>
    <x v="1996"/>
    <s v="Silver"/>
    <n v="18"/>
    <x v="1"/>
    <s v="Home"/>
  </r>
  <r>
    <s v="SALE1997"/>
    <d v="2024-06-17T00:00:00"/>
    <x v="147"/>
    <x v="41"/>
    <x v="15"/>
    <n v="2"/>
    <n v="2"/>
    <n v="685.31"/>
    <n v="685.31"/>
    <n v="0.26"/>
    <n v="0.26"/>
    <x v="1"/>
    <n v="1014.2588"/>
    <x v="1997"/>
    <s v="Silver"/>
    <n v="45"/>
    <x v="0"/>
    <s v="Beauty"/>
  </r>
  <r>
    <s v="SALE1998"/>
    <d v="2024-11-11T00:00:00"/>
    <x v="406"/>
    <x v="86"/>
    <x v="19"/>
    <n v="3"/>
    <n v="3"/>
    <n v="945.37"/>
    <n v="945.37"/>
    <n v="0.05"/>
    <n v="0.05"/>
    <x v="0"/>
    <n v="2694.3045000000002"/>
    <x v="1998"/>
    <s v="Bronze"/>
    <n v="55"/>
    <x v="0"/>
    <s v="Sports"/>
  </r>
  <r>
    <s v="SALE1999"/>
    <d v="2023-12-07T00:00:00"/>
    <x v="193"/>
    <x v="3"/>
    <x v="12"/>
    <n v="3"/>
    <n v="3"/>
    <n v="68.45"/>
    <n v="68.45"/>
    <n v="0.17"/>
    <n v="0.17"/>
    <x v="1"/>
    <n v="170.44049999999999"/>
    <x v="1999"/>
    <s v="Silver"/>
    <n v="52"/>
    <x v="1"/>
    <s v="Electronic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734A93-2453-4689-AB21-0C61EF67B01A}" name="PivotTable23" cacheId="1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18">
    <pivotField showAll="0"/>
    <pivotField numFmtId="164" showAll="0"/>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axis="axisRow" showAll="0">
      <items count="21">
        <item x="6"/>
        <item x="8"/>
        <item x="15"/>
        <item x="19"/>
        <item x="18"/>
        <item x="13"/>
        <item x="7"/>
        <item x="10"/>
        <item x="9"/>
        <item x="1"/>
        <item x="14"/>
        <item x="12"/>
        <item x="17"/>
        <item x="0"/>
        <item x="5"/>
        <item x="3"/>
        <item x="16"/>
        <item x="4"/>
        <item x="2"/>
        <item x="11"/>
        <item t="default"/>
      </items>
    </pivotField>
    <pivotField showAll="0"/>
    <pivotField showAll="0"/>
    <pivotField showAll="0"/>
    <pivotField showAll="0"/>
    <pivotField showAll="0"/>
    <pivotField showAll="0"/>
    <pivotField showAll="0">
      <items count="4">
        <item x="2"/>
        <item x="0"/>
        <item x="1"/>
        <item t="default"/>
      </items>
    </pivotField>
    <pivotField showAll="0"/>
    <pivotField dataField="1"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2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5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29"/>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8"/>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43"/>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52"/>
        <item x="114"/>
        <item x="1386"/>
        <item x="447"/>
        <item x="717"/>
        <item x="1453"/>
        <item x="680"/>
        <item x="491"/>
        <item x="1597"/>
        <item x="682"/>
        <item x="466"/>
        <item x="1165"/>
        <item x="1160"/>
        <item x="1561"/>
        <item x="36"/>
        <item x="1054"/>
        <item x="1251"/>
        <item x="1750"/>
        <item x="736"/>
        <item x="248"/>
        <item x="1611"/>
        <item x="64"/>
        <item x="1443"/>
        <item x="489"/>
        <item x="412"/>
        <item x="34"/>
        <item x="149"/>
        <item x="1288"/>
        <item x="1110"/>
        <item x="1119"/>
        <item x="1909"/>
        <item x="142"/>
        <item x="328"/>
        <item x="352"/>
        <item x="224"/>
        <item x="1334"/>
        <item x="268"/>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5"/>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9"/>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1941"/>
        <item x="564"/>
        <item x="615"/>
        <item x="1907"/>
        <item x="860"/>
        <item x="225"/>
        <item x="1129"/>
        <item x="435"/>
        <item x="1319"/>
        <item x="12"/>
        <item x="178"/>
        <item x="439"/>
        <item x="1260"/>
        <item x="1267"/>
        <item x="752"/>
        <item x="760"/>
        <item x="1371"/>
        <item x="848"/>
        <item x="532"/>
        <item x="1361"/>
        <item x="531"/>
        <item x="604"/>
        <item x="971"/>
        <item x="269"/>
        <item x="196"/>
        <item x="376"/>
        <item x="58"/>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t="default"/>
      </items>
    </pivotField>
    <pivotField showAll="0"/>
    <pivotField showAll="0"/>
    <pivotField showAll="0"/>
    <pivotField showAll="0"/>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4427BD-C551-4C9F-AE02-A7E59763F7BD}" name="PivotTable26" cacheId="1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Loyalty">
  <location ref="A1:B8" firstHeaderRow="1" firstDataRow="1" firstDataCol="1"/>
  <pivotFields count="5">
    <pivotField dataField="1" showAll="0"/>
    <pivotField axis="axisRow" showAll="0">
      <items count="7">
        <item x="3"/>
        <item x="0"/>
        <item x="4"/>
        <item x="1"/>
        <item x="2"/>
        <item x="5"/>
        <item t="default"/>
      </items>
    </pivotField>
    <pivotField showAll="0"/>
    <pivotField showAll="0">
      <items count="4">
        <item x="1"/>
        <item x="0"/>
        <item x="2"/>
        <item t="default"/>
      </items>
    </pivotField>
    <pivotField showAll="0">
      <items count="7">
        <item x="2"/>
        <item x="4"/>
        <item x="1"/>
        <item x="3"/>
        <item x="5"/>
        <item x="0"/>
        <item t="default"/>
      </items>
    </pivotField>
  </pivotFields>
  <rowFields count="1">
    <field x="1"/>
  </rowFields>
  <rowItems count="7">
    <i>
      <x/>
    </i>
    <i>
      <x v="1"/>
    </i>
    <i>
      <x v="2"/>
    </i>
    <i>
      <x v="3"/>
    </i>
    <i>
      <x v="4"/>
    </i>
    <i>
      <x v="5"/>
    </i>
    <i t="grand">
      <x/>
    </i>
  </rowItems>
  <colItems count="1">
    <i/>
  </colItems>
  <dataFields count="1">
    <dataField name="Sum of Total Amount" fld="0" baseField="0" baseItem="0"/>
  </dataField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A76AD2-86EF-4E1E-B589-5B8CED2B5F24}" name="PivotTable25" cacheId="1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6:B30" firstHeaderRow="1" firstDataRow="1" firstDataCol="1"/>
  <pivotFields count="18">
    <pivotField showAll="0"/>
    <pivotField numFmtId="164" showAll="0"/>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items count="21">
        <item x="6"/>
        <item x="8"/>
        <item x="15"/>
        <item x="19"/>
        <item x="18"/>
        <item x="13"/>
        <item x="7"/>
        <item x="10"/>
        <item x="9"/>
        <item x="1"/>
        <item x="14"/>
        <item x="12"/>
        <item x="17"/>
        <item x="0"/>
        <item x="5"/>
        <item x="3"/>
        <item x="16"/>
        <item x="4"/>
        <item x="2"/>
        <item x="11"/>
        <item t="default"/>
      </items>
    </pivotField>
    <pivotField showAll="0"/>
    <pivotField showAll="0"/>
    <pivotField showAll="0"/>
    <pivotField showAll="0"/>
    <pivotField showAll="0"/>
    <pivotField showAll="0"/>
    <pivotField showAll="0">
      <items count="4">
        <item x="2"/>
        <item x="0"/>
        <item x="1"/>
        <item t="default"/>
      </items>
    </pivotField>
    <pivotField showAll="0"/>
    <pivotField dataField="1"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2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5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29"/>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8"/>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43"/>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52"/>
        <item x="114"/>
        <item x="1386"/>
        <item x="447"/>
        <item x="717"/>
        <item x="1453"/>
        <item x="680"/>
        <item x="491"/>
        <item x="1597"/>
        <item x="682"/>
        <item x="466"/>
        <item x="1165"/>
        <item x="1160"/>
        <item x="1561"/>
        <item x="36"/>
        <item x="1054"/>
        <item x="1251"/>
        <item x="1750"/>
        <item x="736"/>
        <item x="248"/>
        <item x="1611"/>
        <item x="64"/>
        <item x="1443"/>
        <item x="489"/>
        <item x="412"/>
        <item x="34"/>
        <item x="149"/>
        <item x="1288"/>
        <item x="1110"/>
        <item x="1119"/>
        <item x="1909"/>
        <item x="142"/>
        <item x="328"/>
        <item x="352"/>
        <item x="224"/>
        <item x="1334"/>
        <item x="268"/>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5"/>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9"/>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1941"/>
        <item x="564"/>
        <item x="615"/>
        <item x="1907"/>
        <item x="860"/>
        <item x="225"/>
        <item x="1129"/>
        <item x="435"/>
        <item x="1319"/>
        <item x="12"/>
        <item x="178"/>
        <item x="439"/>
        <item x="1260"/>
        <item x="1267"/>
        <item x="752"/>
        <item x="760"/>
        <item x="1371"/>
        <item x="848"/>
        <item x="532"/>
        <item x="1361"/>
        <item x="531"/>
        <item x="604"/>
        <item x="971"/>
        <item x="269"/>
        <item x="196"/>
        <item x="376"/>
        <item x="58"/>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t="default"/>
      </items>
    </pivotField>
    <pivotField showAll="0"/>
    <pivotField showAll="0"/>
    <pivotField axis="axisRow" showAll="0">
      <items count="4">
        <item x="1"/>
        <item x="0"/>
        <item x="2"/>
        <item t="default"/>
      </items>
    </pivotField>
    <pivotField showAll="0"/>
  </pivotFields>
  <rowFields count="1">
    <field x="16"/>
  </rowFields>
  <rowItems count="4">
    <i>
      <x/>
    </i>
    <i>
      <x v="1"/>
    </i>
    <i>
      <x v="2"/>
    </i>
    <i t="grand">
      <x/>
    </i>
  </rowItems>
  <colItems count="1">
    <i/>
  </colItems>
  <dataFields count="1">
    <dataField name="Sum of Total Amount" fld="13" baseField="0" baseItem="0"/>
  </dataFields>
  <chartFormats count="8">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6" count="1" selected="0">
            <x v="0"/>
          </reference>
        </references>
      </pivotArea>
    </chartFormat>
    <chartFormat chart="2" format="7">
      <pivotArea type="data" outline="0" fieldPosition="0">
        <references count="2">
          <reference field="4294967294" count="1" selected="0">
            <x v="0"/>
          </reference>
          <reference field="16" count="1" selected="0">
            <x v="1"/>
          </reference>
        </references>
      </pivotArea>
    </chartFormat>
    <chartFormat chart="2" format="8">
      <pivotArea type="data" outline="0" fieldPosition="0">
        <references count="2">
          <reference field="4294967294" count="1" selected="0">
            <x v="0"/>
          </reference>
          <reference field="16" count="1" selected="0">
            <x v="2"/>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6" count="1" selected="0">
            <x v="0"/>
          </reference>
        </references>
      </pivotArea>
    </chartFormat>
    <chartFormat chart="4" format="15">
      <pivotArea type="data" outline="0" fieldPosition="0">
        <references count="2">
          <reference field="4294967294" count="1" selected="0">
            <x v="0"/>
          </reference>
          <reference field="16" count="1" selected="0">
            <x v="1"/>
          </reference>
        </references>
      </pivotArea>
    </chartFormat>
    <chartFormat chart="4" format="16">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870985-D179-498B-B257-FC506CEF6C23}" name="PivotTable24" cacheId="165" applyNumberFormats="0" applyBorderFormats="0" applyFontFormats="0" applyPatternFormats="0" applyAlignmentFormats="0" applyWidthHeightFormats="1" dataCaption="Values" showMissing="0" updatedVersion="8" minRefreshableVersion="3" useAutoFormatting="1" itemPrintTitles="1" createdVersion="8" indent="0" outline="1" outlineData="1" multipleFieldFilters="0" chartFormat="9">
  <location ref="A2:B23" firstHeaderRow="1" firstDataRow="1" firstDataCol="1"/>
  <pivotFields count="18">
    <pivotField showAll="0"/>
    <pivotField numFmtId="164" showAll="0"/>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axis="axisRow" showAll="0">
      <items count="21">
        <item x="6"/>
        <item x="8"/>
        <item x="15"/>
        <item x="19"/>
        <item x="18"/>
        <item x="13"/>
        <item x="7"/>
        <item x="10"/>
        <item x="9"/>
        <item x="1"/>
        <item x="14"/>
        <item x="12"/>
        <item x="17"/>
        <item x="0"/>
        <item x="5"/>
        <item x="3"/>
        <item x="16"/>
        <item x="4"/>
        <item x="2"/>
        <item x="11"/>
        <item t="default"/>
      </items>
    </pivotField>
    <pivotField showAll="0"/>
    <pivotField showAll="0"/>
    <pivotField showAll="0"/>
    <pivotField showAll="0"/>
    <pivotField showAll="0"/>
    <pivotField showAll="0"/>
    <pivotField showAll="0">
      <items count="4">
        <item x="2"/>
        <item x="0"/>
        <item x="1"/>
        <item t="default"/>
      </items>
    </pivotField>
    <pivotField showAll="0"/>
    <pivotField dataField="1"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2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5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29"/>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8"/>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43"/>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52"/>
        <item x="114"/>
        <item x="1386"/>
        <item x="447"/>
        <item x="717"/>
        <item x="1453"/>
        <item x="680"/>
        <item x="491"/>
        <item x="1597"/>
        <item x="682"/>
        <item x="466"/>
        <item x="1165"/>
        <item x="1160"/>
        <item x="1561"/>
        <item x="36"/>
        <item x="1054"/>
        <item x="1251"/>
        <item x="1750"/>
        <item x="736"/>
        <item x="248"/>
        <item x="1611"/>
        <item x="64"/>
        <item x="1443"/>
        <item x="489"/>
        <item x="412"/>
        <item x="34"/>
        <item x="149"/>
        <item x="1288"/>
        <item x="1110"/>
        <item x="1119"/>
        <item x="1909"/>
        <item x="142"/>
        <item x="328"/>
        <item x="352"/>
        <item x="224"/>
        <item x="1334"/>
        <item x="268"/>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5"/>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9"/>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1941"/>
        <item x="564"/>
        <item x="615"/>
        <item x="1907"/>
        <item x="860"/>
        <item x="225"/>
        <item x="1129"/>
        <item x="435"/>
        <item x="1319"/>
        <item x="12"/>
        <item x="178"/>
        <item x="439"/>
        <item x="1260"/>
        <item x="1267"/>
        <item x="752"/>
        <item x="760"/>
        <item x="1371"/>
        <item x="848"/>
        <item x="532"/>
        <item x="1361"/>
        <item x="531"/>
        <item x="604"/>
        <item x="971"/>
        <item x="269"/>
        <item x="196"/>
        <item x="376"/>
        <item x="58"/>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t="default"/>
      </items>
    </pivotField>
    <pivotField showAll="0"/>
    <pivotField showAll="0"/>
    <pivotField showAll="0"/>
    <pivotField showAll="0"/>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Amount" fld="13"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164301-64EE-43F9-BCC5-49D3EE475CCB}" name="PivotTable21" cacheId="1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Loyalty">
  <location ref="D2:E9" firstHeaderRow="1" firstDataRow="1" firstDataCol="1"/>
  <pivotFields count="5">
    <pivotField dataField="1" showAll="0"/>
    <pivotField axis="axisRow" showAll="0">
      <items count="7">
        <item x="3"/>
        <item x="0"/>
        <item x="4"/>
        <item x="1"/>
        <item x="2"/>
        <item x="5"/>
        <item t="default"/>
      </items>
    </pivotField>
    <pivotField showAll="0"/>
    <pivotField showAll="0">
      <items count="4">
        <item x="1"/>
        <item x="0"/>
        <item x="2"/>
        <item t="default"/>
      </items>
    </pivotField>
    <pivotField showAll="0">
      <items count="7">
        <item x="2"/>
        <item x="4"/>
        <item x="1"/>
        <item x="3"/>
        <item x="5"/>
        <item x="0"/>
        <item t="default"/>
      </items>
    </pivotField>
  </pivotFields>
  <rowFields count="1">
    <field x="1"/>
  </rowFields>
  <rowItems count="7">
    <i>
      <x/>
    </i>
    <i>
      <x v="1"/>
    </i>
    <i>
      <x v="2"/>
    </i>
    <i>
      <x v="3"/>
    </i>
    <i>
      <x v="4"/>
    </i>
    <i>
      <x v="5"/>
    </i>
    <i t="grand">
      <x/>
    </i>
  </rowItems>
  <colItems count="1">
    <i/>
  </colItems>
  <dataFields count="1">
    <dataField name="Sum of Total Amount" fld="0" baseField="0" baseItem="0"/>
  </dataField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3B1A5E-5D22-4188-AF8A-B523A2417F87}" name="PivotTable20" cacheId="1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category">
  <location ref="A33:B40" firstHeaderRow="1" firstDataRow="1" firstDataCol="1"/>
  <pivotFields count="5">
    <pivotField dataField="1"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2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5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29"/>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8"/>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43"/>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52"/>
        <item x="114"/>
        <item x="1386"/>
        <item x="447"/>
        <item x="717"/>
        <item x="1453"/>
        <item x="680"/>
        <item x="491"/>
        <item x="1597"/>
        <item x="682"/>
        <item x="466"/>
        <item x="1165"/>
        <item x="1160"/>
        <item x="1561"/>
        <item x="36"/>
        <item x="1054"/>
        <item x="1251"/>
        <item x="1750"/>
        <item x="736"/>
        <item x="248"/>
        <item x="1611"/>
        <item x="64"/>
        <item x="1443"/>
        <item x="489"/>
        <item x="412"/>
        <item x="34"/>
        <item x="149"/>
        <item x="1288"/>
        <item x="1110"/>
        <item x="1119"/>
        <item x="1909"/>
        <item x="142"/>
        <item x="328"/>
        <item x="352"/>
        <item x="224"/>
        <item x="1334"/>
        <item x="268"/>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5"/>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9"/>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1941"/>
        <item x="564"/>
        <item x="615"/>
        <item x="1907"/>
        <item x="860"/>
        <item x="225"/>
        <item x="1129"/>
        <item x="435"/>
        <item x="1319"/>
        <item x="12"/>
        <item x="178"/>
        <item x="439"/>
        <item x="1260"/>
        <item x="1267"/>
        <item x="752"/>
        <item x="760"/>
        <item x="1371"/>
        <item x="848"/>
        <item x="532"/>
        <item x="1361"/>
        <item x="531"/>
        <item x="604"/>
        <item x="971"/>
        <item x="269"/>
        <item x="196"/>
        <item x="376"/>
        <item x="58"/>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t="default"/>
      </items>
    </pivotField>
    <pivotField showAll="0">
      <items count="7">
        <item x="3"/>
        <item x="0"/>
        <item x="4"/>
        <item x="1"/>
        <item x="2"/>
        <item x="5"/>
        <item t="default"/>
      </items>
    </pivotField>
    <pivotField showAll="0">
      <items count="49">
        <item x="5"/>
        <item x="29"/>
        <item x="43"/>
        <item x="10"/>
        <item x="15"/>
        <item x="25"/>
        <item x="6"/>
        <item x="18"/>
        <item x="33"/>
        <item x="24"/>
        <item x="4"/>
        <item x="31"/>
        <item x="23"/>
        <item x="46"/>
        <item x="40"/>
        <item x="19"/>
        <item x="11"/>
        <item x="38"/>
        <item x="32"/>
        <item x="13"/>
        <item x="14"/>
        <item x="27"/>
        <item x="44"/>
        <item x="7"/>
        <item x="22"/>
        <item x="16"/>
        <item x="41"/>
        <item x="36"/>
        <item x="28"/>
        <item x="34"/>
        <item x="37"/>
        <item x="2"/>
        <item x="21"/>
        <item x="12"/>
        <item x="39"/>
        <item x="20"/>
        <item x="26"/>
        <item x="0"/>
        <item x="45"/>
        <item x="47"/>
        <item x="3"/>
        <item x="30"/>
        <item x="8"/>
        <item x="35"/>
        <item x="17"/>
        <item x="1"/>
        <item x="42"/>
        <item x="9"/>
        <item t="default"/>
      </items>
    </pivotField>
    <pivotField showAll="0">
      <items count="4">
        <item x="1"/>
        <item x="0"/>
        <item x="2"/>
        <item t="default"/>
      </items>
    </pivotField>
    <pivotField axis="axisRow" showAll="0">
      <items count="7">
        <item x="2"/>
        <item x="4"/>
        <item x="1"/>
        <item x="3"/>
        <item x="5"/>
        <item x="0"/>
        <item t="default"/>
      </items>
    </pivotField>
  </pivotFields>
  <rowFields count="1">
    <field x="4"/>
  </rowFields>
  <rowItems count="7">
    <i>
      <x/>
    </i>
    <i>
      <x v="1"/>
    </i>
    <i>
      <x v="2"/>
    </i>
    <i>
      <x v="3"/>
    </i>
    <i>
      <x v="4"/>
    </i>
    <i>
      <x v="5"/>
    </i>
    <i t="grand">
      <x/>
    </i>
  </rowItems>
  <colItems count="1">
    <i/>
  </colItems>
  <dataFields count="1">
    <dataField name="Sum of Total Amount" fld="0"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DD0D6B-5AD0-4EE9-8680-737FE3F967F1}" name="PivotTable27" cacheId="1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category">
  <location ref="A1:B8" firstHeaderRow="1" firstDataRow="1" firstDataCol="1"/>
  <pivotFields count="5">
    <pivotField dataField="1"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2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5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29"/>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8"/>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43"/>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52"/>
        <item x="114"/>
        <item x="1386"/>
        <item x="447"/>
        <item x="717"/>
        <item x="1453"/>
        <item x="680"/>
        <item x="491"/>
        <item x="1597"/>
        <item x="682"/>
        <item x="466"/>
        <item x="1165"/>
        <item x="1160"/>
        <item x="1561"/>
        <item x="36"/>
        <item x="1054"/>
        <item x="1251"/>
        <item x="1750"/>
        <item x="736"/>
        <item x="248"/>
        <item x="1611"/>
        <item x="64"/>
        <item x="1443"/>
        <item x="489"/>
        <item x="412"/>
        <item x="34"/>
        <item x="149"/>
        <item x="1288"/>
        <item x="1110"/>
        <item x="1119"/>
        <item x="1909"/>
        <item x="142"/>
        <item x="328"/>
        <item x="352"/>
        <item x="224"/>
        <item x="1334"/>
        <item x="268"/>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5"/>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9"/>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1941"/>
        <item x="564"/>
        <item x="615"/>
        <item x="1907"/>
        <item x="860"/>
        <item x="225"/>
        <item x="1129"/>
        <item x="435"/>
        <item x="1319"/>
        <item x="12"/>
        <item x="178"/>
        <item x="439"/>
        <item x="1260"/>
        <item x="1267"/>
        <item x="752"/>
        <item x="760"/>
        <item x="1371"/>
        <item x="848"/>
        <item x="532"/>
        <item x="1361"/>
        <item x="531"/>
        <item x="604"/>
        <item x="971"/>
        <item x="269"/>
        <item x="196"/>
        <item x="376"/>
        <item x="58"/>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t="default"/>
      </items>
    </pivotField>
    <pivotField showAll="0">
      <items count="7">
        <item x="3"/>
        <item x="0"/>
        <item x="4"/>
        <item x="1"/>
        <item x="2"/>
        <item x="5"/>
        <item t="default"/>
      </items>
    </pivotField>
    <pivotField showAll="0">
      <items count="49">
        <item x="5"/>
        <item x="29"/>
        <item x="43"/>
        <item x="10"/>
        <item x="15"/>
        <item x="25"/>
        <item x="6"/>
        <item x="18"/>
        <item x="33"/>
        <item x="24"/>
        <item x="4"/>
        <item x="31"/>
        <item x="23"/>
        <item x="46"/>
        <item x="40"/>
        <item x="19"/>
        <item x="11"/>
        <item x="38"/>
        <item x="32"/>
        <item x="13"/>
        <item x="14"/>
        <item x="27"/>
        <item x="44"/>
        <item x="7"/>
        <item x="22"/>
        <item x="16"/>
        <item x="41"/>
        <item x="36"/>
        <item x="28"/>
        <item x="34"/>
        <item x="37"/>
        <item x="2"/>
        <item x="21"/>
        <item x="12"/>
        <item x="39"/>
        <item x="20"/>
        <item x="26"/>
        <item x="0"/>
        <item x="45"/>
        <item x="47"/>
        <item x="3"/>
        <item x="30"/>
        <item x="8"/>
        <item x="35"/>
        <item x="17"/>
        <item x="1"/>
        <item x="42"/>
        <item x="9"/>
        <item t="default"/>
      </items>
    </pivotField>
    <pivotField showAll="0">
      <items count="4">
        <item x="1"/>
        <item x="0"/>
        <item x="2"/>
        <item t="default"/>
      </items>
    </pivotField>
    <pivotField axis="axisRow" showAll="0">
      <items count="7">
        <item x="2"/>
        <item x="4"/>
        <item x="1"/>
        <item x="3"/>
        <item x="5"/>
        <item x="0"/>
        <item t="default"/>
      </items>
    </pivotField>
  </pivotFields>
  <rowFields count="1">
    <field x="4"/>
  </rowFields>
  <rowItems count="7">
    <i>
      <x/>
    </i>
    <i>
      <x v="1"/>
    </i>
    <i>
      <x v="2"/>
    </i>
    <i>
      <x v="3"/>
    </i>
    <i>
      <x v="4"/>
    </i>
    <i>
      <x v="5"/>
    </i>
    <i t="grand">
      <x/>
    </i>
  </rowItems>
  <colItems count="1">
    <i/>
  </colItems>
  <dataFields count="1">
    <dataField name="Sum of Total Amount" fld="0"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5A4BEA11-4D73-405A-8B96-1381526EE08A}" sourceName="Store_ID">
  <pivotTables>
    <pivotTable tabId="6" name="PivotTable24"/>
    <pivotTable tabId="6" name="PivotTable25"/>
    <pivotTable tabId="13" name="PivotTable23"/>
  </pivotTables>
  <data>
    <tabular pivotCacheId="1470747709" customListSort="0">
      <items count="20">
        <i x="6" s="1"/>
        <i x="8" s="1"/>
        <i x="15" s="1"/>
        <i x="19" s="1"/>
        <i x="18" s="1"/>
        <i x="13" s="1"/>
        <i x="7" s="1"/>
        <i x="10" s="1"/>
        <i x="9" s="1"/>
        <i x="1" s="1"/>
        <i x="14" s="1"/>
        <i x="12" s="1"/>
        <i x="17" s="1"/>
        <i x="0" s="1"/>
        <i x="5" s="1"/>
        <i x="3" s="1"/>
        <i x="16" s="1"/>
        <i x="4" s="1"/>
        <i x="2" s="1"/>
        <i x="1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794CCDA-9351-487A-AF99-871B0E0E436B}" sourceName="Product category">
  <pivotTables>
    <pivotTable tabId="6" name="PivotTable21"/>
    <pivotTable tabId="6" name="PivotTable20"/>
    <pivotTable tabId="15" name="PivotTable26"/>
    <pivotTable tabId="16" name="PivotTable27"/>
  </pivotTables>
  <data>
    <tabular pivotCacheId="1792506150">
      <items count="6">
        <i x="2" s="1"/>
        <i x="4" s="1"/>
        <i x="1" s="1"/>
        <i x="3"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xr10:uid="{997C3D63-BEB5-4D70-9371-8E02855F563E}" cache="Slicer_Store_ID" caption="Store_ID" startItem="13" rowHeight="234950"/>
  <slicer name="Product category" xr10:uid="{B3B28994-00A6-41AB-935F-29781846D292}" cache="Slicer_Product_category"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D788BE-4A37-404B-BCC8-8FF184E49146}" name="Customer_Dim" displayName="Customer_Dim" ref="A1:L501" totalsRowShown="0" headerRowDxfId="7">
  <autoFilter ref="A1:L501" xr:uid="{C1D788BE-4A37-404B-BCC8-8FF184E49146}"/>
  <tableColumns count="12">
    <tableColumn id="1" xr3:uid="{01ABE009-0410-4284-93FD-7CB0BC63FBC2}" name="Customer_ID"/>
    <tableColumn id="2" xr3:uid="{0C6538CE-6664-4BF6-A4B5-37E963312F3A}" name="Name"/>
    <tableColumn id="3" xr3:uid="{C204CED2-F23F-4C0E-B335-2FD0E55FBA7C}" name="Name2">
      <calculatedColumnFormula>PROPER(B2)</calculatedColumnFormula>
    </tableColumn>
    <tableColumn id="4" xr3:uid="{3617B248-D714-4258-8A43-963DC840154A}" name="NAME 2">
      <calculatedColumnFormula>TRIM(C2)</calculatedColumnFormula>
    </tableColumn>
    <tableColumn id="5" xr3:uid="{1DACE1F9-F308-4540-B167-22529D7CE2AA}" name="Age" dataDxfId="6"/>
    <tableColumn id="6" xr3:uid="{B479F181-658F-48A9-AE78-6C502DAEF5A2}" name="Gender"/>
    <tableColumn id="7" xr3:uid="{E5C4F289-8484-44F6-9E89-FD33A973C4CB}" name="City"/>
    <tableColumn id="8" xr3:uid="{C317C544-8E25-4EA8-8CC0-8032E861130B}" name="State"/>
    <tableColumn id="9" xr3:uid="{4791F3FC-780F-41C1-8113-51B9724E0296}" name="Country"/>
    <tableColumn id="10" xr3:uid="{BB4C39F1-487D-4303-B720-62465F0AF1D0}" name="Loyalty_Level"/>
    <tableColumn id="11" xr3:uid="{C7886DEA-73BE-4D8F-B6F8-3B7E3785C648}" name="Loyalty_Level3">
      <calculatedColumnFormula>IF(ISBLANK(J2),"UNKNOWN",J2)</calculatedColumnFormula>
    </tableColumn>
    <tableColumn id="12" xr3:uid="{FACF3019-E5C3-4ACC-98E8-7A4CB68A28E2}" name="Age Category" dataDxfId="3">
      <calculatedColumnFormula>IF(Customer_Dim[[#This Row],[Age]]&lt;25,"Youth",
   IF(Customer_Dim[[#This Row],[Age]]&lt;=40,"Adult",
   IF(Customer_Dim[[#This Row],[Age]]&lt;=60,"Middle-Aged","Senior")))</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1D7E20-C754-4F70-8BFC-B164C88EEF1A}" name="Table2" displayName="Table2" ref="A1:I101" totalsRowShown="0" headerRowDxfId="13">
  <autoFilter ref="A1:I101" xr:uid="{701D7E20-C754-4F70-8BFC-B164C88EEF1A}"/>
  <tableColumns count="9">
    <tableColumn id="1" xr3:uid="{C36C75CB-555C-4BB5-807E-9046BAEE91A6}" name="Product_ID"/>
    <tableColumn id="2" xr3:uid="{12114535-7F68-478F-AA21-F39B5D5FBB27}" name="Product_Name"/>
    <tableColumn id="3" xr3:uid="{DA9B253A-8659-4FAE-81E8-A010EA2B7BAA}" name="Category"/>
    <tableColumn id="4" xr3:uid="{3FCBF9A9-D5EE-47A6-9031-5B7B64F35A29}" name="Sub_Category"/>
    <tableColumn id="5" xr3:uid="{B3A50EB3-0566-42A7-B66D-9698C6989BAC}" name="Brand"/>
    <tableColumn id="6" xr3:uid="{E9E5076A-D480-4028-AB55-17F806BDC5CF}" name="Cost"/>
    <tableColumn id="7" xr3:uid="{F6382345-52BD-4927-A526-0D74AFE14FDE}" name="COST2">
      <calculatedColumnFormula>IF(ISBLANK(F2),AVERAGE($F$2:$F$101),F2)</calculatedColumnFormula>
    </tableColumn>
    <tableColumn id="8" xr3:uid="{512844CE-2AE1-4377-9444-1FBD6061D85C}" name="Stock"/>
    <tableColumn id="9" xr3:uid="{EE5294E2-A456-4785-89D2-8F7FF32DFE6B}" name="Stock3">
      <calculatedColumnFormula>IF(ISBLANK(H2),MODE($H$2:$H$101),H2)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A0898F-8538-4910-83D8-5EBDCFE14408}" name="Store_Dim" displayName="Store_Dim" ref="A1:E21" totalsRowShown="0" headerRowDxfId="10" headerRowBorderDxfId="11" tableBorderDxfId="12">
  <autoFilter ref="A1:E21" xr:uid="{D3A0898F-8538-4910-83D8-5EBDCFE14408}"/>
  <tableColumns count="5">
    <tableColumn id="1" xr3:uid="{274CB33F-EF31-40C1-86AC-86980F88C94B}" name="Store_ID"/>
    <tableColumn id="2" xr3:uid="{369AECAE-0E27-4D12-9404-176FC0191063}" name="Store_Name"/>
    <tableColumn id="3" xr3:uid="{76568F3C-3F79-4F8F-8A96-720CF18D6E65}" name="Region"/>
    <tableColumn id="4" xr3:uid="{20E424C7-F061-4689-A693-AE978AF57EF8}" name="City"/>
    <tableColumn id="5" xr3:uid="{6D060363-A2CC-471C-824F-281B664D5365}"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6B757D-BA8E-413C-B957-E0CEAB7E8F62}" name="Sales_fact" displayName="Sales_fact" ref="A1:R2001" totalsRowShown="0" headerRowDxfId="8">
  <autoFilter ref="A1:R2001" xr:uid="{F46B757D-BA8E-413C-B957-E0CEAB7E8F62}"/>
  <tableColumns count="18">
    <tableColumn id="1" xr3:uid="{B4304534-7280-4167-AA7B-4DED7572C8A3}" name="Sales_ID"/>
    <tableColumn id="2" xr3:uid="{025E7520-A71E-4D34-8FF1-483B2D9C8C95}" name="Order_Date" dataDxfId="9"/>
    <tableColumn id="3" xr3:uid="{D6BA789B-B282-4661-9516-BD0DE24EABCD}" name="Customer_ID"/>
    <tableColumn id="4" xr3:uid="{5939D2DA-FF16-4E5C-BE1D-5CCEA9B32C95}" name="Product_ID"/>
    <tableColumn id="5" xr3:uid="{40FA0D06-0DFF-442D-91FE-52B3572261A9}" name="Store_ID">
      <calculatedColumnFormula>TRIM(Sales_fact[[#This Row],[Store_ID]])</calculatedColumnFormula>
    </tableColumn>
    <tableColumn id="6" xr3:uid="{8FE50D92-DA4C-4904-9D18-3DC0E0F97647}" name="Quantity"/>
    <tableColumn id="7" xr3:uid="{D40320A0-F9F1-4272-A0E5-6FC57248144F}" name="Quantity1">
      <calculatedColumnFormula>IF(ISBLANK(F2),MODE($F$2:$F$2001),F2)</calculatedColumnFormula>
    </tableColumn>
    <tableColumn id="8" xr3:uid="{2275E5C9-552A-4D46-809A-AFC10DF94215}" name="Unit_Price"/>
    <tableColumn id="9" xr3:uid="{C6C6754C-5594-44C1-A771-213CE2DFF34C}" name="UNIT Price">
      <calculatedColumnFormula>IF(ISBLANK(H2),AVERAGE($H$2:$H$2001),H2)</calculatedColumnFormula>
    </tableColumn>
    <tableColumn id="10" xr3:uid="{5479BB4E-9E7E-4E45-A706-4A1AC01D38D5}" name="Discount"/>
    <tableColumn id="11" xr3:uid="{A5654195-7595-4542-A25C-ECD58325B1D5}" name="Discount2">
      <calculatedColumnFormula>IF(ISBLANK(J2),MODE($J$2:$J$2001),J2)</calculatedColumnFormula>
    </tableColumn>
    <tableColumn id="12" xr3:uid="{9358E4B3-ECFE-400D-A6B2-C77F5FCB6F7E}" name="Payment_Type"/>
    <tableColumn id="13" xr3:uid="{4F748F02-9908-43A5-9A41-E2DE8377F6C6}" name="Total_Amount"/>
    <tableColumn id="14" xr3:uid="{B2BE882B-836F-4455-8B0A-FBBCB7A2F4B8}" name="Total Amount">
      <calculatedColumnFormula>G2*I2*(1-K2)</calculatedColumnFormula>
    </tableColumn>
    <tableColumn id="15" xr3:uid="{88834885-F8B4-49B5-AA80-138B33A2D0A6}" name="Loyalty Level" dataDxfId="5">
      <calculatedColumnFormula>_xlfn.XLOOKUP(Sales_fact[[#This Row],[Customer_ID]],'Customer_Dim'!A:A,'Customer_Dim'!K:K,"Not Found")</calculatedColumnFormula>
    </tableColumn>
    <tableColumn id="16" xr3:uid="{5131133F-BD6D-457D-80C1-5B9FF279EE9A}" name="Age" dataDxfId="4">
      <calculatedColumnFormula>_xlfn.XLOOKUP(Sales_fact[[#This Row],[Customer_ID]],'Customer_Dim'!A:A, 'Customer_Dim'!E:E, "Not Found")</calculatedColumnFormula>
    </tableColumn>
    <tableColumn id="17" xr3:uid="{AD475FC5-4272-41E6-B203-FBD22F4A3220}" name="Gender" dataDxfId="2">
      <calculatedColumnFormula>VLOOKUP(Sales_fact[[#This Row],[Customer_ID]], 'Customer_Dim'!A:F, 6, FALSE)</calculatedColumnFormula>
    </tableColumn>
    <tableColumn id="20" xr3:uid="{EDEA180F-79C9-4057-8F15-648F4455DB49}" name="Product category" dataDxfId="1">
      <calculatedColumnFormula>_xlfn.XLOOKUP(Sales_fact[[#This Row],[Product_ID]],Product_Dim!A:A,Product_Dim!C:C,"OTHERS")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C999F73-69BC-4FEF-898B-7093EEAE4879}">
  <we:reference id="wa200008734" version="1.0.0.4" store="en-US" storeType="OMEX"/>
  <we:alternateReferences>
    <we:reference id="wa200008734" version="1.0.0.4" store="wa200008734" storeType="OMEX"/>
  </we:alternateReferences>
  <we:properties>
    <we:property name="elkar-uid" value="&quot;2cbd1b97-785e-48ac-b690-3ed44576f7b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workbookViewId="0">
      <selection activeCell="J2" sqref="J2:J232"/>
    </sheetView>
  </sheetViews>
  <sheetFormatPr defaultRowHeight="14.4" x14ac:dyDescent="0.3"/>
  <cols>
    <col min="1" max="1" width="13.77734375" customWidth="1"/>
    <col min="2" max="2" width="20.109375" bestFit="1" customWidth="1"/>
    <col min="3" max="4" width="20.109375" customWidth="1"/>
    <col min="5" max="5" width="8.5546875" style="7" bestFit="1" customWidth="1"/>
    <col min="6" max="6" width="9" customWidth="1"/>
    <col min="7" max="7" width="20.6640625" bestFit="1" customWidth="1"/>
    <col min="8" max="8" width="14" bestFit="1" customWidth="1"/>
    <col min="9" max="9" width="21.5546875" bestFit="1" customWidth="1"/>
    <col min="10" max="10" width="14.33203125" customWidth="1"/>
    <col min="11" max="12" width="15.33203125" customWidth="1"/>
  </cols>
  <sheetData>
    <row r="1" spans="1:13" x14ac:dyDescent="0.3">
      <c r="A1" s="1" t="s">
        <v>0</v>
      </c>
      <c r="B1" s="1" t="s">
        <v>1</v>
      </c>
      <c r="C1" s="4" t="s">
        <v>3984</v>
      </c>
      <c r="D1" s="4" t="s">
        <v>3966</v>
      </c>
      <c r="E1" s="6" t="s">
        <v>2</v>
      </c>
      <c r="F1" s="1" t="s">
        <v>3</v>
      </c>
      <c r="G1" s="1" t="s">
        <v>4</v>
      </c>
      <c r="H1" s="1" t="s">
        <v>5</v>
      </c>
      <c r="I1" s="1" t="s">
        <v>6</v>
      </c>
      <c r="J1" s="1" t="s">
        <v>7</v>
      </c>
      <c r="K1" s="5" t="s">
        <v>3985</v>
      </c>
      <c r="L1" s="12" t="s">
        <v>3990</v>
      </c>
      <c r="M1" s="3"/>
    </row>
    <row r="2" spans="1:13" x14ac:dyDescent="0.3">
      <c r="A2" t="s">
        <v>8</v>
      </c>
      <c r="B2" t="s">
        <v>3838</v>
      </c>
      <c r="C2" t="str">
        <f>PROPER(B2)</f>
        <v xml:space="preserve">  Sheena Bonilla  </v>
      </c>
      <c r="D2" t="str">
        <f>TRIM(C2)</f>
        <v>Sheena Bonilla</v>
      </c>
      <c r="E2" s="7">
        <v>55</v>
      </c>
      <c r="F2" t="s">
        <v>9</v>
      </c>
      <c r="G2" t="s">
        <v>10</v>
      </c>
      <c r="H2" t="s">
        <v>11</v>
      </c>
      <c r="I2" t="s">
        <v>12</v>
      </c>
      <c r="K2" t="str">
        <f>IF(ISBLANK(J2),"UNKNOWN",J2)</f>
        <v>UNKNOWN</v>
      </c>
      <c r="L2" t="str">
        <f>IF(Customer_Dim[[#This Row],[Age]]&lt;25,"Youth",
   IF(Customer_Dim[[#This Row],[Age]]&lt;=40,"Adult",
   IF(Customer_Dim[[#This Row],[Age]]&lt;=60,"Middle-Aged","Senior")))</f>
        <v>Middle-Aged</v>
      </c>
    </row>
    <row r="3" spans="1:13" x14ac:dyDescent="0.3">
      <c r="A3" t="s">
        <v>14</v>
      </c>
      <c r="B3" t="s">
        <v>15</v>
      </c>
      <c r="C3" t="str">
        <f t="shared" ref="C3:C66" si="0">PROPER(B3)</f>
        <v>Eugene Nelson</v>
      </c>
      <c r="D3" t="str">
        <f t="shared" ref="D3:D66" si="1">TRIM(C3)</f>
        <v>Eugene Nelson</v>
      </c>
      <c r="E3" s="7">
        <v>26</v>
      </c>
      <c r="F3" t="s">
        <v>16</v>
      </c>
      <c r="G3" t="s">
        <v>17</v>
      </c>
      <c r="H3" t="s">
        <v>18</v>
      </c>
      <c r="I3" t="s">
        <v>12</v>
      </c>
      <c r="J3" t="s">
        <v>19</v>
      </c>
      <c r="K3" t="str">
        <f t="shared" ref="K3:K66" si="2">IF(ISBLANK(J3),"UNKNOWN",J3)</f>
        <v>Platinum</v>
      </c>
      <c r="L3" t="str">
        <f>IF(Customer_Dim[[#This Row],[Age]]&lt;25,"Youth",
   IF(Customer_Dim[[#This Row],[Age]]&lt;=40,"Adult",
   IF(Customer_Dim[[#This Row],[Age]]&lt;=60,"Middle-Aged","Senior")))</f>
        <v>Adult</v>
      </c>
    </row>
    <row r="4" spans="1:13" x14ac:dyDescent="0.3">
      <c r="A4" t="s">
        <v>20</v>
      </c>
      <c r="B4" t="s">
        <v>3837</v>
      </c>
      <c r="C4" t="str">
        <f t="shared" si="0"/>
        <v>Dr. Benjamin Price</v>
      </c>
      <c r="D4" t="str">
        <f t="shared" si="1"/>
        <v>Dr. Benjamin Price</v>
      </c>
      <c r="E4" s="7">
        <v>29</v>
      </c>
      <c r="F4" t="s">
        <v>16</v>
      </c>
      <c r="G4" t="s">
        <v>21</v>
      </c>
      <c r="H4" t="s">
        <v>22</v>
      </c>
      <c r="I4" t="s">
        <v>12</v>
      </c>
      <c r="J4" t="s">
        <v>19</v>
      </c>
      <c r="K4" t="str">
        <f t="shared" si="2"/>
        <v>Platinum</v>
      </c>
      <c r="L4" t="str">
        <f>IF(Customer_Dim[[#This Row],[Age]]&lt;25,"Youth",
   IF(Customer_Dim[[#This Row],[Age]]&lt;=40,"Adult",
   IF(Customer_Dim[[#This Row],[Age]]&lt;=60,"Middle-Aged","Senior")))</f>
        <v>Adult</v>
      </c>
    </row>
    <row r="5" spans="1:13" x14ac:dyDescent="0.3">
      <c r="A5" t="s">
        <v>23</v>
      </c>
      <c r="B5" t="s">
        <v>3839</v>
      </c>
      <c r="C5" t="str">
        <f t="shared" si="0"/>
        <v>Jeremy Harris</v>
      </c>
      <c r="D5" t="str">
        <f t="shared" si="1"/>
        <v>Jeremy Harris</v>
      </c>
      <c r="E5" s="7">
        <v>59</v>
      </c>
      <c r="F5" t="s">
        <v>16</v>
      </c>
      <c r="G5" t="s">
        <v>24</v>
      </c>
      <c r="H5" t="s">
        <v>25</v>
      </c>
      <c r="I5" t="s">
        <v>12</v>
      </c>
      <c r="J5" t="s">
        <v>26</v>
      </c>
      <c r="K5" t="str">
        <f t="shared" si="2"/>
        <v>Bronze</v>
      </c>
      <c r="L5" t="str">
        <f>IF(Customer_Dim[[#This Row],[Age]]&lt;25,"Youth",
   IF(Customer_Dim[[#This Row],[Age]]&lt;=40,"Adult",
   IF(Customer_Dim[[#This Row],[Age]]&lt;=60,"Middle-Aged","Senior")))</f>
        <v>Middle-Aged</v>
      </c>
    </row>
    <row r="6" spans="1:13" x14ac:dyDescent="0.3">
      <c r="A6" t="s">
        <v>27</v>
      </c>
      <c r="B6" t="s">
        <v>28</v>
      </c>
      <c r="C6" t="str">
        <f t="shared" si="0"/>
        <v>Caroline Collins</v>
      </c>
      <c r="D6" t="str">
        <f t="shared" si="1"/>
        <v>Caroline Collins</v>
      </c>
      <c r="E6" s="7">
        <v>64</v>
      </c>
      <c r="F6" t="s">
        <v>16</v>
      </c>
      <c r="G6" t="s">
        <v>29</v>
      </c>
      <c r="H6" t="s">
        <v>30</v>
      </c>
      <c r="I6" t="s">
        <v>12</v>
      </c>
      <c r="J6" t="s">
        <v>31</v>
      </c>
      <c r="K6" t="str">
        <f t="shared" si="2"/>
        <v>Silver</v>
      </c>
      <c r="L6" t="str">
        <f>IF(Customer_Dim[[#This Row],[Age]]&lt;25,"Youth",
   IF(Customer_Dim[[#This Row],[Age]]&lt;=40,"Adult",
   IF(Customer_Dim[[#This Row],[Age]]&lt;=60,"Middle-Aged","Senior")))</f>
        <v>Senior</v>
      </c>
    </row>
    <row r="7" spans="1:13" x14ac:dyDescent="0.3">
      <c r="A7" t="s">
        <v>32</v>
      </c>
      <c r="B7" t="s">
        <v>33</v>
      </c>
      <c r="C7" t="str">
        <f t="shared" si="0"/>
        <v>Christine Vaughn</v>
      </c>
      <c r="D7" t="str">
        <f t="shared" si="1"/>
        <v>Christine Vaughn</v>
      </c>
      <c r="E7" s="7">
        <v>24</v>
      </c>
      <c r="F7" t="s">
        <v>9</v>
      </c>
      <c r="G7" t="s">
        <v>34</v>
      </c>
      <c r="H7" t="s">
        <v>35</v>
      </c>
      <c r="I7" t="s">
        <v>12</v>
      </c>
      <c r="J7" t="s">
        <v>26</v>
      </c>
      <c r="K7" t="str">
        <f t="shared" si="2"/>
        <v>Bronze</v>
      </c>
      <c r="L7" t="str">
        <f>IF(Customer_Dim[[#This Row],[Age]]&lt;25,"Youth",
   IF(Customer_Dim[[#This Row],[Age]]&lt;=40,"Adult",
   IF(Customer_Dim[[#This Row],[Age]]&lt;=60,"Middle-Aged","Senior")))</f>
        <v>Youth</v>
      </c>
    </row>
    <row r="8" spans="1:13" x14ac:dyDescent="0.3">
      <c r="A8" t="s">
        <v>36</v>
      </c>
      <c r="B8" t="s">
        <v>37</v>
      </c>
      <c r="C8" t="str">
        <f t="shared" si="0"/>
        <v>Amber Jackson</v>
      </c>
      <c r="D8" t="str">
        <f t="shared" si="1"/>
        <v>Amber Jackson</v>
      </c>
      <c r="E8" s="7">
        <v>29</v>
      </c>
      <c r="F8" t="s">
        <v>16</v>
      </c>
      <c r="G8" t="s">
        <v>38</v>
      </c>
      <c r="H8" t="s">
        <v>39</v>
      </c>
      <c r="I8" t="s">
        <v>12</v>
      </c>
      <c r="J8" t="s">
        <v>19</v>
      </c>
      <c r="K8" t="str">
        <f t="shared" si="2"/>
        <v>Platinum</v>
      </c>
      <c r="L8" t="str">
        <f>IF(Customer_Dim[[#This Row],[Age]]&lt;25,"Youth",
   IF(Customer_Dim[[#This Row],[Age]]&lt;=40,"Adult",
   IF(Customer_Dim[[#This Row],[Age]]&lt;=60,"Middle-Aged","Senior")))</f>
        <v>Adult</v>
      </c>
    </row>
    <row r="9" spans="1:13" x14ac:dyDescent="0.3">
      <c r="A9" t="s">
        <v>40</v>
      </c>
      <c r="B9" t="s">
        <v>41</v>
      </c>
      <c r="C9" t="str">
        <f t="shared" si="0"/>
        <v>Daniel Boyd</v>
      </c>
      <c r="D9" t="str">
        <f t="shared" si="1"/>
        <v>Daniel Boyd</v>
      </c>
      <c r="E9" s="7">
        <v>29</v>
      </c>
      <c r="F9" t="s">
        <v>16</v>
      </c>
      <c r="G9" t="s">
        <v>42</v>
      </c>
      <c r="H9" t="s">
        <v>43</v>
      </c>
      <c r="I9" t="s">
        <v>12</v>
      </c>
      <c r="J9" t="s">
        <v>26</v>
      </c>
      <c r="K9" t="str">
        <f t="shared" si="2"/>
        <v>Bronze</v>
      </c>
      <c r="L9" t="str">
        <f>IF(Customer_Dim[[#This Row],[Age]]&lt;25,"Youth",
   IF(Customer_Dim[[#This Row],[Age]]&lt;=40,"Adult",
   IF(Customer_Dim[[#This Row],[Age]]&lt;=60,"Middle-Aged","Senior")))</f>
        <v>Adult</v>
      </c>
    </row>
    <row r="10" spans="1:13" x14ac:dyDescent="0.3">
      <c r="A10" t="s">
        <v>44</v>
      </c>
      <c r="B10" t="s">
        <v>45</v>
      </c>
      <c r="C10" t="str">
        <f t="shared" si="0"/>
        <v>Melissa Howard</v>
      </c>
      <c r="D10" t="str">
        <f t="shared" si="1"/>
        <v>Melissa Howard</v>
      </c>
      <c r="E10" s="7">
        <v>53</v>
      </c>
      <c r="F10" t="s">
        <v>16</v>
      </c>
      <c r="G10" t="s">
        <v>46</v>
      </c>
      <c r="H10" t="s">
        <v>47</v>
      </c>
      <c r="I10" t="s">
        <v>12</v>
      </c>
      <c r="J10" t="s">
        <v>13</v>
      </c>
      <c r="K10" t="str">
        <f t="shared" si="2"/>
        <v>Gold</v>
      </c>
      <c r="L10" t="str">
        <f>IF(Customer_Dim[[#This Row],[Age]]&lt;25,"Youth",
   IF(Customer_Dim[[#This Row],[Age]]&lt;=40,"Adult",
   IF(Customer_Dim[[#This Row],[Age]]&lt;=60,"Middle-Aged","Senior")))</f>
        <v>Middle-Aged</v>
      </c>
    </row>
    <row r="11" spans="1:13" x14ac:dyDescent="0.3">
      <c r="A11" t="s">
        <v>48</v>
      </c>
      <c r="B11" t="s">
        <v>49</v>
      </c>
      <c r="C11" t="str">
        <f t="shared" si="0"/>
        <v>Ms. Maria Leach</v>
      </c>
      <c r="D11" t="str">
        <f t="shared" si="1"/>
        <v>Ms. Maria Leach</v>
      </c>
      <c r="E11" s="7">
        <v>64</v>
      </c>
      <c r="F11" t="s">
        <v>9</v>
      </c>
      <c r="G11" t="s">
        <v>50</v>
      </c>
      <c r="H11" t="s">
        <v>51</v>
      </c>
      <c r="I11" t="s">
        <v>12</v>
      </c>
      <c r="J11" t="s">
        <v>19</v>
      </c>
      <c r="K11" t="str">
        <f t="shared" si="2"/>
        <v>Platinum</v>
      </c>
      <c r="L11" t="str">
        <f>IF(Customer_Dim[[#This Row],[Age]]&lt;25,"Youth",
   IF(Customer_Dim[[#This Row],[Age]]&lt;=40,"Adult",
   IF(Customer_Dim[[#This Row],[Age]]&lt;=60,"Middle-Aged","Senior")))</f>
        <v>Senior</v>
      </c>
    </row>
    <row r="12" spans="1:13" x14ac:dyDescent="0.3">
      <c r="A12" t="s">
        <v>52</v>
      </c>
      <c r="B12" t="s">
        <v>53</v>
      </c>
      <c r="C12" t="str">
        <f t="shared" si="0"/>
        <v>Dominic Page</v>
      </c>
      <c r="D12" t="str">
        <f t="shared" si="1"/>
        <v>Dominic Page</v>
      </c>
      <c r="E12" s="7">
        <v>53</v>
      </c>
      <c r="F12" t="s">
        <v>9</v>
      </c>
      <c r="G12" t="s">
        <v>54</v>
      </c>
      <c r="H12" t="s">
        <v>51</v>
      </c>
      <c r="I12" t="s">
        <v>12</v>
      </c>
      <c r="J12" t="s">
        <v>26</v>
      </c>
      <c r="K12" t="str">
        <f t="shared" si="2"/>
        <v>Bronze</v>
      </c>
      <c r="L12" t="str">
        <f>IF(Customer_Dim[[#This Row],[Age]]&lt;25,"Youth",
   IF(Customer_Dim[[#This Row],[Age]]&lt;=40,"Adult",
   IF(Customer_Dim[[#This Row],[Age]]&lt;=60,"Middle-Aged","Senior")))</f>
        <v>Middle-Aged</v>
      </c>
    </row>
    <row r="13" spans="1:13" x14ac:dyDescent="0.3">
      <c r="A13" t="s">
        <v>55</v>
      </c>
      <c r="B13" t="s">
        <v>56</v>
      </c>
      <c r="C13" t="str">
        <f t="shared" si="0"/>
        <v>Brian Lopez</v>
      </c>
      <c r="D13" t="str">
        <f t="shared" si="1"/>
        <v>Brian Lopez</v>
      </c>
      <c r="E13" s="7">
        <v>28</v>
      </c>
      <c r="F13" t="s">
        <v>16</v>
      </c>
      <c r="G13" t="s">
        <v>57</v>
      </c>
      <c r="H13" t="s">
        <v>58</v>
      </c>
      <c r="I13" t="s">
        <v>12</v>
      </c>
      <c r="J13" t="s">
        <v>13</v>
      </c>
      <c r="K13" t="str">
        <f t="shared" si="2"/>
        <v>Gold</v>
      </c>
      <c r="L13" t="str">
        <f>IF(Customer_Dim[[#This Row],[Age]]&lt;25,"Youth",
   IF(Customer_Dim[[#This Row],[Age]]&lt;=40,"Adult",
   IF(Customer_Dim[[#This Row],[Age]]&lt;=60,"Middle-Aged","Senior")))</f>
        <v>Adult</v>
      </c>
    </row>
    <row r="14" spans="1:13" x14ac:dyDescent="0.3">
      <c r="A14" t="s">
        <v>59</v>
      </c>
      <c r="B14" t="s">
        <v>60</v>
      </c>
      <c r="C14" t="str">
        <f t="shared" si="0"/>
        <v>Kenneth Lambert</v>
      </c>
      <c r="D14" t="str">
        <f t="shared" si="1"/>
        <v>Kenneth Lambert</v>
      </c>
      <c r="E14" s="7">
        <v>55</v>
      </c>
      <c r="F14" t="s">
        <v>16</v>
      </c>
      <c r="G14" t="s">
        <v>61</v>
      </c>
      <c r="H14" t="s">
        <v>62</v>
      </c>
      <c r="I14" t="s">
        <v>12</v>
      </c>
      <c r="J14" t="s">
        <v>19</v>
      </c>
      <c r="K14" t="str">
        <f t="shared" si="2"/>
        <v>Platinum</v>
      </c>
      <c r="L14" t="str">
        <f>IF(Customer_Dim[[#This Row],[Age]]&lt;25,"Youth",
   IF(Customer_Dim[[#This Row],[Age]]&lt;=40,"Adult",
   IF(Customer_Dim[[#This Row],[Age]]&lt;=60,"Middle-Aged","Senior")))</f>
        <v>Middle-Aged</v>
      </c>
    </row>
    <row r="15" spans="1:13" x14ac:dyDescent="0.3">
      <c r="A15" t="s">
        <v>63</v>
      </c>
      <c r="B15" t="s">
        <v>64</v>
      </c>
      <c r="C15" t="str">
        <f t="shared" si="0"/>
        <v>Nathan Hernandez</v>
      </c>
      <c r="D15" t="str">
        <f t="shared" si="1"/>
        <v>Nathan Hernandez</v>
      </c>
      <c r="E15" s="7">
        <v>32</v>
      </c>
      <c r="F15" t="s">
        <v>16</v>
      </c>
      <c r="G15" t="s">
        <v>65</v>
      </c>
      <c r="H15" t="s">
        <v>66</v>
      </c>
      <c r="I15" t="s">
        <v>12</v>
      </c>
      <c r="J15" t="s">
        <v>31</v>
      </c>
      <c r="K15" t="str">
        <f t="shared" si="2"/>
        <v>Silver</v>
      </c>
      <c r="L15" t="str">
        <f>IF(Customer_Dim[[#This Row],[Age]]&lt;25,"Youth",
   IF(Customer_Dim[[#This Row],[Age]]&lt;=40,"Adult",
   IF(Customer_Dim[[#This Row],[Age]]&lt;=60,"Middle-Aged","Senior")))</f>
        <v>Adult</v>
      </c>
    </row>
    <row r="16" spans="1:13" x14ac:dyDescent="0.3">
      <c r="A16" t="s">
        <v>67</v>
      </c>
      <c r="B16" t="s">
        <v>68</v>
      </c>
      <c r="C16" t="str">
        <f t="shared" si="0"/>
        <v>Ashley Cohen</v>
      </c>
      <c r="D16" t="str">
        <f t="shared" si="1"/>
        <v>Ashley Cohen</v>
      </c>
      <c r="E16" s="7">
        <v>53</v>
      </c>
      <c r="F16" t="s">
        <v>16</v>
      </c>
      <c r="G16" t="s">
        <v>69</v>
      </c>
      <c r="H16" t="s">
        <v>70</v>
      </c>
      <c r="I16" t="s">
        <v>12</v>
      </c>
      <c r="J16" t="s">
        <v>31</v>
      </c>
      <c r="K16" t="str">
        <f t="shared" si="2"/>
        <v>Silver</v>
      </c>
      <c r="L16" t="str">
        <f>IF(Customer_Dim[[#This Row],[Age]]&lt;25,"Youth",
   IF(Customer_Dim[[#This Row],[Age]]&lt;=40,"Adult",
   IF(Customer_Dim[[#This Row],[Age]]&lt;=60,"Middle-Aged","Senior")))</f>
        <v>Middle-Aged</v>
      </c>
    </row>
    <row r="17" spans="1:12" x14ac:dyDescent="0.3">
      <c r="A17" t="s">
        <v>71</v>
      </c>
      <c r="B17" t="s">
        <v>72</v>
      </c>
      <c r="C17" t="str">
        <f t="shared" si="0"/>
        <v>Laura Alvarez</v>
      </c>
      <c r="D17" t="str">
        <f t="shared" si="1"/>
        <v>Laura Alvarez</v>
      </c>
      <c r="E17" s="7">
        <v>49</v>
      </c>
      <c r="F17" t="s">
        <v>16</v>
      </c>
      <c r="G17" t="s">
        <v>73</v>
      </c>
      <c r="H17" t="s">
        <v>74</v>
      </c>
      <c r="I17" t="s">
        <v>12</v>
      </c>
      <c r="J17" t="s">
        <v>19</v>
      </c>
      <c r="K17" t="str">
        <f t="shared" si="2"/>
        <v>Platinum</v>
      </c>
      <c r="L17" t="str">
        <f>IF(Customer_Dim[[#This Row],[Age]]&lt;25,"Youth",
   IF(Customer_Dim[[#This Row],[Age]]&lt;=40,"Adult",
   IF(Customer_Dim[[#This Row],[Age]]&lt;=60,"Middle-Aged","Senior")))</f>
        <v>Middle-Aged</v>
      </c>
    </row>
    <row r="18" spans="1:12" x14ac:dyDescent="0.3">
      <c r="A18" t="s">
        <v>75</v>
      </c>
      <c r="B18" t="s">
        <v>76</v>
      </c>
      <c r="C18" t="str">
        <f t="shared" si="0"/>
        <v>John Scott</v>
      </c>
      <c r="D18" t="str">
        <f t="shared" si="1"/>
        <v>John Scott</v>
      </c>
      <c r="E18" s="7">
        <v>24</v>
      </c>
      <c r="F18" t="s">
        <v>16</v>
      </c>
      <c r="G18" t="s">
        <v>77</v>
      </c>
      <c r="H18" t="s">
        <v>51</v>
      </c>
      <c r="I18" t="s">
        <v>12</v>
      </c>
      <c r="J18" t="s">
        <v>26</v>
      </c>
      <c r="K18" t="str">
        <f t="shared" si="2"/>
        <v>Bronze</v>
      </c>
      <c r="L18" t="str">
        <f>IF(Customer_Dim[[#This Row],[Age]]&lt;25,"Youth",
   IF(Customer_Dim[[#This Row],[Age]]&lt;=40,"Adult",
   IF(Customer_Dim[[#This Row],[Age]]&lt;=60,"Middle-Aged","Senior")))</f>
        <v>Youth</v>
      </c>
    </row>
    <row r="19" spans="1:12" x14ac:dyDescent="0.3">
      <c r="A19" t="s">
        <v>78</v>
      </c>
      <c r="B19" t="s">
        <v>79</v>
      </c>
      <c r="C19" t="str">
        <f t="shared" si="0"/>
        <v>Adam Cruz</v>
      </c>
      <c r="D19" t="str">
        <f t="shared" si="1"/>
        <v>Adam Cruz</v>
      </c>
      <c r="E19" s="7">
        <v>60</v>
      </c>
      <c r="F19" t="s">
        <v>16</v>
      </c>
      <c r="G19" t="s">
        <v>80</v>
      </c>
      <c r="H19" t="s">
        <v>81</v>
      </c>
      <c r="I19" t="s">
        <v>12</v>
      </c>
      <c r="J19" t="s">
        <v>19</v>
      </c>
      <c r="K19" t="str">
        <f t="shared" si="2"/>
        <v>Platinum</v>
      </c>
      <c r="L19" t="str">
        <f>IF(Customer_Dim[[#This Row],[Age]]&lt;25,"Youth",
   IF(Customer_Dim[[#This Row],[Age]]&lt;=40,"Adult",
   IF(Customer_Dim[[#This Row],[Age]]&lt;=60,"Middle-Aged","Senior")))</f>
        <v>Middle-Aged</v>
      </c>
    </row>
    <row r="20" spans="1:12" x14ac:dyDescent="0.3">
      <c r="A20" t="s">
        <v>82</v>
      </c>
      <c r="B20" t="s">
        <v>83</v>
      </c>
      <c r="C20" t="str">
        <f t="shared" si="0"/>
        <v>Rhonda Moss</v>
      </c>
      <c r="D20" t="str">
        <f t="shared" si="1"/>
        <v>Rhonda Moss</v>
      </c>
      <c r="E20" s="7">
        <v>43</v>
      </c>
      <c r="F20" t="s">
        <v>9</v>
      </c>
      <c r="G20" t="s">
        <v>84</v>
      </c>
      <c r="H20" t="s">
        <v>62</v>
      </c>
      <c r="I20" t="s">
        <v>12</v>
      </c>
      <c r="K20" t="str">
        <f t="shared" si="2"/>
        <v>UNKNOWN</v>
      </c>
      <c r="L20" t="str">
        <f>IF(Customer_Dim[[#This Row],[Age]]&lt;25,"Youth",
   IF(Customer_Dim[[#This Row],[Age]]&lt;=40,"Adult",
   IF(Customer_Dim[[#This Row],[Age]]&lt;=60,"Middle-Aged","Senior")))</f>
        <v>Middle-Aged</v>
      </c>
    </row>
    <row r="21" spans="1:12" x14ac:dyDescent="0.3">
      <c r="A21" t="s">
        <v>85</v>
      </c>
      <c r="B21" t="s">
        <v>86</v>
      </c>
      <c r="C21" t="str">
        <f t="shared" si="0"/>
        <v>Michael Torres</v>
      </c>
      <c r="D21" t="str">
        <f t="shared" si="1"/>
        <v>Michael Torres</v>
      </c>
      <c r="E21" s="7">
        <v>46</v>
      </c>
      <c r="F21" t="s">
        <v>16</v>
      </c>
      <c r="G21" t="s">
        <v>87</v>
      </c>
      <c r="H21" t="s">
        <v>88</v>
      </c>
      <c r="I21" t="s">
        <v>12</v>
      </c>
      <c r="J21" t="s">
        <v>19</v>
      </c>
      <c r="K21" t="str">
        <f t="shared" si="2"/>
        <v>Platinum</v>
      </c>
      <c r="L21" t="str">
        <f>IF(Customer_Dim[[#This Row],[Age]]&lt;25,"Youth",
   IF(Customer_Dim[[#This Row],[Age]]&lt;=40,"Adult",
   IF(Customer_Dim[[#This Row],[Age]]&lt;=60,"Middle-Aged","Senior")))</f>
        <v>Middle-Aged</v>
      </c>
    </row>
    <row r="22" spans="1:12" x14ac:dyDescent="0.3">
      <c r="A22" t="s">
        <v>89</v>
      </c>
      <c r="B22" t="s">
        <v>90</v>
      </c>
      <c r="C22" t="str">
        <f t="shared" si="0"/>
        <v>Bridget Allen</v>
      </c>
      <c r="D22" t="str">
        <f t="shared" si="1"/>
        <v>Bridget Allen</v>
      </c>
      <c r="E22" s="7">
        <v>59</v>
      </c>
      <c r="F22" t="s">
        <v>9</v>
      </c>
      <c r="G22" t="s">
        <v>91</v>
      </c>
      <c r="H22" t="s">
        <v>92</v>
      </c>
      <c r="I22" t="s">
        <v>12</v>
      </c>
      <c r="J22" t="s">
        <v>31</v>
      </c>
      <c r="K22" t="str">
        <f t="shared" si="2"/>
        <v>Silver</v>
      </c>
      <c r="L22" t="str">
        <f>IF(Customer_Dim[[#This Row],[Age]]&lt;25,"Youth",
   IF(Customer_Dim[[#This Row],[Age]]&lt;=40,"Adult",
   IF(Customer_Dim[[#This Row],[Age]]&lt;=60,"Middle-Aged","Senior")))</f>
        <v>Middle-Aged</v>
      </c>
    </row>
    <row r="23" spans="1:12" x14ac:dyDescent="0.3">
      <c r="A23" t="s">
        <v>93</v>
      </c>
      <c r="B23" t="s">
        <v>94</v>
      </c>
      <c r="C23" t="str">
        <f t="shared" si="0"/>
        <v>Jeff Martinez</v>
      </c>
      <c r="D23" t="str">
        <f t="shared" si="1"/>
        <v>Jeff Martinez</v>
      </c>
      <c r="E23" s="7">
        <v>36</v>
      </c>
      <c r="F23" t="s">
        <v>16</v>
      </c>
      <c r="G23" t="s">
        <v>95</v>
      </c>
      <c r="H23" t="s">
        <v>96</v>
      </c>
      <c r="I23" t="s">
        <v>12</v>
      </c>
      <c r="J23" t="s">
        <v>13</v>
      </c>
      <c r="K23" t="str">
        <f t="shared" si="2"/>
        <v>Gold</v>
      </c>
      <c r="L23" t="str">
        <f>IF(Customer_Dim[[#This Row],[Age]]&lt;25,"Youth",
   IF(Customer_Dim[[#This Row],[Age]]&lt;=40,"Adult",
   IF(Customer_Dim[[#This Row],[Age]]&lt;=60,"Middle-Aged","Senior")))</f>
        <v>Adult</v>
      </c>
    </row>
    <row r="24" spans="1:12" x14ac:dyDescent="0.3">
      <c r="A24" t="s">
        <v>97</v>
      </c>
      <c r="B24" t="s">
        <v>3840</v>
      </c>
      <c r="C24" t="str">
        <f t="shared" si="0"/>
        <v xml:space="preserve">   Paul Fox</v>
      </c>
      <c r="D24" t="str">
        <f t="shared" si="1"/>
        <v>Paul Fox</v>
      </c>
      <c r="E24" s="7">
        <v>33</v>
      </c>
      <c r="F24" t="s">
        <v>16</v>
      </c>
      <c r="G24" t="s">
        <v>98</v>
      </c>
      <c r="H24" t="s">
        <v>99</v>
      </c>
      <c r="I24" t="s">
        <v>12</v>
      </c>
      <c r="J24" t="s">
        <v>31</v>
      </c>
      <c r="K24" t="str">
        <f t="shared" si="2"/>
        <v>Silver</v>
      </c>
      <c r="L24" t="str">
        <f>IF(Customer_Dim[[#This Row],[Age]]&lt;25,"Youth",
   IF(Customer_Dim[[#This Row],[Age]]&lt;=40,"Adult",
   IF(Customer_Dim[[#This Row],[Age]]&lt;=60,"Middle-Aged","Senior")))</f>
        <v>Adult</v>
      </c>
    </row>
    <row r="25" spans="1:12" x14ac:dyDescent="0.3">
      <c r="A25" t="s">
        <v>100</v>
      </c>
      <c r="B25" t="s">
        <v>101</v>
      </c>
      <c r="C25" t="str">
        <f t="shared" si="0"/>
        <v>Jonathan Steele</v>
      </c>
      <c r="D25" t="str">
        <f t="shared" si="1"/>
        <v>Jonathan Steele</v>
      </c>
      <c r="E25" s="7">
        <v>52</v>
      </c>
      <c r="F25" t="s">
        <v>16</v>
      </c>
      <c r="G25" t="s">
        <v>102</v>
      </c>
      <c r="H25" t="s">
        <v>35</v>
      </c>
      <c r="I25" t="s">
        <v>12</v>
      </c>
      <c r="J25" t="s">
        <v>31</v>
      </c>
      <c r="K25" t="str">
        <f t="shared" si="2"/>
        <v>Silver</v>
      </c>
      <c r="L25" t="str">
        <f>IF(Customer_Dim[[#This Row],[Age]]&lt;25,"Youth",
   IF(Customer_Dim[[#This Row],[Age]]&lt;=40,"Adult",
   IF(Customer_Dim[[#This Row],[Age]]&lt;=60,"Middle-Aged","Senior")))</f>
        <v>Middle-Aged</v>
      </c>
    </row>
    <row r="26" spans="1:12" x14ac:dyDescent="0.3">
      <c r="A26" t="s">
        <v>103</v>
      </c>
      <c r="B26" t="s">
        <v>104</v>
      </c>
      <c r="C26" t="str">
        <f t="shared" si="0"/>
        <v>Heather Collins</v>
      </c>
      <c r="D26" t="str">
        <f t="shared" si="1"/>
        <v>Heather Collins</v>
      </c>
      <c r="E26" s="7">
        <v>40</v>
      </c>
      <c r="F26" t="s">
        <v>9</v>
      </c>
      <c r="G26" t="s">
        <v>105</v>
      </c>
      <c r="H26" t="s">
        <v>106</v>
      </c>
      <c r="I26" t="s">
        <v>12</v>
      </c>
      <c r="J26" t="s">
        <v>19</v>
      </c>
      <c r="K26" t="str">
        <f t="shared" si="2"/>
        <v>Platinum</v>
      </c>
      <c r="L26" t="str">
        <f>IF(Customer_Dim[[#This Row],[Age]]&lt;25,"Youth",
   IF(Customer_Dim[[#This Row],[Age]]&lt;=40,"Adult",
   IF(Customer_Dim[[#This Row],[Age]]&lt;=60,"Middle-Aged","Senior")))</f>
        <v>Adult</v>
      </c>
    </row>
    <row r="27" spans="1:12" x14ac:dyDescent="0.3">
      <c r="A27" t="s">
        <v>107</v>
      </c>
      <c r="B27" t="s">
        <v>108</v>
      </c>
      <c r="C27" t="str">
        <f t="shared" si="0"/>
        <v>Diana Taylor</v>
      </c>
      <c r="D27" t="str">
        <f t="shared" si="1"/>
        <v>Diana Taylor</v>
      </c>
      <c r="E27" s="7">
        <v>59</v>
      </c>
      <c r="F27" t="s">
        <v>16</v>
      </c>
      <c r="G27" t="s">
        <v>109</v>
      </c>
      <c r="H27" t="s">
        <v>30</v>
      </c>
      <c r="I27" t="s">
        <v>12</v>
      </c>
      <c r="J27" t="s">
        <v>26</v>
      </c>
      <c r="K27" t="str">
        <f t="shared" si="2"/>
        <v>Bronze</v>
      </c>
      <c r="L27" t="str">
        <f>IF(Customer_Dim[[#This Row],[Age]]&lt;25,"Youth",
   IF(Customer_Dim[[#This Row],[Age]]&lt;=40,"Adult",
   IF(Customer_Dim[[#This Row],[Age]]&lt;=60,"Middle-Aged","Senior")))</f>
        <v>Middle-Aged</v>
      </c>
    </row>
    <row r="28" spans="1:12" x14ac:dyDescent="0.3">
      <c r="A28" t="s">
        <v>110</v>
      </c>
      <c r="B28" t="s">
        <v>111</v>
      </c>
      <c r="C28" t="str">
        <f t="shared" si="0"/>
        <v>Amber Carlson</v>
      </c>
      <c r="D28" t="str">
        <f t="shared" si="1"/>
        <v>Amber Carlson</v>
      </c>
      <c r="E28" s="7">
        <v>18</v>
      </c>
      <c r="F28" t="s">
        <v>16</v>
      </c>
      <c r="G28" t="s">
        <v>112</v>
      </c>
      <c r="H28" t="s">
        <v>113</v>
      </c>
      <c r="I28" t="s">
        <v>12</v>
      </c>
      <c r="J28" t="s">
        <v>13</v>
      </c>
      <c r="K28" t="str">
        <f t="shared" si="2"/>
        <v>Gold</v>
      </c>
      <c r="L28" t="str">
        <f>IF(Customer_Dim[[#This Row],[Age]]&lt;25,"Youth",
   IF(Customer_Dim[[#This Row],[Age]]&lt;=40,"Adult",
   IF(Customer_Dim[[#This Row],[Age]]&lt;=60,"Middle-Aged","Senior")))</f>
        <v>Youth</v>
      </c>
    </row>
    <row r="29" spans="1:12" x14ac:dyDescent="0.3">
      <c r="A29" t="s">
        <v>114</v>
      </c>
      <c r="B29" t="s">
        <v>115</v>
      </c>
      <c r="C29" t="str">
        <f t="shared" si="0"/>
        <v>Leslie Johnson</v>
      </c>
      <c r="D29" t="str">
        <f t="shared" si="1"/>
        <v>Leslie Johnson</v>
      </c>
      <c r="E29" s="7">
        <v>31</v>
      </c>
      <c r="F29" t="s">
        <v>9</v>
      </c>
      <c r="G29" t="s">
        <v>116</v>
      </c>
      <c r="H29" t="s">
        <v>117</v>
      </c>
      <c r="I29" t="s">
        <v>12</v>
      </c>
      <c r="K29" t="str">
        <f t="shared" si="2"/>
        <v>UNKNOWN</v>
      </c>
      <c r="L29" t="str">
        <f>IF(Customer_Dim[[#This Row],[Age]]&lt;25,"Youth",
   IF(Customer_Dim[[#This Row],[Age]]&lt;=40,"Adult",
   IF(Customer_Dim[[#This Row],[Age]]&lt;=60,"Middle-Aged","Senior")))</f>
        <v>Adult</v>
      </c>
    </row>
    <row r="30" spans="1:12" x14ac:dyDescent="0.3">
      <c r="A30" t="s">
        <v>118</v>
      </c>
      <c r="B30" t="s">
        <v>119</v>
      </c>
      <c r="C30" t="str">
        <f t="shared" si="0"/>
        <v>Joshua Ryan</v>
      </c>
      <c r="D30" t="str">
        <f t="shared" si="1"/>
        <v>Joshua Ryan</v>
      </c>
      <c r="E30" s="7">
        <v>27</v>
      </c>
      <c r="F30" t="s">
        <v>16</v>
      </c>
      <c r="G30" t="s">
        <v>120</v>
      </c>
      <c r="H30" t="s">
        <v>88</v>
      </c>
      <c r="I30" t="s">
        <v>12</v>
      </c>
      <c r="J30" t="s">
        <v>19</v>
      </c>
      <c r="K30" t="str">
        <f t="shared" si="2"/>
        <v>Platinum</v>
      </c>
      <c r="L30" t="str">
        <f>IF(Customer_Dim[[#This Row],[Age]]&lt;25,"Youth",
   IF(Customer_Dim[[#This Row],[Age]]&lt;=40,"Adult",
   IF(Customer_Dim[[#This Row],[Age]]&lt;=60,"Middle-Aged","Senior")))</f>
        <v>Adult</v>
      </c>
    </row>
    <row r="31" spans="1:12" x14ac:dyDescent="0.3">
      <c r="A31" t="s">
        <v>121</v>
      </c>
      <c r="B31" t="s">
        <v>122</v>
      </c>
      <c r="C31" t="str">
        <f t="shared" si="0"/>
        <v>David Arnold</v>
      </c>
      <c r="D31" t="str">
        <f t="shared" si="1"/>
        <v>David Arnold</v>
      </c>
      <c r="E31" s="7">
        <v>54</v>
      </c>
      <c r="F31" t="s">
        <v>16</v>
      </c>
      <c r="G31" t="s">
        <v>123</v>
      </c>
      <c r="H31" t="s">
        <v>30</v>
      </c>
      <c r="I31" t="s">
        <v>12</v>
      </c>
      <c r="J31" t="s">
        <v>31</v>
      </c>
      <c r="K31" t="str">
        <f t="shared" si="2"/>
        <v>Silver</v>
      </c>
      <c r="L31" t="str">
        <f>IF(Customer_Dim[[#This Row],[Age]]&lt;25,"Youth",
   IF(Customer_Dim[[#This Row],[Age]]&lt;=40,"Adult",
   IF(Customer_Dim[[#This Row],[Age]]&lt;=60,"Middle-Aged","Senior")))</f>
        <v>Middle-Aged</v>
      </c>
    </row>
    <row r="32" spans="1:12" x14ac:dyDescent="0.3">
      <c r="A32" t="s">
        <v>124</v>
      </c>
      <c r="B32" t="s">
        <v>125</v>
      </c>
      <c r="C32" t="str">
        <f t="shared" si="0"/>
        <v>Jessica Acevedo</v>
      </c>
      <c r="D32" t="str">
        <f t="shared" si="1"/>
        <v>Jessica Acevedo</v>
      </c>
      <c r="E32" s="7">
        <v>64</v>
      </c>
      <c r="F32" t="s">
        <v>16</v>
      </c>
      <c r="G32" t="s">
        <v>126</v>
      </c>
      <c r="H32" t="s">
        <v>51</v>
      </c>
      <c r="I32" t="s">
        <v>12</v>
      </c>
      <c r="J32" t="s">
        <v>26</v>
      </c>
      <c r="K32" t="str">
        <f t="shared" si="2"/>
        <v>Bronze</v>
      </c>
      <c r="L32" t="str">
        <f>IF(Customer_Dim[[#This Row],[Age]]&lt;25,"Youth",
   IF(Customer_Dim[[#This Row],[Age]]&lt;=40,"Adult",
   IF(Customer_Dim[[#This Row],[Age]]&lt;=60,"Middle-Aged","Senior")))</f>
        <v>Senior</v>
      </c>
    </row>
    <row r="33" spans="1:12" x14ac:dyDescent="0.3">
      <c r="A33" t="s">
        <v>127</v>
      </c>
      <c r="B33" t="s">
        <v>128</v>
      </c>
      <c r="C33" t="str">
        <f t="shared" si="0"/>
        <v>Sarah Vance</v>
      </c>
      <c r="D33" t="str">
        <f t="shared" si="1"/>
        <v>Sarah Vance</v>
      </c>
      <c r="E33" s="7">
        <v>41</v>
      </c>
      <c r="F33" t="s">
        <v>9</v>
      </c>
      <c r="G33" t="s">
        <v>129</v>
      </c>
      <c r="H33" t="s">
        <v>35</v>
      </c>
      <c r="I33" t="s">
        <v>12</v>
      </c>
      <c r="J33" t="s">
        <v>31</v>
      </c>
      <c r="K33" t="str">
        <f t="shared" si="2"/>
        <v>Silver</v>
      </c>
      <c r="L33" t="str">
        <f>IF(Customer_Dim[[#This Row],[Age]]&lt;25,"Youth",
   IF(Customer_Dim[[#This Row],[Age]]&lt;=40,"Adult",
   IF(Customer_Dim[[#This Row],[Age]]&lt;=60,"Middle-Aged","Senior")))</f>
        <v>Middle-Aged</v>
      </c>
    </row>
    <row r="34" spans="1:12" x14ac:dyDescent="0.3">
      <c r="A34" t="s">
        <v>130</v>
      </c>
      <c r="B34" t="s">
        <v>131</v>
      </c>
      <c r="C34" t="str">
        <f t="shared" si="0"/>
        <v>Mike Jennings</v>
      </c>
      <c r="D34" t="str">
        <f t="shared" si="1"/>
        <v>Mike Jennings</v>
      </c>
      <c r="E34" s="7">
        <v>48</v>
      </c>
      <c r="F34" t="s">
        <v>16</v>
      </c>
      <c r="G34" t="s">
        <v>132</v>
      </c>
      <c r="H34" t="s">
        <v>133</v>
      </c>
      <c r="I34" t="s">
        <v>12</v>
      </c>
      <c r="J34" t="s">
        <v>13</v>
      </c>
      <c r="K34" t="str">
        <f t="shared" si="2"/>
        <v>Gold</v>
      </c>
      <c r="L34" t="str">
        <f>IF(Customer_Dim[[#This Row],[Age]]&lt;25,"Youth",
   IF(Customer_Dim[[#This Row],[Age]]&lt;=40,"Adult",
   IF(Customer_Dim[[#This Row],[Age]]&lt;=60,"Middle-Aged","Senior")))</f>
        <v>Middle-Aged</v>
      </c>
    </row>
    <row r="35" spans="1:12" x14ac:dyDescent="0.3">
      <c r="A35" t="s">
        <v>134</v>
      </c>
      <c r="B35" t="s">
        <v>135</v>
      </c>
      <c r="C35" t="str">
        <f t="shared" si="0"/>
        <v>Robert Jones Dds</v>
      </c>
      <c r="D35" t="str">
        <f t="shared" si="1"/>
        <v>Robert Jones Dds</v>
      </c>
      <c r="E35" s="7">
        <v>25</v>
      </c>
      <c r="F35" t="s">
        <v>9</v>
      </c>
      <c r="G35" t="s">
        <v>136</v>
      </c>
      <c r="H35" t="s">
        <v>96</v>
      </c>
      <c r="I35" t="s">
        <v>12</v>
      </c>
      <c r="J35" t="s">
        <v>19</v>
      </c>
      <c r="K35" t="str">
        <f t="shared" si="2"/>
        <v>Platinum</v>
      </c>
      <c r="L35" t="str">
        <f>IF(Customer_Dim[[#This Row],[Age]]&lt;25,"Youth",
   IF(Customer_Dim[[#This Row],[Age]]&lt;=40,"Adult",
   IF(Customer_Dim[[#This Row],[Age]]&lt;=60,"Middle-Aged","Senior")))</f>
        <v>Adult</v>
      </c>
    </row>
    <row r="36" spans="1:12" x14ac:dyDescent="0.3">
      <c r="A36" t="s">
        <v>137</v>
      </c>
      <c r="B36" t="s">
        <v>138</v>
      </c>
      <c r="C36" t="str">
        <f t="shared" si="0"/>
        <v>Christopher Olson</v>
      </c>
      <c r="D36" t="str">
        <f t="shared" si="1"/>
        <v>Christopher Olson</v>
      </c>
      <c r="E36" s="7">
        <v>27</v>
      </c>
      <c r="F36" t="s">
        <v>16</v>
      </c>
      <c r="G36" t="s">
        <v>139</v>
      </c>
      <c r="H36" t="s">
        <v>140</v>
      </c>
      <c r="I36" t="s">
        <v>12</v>
      </c>
      <c r="J36" t="s">
        <v>19</v>
      </c>
      <c r="K36" t="str">
        <f t="shared" si="2"/>
        <v>Platinum</v>
      </c>
      <c r="L36" t="str">
        <f>IF(Customer_Dim[[#This Row],[Age]]&lt;25,"Youth",
   IF(Customer_Dim[[#This Row],[Age]]&lt;=40,"Adult",
   IF(Customer_Dim[[#This Row],[Age]]&lt;=60,"Middle-Aged","Senior")))</f>
        <v>Adult</v>
      </c>
    </row>
    <row r="37" spans="1:12" x14ac:dyDescent="0.3">
      <c r="A37" t="s">
        <v>141</v>
      </c>
      <c r="B37" t="s">
        <v>142</v>
      </c>
      <c r="C37" t="str">
        <f t="shared" si="0"/>
        <v>Rachel Myers</v>
      </c>
      <c r="D37" t="str">
        <f t="shared" si="1"/>
        <v>Rachel Myers</v>
      </c>
      <c r="E37" s="7">
        <v>52</v>
      </c>
      <c r="F37" t="s">
        <v>9</v>
      </c>
      <c r="G37" t="s">
        <v>143</v>
      </c>
      <c r="H37" t="s">
        <v>18</v>
      </c>
      <c r="I37" t="s">
        <v>12</v>
      </c>
      <c r="J37" t="s">
        <v>31</v>
      </c>
      <c r="K37" t="str">
        <f t="shared" si="2"/>
        <v>Silver</v>
      </c>
      <c r="L37" t="str">
        <f>IF(Customer_Dim[[#This Row],[Age]]&lt;25,"Youth",
   IF(Customer_Dim[[#This Row],[Age]]&lt;=40,"Adult",
   IF(Customer_Dim[[#This Row],[Age]]&lt;=60,"Middle-Aged","Senior")))</f>
        <v>Middle-Aged</v>
      </c>
    </row>
    <row r="38" spans="1:12" x14ac:dyDescent="0.3">
      <c r="A38" t="s">
        <v>144</v>
      </c>
      <c r="B38" t="s">
        <v>145</v>
      </c>
      <c r="C38" t="str">
        <f t="shared" si="0"/>
        <v>Thomas Phillips</v>
      </c>
      <c r="D38" t="str">
        <f t="shared" si="1"/>
        <v>Thomas Phillips</v>
      </c>
      <c r="E38" s="7">
        <v>20</v>
      </c>
      <c r="F38" t="s">
        <v>16</v>
      </c>
      <c r="G38" t="s">
        <v>146</v>
      </c>
      <c r="H38" t="s">
        <v>81</v>
      </c>
      <c r="I38" t="s">
        <v>12</v>
      </c>
      <c r="J38" t="s">
        <v>13</v>
      </c>
      <c r="K38" t="str">
        <f t="shared" si="2"/>
        <v>Gold</v>
      </c>
      <c r="L38" t="str">
        <f>IF(Customer_Dim[[#This Row],[Age]]&lt;25,"Youth",
   IF(Customer_Dim[[#This Row],[Age]]&lt;=40,"Adult",
   IF(Customer_Dim[[#This Row],[Age]]&lt;=60,"Middle-Aged","Senior")))</f>
        <v>Youth</v>
      </c>
    </row>
    <row r="39" spans="1:12" x14ac:dyDescent="0.3">
      <c r="A39" t="s">
        <v>147</v>
      </c>
      <c r="B39" t="s">
        <v>148</v>
      </c>
      <c r="C39" t="str">
        <f t="shared" si="0"/>
        <v>Christopher Carter</v>
      </c>
      <c r="D39" t="str">
        <f t="shared" si="1"/>
        <v>Christopher Carter</v>
      </c>
      <c r="E39" s="7">
        <v>27</v>
      </c>
      <c r="F39" t="s">
        <v>16</v>
      </c>
      <c r="G39" t="s">
        <v>149</v>
      </c>
      <c r="H39" t="s">
        <v>39</v>
      </c>
      <c r="I39" t="s">
        <v>12</v>
      </c>
      <c r="K39" t="str">
        <f t="shared" si="2"/>
        <v>UNKNOWN</v>
      </c>
      <c r="L39" t="str">
        <f>IF(Customer_Dim[[#This Row],[Age]]&lt;25,"Youth",
   IF(Customer_Dim[[#This Row],[Age]]&lt;=40,"Adult",
   IF(Customer_Dim[[#This Row],[Age]]&lt;=60,"Middle-Aged","Senior")))</f>
        <v>Adult</v>
      </c>
    </row>
    <row r="40" spans="1:12" x14ac:dyDescent="0.3">
      <c r="A40" t="s">
        <v>150</v>
      </c>
      <c r="B40" t="s">
        <v>151</v>
      </c>
      <c r="C40" t="str">
        <f t="shared" si="0"/>
        <v>Deanna Simpson</v>
      </c>
      <c r="D40" t="str">
        <f t="shared" si="1"/>
        <v>Deanna Simpson</v>
      </c>
      <c r="E40" s="7">
        <v>35</v>
      </c>
      <c r="F40" t="s">
        <v>16</v>
      </c>
      <c r="G40" t="s">
        <v>152</v>
      </c>
      <c r="H40" t="s">
        <v>18</v>
      </c>
      <c r="I40" t="s">
        <v>12</v>
      </c>
      <c r="J40" t="s">
        <v>26</v>
      </c>
      <c r="K40" t="str">
        <f t="shared" si="2"/>
        <v>Bronze</v>
      </c>
      <c r="L40" t="str">
        <f>IF(Customer_Dim[[#This Row],[Age]]&lt;25,"Youth",
   IF(Customer_Dim[[#This Row],[Age]]&lt;=40,"Adult",
   IF(Customer_Dim[[#This Row],[Age]]&lt;=60,"Middle-Aged","Senior")))</f>
        <v>Adult</v>
      </c>
    </row>
    <row r="41" spans="1:12" x14ac:dyDescent="0.3">
      <c r="A41" t="s">
        <v>153</v>
      </c>
      <c r="B41" t="s">
        <v>154</v>
      </c>
      <c r="C41" t="str">
        <f t="shared" si="0"/>
        <v>Tonya Reynolds</v>
      </c>
      <c r="D41" t="str">
        <f t="shared" si="1"/>
        <v>Tonya Reynolds</v>
      </c>
      <c r="E41" s="7">
        <v>55</v>
      </c>
      <c r="F41" t="s">
        <v>16</v>
      </c>
      <c r="G41" t="s">
        <v>155</v>
      </c>
      <c r="H41" t="s">
        <v>156</v>
      </c>
      <c r="I41" t="s">
        <v>12</v>
      </c>
      <c r="J41" t="s">
        <v>13</v>
      </c>
      <c r="K41" t="str">
        <f t="shared" si="2"/>
        <v>Gold</v>
      </c>
      <c r="L41" t="str">
        <f>IF(Customer_Dim[[#This Row],[Age]]&lt;25,"Youth",
   IF(Customer_Dim[[#This Row],[Age]]&lt;=40,"Adult",
   IF(Customer_Dim[[#This Row],[Age]]&lt;=60,"Middle-Aged","Senior")))</f>
        <v>Middle-Aged</v>
      </c>
    </row>
    <row r="42" spans="1:12" x14ac:dyDescent="0.3">
      <c r="A42" t="s">
        <v>157</v>
      </c>
      <c r="B42" t="s">
        <v>158</v>
      </c>
      <c r="C42" t="str">
        <f t="shared" si="0"/>
        <v>Eric Vega</v>
      </c>
      <c r="D42" t="str">
        <f t="shared" si="1"/>
        <v>Eric Vega</v>
      </c>
      <c r="E42" s="7">
        <v>50</v>
      </c>
      <c r="F42" t="s">
        <v>9</v>
      </c>
      <c r="G42" t="s">
        <v>159</v>
      </c>
      <c r="H42" t="s">
        <v>62</v>
      </c>
      <c r="I42" t="s">
        <v>12</v>
      </c>
      <c r="J42" t="s">
        <v>13</v>
      </c>
      <c r="K42" t="str">
        <f t="shared" si="2"/>
        <v>Gold</v>
      </c>
      <c r="L42" t="str">
        <f>IF(Customer_Dim[[#This Row],[Age]]&lt;25,"Youth",
   IF(Customer_Dim[[#This Row],[Age]]&lt;=40,"Adult",
   IF(Customer_Dim[[#This Row],[Age]]&lt;=60,"Middle-Aged","Senior")))</f>
        <v>Middle-Aged</v>
      </c>
    </row>
    <row r="43" spans="1:12" x14ac:dyDescent="0.3">
      <c r="A43" t="s">
        <v>160</v>
      </c>
      <c r="B43" t="s">
        <v>161</v>
      </c>
      <c r="C43" t="str">
        <f t="shared" si="0"/>
        <v>James Gibbs</v>
      </c>
      <c r="D43" t="str">
        <f t="shared" si="1"/>
        <v>James Gibbs</v>
      </c>
      <c r="E43" s="7">
        <v>21</v>
      </c>
      <c r="F43" t="s">
        <v>9</v>
      </c>
      <c r="G43" t="s">
        <v>162</v>
      </c>
      <c r="H43" t="s">
        <v>163</v>
      </c>
      <c r="I43" t="s">
        <v>12</v>
      </c>
      <c r="J43" t="s">
        <v>19</v>
      </c>
      <c r="K43" t="str">
        <f t="shared" si="2"/>
        <v>Platinum</v>
      </c>
      <c r="L43" t="str">
        <f>IF(Customer_Dim[[#This Row],[Age]]&lt;25,"Youth",
   IF(Customer_Dim[[#This Row],[Age]]&lt;=40,"Adult",
   IF(Customer_Dim[[#This Row],[Age]]&lt;=60,"Middle-Aged","Senior")))</f>
        <v>Youth</v>
      </c>
    </row>
    <row r="44" spans="1:12" x14ac:dyDescent="0.3">
      <c r="A44" t="s">
        <v>164</v>
      </c>
      <c r="B44" t="s">
        <v>165</v>
      </c>
      <c r="C44" t="str">
        <f t="shared" si="0"/>
        <v>William Martin</v>
      </c>
      <c r="D44" t="str">
        <f t="shared" si="1"/>
        <v>William Martin</v>
      </c>
      <c r="E44" s="7">
        <v>19</v>
      </c>
      <c r="F44" t="s">
        <v>9</v>
      </c>
      <c r="G44" t="s">
        <v>166</v>
      </c>
      <c r="H44" t="s">
        <v>167</v>
      </c>
      <c r="I44" t="s">
        <v>12</v>
      </c>
      <c r="J44" t="s">
        <v>19</v>
      </c>
      <c r="K44" t="str">
        <f t="shared" si="2"/>
        <v>Platinum</v>
      </c>
      <c r="L44" t="str">
        <f>IF(Customer_Dim[[#This Row],[Age]]&lt;25,"Youth",
   IF(Customer_Dim[[#This Row],[Age]]&lt;=40,"Adult",
   IF(Customer_Dim[[#This Row],[Age]]&lt;=60,"Middle-Aged","Senior")))</f>
        <v>Youth</v>
      </c>
    </row>
    <row r="45" spans="1:12" x14ac:dyDescent="0.3">
      <c r="A45" t="s">
        <v>168</v>
      </c>
      <c r="B45" t="s">
        <v>169</v>
      </c>
      <c r="C45" t="str">
        <f t="shared" si="0"/>
        <v>Joseph Snow</v>
      </c>
      <c r="D45" t="str">
        <f t="shared" si="1"/>
        <v>Joseph Snow</v>
      </c>
      <c r="E45" s="7">
        <v>45</v>
      </c>
      <c r="F45" t="s">
        <v>9</v>
      </c>
      <c r="G45" t="s">
        <v>170</v>
      </c>
      <c r="H45" t="s">
        <v>171</v>
      </c>
      <c r="I45" t="s">
        <v>12</v>
      </c>
      <c r="J45" t="s">
        <v>13</v>
      </c>
      <c r="K45" t="str">
        <f t="shared" si="2"/>
        <v>Gold</v>
      </c>
      <c r="L45" t="str">
        <f>IF(Customer_Dim[[#This Row],[Age]]&lt;25,"Youth",
   IF(Customer_Dim[[#This Row],[Age]]&lt;=40,"Adult",
   IF(Customer_Dim[[#This Row],[Age]]&lt;=60,"Middle-Aged","Senior")))</f>
        <v>Middle-Aged</v>
      </c>
    </row>
    <row r="46" spans="1:12" x14ac:dyDescent="0.3">
      <c r="A46" t="s">
        <v>172</v>
      </c>
      <c r="B46" t="s">
        <v>173</v>
      </c>
      <c r="C46" t="str">
        <f t="shared" si="0"/>
        <v>Denise Williams</v>
      </c>
      <c r="D46" t="str">
        <f t="shared" si="1"/>
        <v>Denise Williams</v>
      </c>
      <c r="E46" s="7">
        <v>34</v>
      </c>
      <c r="F46" t="s">
        <v>9</v>
      </c>
      <c r="G46" t="s">
        <v>174</v>
      </c>
      <c r="H46" t="s">
        <v>99</v>
      </c>
      <c r="I46" t="s">
        <v>12</v>
      </c>
      <c r="J46" t="s">
        <v>26</v>
      </c>
      <c r="K46" t="str">
        <f t="shared" si="2"/>
        <v>Bronze</v>
      </c>
      <c r="L46" t="str">
        <f>IF(Customer_Dim[[#This Row],[Age]]&lt;25,"Youth",
   IF(Customer_Dim[[#This Row],[Age]]&lt;=40,"Adult",
   IF(Customer_Dim[[#This Row],[Age]]&lt;=60,"Middle-Aged","Senior")))</f>
        <v>Adult</v>
      </c>
    </row>
    <row r="47" spans="1:12" x14ac:dyDescent="0.3">
      <c r="A47" t="s">
        <v>175</v>
      </c>
      <c r="B47" t="s">
        <v>176</v>
      </c>
      <c r="C47" t="str">
        <f t="shared" si="0"/>
        <v>Jordan Jackson Dds</v>
      </c>
      <c r="D47" t="str">
        <f t="shared" si="1"/>
        <v>Jordan Jackson Dds</v>
      </c>
      <c r="E47" s="7">
        <v>54</v>
      </c>
      <c r="F47" t="s">
        <v>9</v>
      </c>
      <c r="G47" t="s">
        <v>177</v>
      </c>
      <c r="H47" t="s">
        <v>133</v>
      </c>
      <c r="I47" t="s">
        <v>12</v>
      </c>
      <c r="J47" t="s">
        <v>13</v>
      </c>
      <c r="K47" t="str">
        <f t="shared" si="2"/>
        <v>Gold</v>
      </c>
      <c r="L47" t="str">
        <f>IF(Customer_Dim[[#This Row],[Age]]&lt;25,"Youth",
   IF(Customer_Dim[[#This Row],[Age]]&lt;=40,"Adult",
   IF(Customer_Dim[[#This Row],[Age]]&lt;=60,"Middle-Aged","Senior")))</f>
        <v>Middle-Aged</v>
      </c>
    </row>
    <row r="48" spans="1:12" x14ac:dyDescent="0.3">
      <c r="A48" t="s">
        <v>178</v>
      </c>
      <c r="B48" t="s">
        <v>179</v>
      </c>
      <c r="C48" t="str">
        <f t="shared" si="0"/>
        <v>Michelle Garcia Dds</v>
      </c>
      <c r="D48" t="str">
        <f t="shared" si="1"/>
        <v>Michelle Garcia Dds</v>
      </c>
      <c r="E48" s="7">
        <v>55</v>
      </c>
      <c r="F48" t="s">
        <v>16</v>
      </c>
      <c r="G48" t="s">
        <v>180</v>
      </c>
      <c r="H48" t="s">
        <v>25</v>
      </c>
      <c r="I48" t="s">
        <v>12</v>
      </c>
      <c r="J48" t="s">
        <v>19</v>
      </c>
      <c r="K48" t="str">
        <f t="shared" si="2"/>
        <v>Platinum</v>
      </c>
      <c r="L48" t="str">
        <f>IF(Customer_Dim[[#This Row],[Age]]&lt;25,"Youth",
   IF(Customer_Dim[[#This Row],[Age]]&lt;=40,"Adult",
   IF(Customer_Dim[[#This Row],[Age]]&lt;=60,"Middle-Aged","Senior")))</f>
        <v>Middle-Aged</v>
      </c>
    </row>
    <row r="49" spans="1:12" x14ac:dyDescent="0.3">
      <c r="A49" t="s">
        <v>181</v>
      </c>
      <c r="B49" t="s">
        <v>182</v>
      </c>
      <c r="C49" t="str">
        <f t="shared" si="0"/>
        <v>Gina Knight</v>
      </c>
      <c r="D49" t="str">
        <f t="shared" si="1"/>
        <v>Gina Knight</v>
      </c>
      <c r="E49" s="7">
        <v>54</v>
      </c>
      <c r="F49" t="s">
        <v>16</v>
      </c>
      <c r="G49" t="s">
        <v>183</v>
      </c>
      <c r="H49" t="s">
        <v>184</v>
      </c>
      <c r="I49" t="s">
        <v>12</v>
      </c>
      <c r="J49" t="s">
        <v>31</v>
      </c>
      <c r="K49" t="str">
        <f t="shared" si="2"/>
        <v>Silver</v>
      </c>
      <c r="L49" t="str">
        <f>IF(Customer_Dim[[#This Row],[Age]]&lt;25,"Youth",
   IF(Customer_Dim[[#This Row],[Age]]&lt;=40,"Adult",
   IF(Customer_Dim[[#This Row],[Age]]&lt;=60,"Middle-Aged","Senior")))</f>
        <v>Middle-Aged</v>
      </c>
    </row>
    <row r="50" spans="1:12" x14ac:dyDescent="0.3">
      <c r="A50" t="s">
        <v>185</v>
      </c>
      <c r="B50" t="s">
        <v>186</v>
      </c>
      <c r="C50" t="str">
        <f t="shared" si="0"/>
        <v>April Mullins</v>
      </c>
      <c r="D50" t="str">
        <f t="shared" si="1"/>
        <v>April Mullins</v>
      </c>
      <c r="E50" s="7">
        <v>54</v>
      </c>
      <c r="F50" t="s">
        <v>9</v>
      </c>
      <c r="G50" t="s">
        <v>187</v>
      </c>
      <c r="H50" t="s">
        <v>11</v>
      </c>
      <c r="I50" t="s">
        <v>12</v>
      </c>
      <c r="J50" t="s">
        <v>19</v>
      </c>
      <c r="K50" t="str">
        <f t="shared" si="2"/>
        <v>Platinum</v>
      </c>
      <c r="L50" t="str">
        <f>IF(Customer_Dim[[#This Row],[Age]]&lt;25,"Youth",
   IF(Customer_Dim[[#This Row],[Age]]&lt;=40,"Adult",
   IF(Customer_Dim[[#This Row],[Age]]&lt;=60,"Middle-Aged","Senior")))</f>
        <v>Middle-Aged</v>
      </c>
    </row>
    <row r="51" spans="1:12" x14ac:dyDescent="0.3">
      <c r="A51" t="s">
        <v>188</v>
      </c>
      <c r="B51" t="s">
        <v>189</v>
      </c>
      <c r="C51" t="str">
        <f t="shared" si="0"/>
        <v>Timothy Weaver</v>
      </c>
      <c r="D51" t="str">
        <f t="shared" si="1"/>
        <v>Timothy Weaver</v>
      </c>
      <c r="E51" s="7">
        <v>45</v>
      </c>
      <c r="F51" t="s">
        <v>16</v>
      </c>
      <c r="G51" t="s">
        <v>190</v>
      </c>
      <c r="H51" t="s">
        <v>25</v>
      </c>
      <c r="I51" t="s">
        <v>12</v>
      </c>
      <c r="J51" t="s">
        <v>13</v>
      </c>
      <c r="K51" t="str">
        <f t="shared" si="2"/>
        <v>Gold</v>
      </c>
      <c r="L51" t="str">
        <f>IF(Customer_Dim[[#This Row],[Age]]&lt;25,"Youth",
   IF(Customer_Dim[[#This Row],[Age]]&lt;=40,"Adult",
   IF(Customer_Dim[[#This Row],[Age]]&lt;=60,"Middle-Aged","Senior")))</f>
        <v>Middle-Aged</v>
      </c>
    </row>
    <row r="52" spans="1:12" x14ac:dyDescent="0.3">
      <c r="A52" t="s">
        <v>191</v>
      </c>
      <c r="B52" t="s">
        <v>192</v>
      </c>
      <c r="C52" t="str">
        <f t="shared" si="0"/>
        <v>Matthew Hunter Jr.</v>
      </c>
      <c r="D52" t="str">
        <f t="shared" si="1"/>
        <v>Matthew Hunter Jr.</v>
      </c>
      <c r="E52" s="7">
        <v>61</v>
      </c>
      <c r="F52" t="s">
        <v>16</v>
      </c>
      <c r="G52" t="s">
        <v>193</v>
      </c>
      <c r="H52" t="s">
        <v>194</v>
      </c>
      <c r="I52" t="s">
        <v>12</v>
      </c>
      <c r="J52" t="s">
        <v>13</v>
      </c>
      <c r="K52" t="str">
        <f t="shared" si="2"/>
        <v>Gold</v>
      </c>
      <c r="L52" t="str">
        <f>IF(Customer_Dim[[#This Row],[Age]]&lt;25,"Youth",
   IF(Customer_Dim[[#This Row],[Age]]&lt;=40,"Adult",
   IF(Customer_Dim[[#This Row],[Age]]&lt;=60,"Middle-Aged","Senior")))</f>
        <v>Senior</v>
      </c>
    </row>
    <row r="53" spans="1:12" x14ac:dyDescent="0.3">
      <c r="A53" t="s">
        <v>195</v>
      </c>
      <c r="B53" t="s">
        <v>196</v>
      </c>
      <c r="C53" t="str">
        <f t="shared" si="0"/>
        <v>Sarah Rodgers</v>
      </c>
      <c r="D53" t="str">
        <f t="shared" si="1"/>
        <v>Sarah Rodgers</v>
      </c>
      <c r="E53" s="7">
        <v>23</v>
      </c>
      <c r="F53" t="s">
        <v>16</v>
      </c>
      <c r="G53" t="s">
        <v>197</v>
      </c>
      <c r="H53" t="s">
        <v>43</v>
      </c>
      <c r="I53" t="s">
        <v>12</v>
      </c>
      <c r="J53" t="s">
        <v>13</v>
      </c>
      <c r="K53" t="str">
        <f t="shared" si="2"/>
        <v>Gold</v>
      </c>
      <c r="L53" t="str">
        <f>IF(Customer_Dim[[#This Row],[Age]]&lt;25,"Youth",
   IF(Customer_Dim[[#This Row],[Age]]&lt;=40,"Adult",
   IF(Customer_Dim[[#This Row],[Age]]&lt;=60,"Middle-Aged","Senior")))</f>
        <v>Youth</v>
      </c>
    </row>
    <row r="54" spans="1:12" x14ac:dyDescent="0.3">
      <c r="A54" t="s">
        <v>198</v>
      </c>
      <c r="B54" t="s">
        <v>199</v>
      </c>
      <c r="C54" t="str">
        <f t="shared" si="0"/>
        <v>Debra Liu</v>
      </c>
      <c r="D54" t="str">
        <f t="shared" si="1"/>
        <v>Debra Liu</v>
      </c>
      <c r="E54" s="7">
        <v>55</v>
      </c>
      <c r="F54" t="s">
        <v>9</v>
      </c>
      <c r="G54" t="s">
        <v>200</v>
      </c>
      <c r="H54" t="s">
        <v>201</v>
      </c>
      <c r="I54" t="s">
        <v>12</v>
      </c>
      <c r="J54" t="s">
        <v>26</v>
      </c>
      <c r="K54" t="str">
        <f t="shared" si="2"/>
        <v>Bronze</v>
      </c>
      <c r="L54" t="str">
        <f>IF(Customer_Dim[[#This Row],[Age]]&lt;25,"Youth",
   IF(Customer_Dim[[#This Row],[Age]]&lt;=40,"Adult",
   IF(Customer_Dim[[#This Row],[Age]]&lt;=60,"Middle-Aged","Senior")))</f>
        <v>Middle-Aged</v>
      </c>
    </row>
    <row r="55" spans="1:12" x14ac:dyDescent="0.3">
      <c r="A55" t="s">
        <v>202</v>
      </c>
      <c r="B55" t="s">
        <v>203</v>
      </c>
      <c r="C55" t="str">
        <f t="shared" si="0"/>
        <v>Sharon Brown</v>
      </c>
      <c r="D55" t="str">
        <f t="shared" si="1"/>
        <v>Sharon Brown</v>
      </c>
      <c r="E55" s="7">
        <v>37</v>
      </c>
      <c r="F55" t="s">
        <v>16</v>
      </c>
      <c r="G55" t="s">
        <v>204</v>
      </c>
      <c r="H55" t="s">
        <v>156</v>
      </c>
      <c r="I55" t="s">
        <v>12</v>
      </c>
      <c r="J55" t="s">
        <v>13</v>
      </c>
      <c r="K55" t="str">
        <f t="shared" si="2"/>
        <v>Gold</v>
      </c>
      <c r="L55" t="str">
        <f>IF(Customer_Dim[[#This Row],[Age]]&lt;25,"Youth",
   IF(Customer_Dim[[#This Row],[Age]]&lt;=40,"Adult",
   IF(Customer_Dim[[#This Row],[Age]]&lt;=60,"Middle-Aged","Senior")))</f>
        <v>Adult</v>
      </c>
    </row>
    <row r="56" spans="1:12" x14ac:dyDescent="0.3">
      <c r="A56" t="s">
        <v>205</v>
      </c>
      <c r="B56" t="s">
        <v>206</v>
      </c>
      <c r="C56" t="str">
        <f t="shared" si="0"/>
        <v>Katherine Dorsey</v>
      </c>
      <c r="D56" t="str">
        <f t="shared" si="1"/>
        <v>Katherine Dorsey</v>
      </c>
      <c r="E56" s="7">
        <v>24</v>
      </c>
      <c r="F56" t="s">
        <v>9</v>
      </c>
      <c r="G56" t="s">
        <v>207</v>
      </c>
      <c r="H56" t="s">
        <v>96</v>
      </c>
      <c r="I56" t="s">
        <v>12</v>
      </c>
      <c r="J56" t="s">
        <v>19</v>
      </c>
      <c r="K56" t="str">
        <f t="shared" si="2"/>
        <v>Platinum</v>
      </c>
      <c r="L56" t="str">
        <f>IF(Customer_Dim[[#This Row],[Age]]&lt;25,"Youth",
   IF(Customer_Dim[[#This Row],[Age]]&lt;=40,"Adult",
   IF(Customer_Dim[[#This Row],[Age]]&lt;=60,"Middle-Aged","Senior")))</f>
        <v>Youth</v>
      </c>
    </row>
    <row r="57" spans="1:12" x14ac:dyDescent="0.3">
      <c r="A57" t="s">
        <v>208</v>
      </c>
      <c r="B57" t="s">
        <v>209</v>
      </c>
      <c r="C57" t="str">
        <f t="shared" si="0"/>
        <v>Wayne Mcpherson</v>
      </c>
      <c r="D57" t="str">
        <f t="shared" si="1"/>
        <v>Wayne Mcpherson</v>
      </c>
      <c r="E57" s="7">
        <v>56</v>
      </c>
      <c r="F57" t="s">
        <v>16</v>
      </c>
      <c r="G57" t="s">
        <v>210</v>
      </c>
      <c r="H57" t="s">
        <v>201</v>
      </c>
      <c r="I57" t="s">
        <v>12</v>
      </c>
      <c r="J57" t="s">
        <v>26</v>
      </c>
      <c r="K57" t="str">
        <f t="shared" si="2"/>
        <v>Bronze</v>
      </c>
      <c r="L57" t="str">
        <f>IF(Customer_Dim[[#This Row],[Age]]&lt;25,"Youth",
   IF(Customer_Dim[[#This Row],[Age]]&lt;=40,"Adult",
   IF(Customer_Dim[[#This Row],[Age]]&lt;=60,"Middle-Aged","Senior")))</f>
        <v>Middle-Aged</v>
      </c>
    </row>
    <row r="58" spans="1:12" x14ac:dyDescent="0.3">
      <c r="A58" t="s">
        <v>211</v>
      </c>
      <c r="B58" t="s">
        <v>212</v>
      </c>
      <c r="C58" t="str">
        <f t="shared" si="0"/>
        <v>Christopher Sutton</v>
      </c>
      <c r="D58" t="str">
        <f t="shared" si="1"/>
        <v>Christopher Sutton</v>
      </c>
      <c r="E58" s="7">
        <v>49</v>
      </c>
      <c r="F58" t="s">
        <v>16</v>
      </c>
      <c r="G58" t="s">
        <v>213</v>
      </c>
      <c r="H58" t="s">
        <v>51</v>
      </c>
      <c r="I58" t="s">
        <v>12</v>
      </c>
      <c r="J58" t="s">
        <v>13</v>
      </c>
      <c r="K58" t="str">
        <f t="shared" si="2"/>
        <v>Gold</v>
      </c>
      <c r="L58" t="str">
        <f>IF(Customer_Dim[[#This Row],[Age]]&lt;25,"Youth",
   IF(Customer_Dim[[#This Row],[Age]]&lt;=40,"Adult",
   IF(Customer_Dim[[#This Row],[Age]]&lt;=60,"Middle-Aged","Senior")))</f>
        <v>Middle-Aged</v>
      </c>
    </row>
    <row r="59" spans="1:12" x14ac:dyDescent="0.3">
      <c r="A59" t="s">
        <v>214</v>
      </c>
      <c r="B59" t="s">
        <v>215</v>
      </c>
      <c r="C59" t="str">
        <f t="shared" si="0"/>
        <v>Jay Patel</v>
      </c>
      <c r="D59" t="str">
        <f t="shared" si="1"/>
        <v>Jay Patel</v>
      </c>
      <c r="E59" s="7">
        <v>43</v>
      </c>
      <c r="F59" t="s">
        <v>16</v>
      </c>
      <c r="G59" t="s">
        <v>216</v>
      </c>
      <c r="H59" t="s">
        <v>217</v>
      </c>
      <c r="I59" t="s">
        <v>12</v>
      </c>
      <c r="J59" t="s">
        <v>19</v>
      </c>
      <c r="K59" t="str">
        <f t="shared" si="2"/>
        <v>Platinum</v>
      </c>
      <c r="L59" t="str">
        <f>IF(Customer_Dim[[#This Row],[Age]]&lt;25,"Youth",
   IF(Customer_Dim[[#This Row],[Age]]&lt;=40,"Adult",
   IF(Customer_Dim[[#This Row],[Age]]&lt;=60,"Middle-Aged","Senior")))</f>
        <v>Middle-Aged</v>
      </c>
    </row>
    <row r="60" spans="1:12" x14ac:dyDescent="0.3">
      <c r="A60" t="s">
        <v>218</v>
      </c>
      <c r="B60" t="s">
        <v>219</v>
      </c>
      <c r="C60" t="str">
        <f t="shared" si="0"/>
        <v>Cheryl Copeland</v>
      </c>
      <c r="D60" t="str">
        <f t="shared" si="1"/>
        <v>Cheryl Copeland</v>
      </c>
      <c r="E60" s="7">
        <v>51</v>
      </c>
      <c r="F60" t="s">
        <v>9</v>
      </c>
      <c r="G60" t="s">
        <v>220</v>
      </c>
      <c r="H60" t="s">
        <v>140</v>
      </c>
      <c r="I60" t="s">
        <v>12</v>
      </c>
      <c r="J60" t="s">
        <v>19</v>
      </c>
      <c r="K60" t="str">
        <f t="shared" si="2"/>
        <v>Platinum</v>
      </c>
      <c r="L60" t="str">
        <f>IF(Customer_Dim[[#This Row],[Age]]&lt;25,"Youth",
   IF(Customer_Dim[[#This Row],[Age]]&lt;=40,"Adult",
   IF(Customer_Dim[[#This Row],[Age]]&lt;=60,"Middle-Aged","Senior")))</f>
        <v>Middle-Aged</v>
      </c>
    </row>
    <row r="61" spans="1:12" x14ac:dyDescent="0.3">
      <c r="A61" t="s">
        <v>221</v>
      </c>
      <c r="B61" t="s">
        <v>222</v>
      </c>
      <c r="C61" t="str">
        <f t="shared" si="0"/>
        <v>Alyssa Vargas</v>
      </c>
      <c r="D61" t="str">
        <f t="shared" si="1"/>
        <v>Alyssa Vargas</v>
      </c>
      <c r="E61" s="7">
        <v>53</v>
      </c>
      <c r="F61" t="s">
        <v>9</v>
      </c>
      <c r="G61" t="s">
        <v>223</v>
      </c>
      <c r="H61" t="s">
        <v>66</v>
      </c>
      <c r="I61" t="s">
        <v>12</v>
      </c>
      <c r="J61" t="s">
        <v>19</v>
      </c>
      <c r="K61" t="str">
        <f t="shared" si="2"/>
        <v>Platinum</v>
      </c>
      <c r="L61" t="str">
        <f>IF(Customer_Dim[[#This Row],[Age]]&lt;25,"Youth",
   IF(Customer_Dim[[#This Row],[Age]]&lt;=40,"Adult",
   IF(Customer_Dim[[#This Row],[Age]]&lt;=60,"Middle-Aged","Senior")))</f>
        <v>Middle-Aged</v>
      </c>
    </row>
    <row r="62" spans="1:12" x14ac:dyDescent="0.3">
      <c r="A62" t="s">
        <v>224</v>
      </c>
      <c r="B62" t="s">
        <v>225</v>
      </c>
      <c r="C62" t="str">
        <f t="shared" si="0"/>
        <v>Dr. David Smith</v>
      </c>
      <c r="D62" t="str">
        <f t="shared" si="1"/>
        <v>Dr. David Smith</v>
      </c>
      <c r="E62" s="7">
        <v>22</v>
      </c>
      <c r="F62" t="s">
        <v>16</v>
      </c>
      <c r="G62" t="s">
        <v>226</v>
      </c>
      <c r="H62" t="s">
        <v>163</v>
      </c>
      <c r="I62" t="s">
        <v>12</v>
      </c>
      <c r="J62" t="s">
        <v>31</v>
      </c>
      <c r="K62" t="str">
        <f t="shared" si="2"/>
        <v>Silver</v>
      </c>
      <c r="L62" t="str">
        <f>IF(Customer_Dim[[#This Row],[Age]]&lt;25,"Youth",
   IF(Customer_Dim[[#This Row],[Age]]&lt;=40,"Adult",
   IF(Customer_Dim[[#This Row],[Age]]&lt;=60,"Middle-Aged","Senior")))</f>
        <v>Youth</v>
      </c>
    </row>
    <row r="63" spans="1:12" x14ac:dyDescent="0.3">
      <c r="A63" t="s">
        <v>227</v>
      </c>
      <c r="B63" t="s">
        <v>228</v>
      </c>
      <c r="C63" t="str">
        <f t="shared" si="0"/>
        <v>Kristin Stein</v>
      </c>
      <c r="D63" t="str">
        <f t="shared" si="1"/>
        <v>Kristin Stein</v>
      </c>
      <c r="E63" s="7">
        <v>23</v>
      </c>
      <c r="F63" t="s">
        <v>9</v>
      </c>
      <c r="G63" t="s">
        <v>229</v>
      </c>
      <c r="H63" t="s">
        <v>113</v>
      </c>
      <c r="I63" t="s">
        <v>12</v>
      </c>
      <c r="J63" t="s">
        <v>31</v>
      </c>
      <c r="K63" t="str">
        <f t="shared" si="2"/>
        <v>Silver</v>
      </c>
      <c r="L63" t="str">
        <f>IF(Customer_Dim[[#This Row],[Age]]&lt;25,"Youth",
   IF(Customer_Dim[[#This Row],[Age]]&lt;=40,"Adult",
   IF(Customer_Dim[[#This Row],[Age]]&lt;=60,"Middle-Aged","Senior")))</f>
        <v>Youth</v>
      </c>
    </row>
    <row r="64" spans="1:12" x14ac:dyDescent="0.3">
      <c r="A64" t="s">
        <v>230</v>
      </c>
      <c r="B64" t="s">
        <v>231</v>
      </c>
      <c r="C64" t="str">
        <f t="shared" si="0"/>
        <v>James Bean</v>
      </c>
      <c r="D64" t="str">
        <f t="shared" si="1"/>
        <v>James Bean</v>
      </c>
      <c r="E64" s="7">
        <v>50</v>
      </c>
      <c r="F64" t="s">
        <v>9</v>
      </c>
      <c r="G64" t="s">
        <v>232</v>
      </c>
      <c r="H64" t="s">
        <v>233</v>
      </c>
      <c r="I64" t="s">
        <v>12</v>
      </c>
      <c r="J64" t="s">
        <v>26</v>
      </c>
      <c r="K64" t="str">
        <f t="shared" si="2"/>
        <v>Bronze</v>
      </c>
      <c r="L64" t="str">
        <f>IF(Customer_Dim[[#This Row],[Age]]&lt;25,"Youth",
   IF(Customer_Dim[[#This Row],[Age]]&lt;=40,"Adult",
   IF(Customer_Dim[[#This Row],[Age]]&lt;=60,"Middle-Aged","Senior")))</f>
        <v>Middle-Aged</v>
      </c>
    </row>
    <row r="65" spans="1:12" x14ac:dyDescent="0.3">
      <c r="A65" t="s">
        <v>234</v>
      </c>
      <c r="B65" t="s">
        <v>235</v>
      </c>
      <c r="C65" t="str">
        <f t="shared" si="0"/>
        <v>Michael Daniel</v>
      </c>
      <c r="D65" t="str">
        <f t="shared" si="1"/>
        <v>Michael Daniel</v>
      </c>
      <c r="E65" s="7">
        <v>51</v>
      </c>
      <c r="F65" t="s">
        <v>9</v>
      </c>
      <c r="G65" t="s">
        <v>236</v>
      </c>
      <c r="H65" t="s">
        <v>237</v>
      </c>
      <c r="I65" t="s">
        <v>12</v>
      </c>
      <c r="J65" t="s">
        <v>19</v>
      </c>
      <c r="K65" t="str">
        <f t="shared" si="2"/>
        <v>Platinum</v>
      </c>
      <c r="L65" t="str">
        <f>IF(Customer_Dim[[#This Row],[Age]]&lt;25,"Youth",
   IF(Customer_Dim[[#This Row],[Age]]&lt;=40,"Adult",
   IF(Customer_Dim[[#This Row],[Age]]&lt;=60,"Middle-Aged","Senior")))</f>
        <v>Middle-Aged</v>
      </c>
    </row>
    <row r="66" spans="1:12" x14ac:dyDescent="0.3">
      <c r="A66" t="s">
        <v>238</v>
      </c>
      <c r="B66" t="s">
        <v>239</v>
      </c>
      <c r="C66" t="str">
        <f t="shared" si="0"/>
        <v>Mr. Mason Butler</v>
      </c>
      <c r="D66" t="str">
        <f t="shared" si="1"/>
        <v>Mr. Mason Butler</v>
      </c>
      <c r="E66" s="7">
        <v>33</v>
      </c>
      <c r="F66" t="s">
        <v>9</v>
      </c>
      <c r="G66" t="s">
        <v>240</v>
      </c>
      <c r="H66" t="s">
        <v>133</v>
      </c>
      <c r="I66" t="s">
        <v>12</v>
      </c>
      <c r="J66" t="s">
        <v>13</v>
      </c>
      <c r="K66" t="str">
        <f t="shared" si="2"/>
        <v>Gold</v>
      </c>
      <c r="L66" t="str">
        <f>IF(Customer_Dim[[#This Row],[Age]]&lt;25,"Youth",
   IF(Customer_Dim[[#This Row],[Age]]&lt;=40,"Adult",
   IF(Customer_Dim[[#This Row],[Age]]&lt;=60,"Middle-Aged","Senior")))</f>
        <v>Adult</v>
      </c>
    </row>
    <row r="67" spans="1:12" x14ac:dyDescent="0.3">
      <c r="A67" t="s">
        <v>241</v>
      </c>
      <c r="B67" t="s">
        <v>242</v>
      </c>
      <c r="C67" t="str">
        <f t="shared" ref="C67:C130" si="3">PROPER(B67)</f>
        <v>Michael Thomas</v>
      </c>
      <c r="D67" t="str">
        <f t="shared" ref="D67:D130" si="4">TRIM(C67)</f>
        <v>Michael Thomas</v>
      </c>
      <c r="E67" s="7">
        <v>21</v>
      </c>
      <c r="F67" t="s">
        <v>16</v>
      </c>
      <c r="G67" t="s">
        <v>243</v>
      </c>
      <c r="H67" t="s">
        <v>184</v>
      </c>
      <c r="I67" t="s">
        <v>12</v>
      </c>
      <c r="J67" t="s">
        <v>31</v>
      </c>
      <c r="K67" t="str">
        <f t="shared" ref="K67:K130" si="5">IF(ISBLANK(J67),"UNKNOWN",J67)</f>
        <v>Silver</v>
      </c>
      <c r="L67" t="str">
        <f>IF(Customer_Dim[[#This Row],[Age]]&lt;25,"Youth",
   IF(Customer_Dim[[#This Row],[Age]]&lt;=40,"Adult",
   IF(Customer_Dim[[#This Row],[Age]]&lt;=60,"Middle-Aged","Senior")))</f>
        <v>Youth</v>
      </c>
    </row>
    <row r="68" spans="1:12" x14ac:dyDescent="0.3">
      <c r="A68" t="s">
        <v>244</v>
      </c>
      <c r="B68" t="s">
        <v>245</v>
      </c>
      <c r="C68" t="str">
        <f t="shared" si="3"/>
        <v>Cody Diaz</v>
      </c>
      <c r="D68" t="str">
        <f t="shared" si="4"/>
        <v>Cody Diaz</v>
      </c>
      <c r="E68" s="7">
        <v>27</v>
      </c>
      <c r="F68" t="s">
        <v>16</v>
      </c>
      <c r="G68" t="s">
        <v>246</v>
      </c>
      <c r="H68" t="s">
        <v>47</v>
      </c>
      <c r="I68" t="s">
        <v>12</v>
      </c>
      <c r="J68" t="s">
        <v>31</v>
      </c>
      <c r="K68" t="str">
        <f t="shared" si="5"/>
        <v>Silver</v>
      </c>
      <c r="L68" t="str">
        <f>IF(Customer_Dim[[#This Row],[Age]]&lt;25,"Youth",
   IF(Customer_Dim[[#This Row],[Age]]&lt;=40,"Adult",
   IF(Customer_Dim[[#This Row],[Age]]&lt;=60,"Middle-Aged","Senior")))</f>
        <v>Adult</v>
      </c>
    </row>
    <row r="69" spans="1:12" x14ac:dyDescent="0.3">
      <c r="A69" t="s">
        <v>247</v>
      </c>
      <c r="B69" t="s">
        <v>248</v>
      </c>
      <c r="C69" t="str">
        <f t="shared" si="3"/>
        <v>Amber Mcclain</v>
      </c>
      <c r="D69" t="str">
        <f t="shared" si="4"/>
        <v>Amber Mcclain</v>
      </c>
      <c r="E69" s="7">
        <v>58</v>
      </c>
      <c r="F69" t="s">
        <v>9</v>
      </c>
      <c r="G69" t="s">
        <v>249</v>
      </c>
      <c r="H69" t="s">
        <v>250</v>
      </c>
      <c r="I69" t="s">
        <v>12</v>
      </c>
      <c r="J69" t="s">
        <v>31</v>
      </c>
      <c r="K69" t="str">
        <f t="shared" si="5"/>
        <v>Silver</v>
      </c>
      <c r="L69" t="str">
        <f>IF(Customer_Dim[[#This Row],[Age]]&lt;25,"Youth",
   IF(Customer_Dim[[#This Row],[Age]]&lt;=40,"Adult",
   IF(Customer_Dim[[#This Row],[Age]]&lt;=60,"Middle-Aged","Senior")))</f>
        <v>Middle-Aged</v>
      </c>
    </row>
    <row r="70" spans="1:12" x14ac:dyDescent="0.3">
      <c r="A70" t="s">
        <v>251</v>
      </c>
      <c r="B70" t="s">
        <v>252</v>
      </c>
      <c r="C70" t="str">
        <f t="shared" si="3"/>
        <v>Mr. Mark Beasley</v>
      </c>
      <c r="D70" t="str">
        <f t="shared" si="4"/>
        <v>Mr. Mark Beasley</v>
      </c>
      <c r="E70" s="7">
        <v>24</v>
      </c>
      <c r="F70" t="s">
        <v>16</v>
      </c>
      <c r="G70" t="s">
        <v>253</v>
      </c>
      <c r="H70" t="s">
        <v>254</v>
      </c>
      <c r="I70" t="s">
        <v>12</v>
      </c>
      <c r="J70" t="s">
        <v>31</v>
      </c>
      <c r="K70" t="str">
        <f t="shared" si="5"/>
        <v>Silver</v>
      </c>
      <c r="L70" t="str">
        <f>IF(Customer_Dim[[#This Row],[Age]]&lt;25,"Youth",
   IF(Customer_Dim[[#This Row],[Age]]&lt;=40,"Adult",
   IF(Customer_Dim[[#This Row],[Age]]&lt;=60,"Middle-Aged","Senior")))</f>
        <v>Youth</v>
      </c>
    </row>
    <row r="71" spans="1:12" x14ac:dyDescent="0.3">
      <c r="A71" t="s">
        <v>255</v>
      </c>
      <c r="B71" t="s">
        <v>256</v>
      </c>
      <c r="C71" t="str">
        <f t="shared" si="3"/>
        <v>Roy Cole</v>
      </c>
      <c r="D71" t="str">
        <f t="shared" si="4"/>
        <v>Roy Cole</v>
      </c>
      <c r="E71" s="7">
        <v>24</v>
      </c>
      <c r="F71" t="s">
        <v>16</v>
      </c>
      <c r="G71" t="s">
        <v>257</v>
      </c>
      <c r="H71" t="s">
        <v>88</v>
      </c>
      <c r="I71" t="s">
        <v>12</v>
      </c>
      <c r="J71" t="s">
        <v>19</v>
      </c>
      <c r="K71" t="str">
        <f t="shared" si="5"/>
        <v>Platinum</v>
      </c>
      <c r="L71" t="str">
        <f>IF(Customer_Dim[[#This Row],[Age]]&lt;25,"Youth",
   IF(Customer_Dim[[#This Row],[Age]]&lt;=40,"Adult",
   IF(Customer_Dim[[#This Row],[Age]]&lt;=60,"Middle-Aged","Senior")))</f>
        <v>Youth</v>
      </c>
    </row>
    <row r="72" spans="1:12" x14ac:dyDescent="0.3">
      <c r="A72" t="s">
        <v>258</v>
      </c>
      <c r="B72" t="s">
        <v>259</v>
      </c>
      <c r="C72" t="str">
        <f t="shared" si="3"/>
        <v>Eric Singh</v>
      </c>
      <c r="D72" t="str">
        <f t="shared" si="4"/>
        <v>Eric Singh</v>
      </c>
      <c r="E72" s="7">
        <v>29</v>
      </c>
      <c r="F72" t="s">
        <v>16</v>
      </c>
      <c r="G72" t="s">
        <v>260</v>
      </c>
      <c r="H72" t="s">
        <v>233</v>
      </c>
      <c r="I72" t="s">
        <v>12</v>
      </c>
      <c r="J72" t="s">
        <v>13</v>
      </c>
      <c r="K72" t="str">
        <f t="shared" si="5"/>
        <v>Gold</v>
      </c>
      <c r="L72" t="str">
        <f>IF(Customer_Dim[[#This Row],[Age]]&lt;25,"Youth",
   IF(Customer_Dim[[#This Row],[Age]]&lt;=40,"Adult",
   IF(Customer_Dim[[#This Row],[Age]]&lt;=60,"Middle-Aged","Senior")))</f>
        <v>Adult</v>
      </c>
    </row>
    <row r="73" spans="1:12" x14ac:dyDescent="0.3">
      <c r="A73" t="s">
        <v>261</v>
      </c>
      <c r="B73" t="s">
        <v>262</v>
      </c>
      <c r="C73" t="str">
        <f t="shared" si="3"/>
        <v>Andrea Perez</v>
      </c>
      <c r="D73" t="str">
        <f t="shared" si="4"/>
        <v>Andrea Perez</v>
      </c>
      <c r="E73" s="7">
        <v>61</v>
      </c>
      <c r="F73" t="s">
        <v>16</v>
      </c>
      <c r="G73" t="s">
        <v>263</v>
      </c>
      <c r="H73" t="s">
        <v>233</v>
      </c>
      <c r="I73" t="s">
        <v>12</v>
      </c>
      <c r="J73" t="s">
        <v>13</v>
      </c>
      <c r="K73" t="str">
        <f t="shared" si="5"/>
        <v>Gold</v>
      </c>
      <c r="L73" t="str">
        <f>IF(Customer_Dim[[#This Row],[Age]]&lt;25,"Youth",
   IF(Customer_Dim[[#This Row],[Age]]&lt;=40,"Adult",
   IF(Customer_Dim[[#This Row],[Age]]&lt;=60,"Middle-Aged","Senior")))</f>
        <v>Senior</v>
      </c>
    </row>
    <row r="74" spans="1:12" x14ac:dyDescent="0.3">
      <c r="A74" t="s">
        <v>264</v>
      </c>
      <c r="B74" t="s">
        <v>265</v>
      </c>
      <c r="C74" t="str">
        <f t="shared" si="3"/>
        <v>Tonya Burch</v>
      </c>
      <c r="D74" t="str">
        <f t="shared" si="4"/>
        <v>Tonya Burch</v>
      </c>
      <c r="E74" s="7">
        <v>39</v>
      </c>
      <c r="F74" t="s">
        <v>16</v>
      </c>
      <c r="G74" t="s">
        <v>266</v>
      </c>
      <c r="H74" t="s">
        <v>267</v>
      </c>
      <c r="I74" t="s">
        <v>12</v>
      </c>
      <c r="J74" t="s">
        <v>13</v>
      </c>
      <c r="K74" t="str">
        <f t="shared" si="5"/>
        <v>Gold</v>
      </c>
      <c r="L74" t="str">
        <f>IF(Customer_Dim[[#This Row],[Age]]&lt;25,"Youth",
   IF(Customer_Dim[[#This Row],[Age]]&lt;=40,"Adult",
   IF(Customer_Dim[[#This Row],[Age]]&lt;=60,"Middle-Aged","Senior")))</f>
        <v>Adult</v>
      </c>
    </row>
    <row r="75" spans="1:12" x14ac:dyDescent="0.3">
      <c r="A75" t="s">
        <v>268</v>
      </c>
      <c r="B75" t="s">
        <v>269</v>
      </c>
      <c r="C75" t="str">
        <f t="shared" si="3"/>
        <v>Christopher Brown</v>
      </c>
      <c r="D75" t="str">
        <f t="shared" si="4"/>
        <v>Christopher Brown</v>
      </c>
      <c r="E75" s="7">
        <v>56</v>
      </c>
      <c r="F75" t="s">
        <v>16</v>
      </c>
      <c r="G75" t="s">
        <v>270</v>
      </c>
      <c r="H75" t="s">
        <v>43</v>
      </c>
      <c r="I75" t="s">
        <v>12</v>
      </c>
      <c r="J75" t="s">
        <v>31</v>
      </c>
      <c r="K75" t="str">
        <f t="shared" si="5"/>
        <v>Silver</v>
      </c>
      <c r="L75" t="str">
        <f>IF(Customer_Dim[[#This Row],[Age]]&lt;25,"Youth",
   IF(Customer_Dim[[#This Row],[Age]]&lt;=40,"Adult",
   IF(Customer_Dim[[#This Row],[Age]]&lt;=60,"Middle-Aged","Senior")))</f>
        <v>Middle-Aged</v>
      </c>
    </row>
    <row r="76" spans="1:12" x14ac:dyDescent="0.3">
      <c r="A76" t="s">
        <v>271</v>
      </c>
      <c r="B76" t="s">
        <v>272</v>
      </c>
      <c r="C76" t="str">
        <f t="shared" si="3"/>
        <v>John Mayer</v>
      </c>
      <c r="D76" t="str">
        <f t="shared" si="4"/>
        <v>John Mayer</v>
      </c>
      <c r="E76" s="7">
        <v>58</v>
      </c>
      <c r="F76" t="s">
        <v>9</v>
      </c>
      <c r="G76" t="s">
        <v>273</v>
      </c>
      <c r="H76" t="s">
        <v>274</v>
      </c>
      <c r="I76" t="s">
        <v>12</v>
      </c>
      <c r="J76" t="s">
        <v>26</v>
      </c>
      <c r="K76" t="str">
        <f t="shared" si="5"/>
        <v>Bronze</v>
      </c>
      <c r="L76" t="str">
        <f>IF(Customer_Dim[[#This Row],[Age]]&lt;25,"Youth",
   IF(Customer_Dim[[#This Row],[Age]]&lt;=40,"Adult",
   IF(Customer_Dim[[#This Row],[Age]]&lt;=60,"Middle-Aged","Senior")))</f>
        <v>Middle-Aged</v>
      </c>
    </row>
    <row r="77" spans="1:12" x14ac:dyDescent="0.3">
      <c r="A77" t="s">
        <v>275</v>
      </c>
      <c r="B77" t="s">
        <v>276</v>
      </c>
      <c r="C77" t="str">
        <f t="shared" si="3"/>
        <v>Rhonda Morales</v>
      </c>
      <c r="D77" t="str">
        <f t="shared" si="4"/>
        <v>Rhonda Morales</v>
      </c>
      <c r="E77" s="7">
        <v>61</v>
      </c>
      <c r="F77" t="s">
        <v>16</v>
      </c>
      <c r="G77" t="s">
        <v>277</v>
      </c>
      <c r="H77" t="s">
        <v>30</v>
      </c>
      <c r="I77" t="s">
        <v>12</v>
      </c>
      <c r="J77" t="s">
        <v>13</v>
      </c>
      <c r="K77" t="str">
        <f t="shared" si="5"/>
        <v>Gold</v>
      </c>
      <c r="L77" t="str">
        <f>IF(Customer_Dim[[#This Row],[Age]]&lt;25,"Youth",
   IF(Customer_Dim[[#This Row],[Age]]&lt;=40,"Adult",
   IF(Customer_Dim[[#This Row],[Age]]&lt;=60,"Middle-Aged","Senior")))</f>
        <v>Senior</v>
      </c>
    </row>
    <row r="78" spans="1:12" x14ac:dyDescent="0.3">
      <c r="A78" t="s">
        <v>278</v>
      </c>
      <c r="B78" t="s">
        <v>279</v>
      </c>
      <c r="C78" t="str">
        <f t="shared" si="3"/>
        <v>Nathan Campbell</v>
      </c>
      <c r="D78" t="str">
        <f t="shared" si="4"/>
        <v>Nathan Campbell</v>
      </c>
      <c r="E78" s="7">
        <v>37</v>
      </c>
      <c r="F78" t="s">
        <v>9</v>
      </c>
      <c r="G78" t="s">
        <v>280</v>
      </c>
      <c r="H78" t="s">
        <v>96</v>
      </c>
      <c r="I78" t="s">
        <v>12</v>
      </c>
      <c r="J78" t="s">
        <v>13</v>
      </c>
      <c r="K78" t="str">
        <f t="shared" si="5"/>
        <v>Gold</v>
      </c>
      <c r="L78" t="str">
        <f>IF(Customer_Dim[[#This Row],[Age]]&lt;25,"Youth",
   IF(Customer_Dim[[#This Row],[Age]]&lt;=40,"Adult",
   IF(Customer_Dim[[#This Row],[Age]]&lt;=60,"Middle-Aged","Senior")))</f>
        <v>Adult</v>
      </c>
    </row>
    <row r="79" spans="1:12" x14ac:dyDescent="0.3">
      <c r="A79" t="s">
        <v>281</v>
      </c>
      <c r="B79" t="s">
        <v>282</v>
      </c>
      <c r="C79" t="str">
        <f t="shared" si="3"/>
        <v>Katherine Young</v>
      </c>
      <c r="D79" t="str">
        <f t="shared" si="4"/>
        <v>Katherine Young</v>
      </c>
      <c r="E79" s="7">
        <v>29</v>
      </c>
      <c r="F79" t="s">
        <v>9</v>
      </c>
      <c r="G79" t="s">
        <v>283</v>
      </c>
      <c r="H79" t="s">
        <v>171</v>
      </c>
      <c r="I79" t="s">
        <v>12</v>
      </c>
      <c r="J79" t="s">
        <v>13</v>
      </c>
      <c r="K79" t="str">
        <f t="shared" si="5"/>
        <v>Gold</v>
      </c>
      <c r="L79" t="str">
        <f>IF(Customer_Dim[[#This Row],[Age]]&lt;25,"Youth",
   IF(Customer_Dim[[#This Row],[Age]]&lt;=40,"Adult",
   IF(Customer_Dim[[#This Row],[Age]]&lt;=60,"Middle-Aged","Senior")))</f>
        <v>Adult</v>
      </c>
    </row>
    <row r="80" spans="1:12" x14ac:dyDescent="0.3">
      <c r="A80" t="s">
        <v>284</v>
      </c>
      <c r="B80" t="s">
        <v>285</v>
      </c>
      <c r="C80" t="str">
        <f t="shared" si="3"/>
        <v>Cody Blake</v>
      </c>
      <c r="D80" t="str">
        <f t="shared" si="4"/>
        <v>Cody Blake</v>
      </c>
      <c r="E80" s="7">
        <v>21</v>
      </c>
      <c r="F80" t="s">
        <v>9</v>
      </c>
      <c r="G80" t="s">
        <v>286</v>
      </c>
      <c r="H80" t="s">
        <v>287</v>
      </c>
      <c r="I80" t="s">
        <v>12</v>
      </c>
      <c r="J80" t="s">
        <v>13</v>
      </c>
      <c r="K80" t="str">
        <f t="shared" si="5"/>
        <v>Gold</v>
      </c>
      <c r="L80" t="str">
        <f>IF(Customer_Dim[[#This Row],[Age]]&lt;25,"Youth",
   IF(Customer_Dim[[#This Row],[Age]]&lt;=40,"Adult",
   IF(Customer_Dim[[#This Row],[Age]]&lt;=60,"Middle-Aged","Senior")))</f>
        <v>Youth</v>
      </c>
    </row>
    <row r="81" spans="1:12" x14ac:dyDescent="0.3">
      <c r="A81" t="s">
        <v>288</v>
      </c>
      <c r="B81" t="s">
        <v>289</v>
      </c>
      <c r="C81" t="str">
        <f t="shared" si="3"/>
        <v>Molly Gardner</v>
      </c>
      <c r="D81" t="str">
        <f t="shared" si="4"/>
        <v>Molly Gardner</v>
      </c>
      <c r="E81" s="7">
        <v>22</v>
      </c>
      <c r="F81" t="s">
        <v>16</v>
      </c>
      <c r="G81" t="s">
        <v>290</v>
      </c>
      <c r="H81" t="s">
        <v>291</v>
      </c>
      <c r="I81" t="s">
        <v>12</v>
      </c>
      <c r="J81" t="s">
        <v>19</v>
      </c>
      <c r="K81" t="str">
        <f t="shared" si="5"/>
        <v>Platinum</v>
      </c>
      <c r="L81" t="str">
        <f>IF(Customer_Dim[[#This Row],[Age]]&lt;25,"Youth",
   IF(Customer_Dim[[#This Row],[Age]]&lt;=40,"Adult",
   IF(Customer_Dim[[#This Row],[Age]]&lt;=60,"Middle-Aged","Senior")))</f>
        <v>Youth</v>
      </c>
    </row>
    <row r="82" spans="1:12" x14ac:dyDescent="0.3">
      <c r="A82" t="s">
        <v>292</v>
      </c>
      <c r="B82" t="s">
        <v>293</v>
      </c>
      <c r="C82" t="str">
        <f t="shared" si="3"/>
        <v>Jennifer Garcia</v>
      </c>
      <c r="D82" t="str">
        <f t="shared" si="4"/>
        <v>Jennifer Garcia</v>
      </c>
      <c r="E82" s="7">
        <v>61</v>
      </c>
      <c r="F82" t="s">
        <v>16</v>
      </c>
      <c r="G82" t="s">
        <v>294</v>
      </c>
      <c r="H82" t="s">
        <v>233</v>
      </c>
      <c r="I82" t="s">
        <v>12</v>
      </c>
      <c r="J82" t="s">
        <v>26</v>
      </c>
      <c r="K82" t="str">
        <f t="shared" si="5"/>
        <v>Bronze</v>
      </c>
      <c r="L82" t="str">
        <f>IF(Customer_Dim[[#This Row],[Age]]&lt;25,"Youth",
   IF(Customer_Dim[[#This Row],[Age]]&lt;=40,"Adult",
   IF(Customer_Dim[[#This Row],[Age]]&lt;=60,"Middle-Aged","Senior")))</f>
        <v>Senior</v>
      </c>
    </row>
    <row r="83" spans="1:12" x14ac:dyDescent="0.3">
      <c r="A83" t="s">
        <v>295</v>
      </c>
      <c r="B83" t="s">
        <v>296</v>
      </c>
      <c r="C83" t="str">
        <f t="shared" si="3"/>
        <v>Krystal Ford</v>
      </c>
      <c r="D83" t="str">
        <f t="shared" si="4"/>
        <v>Krystal Ford</v>
      </c>
      <c r="E83" s="7">
        <v>34</v>
      </c>
      <c r="F83" t="s">
        <v>16</v>
      </c>
      <c r="G83" t="s">
        <v>297</v>
      </c>
      <c r="H83" t="s">
        <v>133</v>
      </c>
      <c r="I83" t="s">
        <v>12</v>
      </c>
      <c r="J83" t="s">
        <v>19</v>
      </c>
      <c r="K83" t="str">
        <f t="shared" si="5"/>
        <v>Platinum</v>
      </c>
      <c r="L83" t="str">
        <f>IF(Customer_Dim[[#This Row],[Age]]&lt;25,"Youth",
   IF(Customer_Dim[[#This Row],[Age]]&lt;=40,"Adult",
   IF(Customer_Dim[[#This Row],[Age]]&lt;=60,"Middle-Aged","Senior")))</f>
        <v>Adult</v>
      </c>
    </row>
    <row r="84" spans="1:12" x14ac:dyDescent="0.3">
      <c r="A84" t="s">
        <v>298</v>
      </c>
      <c r="B84" t="s">
        <v>299</v>
      </c>
      <c r="C84" t="str">
        <f t="shared" si="3"/>
        <v>George Rosario</v>
      </c>
      <c r="D84" t="str">
        <f t="shared" si="4"/>
        <v>George Rosario</v>
      </c>
      <c r="E84" s="7">
        <v>53</v>
      </c>
      <c r="F84" t="s">
        <v>9</v>
      </c>
      <c r="G84" t="s">
        <v>300</v>
      </c>
      <c r="H84" t="s">
        <v>250</v>
      </c>
      <c r="I84" t="s">
        <v>12</v>
      </c>
      <c r="J84" t="s">
        <v>26</v>
      </c>
      <c r="K84" t="str">
        <f t="shared" si="5"/>
        <v>Bronze</v>
      </c>
      <c r="L84" t="str">
        <f>IF(Customer_Dim[[#This Row],[Age]]&lt;25,"Youth",
   IF(Customer_Dim[[#This Row],[Age]]&lt;=40,"Adult",
   IF(Customer_Dim[[#This Row],[Age]]&lt;=60,"Middle-Aged","Senior")))</f>
        <v>Middle-Aged</v>
      </c>
    </row>
    <row r="85" spans="1:12" x14ac:dyDescent="0.3">
      <c r="A85" t="s">
        <v>301</v>
      </c>
      <c r="B85" t="s">
        <v>302</v>
      </c>
      <c r="C85" t="str">
        <f t="shared" si="3"/>
        <v>Thomas Robinson</v>
      </c>
      <c r="D85" t="str">
        <f t="shared" si="4"/>
        <v>Thomas Robinson</v>
      </c>
      <c r="E85" s="7">
        <v>48</v>
      </c>
      <c r="F85" t="s">
        <v>16</v>
      </c>
      <c r="G85" t="s">
        <v>303</v>
      </c>
      <c r="H85" t="s">
        <v>81</v>
      </c>
      <c r="I85" t="s">
        <v>12</v>
      </c>
      <c r="J85" t="s">
        <v>26</v>
      </c>
      <c r="K85" t="str">
        <f t="shared" si="5"/>
        <v>Bronze</v>
      </c>
      <c r="L85" t="str">
        <f>IF(Customer_Dim[[#This Row],[Age]]&lt;25,"Youth",
   IF(Customer_Dim[[#This Row],[Age]]&lt;=40,"Adult",
   IF(Customer_Dim[[#This Row],[Age]]&lt;=60,"Middle-Aged","Senior")))</f>
        <v>Middle-Aged</v>
      </c>
    </row>
    <row r="86" spans="1:12" x14ac:dyDescent="0.3">
      <c r="A86" t="s">
        <v>304</v>
      </c>
      <c r="B86" t="s">
        <v>305</v>
      </c>
      <c r="C86" t="str">
        <f t="shared" si="3"/>
        <v>Christy Hoffman</v>
      </c>
      <c r="D86" t="str">
        <f t="shared" si="4"/>
        <v>Christy Hoffman</v>
      </c>
      <c r="E86" s="7">
        <v>26</v>
      </c>
      <c r="F86" t="s">
        <v>16</v>
      </c>
      <c r="G86" t="s">
        <v>306</v>
      </c>
      <c r="H86" t="s">
        <v>254</v>
      </c>
      <c r="I86" t="s">
        <v>12</v>
      </c>
      <c r="J86" t="s">
        <v>19</v>
      </c>
      <c r="K86" t="str">
        <f t="shared" si="5"/>
        <v>Platinum</v>
      </c>
      <c r="L86" t="str">
        <f>IF(Customer_Dim[[#This Row],[Age]]&lt;25,"Youth",
   IF(Customer_Dim[[#This Row],[Age]]&lt;=40,"Adult",
   IF(Customer_Dim[[#This Row],[Age]]&lt;=60,"Middle-Aged","Senior")))</f>
        <v>Adult</v>
      </c>
    </row>
    <row r="87" spans="1:12" x14ac:dyDescent="0.3">
      <c r="A87" t="s">
        <v>307</v>
      </c>
      <c r="B87" t="s">
        <v>308</v>
      </c>
      <c r="C87" t="str">
        <f t="shared" si="3"/>
        <v>Richard Delgado</v>
      </c>
      <c r="D87" t="str">
        <f t="shared" si="4"/>
        <v>Richard Delgado</v>
      </c>
      <c r="E87" s="7">
        <v>36</v>
      </c>
      <c r="F87" t="s">
        <v>9</v>
      </c>
      <c r="G87" t="s">
        <v>309</v>
      </c>
      <c r="H87" t="s">
        <v>51</v>
      </c>
      <c r="I87" t="s">
        <v>12</v>
      </c>
      <c r="J87" t="s">
        <v>31</v>
      </c>
      <c r="K87" t="str">
        <f t="shared" si="5"/>
        <v>Silver</v>
      </c>
      <c r="L87" t="str">
        <f>IF(Customer_Dim[[#This Row],[Age]]&lt;25,"Youth",
   IF(Customer_Dim[[#This Row],[Age]]&lt;=40,"Adult",
   IF(Customer_Dim[[#This Row],[Age]]&lt;=60,"Middle-Aged","Senior")))</f>
        <v>Adult</v>
      </c>
    </row>
    <row r="88" spans="1:12" x14ac:dyDescent="0.3">
      <c r="A88" t="s">
        <v>310</v>
      </c>
      <c r="B88" t="s">
        <v>311</v>
      </c>
      <c r="C88" t="str">
        <f t="shared" si="3"/>
        <v>Tammy Miller Md</v>
      </c>
      <c r="D88" t="str">
        <f t="shared" si="4"/>
        <v>Tammy Miller Md</v>
      </c>
      <c r="E88" s="7">
        <v>19</v>
      </c>
      <c r="F88" t="s">
        <v>16</v>
      </c>
      <c r="G88" t="s">
        <v>312</v>
      </c>
      <c r="H88" t="s">
        <v>313</v>
      </c>
      <c r="I88" t="s">
        <v>12</v>
      </c>
      <c r="J88" t="s">
        <v>13</v>
      </c>
      <c r="K88" t="str">
        <f t="shared" si="5"/>
        <v>Gold</v>
      </c>
      <c r="L88" t="str">
        <f>IF(Customer_Dim[[#This Row],[Age]]&lt;25,"Youth",
   IF(Customer_Dim[[#This Row],[Age]]&lt;=40,"Adult",
   IF(Customer_Dim[[#This Row],[Age]]&lt;=60,"Middle-Aged","Senior")))</f>
        <v>Youth</v>
      </c>
    </row>
    <row r="89" spans="1:12" x14ac:dyDescent="0.3">
      <c r="A89" t="s">
        <v>314</v>
      </c>
      <c r="B89" t="s">
        <v>315</v>
      </c>
      <c r="C89" t="str">
        <f t="shared" si="3"/>
        <v>Melissa Duffy Md</v>
      </c>
      <c r="D89" t="str">
        <f t="shared" si="4"/>
        <v>Melissa Duffy Md</v>
      </c>
      <c r="E89" s="7">
        <v>58</v>
      </c>
      <c r="F89" t="s">
        <v>16</v>
      </c>
      <c r="G89" t="s">
        <v>316</v>
      </c>
      <c r="H89" t="s">
        <v>317</v>
      </c>
      <c r="I89" t="s">
        <v>12</v>
      </c>
      <c r="J89" t="s">
        <v>26</v>
      </c>
      <c r="K89" t="str">
        <f t="shared" si="5"/>
        <v>Bronze</v>
      </c>
      <c r="L89" t="str">
        <f>IF(Customer_Dim[[#This Row],[Age]]&lt;25,"Youth",
   IF(Customer_Dim[[#This Row],[Age]]&lt;=40,"Adult",
   IF(Customer_Dim[[#This Row],[Age]]&lt;=60,"Middle-Aged","Senior")))</f>
        <v>Middle-Aged</v>
      </c>
    </row>
    <row r="90" spans="1:12" x14ac:dyDescent="0.3">
      <c r="A90" t="s">
        <v>318</v>
      </c>
      <c r="B90" t="s">
        <v>319</v>
      </c>
      <c r="C90" t="str">
        <f t="shared" si="3"/>
        <v>Timothy Wright</v>
      </c>
      <c r="D90" t="str">
        <f t="shared" si="4"/>
        <v>Timothy Wright</v>
      </c>
      <c r="E90" s="7">
        <v>58</v>
      </c>
      <c r="F90" t="s">
        <v>9</v>
      </c>
      <c r="G90" t="s">
        <v>320</v>
      </c>
      <c r="H90" t="s">
        <v>291</v>
      </c>
      <c r="I90" t="s">
        <v>12</v>
      </c>
      <c r="J90" t="s">
        <v>31</v>
      </c>
      <c r="K90" t="str">
        <f t="shared" si="5"/>
        <v>Silver</v>
      </c>
      <c r="L90" t="str">
        <f>IF(Customer_Dim[[#This Row],[Age]]&lt;25,"Youth",
   IF(Customer_Dim[[#This Row],[Age]]&lt;=40,"Adult",
   IF(Customer_Dim[[#This Row],[Age]]&lt;=60,"Middle-Aged","Senior")))</f>
        <v>Middle-Aged</v>
      </c>
    </row>
    <row r="91" spans="1:12" x14ac:dyDescent="0.3">
      <c r="A91" t="s">
        <v>321</v>
      </c>
      <c r="B91" t="s">
        <v>322</v>
      </c>
      <c r="C91" t="str">
        <f t="shared" si="3"/>
        <v>Jamie Yoder</v>
      </c>
      <c r="D91" t="str">
        <f t="shared" si="4"/>
        <v>Jamie Yoder</v>
      </c>
      <c r="E91" s="7">
        <v>43</v>
      </c>
      <c r="F91" t="s">
        <v>9</v>
      </c>
      <c r="G91" t="s">
        <v>323</v>
      </c>
      <c r="H91" t="s">
        <v>324</v>
      </c>
      <c r="I91" t="s">
        <v>12</v>
      </c>
      <c r="J91" t="s">
        <v>19</v>
      </c>
      <c r="K91" t="str">
        <f t="shared" si="5"/>
        <v>Platinum</v>
      </c>
      <c r="L91" t="str">
        <f>IF(Customer_Dim[[#This Row],[Age]]&lt;25,"Youth",
   IF(Customer_Dim[[#This Row],[Age]]&lt;=40,"Adult",
   IF(Customer_Dim[[#This Row],[Age]]&lt;=60,"Middle-Aged","Senior")))</f>
        <v>Middle-Aged</v>
      </c>
    </row>
    <row r="92" spans="1:12" x14ac:dyDescent="0.3">
      <c r="A92" t="s">
        <v>325</v>
      </c>
      <c r="B92" t="s">
        <v>326</v>
      </c>
      <c r="C92" t="str">
        <f t="shared" si="3"/>
        <v>Oscar Moon</v>
      </c>
      <c r="D92" t="str">
        <f t="shared" si="4"/>
        <v>Oscar Moon</v>
      </c>
      <c r="E92" s="7">
        <v>58</v>
      </c>
      <c r="F92" t="s">
        <v>16</v>
      </c>
      <c r="G92" t="s">
        <v>327</v>
      </c>
      <c r="H92" t="s">
        <v>328</v>
      </c>
      <c r="I92" t="s">
        <v>12</v>
      </c>
      <c r="J92" t="s">
        <v>19</v>
      </c>
      <c r="K92" t="str">
        <f t="shared" si="5"/>
        <v>Platinum</v>
      </c>
      <c r="L92" t="str">
        <f>IF(Customer_Dim[[#This Row],[Age]]&lt;25,"Youth",
   IF(Customer_Dim[[#This Row],[Age]]&lt;=40,"Adult",
   IF(Customer_Dim[[#This Row],[Age]]&lt;=60,"Middle-Aged","Senior")))</f>
        <v>Middle-Aged</v>
      </c>
    </row>
    <row r="93" spans="1:12" x14ac:dyDescent="0.3">
      <c r="A93" t="s">
        <v>329</v>
      </c>
      <c r="B93" t="s">
        <v>330</v>
      </c>
      <c r="C93" t="str">
        <f t="shared" si="3"/>
        <v>Donna Gregory</v>
      </c>
      <c r="D93" t="str">
        <f t="shared" si="4"/>
        <v>Donna Gregory</v>
      </c>
      <c r="E93" s="7">
        <v>29</v>
      </c>
      <c r="F93" t="s">
        <v>16</v>
      </c>
      <c r="G93" t="s">
        <v>331</v>
      </c>
      <c r="H93" t="s">
        <v>133</v>
      </c>
      <c r="I93" t="s">
        <v>12</v>
      </c>
      <c r="J93" t="s">
        <v>31</v>
      </c>
      <c r="K93" t="str">
        <f t="shared" si="5"/>
        <v>Silver</v>
      </c>
      <c r="L93" t="str">
        <f>IF(Customer_Dim[[#This Row],[Age]]&lt;25,"Youth",
   IF(Customer_Dim[[#This Row],[Age]]&lt;=40,"Adult",
   IF(Customer_Dim[[#This Row],[Age]]&lt;=60,"Middle-Aged","Senior")))</f>
        <v>Adult</v>
      </c>
    </row>
    <row r="94" spans="1:12" x14ac:dyDescent="0.3">
      <c r="A94" t="s">
        <v>332</v>
      </c>
      <c r="B94" t="s">
        <v>333</v>
      </c>
      <c r="C94" t="str">
        <f t="shared" si="3"/>
        <v>Robert Jackson</v>
      </c>
      <c r="D94" t="str">
        <f t="shared" si="4"/>
        <v>Robert Jackson</v>
      </c>
      <c r="E94" s="7">
        <v>44</v>
      </c>
      <c r="F94" t="s">
        <v>16</v>
      </c>
      <c r="G94" t="s">
        <v>334</v>
      </c>
      <c r="H94" t="s">
        <v>237</v>
      </c>
      <c r="I94" t="s">
        <v>12</v>
      </c>
      <c r="J94" t="s">
        <v>19</v>
      </c>
      <c r="K94" t="str">
        <f t="shared" si="5"/>
        <v>Platinum</v>
      </c>
      <c r="L94" t="str">
        <f>IF(Customer_Dim[[#This Row],[Age]]&lt;25,"Youth",
   IF(Customer_Dim[[#This Row],[Age]]&lt;=40,"Adult",
   IF(Customer_Dim[[#This Row],[Age]]&lt;=60,"Middle-Aged","Senior")))</f>
        <v>Middle-Aged</v>
      </c>
    </row>
    <row r="95" spans="1:12" x14ac:dyDescent="0.3">
      <c r="A95" t="s">
        <v>335</v>
      </c>
      <c r="B95" t="s">
        <v>336</v>
      </c>
      <c r="C95" t="str">
        <f t="shared" si="3"/>
        <v>Christy Vasquez</v>
      </c>
      <c r="D95" t="str">
        <f t="shared" si="4"/>
        <v>Christy Vasquez</v>
      </c>
      <c r="E95" s="7">
        <v>28</v>
      </c>
      <c r="F95" t="s">
        <v>16</v>
      </c>
      <c r="G95" t="s">
        <v>337</v>
      </c>
      <c r="H95" t="s">
        <v>317</v>
      </c>
      <c r="I95" t="s">
        <v>12</v>
      </c>
      <c r="J95" t="s">
        <v>13</v>
      </c>
      <c r="K95" t="str">
        <f t="shared" si="5"/>
        <v>Gold</v>
      </c>
      <c r="L95" t="str">
        <f>IF(Customer_Dim[[#This Row],[Age]]&lt;25,"Youth",
   IF(Customer_Dim[[#This Row],[Age]]&lt;=40,"Adult",
   IF(Customer_Dim[[#This Row],[Age]]&lt;=60,"Middle-Aged","Senior")))</f>
        <v>Adult</v>
      </c>
    </row>
    <row r="96" spans="1:12" x14ac:dyDescent="0.3">
      <c r="A96" t="s">
        <v>338</v>
      </c>
      <c r="B96" t="s">
        <v>339</v>
      </c>
      <c r="C96" t="str">
        <f t="shared" si="3"/>
        <v>David Patterson</v>
      </c>
      <c r="D96" t="str">
        <f t="shared" si="4"/>
        <v>David Patterson</v>
      </c>
      <c r="E96" s="7">
        <v>43</v>
      </c>
      <c r="F96" t="s">
        <v>16</v>
      </c>
      <c r="G96" t="s">
        <v>340</v>
      </c>
      <c r="H96" t="s">
        <v>184</v>
      </c>
      <c r="I96" t="s">
        <v>12</v>
      </c>
      <c r="J96" t="s">
        <v>13</v>
      </c>
      <c r="K96" t="str">
        <f t="shared" si="5"/>
        <v>Gold</v>
      </c>
      <c r="L96" t="str">
        <f>IF(Customer_Dim[[#This Row],[Age]]&lt;25,"Youth",
   IF(Customer_Dim[[#This Row],[Age]]&lt;=40,"Adult",
   IF(Customer_Dim[[#This Row],[Age]]&lt;=60,"Middle-Aged","Senior")))</f>
        <v>Middle-Aged</v>
      </c>
    </row>
    <row r="97" spans="1:12" x14ac:dyDescent="0.3">
      <c r="A97" t="s">
        <v>341</v>
      </c>
      <c r="B97" t="s">
        <v>342</v>
      </c>
      <c r="C97" t="str">
        <f t="shared" si="3"/>
        <v>Amy Fowler</v>
      </c>
      <c r="D97" t="str">
        <f t="shared" si="4"/>
        <v>Amy Fowler</v>
      </c>
      <c r="E97" s="7">
        <v>62</v>
      </c>
      <c r="F97" t="s">
        <v>16</v>
      </c>
      <c r="G97" t="s">
        <v>343</v>
      </c>
      <c r="H97" t="s">
        <v>58</v>
      </c>
      <c r="I97" t="s">
        <v>12</v>
      </c>
      <c r="J97" t="s">
        <v>19</v>
      </c>
      <c r="K97" t="str">
        <f t="shared" si="5"/>
        <v>Platinum</v>
      </c>
      <c r="L97" t="str">
        <f>IF(Customer_Dim[[#This Row],[Age]]&lt;25,"Youth",
   IF(Customer_Dim[[#This Row],[Age]]&lt;=40,"Adult",
   IF(Customer_Dim[[#This Row],[Age]]&lt;=60,"Middle-Aged","Senior")))</f>
        <v>Senior</v>
      </c>
    </row>
    <row r="98" spans="1:12" x14ac:dyDescent="0.3">
      <c r="A98" t="s">
        <v>344</v>
      </c>
      <c r="B98" t="s">
        <v>345</v>
      </c>
      <c r="C98" t="str">
        <f t="shared" si="3"/>
        <v>Samantha Walker</v>
      </c>
      <c r="D98" t="str">
        <f t="shared" si="4"/>
        <v>Samantha Walker</v>
      </c>
      <c r="E98" s="7">
        <v>30</v>
      </c>
      <c r="F98" t="s">
        <v>16</v>
      </c>
      <c r="G98" t="s">
        <v>346</v>
      </c>
      <c r="H98" t="s">
        <v>328</v>
      </c>
      <c r="I98" t="s">
        <v>12</v>
      </c>
      <c r="J98" t="s">
        <v>19</v>
      </c>
      <c r="K98" t="str">
        <f t="shared" si="5"/>
        <v>Platinum</v>
      </c>
      <c r="L98" t="str">
        <f>IF(Customer_Dim[[#This Row],[Age]]&lt;25,"Youth",
   IF(Customer_Dim[[#This Row],[Age]]&lt;=40,"Adult",
   IF(Customer_Dim[[#This Row],[Age]]&lt;=60,"Middle-Aged","Senior")))</f>
        <v>Adult</v>
      </c>
    </row>
    <row r="99" spans="1:12" x14ac:dyDescent="0.3">
      <c r="A99" t="s">
        <v>347</v>
      </c>
      <c r="B99" t="s">
        <v>348</v>
      </c>
      <c r="C99" t="str">
        <f t="shared" si="3"/>
        <v>David Cobb</v>
      </c>
      <c r="D99" t="str">
        <f t="shared" si="4"/>
        <v>David Cobb</v>
      </c>
      <c r="E99" s="7">
        <v>36</v>
      </c>
      <c r="F99" t="s">
        <v>9</v>
      </c>
      <c r="G99" t="s">
        <v>349</v>
      </c>
      <c r="H99" t="s">
        <v>39</v>
      </c>
      <c r="I99" t="s">
        <v>12</v>
      </c>
      <c r="J99" t="s">
        <v>31</v>
      </c>
      <c r="K99" t="str">
        <f t="shared" si="5"/>
        <v>Silver</v>
      </c>
      <c r="L99" t="str">
        <f>IF(Customer_Dim[[#This Row],[Age]]&lt;25,"Youth",
   IF(Customer_Dim[[#This Row],[Age]]&lt;=40,"Adult",
   IF(Customer_Dim[[#This Row],[Age]]&lt;=60,"Middle-Aged","Senior")))</f>
        <v>Adult</v>
      </c>
    </row>
    <row r="100" spans="1:12" x14ac:dyDescent="0.3">
      <c r="A100" t="s">
        <v>350</v>
      </c>
      <c r="B100" t="s">
        <v>351</v>
      </c>
      <c r="C100" t="str">
        <f t="shared" si="3"/>
        <v>Brittney Morgan</v>
      </c>
      <c r="D100" t="str">
        <f t="shared" si="4"/>
        <v>Brittney Morgan</v>
      </c>
      <c r="E100" s="7">
        <v>24</v>
      </c>
      <c r="F100" t="s">
        <v>9</v>
      </c>
      <c r="G100" t="s">
        <v>352</v>
      </c>
      <c r="H100" t="s">
        <v>163</v>
      </c>
      <c r="I100" t="s">
        <v>12</v>
      </c>
      <c r="J100" t="s">
        <v>13</v>
      </c>
      <c r="K100" t="str">
        <f t="shared" si="5"/>
        <v>Gold</v>
      </c>
      <c r="L100" t="str">
        <f>IF(Customer_Dim[[#This Row],[Age]]&lt;25,"Youth",
   IF(Customer_Dim[[#This Row],[Age]]&lt;=40,"Adult",
   IF(Customer_Dim[[#This Row],[Age]]&lt;=60,"Middle-Aged","Senior")))</f>
        <v>Youth</v>
      </c>
    </row>
    <row r="101" spans="1:12" x14ac:dyDescent="0.3">
      <c r="A101" t="s">
        <v>353</v>
      </c>
      <c r="B101" t="s">
        <v>354</v>
      </c>
      <c r="C101" t="str">
        <f t="shared" si="3"/>
        <v>Sheila Wilson</v>
      </c>
      <c r="D101" t="str">
        <f t="shared" si="4"/>
        <v>Sheila Wilson</v>
      </c>
      <c r="E101" s="7">
        <v>35</v>
      </c>
      <c r="F101" t="s">
        <v>9</v>
      </c>
      <c r="G101" t="s">
        <v>355</v>
      </c>
      <c r="H101" t="s">
        <v>237</v>
      </c>
      <c r="I101" t="s">
        <v>12</v>
      </c>
      <c r="J101" t="s">
        <v>31</v>
      </c>
      <c r="K101" t="str">
        <f t="shared" si="5"/>
        <v>Silver</v>
      </c>
      <c r="L101" t="str">
        <f>IF(Customer_Dim[[#This Row],[Age]]&lt;25,"Youth",
   IF(Customer_Dim[[#This Row],[Age]]&lt;=40,"Adult",
   IF(Customer_Dim[[#This Row],[Age]]&lt;=60,"Middle-Aged","Senior")))</f>
        <v>Adult</v>
      </c>
    </row>
    <row r="102" spans="1:12" x14ac:dyDescent="0.3">
      <c r="A102" t="s">
        <v>356</v>
      </c>
      <c r="B102" t="s">
        <v>357</v>
      </c>
      <c r="C102" t="str">
        <f t="shared" si="3"/>
        <v>Diane Watson</v>
      </c>
      <c r="D102" t="str">
        <f t="shared" si="4"/>
        <v>Diane Watson</v>
      </c>
      <c r="E102" s="7">
        <v>53</v>
      </c>
      <c r="F102" t="s">
        <v>16</v>
      </c>
      <c r="G102" t="s">
        <v>358</v>
      </c>
      <c r="H102" t="s">
        <v>359</v>
      </c>
      <c r="I102" t="s">
        <v>12</v>
      </c>
      <c r="J102" t="s">
        <v>19</v>
      </c>
      <c r="K102" t="str">
        <f t="shared" si="5"/>
        <v>Platinum</v>
      </c>
      <c r="L102" t="str">
        <f>IF(Customer_Dim[[#This Row],[Age]]&lt;25,"Youth",
   IF(Customer_Dim[[#This Row],[Age]]&lt;=40,"Adult",
   IF(Customer_Dim[[#This Row],[Age]]&lt;=60,"Middle-Aged","Senior")))</f>
        <v>Middle-Aged</v>
      </c>
    </row>
    <row r="103" spans="1:12" x14ac:dyDescent="0.3">
      <c r="A103" t="s">
        <v>360</v>
      </c>
      <c r="B103" t="s">
        <v>361</v>
      </c>
      <c r="C103" t="str">
        <f t="shared" si="3"/>
        <v>Colleen Maynard</v>
      </c>
      <c r="D103" t="str">
        <f t="shared" si="4"/>
        <v>Colleen Maynard</v>
      </c>
      <c r="E103" s="7">
        <v>29</v>
      </c>
      <c r="F103" t="s">
        <v>9</v>
      </c>
      <c r="G103" t="s">
        <v>362</v>
      </c>
      <c r="H103" t="s">
        <v>117</v>
      </c>
      <c r="I103" t="s">
        <v>12</v>
      </c>
      <c r="J103" t="s">
        <v>13</v>
      </c>
      <c r="K103" t="str">
        <f t="shared" si="5"/>
        <v>Gold</v>
      </c>
      <c r="L103" t="str">
        <f>IF(Customer_Dim[[#This Row],[Age]]&lt;25,"Youth",
   IF(Customer_Dim[[#This Row],[Age]]&lt;=40,"Adult",
   IF(Customer_Dim[[#This Row],[Age]]&lt;=60,"Middle-Aged","Senior")))</f>
        <v>Adult</v>
      </c>
    </row>
    <row r="104" spans="1:12" x14ac:dyDescent="0.3">
      <c r="A104" t="s">
        <v>363</v>
      </c>
      <c r="B104" t="s">
        <v>364</v>
      </c>
      <c r="C104" t="str">
        <f t="shared" si="3"/>
        <v>Sarah Schneider</v>
      </c>
      <c r="D104" t="str">
        <f t="shared" si="4"/>
        <v>Sarah Schneider</v>
      </c>
      <c r="E104" s="7">
        <v>34</v>
      </c>
      <c r="F104" t="s">
        <v>16</v>
      </c>
      <c r="G104" t="s">
        <v>365</v>
      </c>
      <c r="H104" t="s">
        <v>51</v>
      </c>
      <c r="I104" t="s">
        <v>12</v>
      </c>
      <c r="J104" t="s">
        <v>26</v>
      </c>
      <c r="K104" t="str">
        <f t="shared" si="5"/>
        <v>Bronze</v>
      </c>
      <c r="L104" t="str">
        <f>IF(Customer_Dim[[#This Row],[Age]]&lt;25,"Youth",
   IF(Customer_Dim[[#This Row],[Age]]&lt;=40,"Adult",
   IF(Customer_Dim[[#This Row],[Age]]&lt;=60,"Middle-Aged","Senior")))</f>
        <v>Adult</v>
      </c>
    </row>
    <row r="105" spans="1:12" x14ac:dyDescent="0.3">
      <c r="A105" t="s">
        <v>366</v>
      </c>
      <c r="B105" t="s">
        <v>367</v>
      </c>
      <c r="C105" t="str">
        <f t="shared" si="3"/>
        <v>Steven Stein</v>
      </c>
      <c r="D105" t="str">
        <f t="shared" si="4"/>
        <v>Steven Stein</v>
      </c>
      <c r="E105" s="7">
        <v>21</v>
      </c>
      <c r="F105" t="s">
        <v>9</v>
      </c>
      <c r="G105" t="s">
        <v>368</v>
      </c>
      <c r="H105" t="s">
        <v>167</v>
      </c>
      <c r="I105" t="s">
        <v>12</v>
      </c>
      <c r="J105" t="s">
        <v>26</v>
      </c>
      <c r="K105" t="str">
        <f t="shared" si="5"/>
        <v>Bronze</v>
      </c>
      <c r="L105" t="str">
        <f>IF(Customer_Dim[[#This Row],[Age]]&lt;25,"Youth",
   IF(Customer_Dim[[#This Row],[Age]]&lt;=40,"Adult",
   IF(Customer_Dim[[#This Row],[Age]]&lt;=60,"Middle-Aged","Senior")))</f>
        <v>Youth</v>
      </c>
    </row>
    <row r="106" spans="1:12" x14ac:dyDescent="0.3">
      <c r="A106" t="s">
        <v>369</v>
      </c>
      <c r="B106" t="s">
        <v>370</v>
      </c>
      <c r="C106" t="str">
        <f t="shared" si="3"/>
        <v>Christopher Lester</v>
      </c>
      <c r="D106" t="str">
        <f t="shared" si="4"/>
        <v>Christopher Lester</v>
      </c>
      <c r="E106" s="7">
        <v>64</v>
      </c>
      <c r="F106" t="s">
        <v>9</v>
      </c>
      <c r="G106" t="s">
        <v>371</v>
      </c>
      <c r="H106" t="s">
        <v>81</v>
      </c>
      <c r="I106" t="s">
        <v>12</v>
      </c>
      <c r="J106" t="s">
        <v>31</v>
      </c>
      <c r="K106" t="str">
        <f t="shared" si="5"/>
        <v>Silver</v>
      </c>
      <c r="L106" t="str">
        <f>IF(Customer_Dim[[#This Row],[Age]]&lt;25,"Youth",
   IF(Customer_Dim[[#This Row],[Age]]&lt;=40,"Adult",
   IF(Customer_Dim[[#This Row],[Age]]&lt;=60,"Middle-Aged","Senior")))</f>
        <v>Senior</v>
      </c>
    </row>
    <row r="107" spans="1:12" x14ac:dyDescent="0.3">
      <c r="A107" t="s">
        <v>372</v>
      </c>
      <c r="B107" t="s">
        <v>373</v>
      </c>
      <c r="C107" t="str">
        <f t="shared" si="3"/>
        <v>Lance Baker</v>
      </c>
      <c r="D107" t="str">
        <f t="shared" si="4"/>
        <v>Lance Baker</v>
      </c>
      <c r="E107" s="7">
        <v>50</v>
      </c>
      <c r="F107" t="s">
        <v>16</v>
      </c>
      <c r="G107" t="s">
        <v>374</v>
      </c>
      <c r="H107" t="s">
        <v>250</v>
      </c>
      <c r="I107" t="s">
        <v>12</v>
      </c>
      <c r="J107" t="s">
        <v>13</v>
      </c>
      <c r="K107" t="str">
        <f t="shared" si="5"/>
        <v>Gold</v>
      </c>
      <c r="L107" t="str">
        <f>IF(Customer_Dim[[#This Row],[Age]]&lt;25,"Youth",
   IF(Customer_Dim[[#This Row],[Age]]&lt;=40,"Adult",
   IF(Customer_Dim[[#This Row],[Age]]&lt;=60,"Middle-Aged","Senior")))</f>
        <v>Middle-Aged</v>
      </c>
    </row>
    <row r="108" spans="1:12" x14ac:dyDescent="0.3">
      <c r="A108" t="s">
        <v>375</v>
      </c>
      <c r="B108" t="s">
        <v>376</v>
      </c>
      <c r="C108" t="str">
        <f t="shared" si="3"/>
        <v>Howard Summers</v>
      </c>
      <c r="D108" t="str">
        <f t="shared" si="4"/>
        <v>Howard Summers</v>
      </c>
      <c r="E108" s="7">
        <v>53</v>
      </c>
      <c r="F108" t="s">
        <v>16</v>
      </c>
      <c r="G108" t="s">
        <v>377</v>
      </c>
      <c r="H108" t="s">
        <v>217</v>
      </c>
      <c r="I108" t="s">
        <v>12</v>
      </c>
      <c r="J108" t="s">
        <v>26</v>
      </c>
      <c r="K108" t="str">
        <f t="shared" si="5"/>
        <v>Bronze</v>
      </c>
      <c r="L108" t="str">
        <f>IF(Customer_Dim[[#This Row],[Age]]&lt;25,"Youth",
   IF(Customer_Dim[[#This Row],[Age]]&lt;=40,"Adult",
   IF(Customer_Dim[[#This Row],[Age]]&lt;=60,"Middle-Aged","Senior")))</f>
        <v>Middle-Aged</v>
      </c>
    </row>
    <row r="109" spans="1:12" x14ac:dyDescent="0.3">
      <c r="A109" t="s">
        <v>378</v>
      </c>
      <c r="B109" t="s">
        <v>379</v>
      </c>
      <c r="C109" t="str">
        <f t="shared" si="3"/>
        <v>Erica Carney</v>
      </c>
      <c r="D109" t="str">
        <f t="shared" si="4"/>
        <v>Erica Carney</v>
      </c>
      <c r="E109" s="7">
        <v>62</v>
      </c>
      <c r="F109" t="s">
        <v>16</v>
      </c>
      <c r="G109" t="s">
        <v>380</v>
      </c>
      <c r="H109" t="s">
        <v>18</v>
      </c>
      <c r="I109" t="s">
        <v>12</v>
      </c>
      <c r="J109" t="s">
        <v>19</v>
      </c>
      <c r="K109" t="str">
        <f t="shared" si="5"/>
        <v>Platinum</v>
      </c>
      <c r="L109" t="str">
        <f>IF(Customer_Dim[[#This Row],[Age]]&lt;25,"Youth",
   IF(Customer_Dim[[#This Row],[Age]]&lt;=40,"Adult",
   IF(Customer_Dim[[#This Row],[Age]]&lt;=60,"Middle-Aged","Senior")))</f>
        <v>Senior</v>
      </c>
    </row>
    <row r="110" spans="1:12" x14ac:dyDescent="0.3">
      <c r="A110" t="s">
        <v>381</v>
      </c>
      <c r="B110" t="s">
        <v>382</v>
      </c>
      <c r="C110" t="str">
        <f t="shared" si="3"/>
        <v>Travis Holland</v>
      </c>
      <c r="D110" t="str">
        <f t="shared" si="4"/>
        <v>Travis Holland</v>
      </c>
      <c r="E110" s="7">
        <v>38</v>
      </c>
      <c r="F110" t="s">
        <v>9</v>
      </c>
      <c r="G110" t="s">
        <v>383</v>
      </c>
      <c r="H110" t="s">
        <v>47</v>
      </c>
      <c r="I110" t="s">
        <v>12</v>
      </c>
      <c r="J110" t="s">
        <v>26</v>
      </c>
      <c r="K110" t="str">
        <f t="shared" si="5"/>
        <v>Bronze</v>
      </c>
      <c r="L110" t="str">
        <f>IF(Customer_Dim[[#This Row],[Age]]&lt;25,"Youth",
   IF(Customer_Dim[[#This Row],[Age]]&lt;=40,"Adult",
   IF(Customer_Dim[[#This Row],[Age]]&lt;=60,"Middle-Aged","Senior")))</f>
        <v>Adult</v>
      </c>
    </row>
    <row r="111" spans="1:12" x14ac:dyDescent="0.3">
      <c r="A111" t="s">
        <v>384</v>
      </c>
      <c r="B111" t="s">
        <v>385</v>
      </c>
      <c r="C111" t="str">
        <f t="shared" si="3"/>
        <v>Amy Walker</v>
      </c>
      <c r="D111" t="str">
        <f t="shared" si="4"/>
        <v>Amy Walker</v>
      </c>
      <c r="E111" s="7">
        <v>27</v>
      </c>
      <c r="F111" t="s">
        <v>9</v>
      </c>
      <c r="G111" t="s">
        <v>386</v>
      </c>
      <c r="H111" t="s">
        <v>43</v>
      </c>
      <c r="I111" t="s">
        <v>12</v>
      </c>
      <c r="J111" t="s">
        <v>31</v>
      </c>
      <c r="K111" t="str">
        <f t="shared" si="5"/>
        <v>Silver</v>
      </c>
      <c r="L111" t="str">
        <f>IF(Customer_Dim[[#This Row],[Age]]&lt;25,"Youth",
   IF(Customer_Dim[[#This Row],[Age]]&lt;=40,"Adult",
   IF(Customer_Dim[[#This Row],[Age]]&lt;=60,"Middle-Aged","Senior")))</f>
        <v>Adult</v>
      </c>
    </row>
    <row r="112" spans="1:12" x14ac:dyDescent="0.3">
      <c r="A112" t="s">
        <v>387</v>
      </c>
      <c r="B112" t="s">
        <v>388</v>
      </c>
      <c r="C112" t="str">
        <f t="shared" si="3"/>
        <v>Ashley Griffin</v>
      </c>
      <c r="D112" t="str">
        <f t="shared" si="4"/>
        <v>Ashley Griffin</v>
      </c>
      <c r="E112" s="7">
        <v>40</v>
      </c>
      <c r="F112" t="s">
        <v>16</v>
      </c>
      <c r="G112" t="s">
        <v>389</v>
      </c>
      <c r="H112" t="s">
        <v>140</v>
      </c>
      <c r="I112" t="s">
        <v>12</v>
      </c>
      <c r="J112" t="s">
        <v>13</v>
      </c>
      <c r="K112" t="str">
        <f t="shared" si="5"/>
        <v>Gold</v>
      </c>
      <c r="L112" t="str">
        <f>IF(Customer_Dim[[#This Row],[Age]]&lt;25,"Youth",
   IF(Customer_Dim[[#This Row],[Age]]&lt;=40,"Adult",
   IF(Customer_Dim[[#This Row],[Age]]&lt;=60,"Middle-Aged","Senior")))</f>
        <v>Adult</v>
      </c>
    </row>
    <row r="113" spans="1:12" x14ac:dyDescent="0.3">
      <c r="A113" t="s">
        <v>390</v>
      </c>
      <c r="B113" t="s">
        <v>391</v>
      </c>
      <c r="C113" t="str">
        <f t="shared" si="3"/>
        <v>Julie Farmer</v>
      </c>
      <c r="D113" t="str">
        <f t="shared" si="4"/>
        <v>Julie Farmer</v>
      </c>
      <c r="E113" s="7">
        <v>18</v>
      </c>
      <c r="F113" t="s">
        <v>16</v>
      </c>
      <c r="G113" t="s">
        <v>392</v>
      </c>
      <c r="H113" t="s">
        <v>133</v>
      </c>
      <c r="I113" t="s">
        <v>12</v>
      </c>
      <c r="J113" t="s">
        <v>19</v>
      </c>
      <c r="K113" t="str">
        <f t="shared" si="5"/>
        <v>Platinum</v>
      </c>
      <c r="L113" t="str">
        <f>IF(Customer_Dim[[#This Row],[Age]]&lt;25,"Youth",
   IF(Customer_Dim[[#This Row],[Age]]&lt;=40,"Adult",
   IF(Customer_Dim[[#This Row],[Age]]&lt;=60,"Middle-Aged","Senior")))</f>
        <v>Youth</v>
      </c>
    </row>
    <row r="114" spans="1:12" x14ac:dyDescent="0.3">
      <c r="A114" t="s">
        <v>393</v>
      </c>
      <c r="B114" t="s">
        <v>394</v>
      </c>
      <c r="C114" t="str">
        <f t="shared" si="3"/>
        <v>David Cole</v>
      </c>
      <c r="D114" t="str">
        <f t="shared" si="4"/>
        <v>David Cole</v>
      </c>
      <c r="E114" s="7">
        <v>27</v>
      </c>
      <c r="F114" t="s">
        <v>16</v>
      </c>
      <c r="G114" t="s">
        <v>395</v>
      </c>
      <c r="H114" t="s">
        <v>156</v>
      </c>
      <c r="I114" t="s">
        <v>12</v>
      </c>
      <c r="J114" t="s">
        <v>31</v>
      </c>
      <c r="K114" t="str">
        <f t="shared" si="5"/>
        <v>Silver</v>
      </c>
      <c r="L114" t="str">
        <f>IF(Customer_Dim[[#This Row],[Age]]&lt;25,"Youth",
   IF(Customer_Dim[[#This Row],[Age]]&lt;=40,"Adult",
   IF(Customer_Dim[[#This Row],[Age]]&lt;=60,"Middle-Aged","Senior")))</f>
        <v>Adult</v>
      </c>
    </row>
    <row r="115" spans="1:12" x14ac:dyDescent="0.3">
      <c r="A115" t="s">
        <v>396</v>
      </c>
      <c r="B115" t="s">
        <v>397</v>
      </c>
      <c r="C115" t="str">
        <f t="shared" si="3"/>
        <v>Edward Hall</v>
      </c>
      <c r="D115" t="str">
        <f t="shared" si="4"/>
        <v>Edward Hall</v>
      </c>
      <c r="E115" s="7">
        <v>51</v>
      </c>
      <c r="F115" t="s">
        <v>9</v>
      </c>
      <c r="G115" t="s">
        <v>398</v>
      </c>
      <c r="H115" t="s">
        <v>233</v>
      </c>
      <c r="I115" t="s">
        <v>12</v>
      </c>
      <c r="J115" t="s">
        <v>13</v>
      </c>
      <c r="K115" t="str">
        <f t="shared" si="5"/>
        <v>Gold</v>
      </c>
      <c r="L115" t="str">
        <f>IF(Customer_Dim[[#This Row],[Age]]&lt;25,"Youth",
   IF(Customer_Dim[[#This Row],[Age]]&lt;=40,"Adult",
   IF(Customer_Dim[[#This Row],[Age]]&lt;=60,"Middle-Aged","Senior")))</f>
        <v>Middle-Aged</v>
      </c>
    </row>
    <row r="116" spans="1:12" x14ac:dyDescent="0.3">
      <c r="A116" t="s">
        <v>399</v>
      </c>
      <c r="B116" t="s">
        <v>400</v>
      </c>
      <c r="C116" t="str">
        <f t="shared" si="3"/>
        <v>Ryan Hernandez</v>
      </c>
      <c r="D116" t="str">
        <f t="shared" si="4"/>
        <v>Ryan Hernandez</v>
      </c>
      <c r="E116" s="7">
        <v>30</v>
      </c>
      <c r="F116" t="s">
        <v>9</v>
      </c>
      <c r="G116" t="s">
        <v>401</v>
      </c>
      <c r="H116" t="s">
        <v>184</v>
      </c>
      <c r="I116" t="s">
        <v>12</v>
      </c>
      <c r="J116" t="s">
        <v>26</v>
      </c>
      <c r="K116" t="str">
        <f t="shared" si="5"/>
        <v>Bronze</v>
      </c>
      <c r="L116" t="str">
        <f>IF(Customer_Dim[[#This Row],[Age]]&lt;25,"Youth",
   IF(Customer_Dim[[#This Row],[Age]]&lt;=40,"Adult",
   IF(Customer_Dim[[#This Row],[Age]]&lt;=60,"Middle-Aged","Senior")))</f>
        <v>Adult</v>
      </c>
    </row>
    <row r="117" spans="1:12" x14ac:dyDescent="0.3">
      <c r="A117" t="s">
        <v>402</v>
      </c>
      <c r="B117" t="s">
        <v>403</v>
      </c>
      <c r="C117" t="str">
        <f t="shared" si="3"/>
        <v>Tyler Conrad</v>
      </c>
      <c r="D117" t="str">
        <f t="shared" si="4"/>
        <v>Tyler Conrad</v>
      </c>
      <c r="E117" s="7">
        <v>53</v>
      </c>
      <c r="F117" t="s">
        <v>16</v>
      </c>
      <c r="G117" t="s">
        <v>404</v>
      </c>
      <c r="H117" t="s">
        <v>18</v>
      </c>
      <c r="I117" t="s">
        <v>12</v>
      </c>
      <c r="J117" t="s">
        <v>19</v>
      </c>
      <c r="K117" t="str">
        <f t="shared" si="5"/>
        <v>Platinum</v>
      </c>
      <c r="L117" t="str">
        <f>IF(Customer_Dim[[#This Row],[Age]]&lt;25,"Youth",
   IF(Customer_Dim[[#This Row],[Age]]&lt;=40,"Adult",
   IF(Customer_Dim[[#This Row],[Age]]&lt;=60,"Middle-Aged","Senior")))</f>
        <v>Middle-Aged</v>
      </c>
    </row>
    <row r="118" spans="1:12" x14ac:dyDescent="0.3">
      <c r="A118" t="s">
        <v>405</v>
      </c>
      <c r="B118" t="s">
        <v>406</v>
      </c>
      <c r="C118" t="str">
        <f t="shared" si="3"/>
        <v>Anthony Phillips</v>
      </c>
      <c r="D118" t="str">
        <f t="shared" si="4"/>
        <v>Anthony Phillips</v>
      </c>
      <c r="E118" s="7">
        <v>18</v>
      </c>
      <c r="F118" t="s">
        <v>16</v>
      </c>
      <c r="G118" t="s">
        <v>407</v>
      </c>
      <c r="H118" t="s">
        <v>217</v>
      </c>
      <c r="I118" t="s">
        <v>12</v>
      </c>
      <c r="J118" t="s">
        <v>19</v>
      </c>
      <c r="K118" t="str">
        <f t="shared" si="5"/>
        <v>Platinum</v>
      </c>
      <c r="L118" t="str">
        <f>IF(Customer_Dim[[#This Row],[Age]]&lt;25,"Youth",
   IF(Customer_Dim[[#This Row],[Age]]&lt;=40,"Adult",
   IF(Customer_Dim[[#This Row],[Age]]&lt;=60,"Middle-Aged","Senior")))</f>
        <v>Youth</v>
      </c>
    </row>
    <row r="119" spans="1:12" x14ac:dyDescent="0.3">
      <c r="A119" t="s">
        <v>408</v>
      </c>
      <c r="B119" t="s">
        <v>409</v>
      </c>
      <c r="C119" t="str">
        <f t="shared" si="3"/>
        <v>Colleen Mccarthy</v>
      </c>
      <c r="D119" t="str">
        <f t="shared" si="4"/>
        <v>Colleen Mccarthy</v>
      </c>
      <c r="E119" s="7">
        <v>21</v>
      </c>
      <c r="F119" t="s">
        <v>16</v>
      </c>
      <c r="G119" t="s">
        <v>410</v>
      </c>
      <c r="H119" t="s">
        <v>74</v>
      </c>
      <c r="I119" t="s">
        <v>12</v>
      </c>
      <c r="J119" t="s">
        <v>19</v>
      </c>
      <c r="K119" t="str">
        <f t="shared" si="5"/>
        <v>Platinum</v>
      </c>
      <c r="L119" t="str">
        <f>IF(Customer_Dim[[#This Row],[Age]]&lt;25,"Youth",
   IF(Customer_Dim[[#This Row],[Age]]&lt;=40,"Adult",
   IF(Customer_Dim[[#This Row],[Age]]&lt;=60,"Middle-Aged","Senior")))</f>
        <v>Youth</v>
      </c>
    </row>
    <row r="120" spans="1:12" x14ac:dyDescent="0.3">
      <c r="A120" t="s">
        <v>411</v>
      </c>
      <c r="B120" t="s">
        <v>412</v>
      </c>
      <c r="C120" t="str">
        <f t="shared" si="3"/>
        <v>Earl Allen</v>
      </c>
      <c r="D120" t="str">
        <f t="shared" si="4"/>
        <v>Earl Allen</v>
      </c>
      <c r="E120" s="7">
        <v>36</v>
      </c>
      <c r="F120" t="s">
        <v>9</v>
      </c>
      <c r="G120" t="s">
        <v>413</v>
      </c>
      <c r="H120" t="s">
        <v>70</v>
      </c>
      <c r="I120" t="s">
        <v>12</v>
      </c>
      <c r="J120" t="s">
        <v>19</v>
      </c>
      <c r="K120" t="str">
        <f t="shared" si="5"/>
        <v>Platinum</v>
      </c>
      <c r="L120" t="str">
        <f>IF(Customer_Dim[[#This Row],[Age]]&lt;25,"Youth",
   IF(Customer_Dim[[#This Row],[Age]]&lt;=40,"Adult",
   IF(Customer_Dim[[#This Row],[Age]]&lt;=60,"Middle-Aged","Senior")))</f>
        <v>Adult</v>
      </c>
    </row>
    <row r="121" spans="1:12" x14ac:dyDescent="0.3">
      <c r="A121" t="s">
        <v>414</v>
      </c>
      <c r="B121" t="s">
        <v>415</v>
      </c>
      <c r="C121" t="str">
        <f t="shared" si="3"/>
        <v>Michael Jones</v>
      </c>
      <c r="D121" t="str">
        <f t="shared" si="4"/>
        <v>Michael Jones</v>
      </c>
      <c r="E121" s="7">
        <v>40</v>
      </c>
      <c r="F121" t="s">
        <v>9</v>
      </c>
      <c r="G121" t="s">
        <v>416</v>
      </c>
      <c r="H121" t="s">
        <v>237</v>
      </c>
      <c r="I121" t="s">
        <v>12</v>
      </c>
      <c r="J121" t="s">
        <v>26</v>
      </c>
      <c r="K121" t="str">
        <f t="shared" si="5"/>
        <v>Bronze</v>
      </c>
      <c r="L121" t="str">
        <f>IF(Customer_Dim[[#This Row],[Age]]&lt;25,"Youth",
   IF(Customer_Dim[[#This Row],[Age]]&lt;=40,"Adult",
   IF(Customer_Dim[[#This Row],[Age]]&lt;=60,"Middle-Aged","Senior")))</f>
        <v>Adult</v>
      </c>
    </row>
    <row r="122" spans="1:12" x14ac:dyDescent="0.3">
      <c r="A122" t="s">
        <v>417</v>
      </c>
      <c r="B122" t="s">
        <v>418</v>
      </c>
      <c r="C122" t="str">
        <f t="shared" si="3"/>
        <v>Jacob Hopkins</v>
      </c>
      <c r="D122" t="str">
        <f t="shared" si="4"/>
        <v>Jacob Hopkins</v>
      </c>
      <c r="E122" s="7">
        <v>44</v>
      </c>
      <c r="F122" t="s">
        <v>16</v>
      </c>
      <c r="G122" t="s">
        <v>3826</v>
      </c>
      <c r="H122" t="s">
        <v>51</v>
      </c>
      <c r="I122" t="s">
        <v>12</v>
      </c>
      <c r="J122" t="s">
        <v>19</v>
      </c>
      <c r="K122" t="str">
        <f t="shared" si="5"/>
        <v>Platinum</v>
      </c>
      <c r="L122" t="str">
        <f>IF(Customer_Dim[[#This Row],[Age]]&lt;25,"Youth",
   IF(Customer_Dim[[#This Row],[Age]]&lt;=40,"Adult",
   IF(Customer_Dim[[#This Row],[Age]]&lt;=60,"Middle-Aged","Senior")))</f>
        <v>Middle-Aged</v>
      </c>
    </row>
    <row r="123" spans="1:12" x14ac:dyDescent="0.3">
      <c r="A123" t="s">
        <v>419</v>
      </c>
      <c r="B123" t="s">
        <v>420</v>
      </c>
      <c r="C123" t="str">
        <f t="shared" si="3"/>
        <v>Joel Robinson</v>
      </c>
      <c r="D123" t="str">
        <f t="shared" si="4"/>
        <v>Joel Robinson</v>
      </c>
      <c r="E123" s="7">
        <v>62</v>
      </c>
      <c r="F123" t="s">
        <v>9</v>
      </c>
      <c r="G123" t="s">
        <v>421</v>
      </c>
      <c r="H123" t="s">
        <v>99</v>
      </c>
      <c r="I123" t="s">
        <v>12</v>
      </c>
      <c r="J123" t="s">
        <v>19</v>
      </c>
      <c r="K123" t="str">
        <f t="shared" si="5"/>
        <v>Platinum</v>
      </c>
      <c r="L123" t="str">
        <f>IF(Customer_Dim[[#This Row],[Age]]&lt;25,"Youth",
   IF(Customer_Dim[[#This Row],[Age]]&lt;=40,"Adult",
   IF(Customer_Dim[[#This Row],[Age]]&lt;=60,"Middle-Aged","Senior")))</f>
        <v>Senior</v>
      </c>
    </row>
    <row r="124" spans="1:12" x14ac:dyDescent="0.3">
      <c r="A124" t="s">
        <v>422</v>
      </c>
      <c r="B124" t="s">
        <v>423</v>
      </c>
      <c r="C124" t="str">
        <f t="shared" si="3"/>
        <v>Michael Chang</v>
      </c>
      <c r="D124" t="str">
        <f t="shared" si="4"/>
        <v>Michael Chang</v>
      </c>
      <c r="E124" s="7">
        <v>50</v>
      </c>
      <c r="F124" t="s">
        <v>9</v>
      </c>
      <c r="G124" t="s">
        <v>424</v>
      </c>
      <c r="H124" t="s">
        <v>11</v>
      </c>
      <c r="I124" t="s">
        <v>12</v>
      </c>
      <c r="J124" t="s">
        <v>19</v>
      </c>
      <c r="K124" t="str">
        <f t="shared" si="5"/>
        <v>Platinum</v>
      </c>
      <c r="L124" t="str">
        <f>IF(Customer_Dim[[#This Row],[Age]]&lt;25,"Youth",
   IF(Customer_Dim[[#This Row],[Age]]&lt;=40,"Adult",
   IF(Customer_Dim[[#This Row],[Age]]&lt;=60,"Middle-Aged","Senior")))</f>
        <v>Middle-Aged</v>
      </c>
    </row>
    <row r="125" spans="1:12" x14ac:dyDescent="0.3">
      <c r="A125" t="s">
        <v>425</v>
      </c>
      <c r="B125" t="s">
        <v>426</v>
      </c>
      <c r="C125" t="str">
        <f t="shared" si="3"/>
        <v>Erin Hopkins</v>
      </c>
      <c r="D125" t="str">
        <f t="shared" si="4"/>
        <v>Erin Hopkins</v>
      </c>
      <c r="E125" s="7">
        <v>40</v>
      </c>
      <c r="F125" t="s">
        <v>9</v>
      </c>
      <c r="G125" t="s">
        <v>427</v>
      </c>
      <c r="H125" t="s">
        <v>267</v>
      </c>
      <c r="I125" t="s">
        <v>12</v>
      </c>
      <c r="J125" t="s">
        <v>31</v>
      </c>
      <c r="K125" t="str">
        <f t="shared" si="5"/>
        <v>Silver</v>
      </c>
      <c r="L125" t="str">
        <f>IF(Customer_Dim[[#This Row],[Age]]&lt;25,"Youth",
   IF(Customer_Dim[[#This Row],[Age]]&lt;=40,"Adult",
   IF(Customer_Dim[[#This Row],[Age]]&lt;=60,"Middle-Aged","Senior")))</f>
        <v>Adult</v>
      </c>
    </row>
    <row r="126" spans="1:12" x14ac:dyDescent="0.3">
      <c r="A126" t="s">
        <v>428</v>
      </c>
      <c r="B126" t="s">
        <v>429</v>
      </c>
      <c r="C126" t="str">
        <f t="shared" si="3"/>
        <v>Donald Lee</v>
      </c>
      <c r="D126" t="str">
        <f t="shared" si="4"/>
        <v>Donald Lee</v>
      </c>
      <c r="E126" s="7">
        <v>26</v>
      </c>
      <c r="F126" t="s">
        <v>9</v>
      </c>
      <c r="G126" t="s">
        <v>430</v>
      </c>
      <c r="H126" t="s">
        <v>194</v>
      </c>
      <c r="I126" t="s">
        <v>12</v>
      </c>
      <c r="J126" t="s">
        <v>26</v>
      </c>
      <c r="K126" t="str">
        <f t="shared" si="5"/>
        <v>Bronze</v>
      </c>
      <c r="L126" t="str">
        <f>IF(Customer_Dim[[#This Row],[Age]]&lt;25,"Youth",
   IF(Customer_Dim[[#This Row],[Age]]&lt;=40,"Adult",
   IF(Customer_Dim[[#This Row],[Age]]&lt;=60,"Middle-Aged","Senior")))</f>
        <v>Adult</v>
      </c>
    </row>
    <row r="127" spans="1:12" x14ac:dyDescent="0.3">
      <c r="A127" t="s">
        <v>431</v>
      </c>
      <c r="B127" t="s">
        <v>432</v>
      </c>
      <c r="C127" t="str">
        <f t="shared" si="3"/>
        <v>Keith Miller</v>
      </c>
      <c r="D127" t="str">
        <f t="shared" si="4"/>
        <v>Keith Miller</v>
      </c>
      <c r="E127" s="7">
        <v>64</v>
      </c>
      <c r="F127" t="s">
        <v>16</v>
      </c>
      <c r="G127" t="s">
        <v>433</v>
      </c>
      <c r="H127" t="s">
        <v>434</v>
      </c>
      <c r="I127" t="s">
        <v>12</v>
      </c>
      <c r="J127" t="s">
        <v>19</v>
      </c>
      <c r="K127" t="str">
        <f t="shared" si="5"/>
        <v>Platinum</v>
      </c>
      <c r="L127" t="str">
        <f>IF(Customer_Dim[[#This Row],[Age]]&lt;25,"Youth",
   IF(Customer_Dim[[#This Row],[Age]]&lt;=40,"Adult",
   IF(Customer_Dim[[#This Row],[Age]]&lt;=60,"Middle-Aged","Senior")))</f>
        <v>Senior</v>
      </c>
    </row>
    <row r="128" spans="1:12" x14ac:dyDescent="0.3">
      <c r="A128" t="s">
        <v>435</v>
      </c>
      <c r="B128" t="s">
        <v>436</v>
      </c>
      <c r="C128" t="str">
        <f t="shared" si="3"/>
        <v>James Wolfe</v>
      </c>
      <c r="D128" t="str">
        <f t="shared" si="4"/>
        <v>James Wolfe</v>
      </c>
      <c r="E128" s="7">
        <v>62</v>
      </c>
      <c r="F128" t="s">
        <v>16</v>
      </c>
      <c r="G128" t="s">
        <v>437</v>
      </c>
      <c r="H128" t="s">
        <v>133</v>
      </c>
      <c r="I128" t="s">
        <v>12</v>
      </c>
      <c r="J128" t="s">
        <v>13</v>
      </c>
      <c r="K128" t="str">
        <f t="shared" si="5"/>
        <v>Gold</v>
      </c>
      <c r="L128" t="str">
        <f>IF(Customer_Dim[[#This Row],[Age]]&lt;25,"Youth",
   IF(Customer_Dim[[#This Row],[Age]]&lt;=40,"Adult",
   IF(Customer_Dim[[#This Row],[Age]]&lt;=60,"Middle-Aged","Senior")))</f>
        <v>Senior</v>
      </c>
    </row>
    <row r="129" spans="1:12" x14ac:dyDescent="0.3">
      <c r="A129" t="s">
        <v>438</v>
      </c>
      <c r="B129" t="s">
        <v>439</v>
      </c>
      <c r="C129" t="str">
        <f t="shared" si="3"/>
        <v>John Mcknight</v>
      </c>
      <c r="D129" t="str">
        <f t="shared" si="4"/>
        <v>John Mcknight</v>
      </c>
      <c r="E129" s="7">
        <v>39</v>
      </c>
      <c r="F129" t="s">
        <v>9</v>
      </c>
      <c r="G129" t="s">
        <v>440</v>
      </c>
      <c r="H129" t="s">
        <v>171</v>
      </c>
      <c r="I129" t="s">
        <v>12</v>
      </c>
      <c r="J129" t="s">
        <v>19</v>
      </c>
      <c r="K129" t="str">
        <f t="shared" si="5"/>
        <v>Platinum</v>
      </c>
      <c r="L129" t="str">
        <f>IF(Customer_Dim[[#This Row],[Age]]&lt;25,"Youth",
   IF(Customer_Dim[[#This Row],[Age]]&lt;=40,"Adult",
   IF(Customer_Dim[[#This Row],[Age]]&lt;=60,"Middle-Aged","Senior")))</f>
        <v>Adult</v>
      </c>
    </row>
    <row r="130" spans="1:12" x14ac:dyDescent="0.3">
      <c r="A130" t="s">
        <v>441</v>
      </c>
      <c r="B130" t="s">
        <v>442</v>
      </c>
      <c r="C130" t="str">
        <f t="shared" si="3"/>
        <v>Susan Mcdonald</v>
      </c>
      <c r="D130" t="str">
        <f t="shared" si="4"/>
        <v>Susan Mcdonald</v>
      </c>
      <c r="E130" s="7">
        <v>45</v>
      </c>
      <c r="F130" t="s">
        <v>9</v>
      </c>
      <c r="G130" t="s">
        <v>443</v>
      </c>
      <c r="H130" t="s">
        <v>291</v>
      </c>
      <c r="I130" t="s">
        <v>12</v>
      </c>
      <c r="J130" t="s">
        <v>31</v>
      </c>
      <c r="K130" t="str">
        <f t="shared" si="5"/>
        <v>Silver</v>
      </c>
      <c r="L130" t="str">
        <f>IF(Customer_Dim[[#This Row],[Age]]&lt;25,"Youth",
   IF(Customer_Dim[[#This Row],[Age]]&lt;=40,"Adult",
   IF(Customer_Dim[[#This Row],[Age]]&lt;=60,"Middle-Aged","Senior")))</f>
        <v>Middle-Aged</v>
      </c>
    </row>
    <row r="131" spans="1:12" x14ac:dyDescent="0.3">
      <c r="A131" t="s">
        <v>444</v>
      </c>
      <c r="B131" t="s">
        <v>445</v>
      </c>
      <c r="C131" t="str">
        <f t="shared" ref="C131:C194" si="6">PROPER(B131)</f>
        <v>Jessica Mitchell</v>
      </c>
      <c r="D131" t="str">
        <f t="shared" ref="D131:D194" si="7">TRIM(C131)</f>
        <v>Jessica Mitchell</v>
      </c>
      <c r="E131" s="7">
        <v>43</v>
      </c>
      <c r="F131" t="s">
        <v>16</v>
      </c>
      <c r="G131" t="s">
        <v>446</v>
      </c>
      <c r="H131" t="s">
        <v>39</v>
      </c>
      <c r="I131" t="s">
        <v>12</v>
      </c>
      <c r="J131" t="s">
        <v>31</v>
      </c>
      <c r="K131" t="str">
        <f t="shared" ref="K131:K194" si="8">IF(ISBLANK(J131),"UNKNOWN",J131)</f>
        <v>Silver</v>
      </c>
      <c r="L131" t="str">
        <f>IF(Customer_Dim[[#This Row],[Age]]&lt;25,"Youth",
   IF(Customer_Dim[[#This Row],[Age]]&lt;=40,"Adult",
   IF(Customer_Dim[[#This Row],[Age]]&lt;=60,"Middle-Aged","Senior")))</f>
        <v>Middle-Aged</v>
      </c>
    </row>
    <row r="132" spans="1:12" x14ac:dyDescent="0.3">
      <c r="A132" t="s">
        <v>447</v>
      </c>
      <c r="B132" t="s">
        <v>448</v>
      </c>
      <c r="C132" t="str">
        <f t="shared" si="6"/>
        <v>Jamie Reyes</v>
      </c>
      <c r="D132" t="str">
        <f t="shared" si="7"/>
        <v>Jamie Reyes</v>
      </c>
      <c r="E132" s="7">
        <v>29</v>
      </c>
      <c r="F132" t="s">
        <v>9</v>
      </c>
      <c r="G132" t="s">
        <v>3827</v>
      </c>
      <c r="H132" t="s">
        <v>167</v>
      </c>
      <c r="I132" t="s">
        <v>12</v>
      </c>
      <c r="J132" t="s">
        <v>19</v>
      </c>
      <c r="K132" t="str">
        <f t="shared" si="8"/>
        <v>Platinum</v>
      </c>
      <c r="L132" t="str">
        <f>IF(Customer_Dim[[#This Row],[Age]]&lt;25,"Youth",
   IF(Customer_Dim[[#This Row],[Age]]&lt;=40,"Adult",
   IF(Customer_Dim[[#This Row],[Age]]&lt;=60,"Middle-Aged","Senior")))</f>
        <v>Adult</v>
      </c>
    </row>
    <row r="133" spans="1:12" x14ac:dyDescent="0.3">
      <c r="A133" t="s">
        <v>449</v>
      </c>
      <c r="B133" t="s">
        <v>450</v>
      </c>
      <c r="C133" t="str">
        <f t="shared" si="6"/>
        <v>Joseph Richards</v>
      </c>
      <c r="D133" t="str">
        <f t="shared" si="7"/>
        <v>Joseph Richards</v>
      </c>
      <c r="E133" s="7">
        <v>34</v>
      </c>
      <c r="F133" t="s">
        <v>16</v>
      </c>
      <c r="G133" t="s">
        <v>451</v>
      </c>
      <c r="H133" t="s">
        <v>22</v>
      </c>
      <c r="I133" t="s">
        <v>12</v>
      </c>
      <c r="J133" t="s">
        <v>26</v>
      </c>
      <c r="K133" t="str">
        <f t="shared" si="8"/>
        <v>Bronze</v>
      </c>
      <c r="L133" t="str">
        <f>IF(Customer_Dim[[#This Row],[Age]]&lt;25,"Youth",
   IF(Customer_Dim[[#This Row],[Age]]&lt;=40,"Adult",
   IF(Customer_Dim[[#This Row],[Age]]&lt;=60,"Middle-Aged","Senior")))</f>
        <v>Adult</v>
      </c>
    </row>
    <row r="134" spans="1:12" x14ac:dyDescent="0.3">
      <c r="A134" t="s">
        <v>452</v>
      </c>
      <c r="B134" t="s">
        <v>453</v>
      </c>
      <c r="C134" t="str">
        <f t="shared" si="6"/>
        <v>Miguel Reynolds</v>
      </c>
      <c r="D134" t="str">
        <f t="shared" si="7"/>
        <v>Miguel Reynolds</v>
      </c>
      <c r="E134" s="7">
        <v>57</v>
      </c>
      <c r="F134" t="s">
        <v>16</v>
      </c>
      <c r="G134" t="s">
        <v>454</v>
      </c>
      <c r="H134" t="s">
        <v>25</v>
      </c>
      <c r="I134" t="s">
        <v>12</v>
      </c>
      <c r="J134" t="s">
        <v>13</v>
      </c>
      <c r="K134" t="str">
        <f t="shared" si="8"/>
        <v>Gold</v>
      </c>
      <c r="L134" t="str">
        <f>IF(Customer_Dim[[#This Row],[Age]]&lt;25,"Youth",
   IF(Customer_Dim[[#This Row],[Age]]&lt;=40,"Adult",
   IF(Customer_Dim[[#This Row],[Age]]&lt;=60,"Middle-Aged","Senior")))</f>
        <v>Middle-Aged</v>
      </c>
    </row>
    <row r="135" spans="1:12" x14ac:dyDescent="0.3">
      <c r="A135" t="s">
        <v>455</v>
      </c>
      <c r="B135" t="s">
        <v>456</v>
      </c>
      <c r="C135" t="str">
        <f t="shared" si="6"/>
        <v>Hayley Pope</v>
      </c>
      <c r="D135" t="str">
        <f t="shared" si="7"/>
        <v>Hayley Pope</v>
      </c>
      <c r="E135" s="7">
        <v>62</v>
      </c>
      <c r="F135" t="s">
        <v>16</v>
      </c>
      <c r="G135" t="s">
        <v>457</v>
      </c>
      <c r="H135" t="s">
        <v>250</v>
      </c>
      <c r="I135" t="s">
        <v>12</v>
      </c>
      <c r="J135" t="s">
        <v>26</v>
      </c>
      <c r="K135" t="str">
        <f t="shared" si="8"/>
        <v>Bronze</v>
      </c>
      <c r="L135" t="str">
        <f>IF(Customer_Dim[[#This Row],[Age]]&lt;25,"Youth",
   IF(Customer_Dim[[#This Row],[Age]]&lt;=40,"Adult",
   IF(Customer_Dim[[#This Row],[Age]]&lt;=60,"Middle-Aged","Senior")))</f>
        <v>Senior</v>
      </c>
    </row>
    <row r="136" spans="1:12" x14ac:dyDescent="0.3">
      <c r="A136" t="s">
        <v>458</v>
      </c>
      <c r="B136" t="s">
        <v>459</v>
      </c>
      <c r="C136" t="str">
        <f t="shared" si="6"/>
        <v>Morgan Bowen</v>
      </c>
      <c r="D136" t="str">
        <f t="shared" si="7"/>
        <v>Morgan Bowen</v>
      </c>
      <c r="E136" s="7">
        <v>54</v>
      </c>
      <c r="F136" t="s">
        <v>9</v>
      </c>
      <c r="G136" t="s">
        <v>460</v>
      </c>
      <c r="H136" t="s">
        <v>74</v>
      </c>
      <c r="I136" t="s">
        <v>12</v>
      </c>
      <c r="J136" t="s">
        <v>13</v>
      </c>
      <c r="K136" t="str">
        <f t="shared" si="8"/>
        <v>Gold</v>
      </c>
      <c r="L136" t="str">
        <f>IF(Customer_Dim[[#This Row],[Age]]&lt;25,"Youth",
   IF(Customer_Dim[[#This Row],[Age]]&lt;=40,"Adult",
   IF(Customer_Dim[[#This Row],[Age]]&lt;=60,"Middle-Aged","Senior")))</f>
        <v>Middle-Aged</v>
      </c>
    </row>
    <row r="137" spans="1:12" x14ac:dyDescent="0.3">
      <c r="A137" t="s">
        <v>461</v>
      </c>
      <c r="B137" t="s">
        <v>462</v>
      </c>
      <c r="C137" t="str">
        <f t="shared" si="6"/>
        <v>Matthew Hanna</v>
      </c>
      <c r="D137" t="str">
        <f t="shared" si="7"/>
        <v>Matthew Hanna</v>
      </c>
      <c r="E137" s="7">
        <v>33</v>
      </c>
      <c r="F137" t="s">
        <v>16</v>
      </c>
      <c r="G137" t="s">
        <v>463</v>
      </c>
      <c r="H137" t="s">
        <v>156</v>
      </c>
      <c r="I137" t="s">
        <v>12</v>
      </c>
      <c r="J137" t="s">
        <v>19</v>
      </c>
      <c r="K137" t="str">
        <f t="shared" si="8"/>
        <v>Platinum</v>
      </c>
      <c r="L137" t="str">
        <f>IF(Customer_Dim[[#This Row],[Age]]&lt;25,"Youth",
   IF(Customer_Dim[[#This Row],[Age]]&lt;=40,"Adult",
   IF(Customer_Dim[[#This Row],[Age]]&lt;=60,"Middle-Aged","Senior")))</f>
        <v>Adult</v>
      </c>
    </row>
    <row r="138" spans="1:12" x14ac:dyDescent="0.3">
      <c r="A138" t="s">
        <v>464</v>
      </c>
      <c r="B138" t="s">
        <v>465</v>
      </c>
      <c r="C138" t="str">
        <f t="shared" si="6"/>
        <v>Patrick Coleman</v>
      </c>
      <c r="D138" t="str">
        <f t="shared" si="7"/>
        <v>Patrick Coleman</v>
      </c>
      <c r="E138" s="7">
        <v>29</v>
      </c>
      <c r="F138" t="s">
        <v>9</v>
      </c>
      <c r="G138" t="s">
        <v>466</v>
      </c>
      <c r="H138" t="s">
        <v>70</v>
      </c>
      <c r="I138" t="s">
        <v>12</v>
      </c>
      <c r="J138" t="s">
        <v>31</v>
      </c>
      <c r="K138" t="str">
        <f t="shared" si="8"/>
        <v>Silver</v>
      </c>
      <c r="L138" t="str">
        <f>IF(Customer_Dim[[#This Row],[Age]]&lt;25,"Youth",
   IF(Customer_Dim[[#This Row],[Age]]&lt;=40,"Adult",
   IF(Customer_Dim[[#This Row],[Age]]&lt;=60,"Middle-Aged","Senior")))</f>
        <v>Adult</v>
      </c>
    </row>
    <row r="139" spans="1:12" x14ac:dyDescent="0.3">
      <c r="A139" t="s">
        <v>467</v>
      </c>
      <c r="B139" t="s">
        <v>468</v>
      </c>
      <c r="C139" t="str">
        <f t="shared" si="6"/>
        <v>Rick Dominguez</v>
      </c>
      <c r="D139" t="str">
        <f t="shared" si="7"/>
        <v>Rick Dominguez</v>
      </c>
      <c r="E139" s="7">
        <v>55</v>
      </c>
      <c r="F139" t="s">
        <v>16</v>
      </c>
      <c r="G139" t="s">
        <v>469</v>
      </c>
      <c r="H139" t="s">
        <v>25</v>
      </c>
      <c r="I139" t="s">
        <v>12</v>
      </c>
      <c r="J139" t="s">
        <v>19</v>
      </c>
      <c r="K139" t="str">
        <f t="shared" si="8"/>
        <v>Platinum</v>
      </c>
      <c r="L139" t="str">
        <f>IF(Customer_Dim[[#This Row],[Age]]&lt;25,"Youth",
   IF(Customer_Dim[[#This Row],[Age]]&lt;=40,"Adult",
   IF(Customer_Dim[[#This Row],[Age]]&lt;=60,"Middle-Aged","Senior")))</f>
        <v>Middle-Aged</v>
      </c>
    </row>
    <row r="140" spans="1:12" x14ac:dyDescent="0.3">
      <c r="A140" t="s">
        <v>470</v>
      </c>
      <c r="B140" t="s">
        <v>471</v>
      </c>
      <c r="C140" t="str">
        <f t="shared" si="6"/>
        <v>Sean Roth</v>
      </c>
      <c r="D140" t="str">
        <f t="shared" si="7"/>
        <v>Sean Roth</v>
      </c>
      <c r="E140" s="7">
        <v>43</v>
      </c>
      <c r="F140" t="s">
        <v>9</v>
      </c>
      <c r="G140" t="s">
        <v>395</v>
      </c>
      <c r="H140" t="s">
        <v>287</v>
      </c>
      <c r="I140" t="s">
        <v>12</v>
      </c>
      <c r="J140" t="s">
        <v>13</v>
      </c>
      <c r="K140" t="str">
        <f t="shared" si="8"/>
        <v>Gold</v>
      </c>
      <c r="L140" t="str">
        <f>IF(Customer_Dim[[#This Row],[Age]]&lt;25,"Youth",
   IF(Customer_Dim[[#This Row],[Age]]&lt;=40,"Adult",
   IF(Customer_Dim[[#This Row],[Age]]&lt;=60,"Middle-Aged","Senior")))</f>
        <v>Middle-Aged</v>
      </c>
    </row>
    <row r="141" spans="1:12" x14ac:dyDescent="0.3">
      <c r="A141" t="s">
        <v>472</v>
      </c>
      <c r="B141" t="s">
        <v>473</v>
      </c>
      <c r="C141" t="str">
        <f t="shared" si="6"/>
        <v>Brian Holder</v>
      </c>
      <c r="D141" t="str">
        <f t="shared" si="7"/>
        <v>Brian Holder</v>
      </c>
      <c r="E141" s="7">
        <v>32</v>
      </c>
      <c r="F141" t="s">
        <v>9</v>
      </c>
      <c r="G141" t="s">
        <v>474</v>
      </c>
      <c r="H141" t="s">
        <v>117</v>
      </c>
      <c r="I141" t="s">
        <v>12</v>
      </c>
      <c r="J141" t="s">
        <v>26</v>
      </c>
      <c r="K141" t="str">
        <f t="shared" si="8"/>
        <v>Bronze</v>
      </c>
      <c r="L141" t="str">
        <f>IF(Customer_Dim[[#This Row],[Age]]&lt;25,"Youth",
   IF(Customer_Dim[[#This Row],[Age]]&lt;=40,"Adult",
   IF(Customer_Dim[[#This Row],[Age]]&lt;=60,"Middle-Aged","Senior")))</f>
        <v>Adult</v>
      </c>
    </row>
    <row r="142" spans="1:12" x14ac:dyDescent="0.3">
      <c r="A142" t="s">
        <v>475</v>
      </c>
      <c r="B142" t="s">
        <v>476</v>
      </c>
      <c r="C142" t="str">
        <f t="shared" si="6"/>
        <v>Patty Francis</v>
      </c>
      <c r="D142" t="str">
        <f t="shared" si="7"/>
        <v>Patty Francis</v>
      </c>
      <c r="E142" s="7">
        <v>63</v>
      </c>
      <c r="F142" t="s">
        <v>16</v>
      </c>
      <c r="G142" t="s">
        <v>477</v>
      </c>
      <c r="H142" t="s">
        <v>51</v>
      </c>
      <c r="I142" t="s">
        <v>12</v>
      </c>
      <c r="J142" t="s">
        <v>13</v>
      </c>
      <c r="K142" t="str">
        <f t="shared" si="8"/>
        <v>Gold</v>
      </c>
      <c r="L142" t="str">
        <f>IF(Customer_Dim[[#This Row],[Age]]&lt;25,"Youth",
   IF(Customer_Dim[[#This Row],[Age]]&lt;=40,"Adult",
   IF(Customer_Dim[[#This Row],[Age]]&lt;=60,"Middle-Aged","Senior")))</f>
        <v>Senior</v>
      </c>
    </row>
    <row r="143" spans="1:12" x14ac:dyDescent="0.3">
      <c r="A143" t="s">
        <v>478</v>
      </c>
      <c r="B143" t="s">
        <v>479</v>
      </c>
      <c r="C143" t="str">
        <f t="shared" si="6"/>
        <v>Cristian Wright</v>
      </c>
      <c r="D143" t="str">
        <f t="shared" si="7"/>
        <v>Cristian Wright</v>
      </c>
      <c r="E143" s="7">
        <v>30</v>
      </c>
      <c r="F143" t="s">
        <v>9</v>
      </c>
      <c r="G143" t="s">
        <v>480</v>
      </c>
      <c r="H143" t="s">
        <v>30</v>
      </c>
      <c r="I143" t="s">
        <v>12</v>
      </c>
      <c r="J143" t="s">
        <v>26</v>
      </c>
      <c r="K143" t="str">
        <f t="shared" si="8"/>
        <v>Bronze</v>
      </c>
      <c r="L143" t="str">
        <f>IF(Customer_Dim[[#This Row],[Age]]&lt;25,"Youth",
   IF(Customer_Dim[[#This Row],[Age]]&lt;=40,"Adult",
   IF(Customer_Dim[[#This Row],[Age]]&lt;=60,"Middle-Aged","Senior")))</f>
        <v>Adult</v>
      </c>
    </row>
    <row r="144" spans="1:12" x14ac:dyDescent="0.3">
      <c r="A144" t="s">
        <v>481</v>
      </c>
      <c r="B144" t="s">
        <v>482</v>
      </c>
      <c r="C144" t="str">
        <f t="shared" si="6"/>
        <v>Maria Ramirez</v>
      </c>
      <c r="D144" t="str">
        <f t="shared" si="7"/>
        <v>Maria Ramirez</v>
      </c>
      <c r="E144" s="7">
        <v>37</v>
      </c>
      <c r="F144" t="s">
        <v>9</v>
      </c>
      <c r="G144" t="s">
        <v>483</v>
      </c>
      <c r="H144" t="s">
        <v>66</v>
      </c>
      <c r="I144" t="s">
        <v>12</v>
      </c>
      <c r="J144" t="s">
        <v>26</v>
      </c>
      <c r="K144" t="str">
        <f t="shared" si="8"/>
        <v>Bronze</v>
      </c>
      <c r="L144" t="str">
        <f>IF(Customer_Dim[[#This Row],[Age]]&lt;25,"Youth",
   IF(Customer_Dim[[#This Row],[Age]]&lt;=40,"Adult",
   IF(Customer_Dim[[#This Row],[Age]]&lt;=60,"Middle-Aged","Senior")))</f>
        <v>Adult</v>
      </c>
    </row>
    <row r="145" spans="1:12" x14ac:dyDescent="0.3">
      <c r="A145" t="s">
        <v>484</v>
      </c>
      <c r="B145" t="s">
        <v>485</v>
      </c>
      <c r="C145" t="str">
        <f t="shared" si="6"/>
        <v>Carlos Skinner</v>
      </c>
      <c r="D145" t="str">
        <f t="shared" si="7"/>
        <v>Carlos Skinner</v>
      </c>
      <c r="E145" s="7">
        <v>46</v>
      </c>
      <c r="F145" t="s">
        <v>9</v>
      </c>
      <c r="G145" t="s">
        <v>486</v>
      </c>
      <c r="H145" t="s">
        <v>22</v>
      </c>
      <c r="I145" t="s">
        <v>12</v>
      </c>
      <c r="J145" t="s">
        <v>26</v>
      </c>
      <c r="K145" t="str">
        <f t="shared" si="8"/>
        <v>Bronze</v>
      </c>
      <c r="L145" t="str">
        <f>IF(Customer_Dim[[#This Row],[Age]]&lt;25,"Youth",
   IF(Customer_Dim[[#This Row],[Age]]&lt;=40,"Adult",
   IF(Customer_Dim[[#This Row],[Age]]&lt;=60,"Middle-Aged","Senior")))</f>
        <v>Middle-Aged</v>
      </c>
    </row>
    <row r="146" spans="1:12" x14ac:dyDescent="0.3">
      <c r="A146" t="s">
        <v>487</v>
      </c>
      <c r="B146" t="s">
        <v>488</v>
      </c>
      <c r="C146" t="str">
        <f t="shared" si="6"/>
        <v>Justin Cross</v>
      </c>
      <c r="D146" t="str">
        <f t="shared" si="7"/>
        <v>Justin Cross</v>
      </c>
      <c r="E146" s="7">
        <v>62</v>
      </c>
      <c r="F146" t="s">
        <v>16</v>
      </c>
      <c r="G146" t="s">
        <v>489</v>
      </c>
      <c r="H146" t="s">
        <v>184</v>
      </c>
      <c r="I146" t="s">
        <v>12</v>
      </c>
      <c r="J146" t="s">
        <v>26</v>
      </c>
      <c r="K146" t="str">
        <f t="shared" si="8"/>
        <v>Bronze</v>
      </c>
      <c r="L146" t="str">
        <f>IF(Customer_Dim[[#This Row],[Age]]&lt;25,"Youth",
   IF(Customer_Dim[[#This Row],[Age]]&lt;=40,"Adult",
   IF(Customer_Dim[[#This Row],[Age]]&lt;=60,"Middle-Aged","Senior")))</f>
        <v>Senior</v>
      </c>
    </row>
    <row r="147" spans="1:12" x14ac:dyDescent="0.3">
      <c r="A147" t="s">
        <v>490</v>
      </c>
      <c r="B147" t="s">
        <v>491</v>
      </c>
      <c r="C147" t="str">
        <f t="shared" si="6"/>
        <v>Cameron Simpson</v>
      </c>
      <c r="D147" t="str">
        <f t="shared" si="7"/>
        <v>Cameron Simpson</v>
      </c>
      <c r="E147" s="7">
        <v>46</v>
      </c>
      <c r="F147" t="s">
        <v>9</v>
      </c>
      <c r="G147" t="s">
        <v>492</v>
      </c>
      <c r="H147" t="s">
        <v>254</v>
      </c>
      <c r="I147" t="s">
        <v>12</v>
      </c>
      <c r="J147" t="s">
        <v>19</v>
      </c>
      <c r="K147" t="str">
        <f t="shared" si="8"/>
        <v>Platinum</v>
      </c>
      <c r="L147" t="str">
        <f>IF(Customer_Dim[[#This Row],[Age]]&lt;25,"Youth",
   IF(Customer_Dim[[#This Row],[Age]]&lt;=40,"Adult",
   IF(Customer_Dim[[#This Row],[Age]]&lt;=60,"Middle-Aged","Senior")))</f>
        <v>Middle-Aged</v>
      </c>
    </row>
    <row r="148" spans="1:12" x14ac:dyDescent="0.3">
      <c r="A148" t="s">
        <v>493</v>
      </c>
      <c r="B148" t="s">
        <v>494</v>
      </c>
      <c r="C148" t="str">
        <f t="shared" si="6"/>
        <v>Edward Rivera</v>
      </c>
      <c r="D148" t="str">
        <f t="shared" si="7"/>
        <v>Edward Rivera</v>
      </c>
      <c r="E148" s="7">
        <v>32</v>
      </c>
      <c r="F148" t="s">
        <v>16</v>
      </c>
      <c r="G148" t="s">
        <v>495</v>
      </c>
      <c r="H148" t="s">
        <v>317</v>
      </c>
      <c r="I148" t="s">
        <v>12</v>
      </c>
      <c r="J148" t="s">
        <v>13</v>
      </c>
      <c r="K148" t="str">
        <f t="shared" si="8"/>
        <v>Gold</v>
      </c>
      <c r="L148" t="str">
        <f>IF(Customer_Dim[[#This Row],[Age]]&lt;25,"Youth",
   IF(Customer_Dim[[#This Row],[Age]]&lt;=40,"Adult",
   IF(Customer_Dim[[#This Row],[Age]]&lt;=60,"Middle-Aged","Senior")))</f>
        <v>Adult</v>
      </c>
    </row>
    <row r="149" spans="1:12" x14ac:dyDescent="0.3">
      <c r="A149" t="s">
        <v>496</v>
      </c>
      <c r="B149" t="s">
        <v>497</v>
      </c>
      <c r="C149" t="str">
        <f t="shared" si="6"/>
        <v>Rhonda Young</v>
      </c>
      <c r="D149" t="str">
        <f t="shared" si="7"/>
        <v>Rhonda Young</v>
      </c>
      <c r="E149" s="7">
        <v>49</v>
      </c>
      <c r="F149" t="s">
        <v>16</v>
      </c>
      <c r="G149" t="s">
        <v>498</v>
      </c>
      <c r="H149" t="s">
        <v>163</v>
      </c>
      <c r="I149" t="s">
        <v>12</v>
      </c>
      <c r="J149" t="s">
        <v>19</v>
      </c>
      <c r="K149" t="str">
        <f t="shared" si="8"/>
        <v>Platinum</v>
      </c>
      <c r="L149" t="str">
        <f>IF(Customer_Dim[[#This Row],[Age]]&lt;25,"Youth",
   IF(Customer_Dim[[#This Row],[Age]]&lt;=40,"Adult",
   IF(Customer_Dim[[#This Row],[Age]]&lt;=60,"Middle-Aged","Senior")))</f>
        <v>Middle-Aged</v>
      </c>
    </row>
    <row r="150" spans="1:12" x14ac:dyDescent="0.3">
      <c r="A150" t="s">
        <v>499</v>
      </c>
      <c r="B150" t="s">
        <v>500</v>
      </c>
      <c r="C150" t="str">
        <f t="shared" si="6"/>
        <v>Theresa Campbell</v>
      </c>
      <c r="D150" t="str">
        <f t="shared" si="7"/>
        <v>Theresa Campbell</v>
      </c>
      <c r="E150" s="7">
        <v>42</v>
      </c>
      <c r="F150" t="s">
        <v>16</v>
      </c>
      <c r="G150" t="s">
        <v>501</v>
      </c>
      <c r="H150" t="s">
        <v>324</v>
      </c>
      <c r="I150" t="s">
        <v>12</v>
      </c>
      <c r="J150" t="s">
        <v>26</v>
      </c>
      <c r="K150" t="str">
        <f t="shared" si="8"/>
        <v>Bronze</v>
      </c>
      <c r="L150" t="str">
        <f>IF(Customer_Dim[[#This Row],[Age]]&lt;25,"Youth",
   IF(Customer_Dim[[#This Row],[Age]]&lt;=40,"Adult",
   IF(Customer_Dim[[#This Row],[Age]]&lt;=60,"Middle-Aged","Senior")))</f>
        <v>Middle-Aged</v>
      </c>
    </row>
    <row r="151" spans="1:12" x14ac:dyDescent="0.3">
      <c r="A151" t="s">
        <v>502</v>
      </c>
      <c r="B151" t="s">
        <v>503</v>
      </c>
      <c r="C151" t="str">
        <f t="shared" si="6"/>
        <v>Denise Griffin</v>
      </c>
      <c r="D151" t="str">
        <f t="shared" si="7"/>
        <v>Denise Griffin</v>
      </c>
      <c r="E151" s="7">
        <v>33</v>
      </c>
      <c r="F151" t="s">
        <v>9</v>
      </c>
      <c r="G151" t="s">
        <v>504</v>
      </c>
      <c r="H151" t="s">
        <v>250</v>
      </c>
      <c r="I151" t="s">
        <v>12</v>
      </c>
      <c r="J151" t="s">
        <v>19</v>
      </c>
      <c r="K151" t="str">
        <f t="shared" si="8"/>
        <v>Platinum</v>
      </c>
      <c r="L151" t="str">
        <f>IF(Customer_Dim[[#This Row],[Age]]&lt;25,"Youth",
   IF(Customer_Dim[[#This Row],[Age]]&lt;=40,"Adult",
   IF(Customer_Dim[[#This Row],[Age]]&lt;=60,"Middle-Aged","Senior")))</f>
        <v>Adult</v>
      </c>
    </row>
    <row r="152" spans="1:12" x14ac:dyDescent="0.3">
      <c r="A152" t="s">
        <v>505</v>
      </c>
      <c r="B152" t="s">
        <v>506</v>
      </c>
      <c r="C152" t="str">
        <f t="shared" si="6"/>
        <v>Stephanie Conway</v>
      </c>
      <c r="D152" t="str">
        <f t="shared" si="7"/>
        <v>Stephanie Conway</v>
      </c>
      <c r="E152" s="7">
        <v>24</v>
      </c>
      <c r="F152" t="s">
        <v>9</v>
      </c>
      <c r="G152" t="s">
        <v>507</v>
      </c>
      <c r="H152" t="s">
        <v>313</v>
      </c>
      <c r="I152" t="s">
        <v>12</v>
      </c>
      <c r="J152" t="s">
        <v>13</v>
      </c>
      <c r="K152" t="str">
        <f t="shared" si="8"/>
        <v>Gold</v>
      </c>
      <c r="L152" t="str">
        <f>IF(Customer_Dim[[#This Row],[Age]]&lt;25,"Youth",
   IF(Customer_Dim[[#This Row],[Age]]&lt;=40,"Adult",
   IF(Customer_Dim[[#This Row],[Age]]&lt;=60,"Middle-Aged","Senior")))</f>
        <v>Youth</v>
      </c>
    </row>
    <row r="153" spans="1:12" x14ac:dyDescent="0.3">
      <c r="A153" t="s">
        <v>508</v>
      </c>
      <c r="B153" t="s">
        <v>509</v>
      </c>
      <c r="C153" t="str">
        <f t="shared" si="6"/>
        <v>Michael Davies</v>
      </c>
      <c r="D153" t="str">
        <f t="shared" si="7"/>
        <v>Michael Davies</v>
      </c>
      <c r="E153" s="7">
        <v>25</v>
      </c>
      <c r="F153" t="s">
        <v>16</v>
      </c>
      <c r="G153" t="s">
        <v>510</v>
      </c>
      <c r="H153" t="s">
        <v>35</v>
      </c>
      <c r="I153" t="s">
        <v>12</v>
      </c>
      <c r="J153" t="s">
        <v>13</v>
      </c>
      <c r="K153" t="str">
        <f t="shared" si="8"/>
        <v>Gold</v>
      </c>
      <c r="L153" t="str">
        <f>IF(Customer_Dim[[#This Row],[Age]]&lt;25,"Youth",
   IF(Customer_Dim[[#This Row],[Age]]&lt;=40,"Adult",
   IF(Customer_Dim[[#This Row],[Age]]&lt;=60,"Middle-Aged","Senior")))</f>
        <v>Adult</v>
      </c>
    </row>
    <row r="154" spans="1:12" x14ac:dyDescent="0.3">
      <c r="A154" t="s">
        <v>511</v>
      </c>
      <c r="B154" t="s">
        <v>512</v>
      </c>
      <c r="C154" t="str">
        <f t="shared" si="6"/>
        <v>Patrick Roberts</v>
      </c>
      <c r="D154" t="str">
        <f t="shared" si="7"/>
        <v>Patrick Roberts</v>
      </c>
      <c r="E154" s="7">
        <v>41</v>
      </c>
      <c r="F154" t="s">
        <v>16</v>
      </c>
      <c r="G154" t="s">
        <v>513</v>
      </c>
      <c r="H154" t="s">
        <v>113</v>
      </c>
      <c r="I154" t="s">
        <v>12</v>
      </c>
      <c r="J154" t="s">
        <v>19</v>
      </c>
      <c r="K154" t="str">
        <f t="shared" si="8"/>
        <v>Platinum</v>
      </c>
      <c r="L154" t="str">
        <f>IF(Customer_Dim[[#This Row],[Age]]&lt;25,"Youth",
   IF(Customer_Dim[[#This Row],[Age]]&lt;=40,"Adult",
   IF(Customer_Dim[[#This Row],[Age]]&lt;=60,"Middle-Aged","Senior")))</f>
        <v>Middle-Aged</v>
      </c>
    </row>
    <row r="155" spans="1:12" x14ac:dyDescent="0.3">
      <c r="A155" t="s">
        <v>514</v>
      </c>
      <c r="B155" t="s">
        <v>515</v>
      </c>
      <c r="C155" t="str">
        <f t="shared" si="6"/>
        <v>Joseph Faulkner</v>
      </c>
      <c r="D155" t="str">
        <f t="shared" si="7"/>
        <v>Joseph Faulkner</v>
      </c>
      <c r="E155" s="7">
        <v>31</v>
      </c>
      <c r="F155" t="s">
        <v>9</v>
      </c>
      <c r="G155" t="s">
        <v>516</v>
      </c>
      <c r="H155" t="s">
        <v>18</v>
      </c>
      <c r="I155" t="s">
        <v>12</v>
      </c>
      <c r="J155" t="s">
        <v>26</v>
      </c>
      <c r="K155" t="str">
        <f t="shared" si="8"/>
        <v>Bronze</v>
      </c>
      <c r="L155" t="str">
        <f>IF(Customer_Dim[[#This Row],[Age]]&lt;25,"Youth",
   IF(Customer_Dim[[#This Row],[Age]]&lt;=40,"Adult",
   IF(Customer_Dim[[#This Row],[Age]]&lt;=60,"Middle-Aged","Senior")))</f>
        <v>Adult</v>
      </c>
    </row>
    <row r="156" spans="1:12" x14ac:dyDescent="0.3">
      <c r="A156" t="s">
        <v>517</v>
      </c>
      <c r="B156" t="s">
        <v>518</v>
      </c>
      <c r="C156" t="str">
        <f t="shared" si="6"/>
        <v>Julie Hale</v>
      </c>
      <c r="D156" t="str">
        <f t="shared" si="7"/>
        <v>Julie Hale</v>
      </c>
      <c r="E156" s="7">
        <v>35</v>
      </c>
      <c r="F156" t="s">
        <v>16</v>
      </c>
      <c r="G156" t="s">
        <v>519</v>
      </c>
      <c r="H156" t="s">
        <v>171</v>
      </c>
      <c r="I156" t="s">
        <v>12</v>
      </c>
      <c r="J156" t="s">
        <v>13</v>
      </c>
      <c r="K156" t="str">
        <f t="shared" si="8"/>
        <v>Gold</v>
      </c>
      <c r="L156" t="str">
        <f>IF(Customer_Dim[[#This Row],[Age]]&lt;25,"Youth",
   IF(Customer_Dim[[#This Row],[Age]]&lt;=40,"Adult",
   IF(Customer_Dim[[#This Row],[Age]]&lt;=60,"Middle-Aged","Senior")))</f>
        <v>Adult</v>
      </c>
    </row>
    <row r="157" spans="1:12" x14ac:dyDescent="0.3">
      <c r="A157" t="s">
        <v>520</v>
      </c>
      <c r="B157" t="s">
        <v>521</v>
      </c>
      <c r="C157" t="str">
        <f t="shared" si="6"/>
        <v>Curtis Haynes</v>
      </c>
      <c r="D157" t="str">
        <f t="shared" si="7"/>
        <v>Curtis Haynes</v>
      </c>
      <c r="E157" s="7">
        <v>60</v>
      </c>
      <c r="F157" t="s">
        <v>16</v>
      </c>
      <c r="G157" t="s">
        <v>522</v>
      </c>
      <c r="H157" t="s">
        <v>267</v>
      </c>
      <c r="I157" t="s">
        <v>12</v>
      </c>
      <c r="J157" t="s">
        <v>13</v>
      </c>
      <c r="K157" t="str">
        <f t="shared" si="8"/>
        <v>Gold</v>
      </c>
      <c r="L157" t="str">
        <f>IF(Customer_Dim[[#This Row],[Age]]&lt;25,"Youth",
   IF(Customer_Dim[[#This Row],[Age]]&lt;=40,"Adult",
   IF(Customer_Dim[[#This Row],[Age]]&lt;=60,"Middle-Aged","Senior")))</f>
        <v>Middle-Aged</v>
      </c>
    </row>
    <row r="158" spans="1:12" x14ac:dyDescent="0.3">
      <c r="A158" t="s">
        <v>523</v>
      </c>
      <c r="B158" t="s">
        <v>524</v>
      </c>
      <c r="C158" t="str">
        <f t="shared" si="6"/>
        <v>Maria Sanchez</v>
      </c>
      <c r="D158" t="str">
        <f t="shared" si="7"/>
        <v>Maria Sanchez</v>
      </c>
      <c r="E158" s="7">
        <v>46</v>
      </c>
      <c r="F158" t="s">
        <v>9</v>
      </c>
      <c r="G158" t="s">
        <v>525</v>
      </c>
      <c r="H158" t="s">
        <v>18</v>
      </c>
      <c r="I158" t="s">
        <v>12</v>
      </c>
      <c r="J158" t="s">
        <v>26</v>
      </c>
      <c r="K158" t="str">
        <f t="shared" si="8"/>
        <v>Bronze</v>
      </c>
      <c r="L158" t="str">
        <f>IF(Customer_Dim[[#This Row],[Age]]&lt;25,"Youth",
   IF(Customer_Dim[[#This Row],[Age]]&lt;=40,"Adult",
   IF(Customer_Dim[[#This Row],[Age]]&lt;=60,"Middle-Aged","Senior")))</f>
        <v>Middle-Aged</v>
      </c>
    </row>
    <row r="159" spans="1:12" x14ac:dyDescent="0.3">
      <c r="A159" t="s">
        <v>526</v>
      </c>
      <c r="B159" t="s">
        <v>527</v>
      </c>
      <c r="C159" t="str">
        <f t="shared" si="6"/>
        <v>Paul Zamora</v>
      </c>
      <c r="D159" t="str">
        <f t="shared" si="7"/>
        <v>Paul Zamora</v>
      </c>
      <c r="E159" s="7">
        <v>59</v>
      </c>
      <c r="F159" t="s">
        <v>9</v>
      </c>
      <c r="G159" t="s">
        <v>528</v>
      </c>
      <c r="H159" t="s">
        <v>18</v>
      </c>
      <c r="I159" t="s">
        <v>12</v>
      </c>
      <c r="J159" t="s">
        <v>19</v>
      </c>
      <c r="K159" t="str">
        <f t="shared" si="8"/>
        <v>Platinum</v>
      </c>
      <c r="L159" t="str">
        <f>IF(Customer_Dim[[#This Row],[Age]]&lt;25,"Youth",
   IF(Customer_Dim[[#This Row],[Age]]&lt;=40,"Adult",
   IF(Customer_Dim[[#This Row],[Age]]&lt;=60,"Middle-Aged","Senior")))</f>
        <v>Middle-Aged</v>
      </c>
    </row>
    <row r="160" spans="1:12" x14ac:dyDescent="0.3">
      <c r="A160" t="s">
        <v>529</v>
      </c>
      <c r="B160" t="s">
        <v>530</v>
      </c>
      <c r="C160" t="str">
        <f t="shared" si="6"/>
        <v>Sean Powell</v>
      </c>
      <c r="D160" t="str">
        <f t="shared" si="7"/>
        <v>Sean Powell</v>
      </c>
      <c r="E160" s="7">
        <v>43</v>
      </c>
      <c r="F160" t="s">
        <v>9</v>
      </c>
      <c r="G160" t="s">
        <v>531</v>
      </c>
      <c r="H160" t="s">
        <v>171</v>
      </c>
      <c r="I160" t="s">
        <v>12</v>
      </c>
      <c r="J160" t="s">
        <v>26</v>
      </c>
      <c r="K160" t="str">
        <f t="shared" si="8"/>
        <v>Bronze</v>
      </c>
      <c r="L160" t="str">
        <f>IF(Customer_Dim[[#This Row],[Age]]&lt;25,"Youth",
   IF(Customer_Dim[[#This Row],[Age]]&lt;=40,"Adult",
   IF(Customer_Dim[[#This Row],[Age]]&lt;=60,"Middle-Aged","Senior")))</f>
        <v>Middle-Aged</v>
      </c>
    </row>
    <row r="161" spans="1:12" x14ac:dyDescent="0.3">
      <c r="A161" t="s">
        <v>532</v>
      </c>
      <c r="B161" t="s">
        <v>533</v>
      </c>
      <c r="C161" t="str">
        <f t="shared" si="6"/>
        <v>Brian Choi</v>
      </c>
      <c r="D161" t="str">
        <f t="shared" si="7"/>
        <v>Brian Choi</v>
      </c>
      <c r="E161" s="7">
        <v>46</v>
      </c>
      <c r="F161" t="s">
        <v>16</v>
      </c>
      <c r="G161" t="s">
        <v>534</v>
      </c>
      <c r="H161" t="s">
        <v>88</v>
      </c>
      <c r="I161" t="s">
        <v>12</v>
      </c>
      <c r="J161" t="s">
        <v>13</v>
      </c>
      <c r="K161" t="str">
        <f t="shared" si="8"/>
        <v>Gold</v>
      </c>
      <c r="L161" t="str">
        <f>IF(Customer_Dim[[#This Row],[Age]]&lt;25,"Youth",
   IF(Customer_Dim[[#This Row],[Age]]&lt;=40,"Adult",
   IF(Customer_Dim[[#This Row],[Age]]&lt;=60,"Middle-Aged","Senior")))</f>
        <v>Middle-Aged</v>
      </c>
    </row>
    <row r="162" spans="1:12" x14ac:dyDescent="0.3">
      <c r="A162" t="s">
        <v>535</v>
      </c>
      <c r="B162" t="s">
        <v>536</v>
      </c>
      <c r="C162" t="str">
        <f t="shared" si="6"/>
        <v>John Lawson</v>
      </c>
      <c r="D162" t="str">
        <f t="shared" si="7"/>
        <v>John Lawson</v>
      </c>
      <c r="E162" s="7">
        <v>41</v>
      </c>
      <c r="F162" t="s">
        <v>16</v>
      </c>
      <c r="G162" t="s">
        <v>537</v>
      </c>
      <c r="H162" t="s">
        <v>11</v>
      </c>
      <c r="I162" t="s">
        <v>12</v>
      </c>
      <c r="J162" t="s">
        <v>19</v>
      </c>
      <c r="K162" t="str">
        <f t="shared" si="8"/>
        <v>Platinum</v>
      </c>
      <c r="L162" t="str">
        <f>IF(Customer_Dim[[#This Row],[Age]]&lt;25,"Youth",
   IF(Customer_Dim[[#This Row],[Age]]&lt;=40,"Adult",
   IF(Customer_Dim[[#This Row],[Age]]&lt;=60,"Middle-Aged","Senior")))</f>
        <v>Middle-Aged</v>
      </c>
    </row>
    <row r="163" spans="1:12" x14ac:dyDescent="0.3">
      <c r="A163" t="s">
        <v>538</v>
      </c>
      <c r="B163" t="s">
        <v>539</v>
      </c>
      <c r="C163" t="str">
        <f t="shared" si="6"/>
        <v>Cynthia Morris</v>
      </c>
      <c r="D163" t="str">
        <f t="shared" si="7"/>
        <v>Cynthia Morris</v>
      </c>
      <c r="E163" s="7">
        <v>18</v>
      </c>
      <c r="F163" t="s">
        <v>16</v>
      </c>
      <c r="G163" t="s">
        <v>540</v>
      </c>
      <c r="H163" t="s">
        <v>133</v>
      </c>
      <c r="I163" t="s">
        <v>12</v>
      </c>
      <c r="J163" t="s">
        <v>31</v>
      </c>
      <c r="K163" t="str">
        <f t="shared" si="8"/>
        <v>Silver</v>
      </c>
      <c r="L163" t="str">
        <f>IF(Customer_Dim[[#This Row],[Age]]&lt;25,"Youth",
   IF(Customer_Dim[[#This Row],[Age]]&lt;=40,"Adult",
   IF(Customer_Dim[[#This Row],[Age]]&lt;=60,"Middle-Aged","Senior")))</f>
        <v>Youth</v>
      </c>
    </row>
    <row r="164" spans="1:12" x14ac:dyDescent="0.3">
      <c r="A164" t="s">
        <v>541</v>
      </c>
      <c r="B164" t="s">
        <v>542</v>
      </c>
      <c r="C164" t="str">
        <f t="shared" si="6"/>
        <v>Mariah Brown</v>
      </c>
      <c r="D164" t="str">
        <f t="shared" si="7"/>
        <v>Mariah Brown</v>
      </c>
      <c r="E164" s="7">
        <v>37</v>
      </c>
      <c r="F164" t="s">
        <v>9</v>
      </c>
      <c r="G164" t="s">
        <v>543</v>
      </c>
      <c r="H164" t="s">
        <v>237</v>
      </c>
      <c r="I164" t="s">
        <v>12</v>
      </c>
      <c r="J164" t="s">
        <v>31</v>
      </c>
      <c r="K164" t="str">
        <f t="shared" si="8"/>
        <v>Silver</v>
      </c>
      <c r="L164" t="str">
        <f>IF(Customer_Dim[[#This Row],[Age]]&lt;25,"Youth",
   IF(Customer_Dim[[#This Row],[Age]]&lt;=40,"Adult",
   IF(Customer_Dim[[#This Row],[Age]]&lt;=60,"Middle-Aged","Senior")))</f>
        <v>Adult</v>
      </c>
    </row>
    <row r="165" spans="1:12" x14ac:dyDescent="0.3">
      <c r="A165" t="s">
        <v>544</v>
      </c>
      <c r="B165" t="s">
        <v>545</v>
      </c>
      <c r="C165" t="str">
        <f t="shared" si="6"/>
        <v>Joseph Jones</v>
      </c>
      <c r="D165" t="str">
        <f t="shared" si="7"/>
        <v>Joseph Jones</v>
      </c>
      <c r="E165" s="7">
        <v>21</v>
      </c>
      <c r="F165" t="s">
        <v>9</v>
      </c>
      <c r="G165" t="s">
        <v>546</v>
      </c>
      <c r="H165" t="s">
        <v>194</v>
      </c>
      <c r="I165" t="s">
        <v>12</v>
      </c>
      <c r="J165" t="s">
        <v>26</v>
      </c>
      <c r="K165" t="str">
        <f t="shared" si="8"/>
        <v>Bronze</v>
      </c>
      <c r="L165" t="str">
        <f>IF(Customer_Dim[[#This Row],[Age]]&lt;25,"Youth",
   IF(Customer_Dim[[#This Row],[Age]]&lt;=40,"Adult",
   IF(Customer_Dim[[#This Row],[Age]]&lt;=60,"Middle-Aged","Senior")))</f>
        <v>Youth</v>
      </c>
    </row>
    <row r="166" spans="1:12" x14ac:dyDescent="0.3">
      <c r="A166" t="s">
        <v>547</v>
      </c>
      <c r="B166" t="s">
        <v>548</v>
      </c>
      <c r="C166" t="str">
        <f t="shared" si="6"/>
        <v>Daniel Rivas</v>
      </c>
      <c r="D166" t="str">
        <f t="shared" si="7"/>
        <v>Daniel Rivas</v>
      </c>
      <c r="E166" s="7">
        <v>39</v>
      </c>
      <c r="F166" t="s">
        <v>16</v>
      </c>
      <c r="G166" t="s">
        <v>549</v>
      </c>
      <c r="H166" t="s">
        <v>81</v>
      </c>
      <c r="I166" t="s">
        <v>12</v>
      </c>
      <c r="J166" t="s">
        <v>31</v>
      </c>
      <c r="K166" t="str">
        <f t="shared" si="8"/>
        <v>Silver</v>
      </c>
      <c r="L166" t="str">
        <f>IF(Customer_Dim[[#This Row],[Age]]&lt;25,"Youth",
   IF(Customer_Dim[[#This Row],[Age]]&lt;=40,"Adult",
   IF(Customer_Dim[[#This Row],[Age]]&lt;=60,"Middle-Aged","Senior")))</f>
        <v>Adult</v>
      </c>
    </row>
    <row r="167" spans="1:12" x14ac:dyDescent="0.3">
      <c r="A167" t="s">
        <v>550</v>
      </c>
      <c r="B167" t="s">
        <v>551</v>
      </c>
      <c r="C167" t="str">
        <f t="shared" si="6"/>
        <v>Jason Wheeler</v>
      </c>
      <c r="D167" t="str">
        <f t="shared" si="7"/>
        <v>Jason Wheeler</v>
      </c>
      <c r="E167" s="7">
        <v>47</v>
      </c>
      <c r="F167" t="s">
        <v>16</v>
      </c>
      <c r="G167" t="s">
        <v>552</v>
      </c>
      <c r="H167" t="s">
        <v>194</v>
      </c>
      <c r="I167" t="s">
        <v>12</v>
      </c>
      <c r="J167" t="s">
        <v>19</v>
      </c>
      <c r="K167" t="str">
        <f t="shared" si="8"/>
        <v>Platinum</v>
      </c>
      <c r="L167" t="str">
        <f>IF(Customer_Dim[[#This Row],[Age]]&lt;25,"Youth",
   IF(Customer_Dim[[#This Row],[Age]]&lt;=40,"Adult",
   IF(Customer_Dim[[#This Row],[Age]]&lt;=60,"Middle-Aged","Senior")))</f>
        <v>Middle-Aged</v>
      </c>
    </row>
    <row r="168" spans="1:12" x14ac:dyDescent="0.3">
      <c r="A168" t="s">
        <v>553</v>
      </c>
      <c r="B168" t="s">
        <v>554</v>
      </c>
      <c r="C168" t="str">
        <f t="shared" si="6"/>
        <v>Patricia Gardner</v>
      </c>
      <c r="D168" t="str">
        <f t="shared" si="7"/>
        <v>Patricia Gardner</v>
      </c>
      <c r="E168" s="7">
        <v>25</v>
      </c>
      <c r="F168" t="s">
        <v>16</v>
      </c>
      <c r="G168" t="s">
        <v>555</v>
      </c>
      <c r="H168" t="s">
        <v>156</v>
      </c>
      <c r="I168" t="s">
        <v>12</v>
      </c>
      <c r="J168" t="s">
        <v>31</v>
      </c>
      <c r="K168" t="str">
        <f t="shared" si="8"/>
        <v>Silver</v>
      </c>
      <c r="L168" t="str">
        <f>IF(Customer_Dim[[#This Row],[Age]]&lt;25,"Youth",
   IF(Customer_Dim[[#This Row],[Age]]&lt;=40,"Adult",
   IF(Customer_Dim[[#This Row],[Age]]&lt;=60,"Middle-Aged","Senior")))</f>
        <v>Adult</v>
      </c>
    </row>
    <row r="169" spans="1:12" x14ac:dyDescent="0.3">
      <c r="A169" t="s">
        <v>556</v>
      </c>
      <c r="B169" t="s">
        <v>557</v>
      </c>
      <c r="C169" t="str">
        <f t="shared" si="6"/>
        <v>Antonio Wade</v>
      </c>
      <c r="D169" t="str">
        <f t="shared" si="7"/>
        <v>Antonio Wade</v>
      </c>
      <c r="E169" s="7">
        <v>36</v>
      </c>
      <c r="F169" t="s">
        <v>16</v>
      </c>
      <c r="G169" t="s">
        <v>558</v>
      </c>
      <c r="H169" t="s">
        <v>237</v>
      </c>
      <c r="I169" t="s">
        <v>12</v>
      </c>
      <c r="J169" t="s">
        <v>13</v>
      </c>
      <c r="K169" t="str">
        <f t="shared" si="8"/>
        <v>Gold</v>
      </c>
      <c r="L169" t="str">
        <f>IF(Customer_Dim[[#This Row],[Age]]&lt;25,"Youth",
   IF(Customer_Dim[[#This Row],[Age]]&lt;=40,"Adult",
   IF(Customer_Dim[[#This Row],[Age]]&lt;=60,"Middle-Aged","Senior")))</f>
        <v>Adult</v>
      </c>
    </row>
    <row r="170" spans="1:12" x14ac:dyDescent="0.3">
      <c r="A170" t="s">
        <v>559</v>
      </c>
      <c r="B170" t="s">
        <v>560</v>
      </c>
      <c r="C170" t="str">
        <f t="shared" si="6"/>
        <v>Daniel Contreras</v>
      </c>
      <c r="D170" t="str">
        <f t="shared" si="7"/>
        <v>Daniel Contreras</v>
      </c>
      <c r="E170" s="7">
        <v>36</v>
      </c>
      <c r="F170" t="s">
        <v>16</v>
      </c>
      <c r="G170" t="s">
        <v>561</v>
      </c>
      <c r="H170" t="s">
        <v>250</v>
      </c>
      <c r="I170" t="s">
        <v>12</v>
      </c>
      <c r="J170" t="s">
        <v>19</v>
      </c>
      <c r="K170" t="str">
        <f t="shared" si="8"/>
        <v>Platinum</v>
      </c>
      <c r="L170" t="str">
        <f>IF(Customer_Dim[[#This Row],[Age]]&lt;25,"Youth",
   IF(Customer_Dim[[#This Row],[Age]]&lt;=40,"Adult",
   IF(Customer_Dim[[#This Row],[Age]]&lt;=60,"Middle-Aged","Senior")))</f>
        <v>Adult</v>
      </c>
    </row>
    <row r="171" spans="1:12" x14ac:dyDescent="0.3">
      <c r="A171" t="s">
        <v>562</v>
      </c>
      <c r="B171" t="s">
        <v>563</v>
      </c>
      <c r="C171" t="str">
        <f t="shared" si="6"/>
        <v>Steve Mclaughlin</v>
      </c>
      <c r="D171" t="str">
        <f t="shared" si="7"/>
        <v>Steve Mclaughlin</v>
      </c>
      <c r="E171" s="7">
        <v>64</v>
      </c>
      <c r="F171" t="s">
        <v>9</v>
      </c>
      <c r="G171" t="s">
        <v>564</v>
      </c>
      <c r="H171" t="s">
        <v>47</v>
      </c>
      <c r="I171" t="s">
        <v>12</v>
      </c>
      <c r="J171" t="s">
        <v>26</v>
      </c>
      <c r="K171" t="str">
        <f t="shared" si="8"/>
        <v>Bronze</v>
      </c>
      <c r="L171" t="str">
        <f>IF(Customer_Dim[[#This Row],[Age]]&lt;25,"Youth",
   IF(Customer_Dim[[#This Row],[Age]]&lt;=40,"Adult",
   IF(Customer_Dim[[#This Row],[Age]]&lt;=60,"Middle-Aged","Senior")))</f>
        <v>Senior</v>
      </c>
    </row>
    <row r="172" spans="1:12" x14ac:dyDescent="0.3">
      <c r="A172" t="s">
        <v>565</v>
      </c>
      <c r="B172" t="s">
        <v>566</v>
      </c>
      <c r="C172" t="str">
        <f t="shared" si="6"/>
        <v>Christopher Garcia Dds</v>
      </c>
      <c r="D172" t="str">
        <f t="shared" si="7"/>
        <v>Christopher Garcia Dds</v>
      </c>
      <c r="E172" s="7">
        <v>18</v>
      </c>
      <c r="F172" t="s">
        <v>9</v>
      </c>
      <c r="G172" t="s">
        <v>567</v>
      </c>
      <c r="H172" t="s">
        <v>113</v>
      </c>
      <c r="I172" t="s">
        <v>12</v>
      </c>
      <c r="J172" t="s">
        <v>13</v>
      </c>
      <c r="K172" t="str">
        <f t="shared" si="8"/>
        <v>Gold</v>
      </c>
      <c r="L172" t="str">
        <f>IF(Customer_Dim[[#This Row],[Age]]&lt;25,"Youth",
   IF(Customer_Dim[[#This Row],[Age]]&lt;=40,"Adult",
   IF(Customer_Dim[[#This Row],[Age]]&lt;=60,"Middle-Aged","Senior")))</f>
        <v>Youth</v>
      </c>
    </row>
    <row r="173" spans="1:12" x14ac:dyDescent="0.3">
      <c r="A173" t="s">
        <v>568</v>
      </c>
      <c r="B173" t="s">
        <v>569</v>
      </c>
      <c r="C173" t="str">
        <f t="shared" si="6"/>
        <v>Amy Wilson</v>
      </c>
      <c r="D173" t="str">
        <f t="shared" si="7"/>
        <v>Amy Wilson</v>
      </c>
      <c r="E173" s="7">
        <v>44</v>
      </c>
      <c r="F173" t="s">
        <v>16</v>
      </c>
      <c r="G173" t="s">
        <v>570</v>
      </c>
      <c r="H173" t="s">
        <v>254</v>
      </c>
      <c r="I173" t="s">
        <v>12</v>
      </c>
      <c r="J173" t="s">
        <v>19</v>
      </c>
      <c r="K173" t="str">
        <f t="shared" si="8"/>
        <v>Platinum</v>
      </c>
      <c r="L173" t="str">
        <f>IF(Customer_Dim[[#This Row],[Age]]&lt;25,"Youth",
   IF(Customer_Dim[[#This Row],[Age]]&lt;=40,"Adult",
   IF(Customer_Dim[[#This Row],[Age]]&lt;=60,"Middle-Aged","Senior")))</f>
        <v>Middle-Aged</v>
      </c>
    </row>
    <row r="174" spans="1:12" x14ac:dyDescent="0.3">
      <c r="A174" t="s">
        <v>571</v>
      </c>
      <c r="B174" t="s">
        <v>572</v>
      </c>
      <c r="C174" t="str">
        <f t="shared" si="6"/>
        <v>Thomas Rhodes</v>
      </c>
      <c r="D174" t="str">
        <f t="shared" si="7"/>
        <v>Thomas Rhodes</v>
      </c>
      <c r="E174" s="7">
        <v>41</v>
      </c>
      <c r="F174" t="s">
        <v>16</v>
      </c>
      <c r="G174" t="s">
        <v>573</v>
      </c>
      <c r="H174" t="s">
        <v>43</v>
      </c>
      <c r="I174" t="s">
        <v>12</v>
      </c>
      <c r="J174" t="s">
        <v>26</v>
      </c>
      <c r="K174" t="str">
        <f t="shared" si="8"/>
        <v>Bronze</v>
      </c>
      <c r="L174" t="str">
        <f>IF(Customer_Dim[[#This Row],[Age]]&lt;25,"Youth",
   IF(Customer_Dim[[#This Row],[Age]]&lt;=40,"Adult",
   IF(Customer_Dim[[#This Row],[Age]]&lt;=60,"Middle-Aged","Senior")))</f>
        <v>Middle-Aged</v>
      </c>
    </row>
    <row r="175" spans="1:12" x14ac:dyDescent="0.3">
      <c r="A175" t="s">
        <v>574</v>
      </c>
      <c r="B175" t="s">
        <v>575</v>
      </c>
      <c r="C175" t="str">
        <f t="shared" si="6"/>
        <v>Teresa Stokes</v>
      </c>
      <c r="D175" t="str">
        <f t="shared" si="7"/>
        <v>Teresa Stokes</v>
      </c>
      <c r="E175" s="7">
        <v>41</v>
      </c>
      <c r="F175" t="s">
        <v>16</v>
      </c>
      <c r="G175" t="s">
        <v>398</v>
      </c>
      <c r="H175" t="s">
        <v>267</v>
      </c>
      <c r="I175" t="s">
        <v>3828</v>
      </c>
      <c r="J175" t="s">
        <v>19</v>
      </c>
      <c r="K175" t="str">
        <f t="shared" si="8"/>
        <v>Platinum</v>
      </c>
      <c r="L175" t="str">
        <f>IF(Customer_Dim[[#This Row],[Age]]&lt;25,"Youth",
   IF(Customer_Dim[[#This Row],[Age]]&lt;=40,"Adult",
   IF(Customer_Dim[[#This Row],[Age]]&lt;=60,"Middle-Aged","Senior")))</f>
        <v>Middle-Aged</v>
      </c>
    </row>
    <row r="176" spans="1:12" x14ac:dyDescent="0.3">
      <c r="A176" t="s">
        <v>576</v>
      </c>
      <c r="B176" t="s">
        <v>577</v>
      </c>
      <c r="C176" t="str">
        <f t="shared" si="6"/>
        <v>Maria Davis</v>
      </c>
      <c r="D176" t="str">
        <f t="shared" si="7"/>
        <v>Maria Davis</v>
      </c>
      <c r="E176" s="7">
        <v>26</v>
      </c>
      <c r="F176" t="s">
        <v>16</v>
      </c>
      <c r="G176" t="s">
        <v>578</v>
      </c>
      <c r="H176" t="s">
        <v>171</v>
      </c>
      <c r="I176" t="s">
        <v>12</v>
      </c>
      <c r="J176" t="s">
        <v>13</v>
      </c>
      <c r="K176" t="str">
        <f t="shared" si="8"/>
        <v>Gold</v>
      </c>
      <c r="L176" t="str">
        <f>IF(Customer_Dim[[#This Row],[Age]]&lt;25,"Youth",
   IF(Customer_Dim[[#This Row],[Age]]&lt;=40,"Adult",
   IF(Customer_Dim[[#This Row],[Age]]&lt;=60,"Middle-Aged","Senior")))</f>
        <v>Adult</v>
      </c>
    </row>
    <row r="177" spans="1:12" x14ac:dyDescent="0.3">
      <c r="A177" t="s">
        <v>579</v>
      </c>
      <c r="B177" t="s">
        <v>580</v>
      </c>
      <c r="C177" t="str">
        <f t="shared" si="6"/>
        <v>Michelle Rogers</v>
      </c>
      <c r="D177" t="str">
        <f t="shared" si="7"/>
        <v>Michelle Rogers</v>
      </c>
      <c r="E177" s="7">
        <v>56</v>
      </c>
      <c r="F177" t="s">
        <v>9</v>
      </c>
      <c r="G177" t="s">
        <v>581</v>
      </c>
      <c r="H177" t="s">
        <v>99</v>
      </c>
      <c r="I177" t="s">
        <v>12</v>
      </c>
      <c r="J177" t="s">
        <v>19</v>
      </c>
      <c r="K177" t="str">
        <f t="shared" si="8"/>
        <v>Platinum</v>
      </c>
      <c r="L177" t="str">
        <f>IF(Customer_Dim[[#This Row],[Age]]&lt;25,"Youth",
   IF(Customer_Dim[[#This Row],[Age]]&lt;=40,"Adult",
   IF(Customer_Dim[[#This Row],[Age]]&lt;=60,"Middle-Aged","Senior")))</f>
        <v>Middle-Aged</v>
      </c>
    </row>
    <row r="178" spans="1:12" x14ac:dyDescent="0.3">
      <c r="A178" t="s">
        <v>582</v>
      </c>
      <c r="B178" t="s">
        <v>583</v>
      </c>
      <c r="C178" t="str">
        <f t="shared" si="6"/>
        <v>John Bradford</v>
      </c>
      <c r="D178" t="str">
        <f t="shared" si="7"/>
        <v>John Bradford</v>
      </c>
      <c r="E178" s="7">
        <v>48</v>
      </c>
      <c r="F178" t="s">
        <v>9</v>
      </c>
      <c r="G178" t="s">
        <v>584</v>
      </c>
      <c r="H178" t="s">
        <v>171</v>
      </c>
      <c r="I178" t="s">
        <v>12</v>
      </c>
      <c r="J178" t="s">
        <v>31</v>
      </c>
      <c r="K178" t="str">
        <f t="shared" si="8"/>
        <v>Silver</v>
      </c>
      <c r="L178" t="str">
        <f>IF(Customer_Dim[[#This Row],[Age]]&lt;25,"Youth",
   IF(Customer_Dim[[#This Row],[Age]]&lt;=40,"Adult",
   IF(Customer_Dim[[#This Row],[Age]]&lt;=60,"Middle-Aged","Senior")))</f>
        <v>Middle-Aged</v>
      </c>
    </row>
    <row r="179" spans="1:12" x14ac:dyDescent="0.3">
      <c r="A179" t="s">
        <v>585</v>
      </c>
      <c r="B179" t="s">
        <v>586</v>
      </c>
      <c r="C179" t="str">
        <f t="shared" si="6"/>
        <v>Curtis Lam</v>
      </c>
      <c r="D179" t="str">
        <f t="shared" si="7"/>
        <v>Curtis Lam</v>
      </c>
      <c r="E179" s="7">
        <v>55</v>
      </c>
      <c r="F179" t="s">
        <v>9</v>
      </c>
      <c r="G179" t="s">
        <v>587</v>
      </c>
      <c r="H179" t="s">
        <v>588</v>
      </c>
      <c r="I179" t="s">
        <v>12</v>
      </c>
      <c r="J179" t="s">
        <v>19</v>
      </c>
      <c r="K179" t="str">
        <f t="shared" si="8"/>
        <v>Platinum</v>
      </c>
      <c r="L179" t="str">
        <f>IF(Customer_Dim[[#This Row],[Age]]&lt;25,"Youth",
   IF(Customer_Dim[[#This Row],[Age]]&lt;=40,"Adult",
   IF(Customer_Dim[[#This Row],[Age]]&lt;=60,"Middle-Aged","Senior")))</f>
        <v>Middle-Aged</v>
      </c>
    </row>
    <row r="180" spans="1:12" x14ac:dyDescent="0.3">
      <c r="A180" t="s">
        <v>589</v>
      </c>
      <c r="B180" t="s">
        <v>590</v>
      </c>
      <c r="C180" t="str">
        <f t="shared" si="6"/>
        <v>Michelle Myers</v>
      </c>
      <c r="D180" t="str">
        <f t="shared" si="7"/>
        <v>Michelle Myers</v>
      </c>
      <c r="E180" s="7">
        <v>33</v>
      </c>
      <c r="F180" t="s">
        <v>16</v>
      </c>
      <c r="G180" t="s">
        <v>591</v>
      </c>
      <c r="H180" t="s">
        <v>317</v>
      </c>
      <c r="I180" t="s">
        <v>12</v>
      </c>
      <c r="J180" t="s">
        <v>26</v>
      </c>
      <c r="K180" t="str">
        <f t="shared" si="8"/>
        <v>Bronze</v>
      </c>
      <c r="L180" t="str">
        <f>IF(Customer_Dim[[#This Row],[Age]]&lt;25,"Youth",
   IF(Customer_Dim[[#This Row],[Age]]&lt;=40,"Adult",
   IF(Customer_Dim[[#This Row],[Age]]&lt;=60,"Middle-Aged","Senior")))</f>
        <v>Adult</v>
      </c>
    </row>
    <row r="181" spans="1:12" x14ac:dyDescent="0.3">
      <c r="A181" t="s">
        <v>592</v>
      </c>
      <c r="B181" t="s">
        <v>593</v>
      </c>
      <c r="C181" t="str">
        <f t="shared" si="6"/>
        <v>Nicholas Bradshaw</v>
      </c>
      <c r="D181" t="str">
        <f t="shared" si="7"/>
        <v>Nicholas Bradshaw</v>
      </c>
      <c r="E181" s="7">
        <v>43</v>
      </c>
      <c r="F181" t="s">
        <v>16</v>
      </c>
      <c r="G181" t="s">
        <v>594</v>
      </c>
      <c r="H181" t="s">
        <v>117</v>
      </c>
      <c r="I181" t="s">
        <v>12</v>
      </c>
      <c r="J181" t="s">
        <v>31</v>
      </c>
      <c r="K181" t="str">
        <f t="shared" si="8"/>
        <v>Silver</v>
      </c>
      <c r="L181" t="str">
        <f>IF(Customer_Dim[[#This Row],[Age]]&lt;25,"Youth",
   IF(Customer_Dim[[#This Row],[Age]]&lt;=40,"Adult",
   IF(Customer_Dim[[#This Row],[Age]]&lt;=60,"Middle-Aged","Senior")))</f>
        <v>Middle-Aged</v>
      </c>
    </row>
    <row r="182" spans="1:12" x14ac:dyDescent="0.3">
      <c r="A182" t="s">
        <v>595</v>
      </c>
      <c r="B182" t="s">
        <v>596</v>
      </c>
      <c r="C182" t="str">
        <f t="shared" si="6"/>
        <v>Wesley Thompson</v>
      </c>
      <c r="D182" t="str">
        <f t="shared" si="7"/>
        <v>Wesley Thompson</v>
      </c>
      <c r="E182" s="7">
        <v>38</v>
      </c>
      <c r="F182" t="s">
        <v>9</v>
      </c>
      <c r="G182" t="s">
        <v>597</v>
      </c>
      <c r="H182" t="s">
        <v>434</v>
      </c>
      <c r="I182" t="s">
        <v>12</v>
      </c>
      <c r="J182" t="s">
        <v>26</v>
      </c>
      <c r="K182" t="str">
        <f t="shared" si="8"/>
        <v>Bronze</v>
      </c>
      <c r="L182" t="str">
        <f>IF(Customer_Dim[[#This Row],[Age]]&lt;25,"Youth",
   IF(Customer_Dim[[#This Row],[Age]]&lt;=40,"Adult",
   IF(Customer_Dim[[#This Row],[Age]]&lt;=60,"Middle-Aged","Senior")))</f>
        <v>Adult</v>
      </c>
    </row>
    <row r="183" spans="1:12" x14ac:dyDescent="0.3">
      <c r="A183" t="s">
        <v>598</v>
      </c>
      <c r="B183" t="s">
        <v>599</v>
      </c>
      <c r="C183" t="str">
        <f t="shared" si="6"/>
        <v>Erin Ward</v>
      </c>
      <c r="D183" t="str">
        <f t="shared" si="7"/>
        <v>Erin Ward</v>
      </c>
      <c r="E183" s="7">
        <v>60</v>
      </c>
      <c r="F183" t="s">
        <v>9</v>
      </c>
      <c r="G183" t="s">
        <v>600</v>
      </c>
      <c r="H183" t="s">
        <v>58</v>
      </c>
      <c r="I183" t="s">
        <v>12</v>
      </c>
      <c r="J183" t="s">
        <v>26</v>
      </c>
      <c r="K183" t="str">
        <f t="shared" si="8"/>
        <v>Bronze</v>
      </c>
      <c r="L183" t="str">
        <f>IF(Customer_Dim[[#This Row],[Age]]&lt;25,"Youth",
   IF(Customer_Dim[[#This Row],[Age]]&lt;=40,"Adult",
   IF(Customer_Dim[[#This Row],[Age]]&lt;=60,"Middle-Aged","Senior")))</f>
        <v>Middle-Aged</v>
      </c>
    </row>
    <row r="184" spans="1:12" x14ac:dyDescent="0.3">
      <c r="A184" t="s">
        <v>601</v>
      </c>
      <c r="B184" t="s">
        <v>602</v>
      </c>
      <c r="C184" t="str">
        <f t="shared" si="6"/>
        <v>Melissa Hamilton</v>
      </c>
      <c r="D184" t="str">
        <f t="shared" si="7"/>
        <v>Melissa Hamilton</v>
      </c>
      <c r="E184" s="7">
        <v>23</v>
      </c>
      <c r="F184" t="s">
        <v>16</v>
      </c>
      <c r="G184" t="s">
        <v>603</v>
      </c>
      <c r="H184" t="s">
        <v>96</v>
      </c>
      <c r="I184" t="s">
        <v>12</v>
      </c>
      <c r="J184" t="s">
        <v>31</v>
      </c>
      <c r="K184" t="str">
        <f t="shared" si="8"/>
        <v>Silver</v>
      </c>
      <c r="L184" t="str">
        <f>IF(Customer_Dim[[#This Row],[Age]]&lt;25,"Youth",
   IF(Customer_Dim[[#This Row],[Age]]&lt;=40,"Adult",
   IF(Customer_Dim[[#This Row],[Age]]&lt;=60,"Middle-Aged","Senior")))</f>
        <v>Youth</v>
      </c>
    </row>
    <row r="185" spans="1:12" x14ac:dyDescent="0.3">
      <c r="A185" t="s">
        <v>604</v>
      </c>
      <c r="B185" t="s">
        <v>605</v>
      </c>
      <c r="C185" t="str">
        <f t="shared" si="6"/>
        <v>Mario Jacobs</v>
      </c>
      <c r="D185" t="str">
        <f t="shared" si="7"/>
        <v>Mario Jacobs</v>
      </c>
      <c r="E185" s="7">
        <v>18</v>
      </c>
      <c r="F185" t="s">
        <v>9</v>
      </c>
      <c r="G185" t="s">
        <v>606</v>
      </c>
      <c r="H185" t="s">
        <v>58</v>
      </c>
      <c r="I185" t="s">
        <v>12</v>
      </c>
      <c r="J185" t="s">
        <v>19</v>
      </c>
      <c r="K185" t="str">
        <f t="shared" si="8"/>
        <v>Platinum</v>
      </c>
      <c r="L185" t="str">
        <f>IF(Customer_Dim[[#This Row],[Age]]&lt;25,"Youth",
   IF(Customer_Dim[[#This Row],[Age]]&lt;=40,"Adult",
   IF(Customer_Dim[[#This Row],[Age]]&lt;=60,"Middle-Aged","Senior")))</f>
        <v>Youth</v>
      </c>
    </row>
    <row r="186" spans="1:12" x14ac:dyDescent="0.3">
      <c r="A186" t="s">
        <v>607</v>
      </c>
      <c r="B186" t="s">
        <v>608</v>
      </c>
      <c r="C186" t="str">
        <f t="shared" si="6"/>
        <v>Leonard Cochran</v>
      </c>
      <c r="D186" t="str">
        <f t="shared" si="7"/>
        <v>Leonard Cochran</v>
      </c>
      <c r="E186" s="7">
        <v>46</v>
      </c>
      <c r="F186" t="s">
        <v>16</v>
      </c>
      <c r="G186" t="s">
        <v>609</v>
      </c>
      <c r="H186" t="s">
        <v>18</v>
      </c>
      <c r="I186" t="s">
        <v>12</v>
      </c>
      <c r="J186" t="s">
        <v>31</v>
      </c>
      <c r="K186" t="str">
        <f t="shared" si="8"/>
        <v>Silver</v>
      </c>
      <c r="L186" t="str">
        <f>IF(Customer_Dim[[#This Row],[Age]]&lt;25,"Youth",
   IF(Customer_Dim[[#This Row],[Age]]&lt;=40,"Adult",
   IF(Customer_Dim[[#This Row],[Age]]&lt;=60,"Middle-Aged","Senior")))</f>
        <v>Middle-Aged</v>
      </c>
    </row>
    <row r="187" spans="1:12" x14ac:dyDescent="0.3">
      <c r="A187" t="s">
        <v>610</v>
      </c>
      <c r="B187" t="s">
        <v>611</v>
      </c>
      <c r="C187" t="str">
        <f t="shared" si="6"/>
        <v>Brent Rivas</v>
      </c>
      <c r="D187" t="str">
        <f t="shared" si="7"/>
        <v>Brent Rivas</v>
      </c>
      <c r="E187" s="7">
        <v>54</v>
      </c>
      <c r="F187" t="s">
        <v>16</v>
      </c>
      <c r="G187" t="s">
        <v>612</v>
      </c>
      <c r="H187" t="s">
        <v>88</v>
      </c>
      <c r="I187" t="s">
        <v>12</v>
      </c>
      <c r="J187" t="s">
        <v>19</v>
      </c>
      <c r="K187" t="str">
        <f t="shared" si="8"/>
        <v>Platinum</v>
      </c>
      <c r="L187" t="str">
        <f>IF(Customer_Dim[[#This Row],[Age]]&lt;25,"Youth",
   IF(Customer_Dim[[#This Row],[Age]]&lt;=40,"Adult",
   IF(Customer_Dim[[#This Row],[Age]]&lt;=60,"Middle-Aged","Senior")))</f>
        <v>Middle-Aged</v>
      </c>
    </row>
    <row r="188" spans="1:12" x14ac:dyDescent="0.3">
      <c r="A188" t="s">
        <v>613</v>
      </c>
      <c r="B188" t="s">
        <v>614</v>
      </c>
      <c r="C188" t="str">
        <f t="shared" si="6"/>
        <v>Jennifer Pruitt</v>
      </c>
      <c r="D188" t="str">
        <f t="shared" si="7"/>
        <v>Jennifer Pruitt</v>
      </c>
      <c r="E188" s="7">
        <v>53</v>
      </c>
      <c r="F188" t="s">
        <v>9</v>
      </c>
      <c r="G188" t="s">
        <v>615</v>
      </c>
      <c r="H188" t="s">
        <v>113</v>
      </c>
      <c r="I188" t="s">
        <v>12</v>
      </c>
      <c r="J188" t="s">
        <v>31</v>
      </c>
      <c r="K188" t="str">
        <f t="shared" si="8"/>
        <v>Silver</v>
      </c>
      <c r="L188" t="str">
        <f>IF(Customer_Dim[[#This Row],[Age]]&lt;25,"Youth",
   IF(Customer_Dim[[#This Row],[Age]]&lt;=40,"Adult",
   IF(Customer_Dim[[#This Row],[Age]]&lt;=60,"Middle-Aged","Senior")))</f>
        <v>Middle-Aged</v>
      </c>
    </row>
    <row r="189" spans="1:12" x14ac:dyDescent="0.3">
      <c r="A189" t="s">
        <v>616</v>
      </c>
      <c r="B189" t="s">
        <v>617</v>
      </c>
      <c r="C189" t="str">
        <f t="shared" si="6"/>
        <v>Dr. Suzanne Bullock</v>
      </c>
      <c r="D189" t="str">
        <f t="shared" si="7"/>
        <v>Dr. Suzanne Bullock</v>
      </c>
      <c r="E189" s="7">
        <v>60</v>
      </c>
      <c r="F189" t="s">
        <v>16</v>
      </c>
      <c r="G189" t="s">
        <v>618</v>
      </c>
      <c r="H189" t="s">
        <v>22</v>
      </c>
      <c r="I189" t="s">
        <v>12</v>
      </c>
      <c r="J189" t="s">
        <v>19</v>
      </c>
      <c r="K189" t="str">
        <f t="shared" si="8"/>
        <v>Platinum</v>
      </c>
      <c r="L189" t="str">
        <f>IF(Customer_Dim[[#This Row],[Age]]&lt;25,"Youth",
   IF(Customer_Dim[[#This Row],[Age]]&lt;=40,"Adult",
   IF(Customer_Dim[[#This Row],[Age]]&lt;=60,"Middle-Aged","Senior")))</f>
        <v>Middle-Aged</v>
      </c>
    </row>
    <row r="190" spans="1:12" x14ac:dyDescent="0.3">
      <c r="A190" t="s">
        <v>619</v>
      </c>
      <c r="B190" t="s">
        <v>620</v>
      </c>
      <c r="C190" t="str">
        <f t="shared" si="6"/>
        <v>Kimberly Brooks</v>
      </c>
      <c r="D190" t="str">
        <f t="shared" si="7"/>
        <v>Kimberly Brooks</v>
      </c>
      <c r="E190" s="7">
        <v>42</v>
      </c>
      <c r="F190" t="s">
        <v>9</v>
      </c>
      <c r="G190" t="s">
        <v>621</v>
      </c>
      <c r="H190" t="s">
        <v>233</v>
      </c>
      <c r="I190" t="s">
        <v>12</v>
      </c>
      <c r="J190" t="s">
        <v>31</v>
      </c>
      <c r="K190" t="str">
        <f t="shared" si="8"/>
        <v>Silver</v>
      </c>
      <c r="L190" t="str">
        <f>IF(Customer_Dim[[#This Row],[Age]]&lt;25,"Youth",
   IF(Customer_Dim[[#This Row],[Age]]&lt;=40,"Adult",
   IF(Customer_Dim[[#This Row],[Age]]&lt;=60,"Middle-Aged","Senior")))</f>
        <v>Middle-Aged</v>
      </c>
    </row>
    <row r="191" spans="1:12" x14ac:dyDescent="0.3">
      <c r="A191" t="s">
        <v>622</v>
      </c>
      <c r="B191" t="s">
        <v>623</v>
      </c>
      <c r="C191" t="str">
        <f t="shared" si="6"/>
        <v>Daniel Austin</v>
      </c>
      <c r="D191" t="str">
        <f t="shared" si="7"/>
        <v>Daniel Austin</v>
      </c>
      <c r="E191" s="7">
        <v>29</v>
      </c>
      <c r="F191" t="s">
        <v>9</v>
      </c>
      <c r="G191" t="s">
        <v>624</v>
      </c>
      <c r="H191" t="s">
        <v>588</v>
      </c>
      <c r="I191" t="s">
        <v>12</v>
      </c>
      <c r="J191" t="s">
        <v>13</v>
      </c>
      <c r="K191" t="str">
        <f t="shared" si="8"/>
        <v>Gold</v>
      </c>
      <c r="L191" t="str">
        <f>IF(Customer_Dim[[#This Row],[Age]]&lt;25,"Youth",
   IF(Customer_Dim[[#This Row],[Age]]&lt;=40,"Adult",
   IF(Customer_Dim[[#This Row],[Age]]&lt;=60,"Middle-Aged","Senior")))</f>
        <v>Adult</v>
      </c>
    </row>
    <row r="192" spans="1:12" x14ac:dyDescent="0.3">
      <c r="A192" t="s">
        <v>625</v>
      </c>
      <c r="B192" t="s">
        <v>626</v>
      </c>
      <c r="C192" t="str">
        <f t="shared" si="6"/>
        <v>Christopher Stewart</v>
      </c>
      <c r="D192" t="str">
        <f t="shared" si="7"/>
        <v>Christopher Stewart</v>
      </c>
      <c r="E192" s="7">
        <v>21</v>
      </c>
      <c r="F192" t="s">
        <v>9</v>
      </c>
      <c r="G192" t="s">
        <v>627</v>
      </c>
      <c r="H192" t="s">
        <v>58</v>
      </c>
      <c r="I192" t="s">
        <v>12</v>
      </c>
      <c r="J192" t="s">
        <v>26</v>
      </c>
      <c r="K192" t="str">
        <f t="shared" si="8"/>
        <v>Bronze</v>
      </c>
      <c r="L192" t="str">
        <f>IF(Customer_Dim[[#This Row],[Age]]&lt;25,"Youth",
   IF(Customer_Dim[[#This Row],[Age]]&lt;=40,"Adult",
   IF(Customer_Dim[[#This Row],[Age]]&lt;=60,"Middle-Aged","Senior")))</f>
        <v>Youth</v>
      </c>
    </row>
    <row r="193" spans="1:12" x14ac:dyDescent="0.3">
      <c r="A193" t="s">
        <v>628</v>
      </c>
      <c r="B193" t="s">
        <v>629</v>
      </c>
      <c r="C193" t="str">
        <f t="shared" si="6"/>
        <v>Todd Poole</v>
      </c>
      <c r="D193" t="str">
        <f t="shared" si="7"/>
        <v>Todd Poole</v>
      </c>
      <c r="E193" s="7">
        <v>29</v>
      </c>
      <c r="F193" t="s">
        <v>16</v>
      </c>
      <c r="G193" t="s">
        <v>630</v>
      </c>
      <c r="H193" t="s">
        <v>25</v>
      </c>
      <c r="I193" t="s">
        <v>12</v>
      </c>
      <c r="J193" t="s">
        <v>26</v>
      </c>
      <c r="K193" t="str">
        <f t="shared" si="8"/>
        <v>Bronze</v>
      </c>
      <c r="L193" t="str">
        <f>IF(Customer_Dim[[#This Row],[Age]]&lt;25,"Youth",
   IF(Customer_Dim[[#This Row],[Age]]&lt;=40,"Adult",
   IF(Customer_Dim[[#This Row],[Age]]&lt;=60,"Middle-Aged","Senior")))</f>
        <v>Adult</v>
      </c>
    </row>
    <row r="194" spans="1:12" x14ac:dyDescent="0.3">
      <c r="A194" t="s">
        <v>631</v>
      </c>
      <c r="B194" t="s">
        <v>632</v>
      </c>
      <c r="C194" t="str">
        <f t="shared" si="6"/>
        <v>Jacob Wood</v>
      </c>
      <c r="D194" t="str">
        <f t="shared" si="7"/>
        <v>Jacob Wood</v>
      </c>
      <c r="E194" s="7">
        <v>26</v>
      </c>
      <c r="F194" t="s">
        <v>9</v>
      </c>
      <c r="G194" t="s">
        <v>633</v>
      </c>
      <c r="H194" t="s">
        <v>106</v>
      </c>
      <c r="I194" t="s">
        <v>12</v>
      </c>
      <c r="J194" t="s">
        <v>13</v>
      </c>
      <c r="K194" t="str">
        <f t="shared" si="8"/>
        <v>Gold</v>
      </c>
      <c r="L194" t="str">
        <f>IF(Customer_Dim[[#This Row],[Age]]&lt;25,"Youth",
   IF(Customer_Dim[[#This Row],[Age]]&lt;=40,"Adult",
   IF(Customer_Dim[[#This Row],[Age]]&lt;=60,"Middle-Aged","Senior")))</f>
        <v>Adult</v>
      </c>
    </row>
    <row r="195" spans="1:12" x14ac:dyDescent="0.3">
      <c r="A195" t="s">
        <v>634</v>
      </c>
      <c r="B195" t="s">
        <v>635</v>
      </c>
      <c r="C195" t="str">
        <f t="shared" ref="C195:C258" si="9">PROPER(B195)</f>
        <v>David Roberts</v>
      </c>
      <c r="D195" t="str">
        <f t="shared" ref="D195:D258" si="10">TRIM(C195)</f>
        <v>David Roberts</v>
      </c>
      <c r="E195" s="7">
        <v>38</v>
      </c>
      <c r="F195" t="s">
        <v>9</v>
      </c>
      <c r="G195" t="s">
        <v>636</v>
      </c>
      <c r="H195" t="s">
        <v>81</v>
      </c>
      <c r="I195" t="s">
        <v>12</v>
      </c>
      <c r="J195" t="s">
        <v>13</v>
      </c>
      <c r="K195" t="str">
        <f t="shared" ref="K195:K258" si="11">IF(ISBLANK(J195),"UNKNOWN",J195)</f>
        <v>Gold</v>
      </c>
      <c r="L195" t="str">
        <f>IF(Customer_Dim[[#This Row],[Age]]&lt;25,"Youth",
   IF(Customer_Dim[[#This Row],[Age]]&lt;=40,"Adult",
   IF(Customer_Dim[[#This Row],[Age]]&lt;=60,"Middle-Aged","Senior")))</f>
        <v>Adult</v>
      </c>
    </row>
    <row r="196" spans="1:12" x14ac:dyDescent="0.3">
      <c r="A196" t="s">
        <v>637</v>
      </c>
      <c r="B196" t="s">
        <v>638</v>
      </c>
      <c r="C196" t="str">
        <f t="shared" si="9"/>
        <v>Ashley Ferguson</v>
      </c>
      <c r="D196" t="str">
        <f t="shared" si="10"/>
        <v>Ashley Ferguson</v>
      </c>
      <c r="E196" s="7">
        <v>46</v>
      </c>
      <c r="F196" t="s">
        <v>9</v>
      </c>
      <c r="G196" t="s">
        <v>639</v>
      </c>
      <c r="H196" t="s">
        <v>51</v>
      </c>
      <c r="I196" t="s">
        <v>12</v>
      </c>
      <c r="J196" t="s">
        <v>13</v>
      </c>
      <c r="K196" t="str">
        <f t="shared" si="11"/>
        <v>Gold</v>
      </c>
      <c r="L196" t="str">
        <f>IF(Customer_Dim[[#This Row],[Age]]&lt;25,"Youth",
   IF(Customer_Dim[[#This Row],[Age]]&lt;=40,"Adult",
   IF(Customer_Dim[[#This Row],[Age]]&lt;=60,"Middle-Aged","Senior")))</f>
        <v>Middle-Aged</v>
      </c>
    </row>
    <row r="197" spans="1:12" x14ac:dyDescent="0.3">
      <c r="A197" t="s">
        <v>640</v>
      </c>
      <c r="B197" t="s">
        <v>641</v>
      </c>
      <c r="C197" t="str">
        <f t="shared" si="9"/>
        <v>Anthony Garcia</v>
      </c>
      <c r="D197" t="str">
        <f t="shared" si="10"/>
        <v>Anthony Garcia</v>
      </c>
      <c r="E197" s="7">
        <v>60</v>
      </c>
      <c r="F197" t="s">
        <v>9</v>
      </c>
      <c r="G197" t="s">
        <v>642</v>
      </c>
      <c r="H197" t="s">
        <v>133</v>
      </c>
      <c r="I197" t="s">
        <v>12</v>
      </c>
      <c r="J197" t="s">
        <v>31</v>
      </c>
      <c r="K197" t="str">
        <f t="shared" si="11"/>
        <v>Silver</v>
      </c>
      <c r="L197" t="str">
        <f>IF(Customer_Dim[[#This Row],[Age]]&lt;25,"Youth",
   IF(Customer_Dim[[#This Row],[Age]]&lt;=40,"Adult",
   IF(Customer_Dim[[#This Row],[Age]]&lt;=60,"Middle-Aged","Senior")))</f>
        <v>Middle-Aged</v>
      </c>
    </row>
    <row r="198" spans="1:12" x14ac:dyDescent="0.3">
      <c r="A198" t="s">
        <v>643</v>
      </c>
      <c r="B198" t="s">
        <v>644</v>
      </c>
      <c r="C198" t="str">
        <f t="shared" si="9"/>
        <v>Megan Greer</v>
      </c>
      <c r="D198" t="str">
        <f t="shared" si="10"/>
        <v>Megan Greer</v>
      </c>
      <c r="E198" s="7">
        <v>18</v>
      </c>
      <c r="F198" t="s">
        <v>16</v>
      </c>
      <c r="G198" t="s">
        <v>645</v>
      </c>
      <c r="H198" t="s">
        <v>163</v>
      </c>
      <c r="I198" t="s">
        <v>12</v>
      </c>
      <c r="J198" t="s">
        <v>19</v>
      </c>
      <c r="K198" t="str">
        <f t="shared" si="11"/>
        <v>Platinum</v>
      </c>
      <c r="L198" t="str">
        <f>IF(Customer_Dim[[#This Row],[Age]]&lt;25,"Youth",
   IF(Customer_Dim[[#This Row],[Age]]&lt;=40,"Adult",
   IF(Customer_Dim[[#This Row],[Age]]&lt;=60,"Middle-Aged","Senior")))</f>
        <v>Youth</v>
      </c>
    </row>
    <row r="199" spans="1:12" x14ac:dyDescent="0.3">
      <c r="A199" t="s">
        <v>646</v>
      </c>
      <c r="B199" t="s">
        <v>647</v>
      </c>
      <c r="C199" t="str">
        <f t="shared" si="9"/>
        <v>Andrea Jacobs</v>
      </c>
      <c r="D199" t="str">
        <f t="shared" si="10"/>
        <v>Andrea Jacobs</v>
      </c>
      <c r="E199" s="7">
        <v>45</v>
      </c>
      <c r="F199" t="s">
        <v>16</v>
      </c>
      <c r="G199" t="s">
        <v>207</v>
      </c>
      <c r="H199" t="s">
        <v>201</v>
      </c>
      <c r="I199" t="s">
        <v>12</v>
      </c>
      <c r="J199" t="s">
        <v>19</v>
      </c>
      <c r="K199" t="str">
        <f t="shared" si="11"/>
        <v>Platinum</v>
      </c>
      <c r="L199" t="str">
        <f>IF(Customer_Dim[[#This Row],[Age]]&lt;25,"Youth",
   IF(Customer_Dim[[#This Row],[Age]]&lt;=40,"Adult",
   IF(Customer_Dim[[#This Row],[Age]]&lt;=60,"Middle-Aged","Senior")))</f>
        <v>Middle-Aged</v>
      </c>
    </row>
    <row r="200" spans="1:12" x14ac:dyDescent="0.3">
      <c r="A200" t="s">
        <v>648</v>
      </c>
      <c r="B200" t="s">
        <v>649</v>
      </c>
      <c r="C200" t="str">
        <f t="shared" si="9"/>
        <v>Wanda Snyder</v>
      </c>
      <c r="D200" t="str">
        <f t="shared" si="10"/>
        <v>Wanda Snyder</v>
      </c>
      <c r="E200" s="7">
        <v>54</v>
      </c>
      <c r="F200" t="s">
        <v>9</v>
      </c>
      <c r="G200" t="s">
        <v>650</v>
      </c>
      <c r="H200" t="s">
        <v>171</v>
      </c>
      <c r="I200" t="s">
        <v>12</v>
      </c>
      <c r="J200" t="s">
        <v>26</v>
      </c>
      <c r="K200" t="str">
        <f t="shared" si="11"/>
        <v>Bronze</v>
      </c>
      <c r="L200" t="str">
        <f>IF(Customer_Dim[[#This Row],[Age]]&lt;25,"Youth",
   IF(Customer_Dim[[#This Row],[Age]]&lt;=40,"Adult",
   IF(Customer_Dim[[#This Row],[Age]]&lt;=60,"Middle-Aged","Senior")))</f>
        <v>Middle-Aged</v>
      </c>
    </row>
    <row r="201" spans="1:12" x14ac:dyDescent="0.3">
      <c r="A201" t="s">
        <v>651</v>
      </c>
      <c r="B201" t="s">
        <v>652</v>
      </c>
      <c r="C201" t="str">
        <f t="shared" si="9"/>
        <v>Carmen Price</v>
      </c>
      <c r="D201" t="str">
        <f t="shared" si="10"/>
        <v>Carmen Price</v>
      </c>
      <c r="E201" s="7">
        <v>46</v>
      </c>
      <c r="F201" t="s">
        <v>9</v>
      </c>
      <c r="G201" t="s">
        <v>653</v>
      </c>
      <c r="H201" t="s">
        <v>237</v>
      </c>
      <c r="I201" t="s">
        <v>12</v>
      </c>
      <c r="J201" t="s">
        <v>26</v>
      </c>
      <c r="K201" t="str">
        <f t="shared" si="11"/>
        <v>Bronze</v>
      </c>
      <c r="L201" t="str">
        <f>IF(Customer_Dim[[#This Row],[Age]]&lt;25,"Youth",
   IF(Customer_Dim[[#This Row],[Age]]&lt;=40,"Adult",
   IF(Customer_Dim[[#This Row],[Age]]&lt;=60,"Middle-Aged","Senior")))</f>
        <v>Middle-Aged</v>
      </c>
    </row>
    <row r="202" spans="1:12" x14ac:dyDescent="0.3">
      <c r="A202" t="s">
        <v>654</v>
      </c>
      <c r="B202" t="s">
        <v>655</v>
      </c>
      <c r="C202" t="str">
        <f t="shared" si="9"/>
        <v>Anna Perez</v>
      </c>
      <c r="D202" t="str">
        <f t="shared" si="10"/>
        <v>Anna Perez</v>
      </c>
      <c r="E202" s="7">
        <v>30</v>
      </c>
      <c r="F202" t="s">
        <v>9</v>
      </c>
      <c r="G202" t="s">
        <v>656</v>
      </c>
      <c r="H202" t="s">
        <v>434</v>
      </c>
      <c r="I202" t="s">
        <v>12</v>
      </c>
      <c r="J202" t="s">
        <v>19</v>
      </c>
      <c r="K202" t="str">
        <f t="shared" si="11"/>
        <v>Platinum</v>
      </c>
      <c r="L202" t="str">
        <f>IF(Customer_Dim[[#This Row],[Age]]&lt;25,"Youth",
   IF(Customer_Dim[[#This Row],[Age]]&lt;=40,"Adult",
   IF(Customer_Dim[[#This Row],[Age]]&lt;=60,"Middle-Aged","Senior")))</f>
        <v>Adult</v>
      </c>
    </row>
    <row r="203" spans="1:12" x14ac:dyDescent="0.3">
      <c r="A203" t="s">
        <v>657</v>
      </c>
      <c r="B203" t="s">
        <v>658</v>
      </c>
      <c r="C203" t="str">
        <f t="shared" si="9"/>
        <v>Mary Boyd</v>
      </c>
      <c r="D203" t="str">
        <f t="shared" si="10"/>
        <v>Mary Boyd</v>
      </c>
      <c r="E203" s="7">
        <v>25</v>
      </c>
      <c r="F203" t="s">
        <v>16</v>
      </c>
      <c r="G203" t="s">
        <v>659</v>
      </c>
      <c r="H203" t="s">
        <v>156</v>
      </c>
      <c r="I203" t="s">
        <v>12</v>
      </c>
      <c r="J203" t="s">
        <v>26</v>
      </c>
      <c r="K203" t="str">
        <f t="shared" si="11"/>
        <v>Bronze</v>
      </c>
      <c r="L203" t="str">
        <f>IF(Customer_Dim[[#This Row],[Age]]&lt;25,"Youth",
   IF(Customer_Dim[[#This Row],[Age]]&lt;=40,"Adult",
   IF(Customer_Dim[[#This Row],[Age]]&lt;=60,"Middle-Aged","Senior")))</f>
        <v>Adult</v>
      </c>
    </row>
    <row r="204" spans="1:12" x14ac:dyDescent="0.3">
      <c r="A204" t="s">
        <v>660</v>
      </c>
      <c r="B204" t="s">
        <v>661</v>
      </c>
      <c r="C204" t="str">
        <f t="shared" si="9"/>
        <v>Christina Garcia</v>
      </c>
      <c r="D204" t="str">
        <f t="shared" si="10"/>
        <v>Christina Garcia</v>
      </c>
      <c r="E204" s="7">
        <v>37</v>
      </c>
      <c r="F204" t="s">
        <v>16</v>
      </c>
      <c r="G204" t="s">
        <v>662</v>
      </c>
      <c r="H204" t="s">
        <v>62</v>
      </c>
      <c r="I204" t="s">
        <v>12</v>
      </c>
      <c r="J204" t="s">
        <v>19</v>
      </c>
      <c r="K204" t="str">
        <f t="shared" si="11"/>
        <v>Platinum</v>
      </c>
      <c r="L204" t="str">
        <f>IF(Customer_Dim[[#This Row],[Age]]&lt;25,"Youth",
   IF(Customer_Dim[[#This Row],[Age]]&lt;=40,"Adult",
   IF(Customer_Dim[[#This Row],[Age]]&lt;=60,"Middle-Aged","Senior")))</f>
        <v>Adult</v>
      </c>
    </row>
    <row r="205" spans="1:12" x14ac:dyDescent="0.3">
      <c r="A205" t="s">
        <v>663</v>
      </c>
      <c r="B205" t="s">
        <v>664</v>
      </c>
      <c r="C205" t="str">
        <f t="shared" si="9"/>
        <v>Sarah Brady</v>
      </c>
      <c r="D205" t="str">
        <f t="shared" si="10"/>
        <v>Sarah Brady</v>
      </c>
      <c r="E205" s="7">
        <v>47</v>
      </c>
      <c r="F205" t="s">
        <v>9</v>
      </c>
      <c r="G205" t="s">
        <v>665</v>
      </c>
      <c r="H205" t="s">
        <v>267</v>
      </c>
      <c r="I205" t="s">
        <v>12</v>
      </c>
      <c r="J205" t="s">
        <v>19</v>
      </c>
      <c r="K205" t="str">
        <f t="shared" si="11"/>
        <v>Platinum</v>
      </c>
      <c r="L205" t="str">
        <f>IF(Customer_Dim[[#This Row],[Age]]&lt;25,"Youth",
   IF(Customer_Dim[[#This Row],[Age]]&lt;=40,"Adult",
   IF(Customer_Dim[[#This Row],[Age]]&lt;=60,"Middle-Aged","Senior")))</f>
        <v>Middle-Aged</v>
      </c>
    </row>
    <row r="206" spans="1:12" x14ac:dyDescent="0.3">
      <c r="A206" t="s">
        <v>666</v>
      </c>
      <c r="B206" t="s">
        <v>667</v>
      </c>
      <c r="C206" t="str">
        <f t="shared" si="9"/>
        <v>Tiffany Herrera</v>
      </c>
      <c r="D206" t="str">
        <f t="shared" si="10"/>
        <v>Tiffany Herrera</v>
      </c>
      <c r="E206" s="7">
        <v>52</v>
      </c>
      <c r="F206" t="s">
        <v>9</v>
      </c>
      <c r="G206" t="s">
        <v>668</v>
      </c>
      <c r="H206" t="s">
        <v>287</v>
      </c>
      <c r="I206" t="s">
        <v>12</v>
      </c>
      <c r="J206" t="s">
        <v>19</v>
      </c>
      <c r="K206" t="str">
        <f t="shared" si="11"/>
        <v>Platinum</v>
      </c>
      <c r="L206" t="str">
        <f>IF(Customer_Dim[[#This Row],[Age]]&lt;25,"Youth",
   IF(Customer_Dim[[#This Row],[Age]]&lt;=40,"Adult",
   IF(Customer_Dim[[#This Row],[Age]]&lt;=60,"Middle-Aged","Senior")))</f>
        <v>Middle-Aged</v>
      </c>
    </row>
    <row r="207" spans="1:12" x14ac:dyDescent="0.3">
      <c r="A207" t="s">
        <v>669</v>
      </c>
      <c r="B207" t="s">
        <v>670</v>
      </c>
      <c r="C207" t="str">
        <f t="shared" si="9"/>
        <v>Michelle Carpenter</v>
      </c>
      <c r="D207" t="str">
        <f t="shared" si="10"/>
        <v>Michelle Carpenter</v>
      </c>
      <c r="E207" s="7">
        <v>44</v>
      </c>
      <c r="F207" t="s">
        <v>16</v>
      </c>
      <c r="G207" t="s">
        <v>671</v>
      </c>
      <c r="H207" t="s">
        <v>88</v>
      </c>
      <c r="I207" t="s">
        <v>12</v>
      </c>
      <c r="J207" t="s">
        <v>13</v>
      </c>
      <c r="K207" t="str">
        <f t="shared" si="11"/>
        <v>Gold</v>
      </c>
      <c r="L207" t="str">
        <f>IF(Customer_Dim[[#This Row],[Age]]&lt;25,"Youth",
   IF(Customer_Dim[[#This Row],[Age]]&lt;=40,"Adult",
   IF(Customer_Dim[[#This Row],[Age]]&lt;=60,"Middle-Aged","Senior")))</f>
        <v>Middle-Aged</v>
      </c>
    </row>
    <row r="208" spans="1:12" x14ac:dyDescent="0.3">
      <c r="A208" t="s">
        <v>672</v>
      </c>
      <c r="B208" t="s">
        <v>673</v>
      </c>
      <c r="C208" t="str">
        <f t="shared" si="9"/>
        <v>Ronald Jones</v>
      </c>
      <c r="D208" t="str">
        <f t="shared" si="10"/>
        <v>Ronald Jones</v>
      </c>
      <c r="E208" s="7">
        <v>26</v>
      </c>
      <c r="F208" t="s">
        <v>16</v>
      </c>
      <c r="G208" t="s">
        <v>674</v>
      </c>
      <c r="H208" t="s">
        <v>237</v>
      </c>
      <c r="I208" t="s">
        <v>12</v>
      </c>
      <c r="J208" t="s">
        <v>31</v>
      </c>
      <c r="K208" t="str">
        <f t="shared" si="11"/>
        <v>Silver</v>
      </c>
      <c r="L208" t="str">
        <f>IF(Customer_Dim[[#This Row],[Age]]&lt;25,"Youth",
   IF(Customer_Dim[[#This Row],[Age]]&lt;=40,"Adult",
   IF(Customer_Dim[[#This Row],[Age]]&lt;=60,"Middle-Aged","Senior")))</f>
        <v>Adult</v>
      </c>
    </row>
    <row r="209" spans="1:12" x14ac:dyDescent="0.3">
      <c r="A209" t="s">
        <v>675</v>
      </c>
      <c r="B209" t="s">
        <v>676</v>
      </c>
      <c r="C209" t="str">
        <f t="shared" si="9"/>
        <v>Jacqueline Pacheco</v>
      </c>
      <c r="D209" t="str">
        <f t="shared" si="10"/>
        <v>Jacqueline Pacheco</v>
      </c>
      <c r="E209" s="7">
        <v>28</v>
      </c>
      <c r="F209" t="s">
        <v>16</v>
      </c>
      <c r="G209" t="s">
        <v>677</v>
      </c>
      <c r="H209" t="s">
        <v>88</v>
      </c>
      <c r="I209" t="s">
        <v>12</v>
      </c>
      <c r="J209" t="s">
        <v>26</v>
      </c>
      <c r="K209" t="str">
        <f t="shared" si="11"/>
        <v>Bronze</v>
      </c>
      <c r="L209" t="str">
        <f>IF(Customer_Dim[[#This Row],[Age]]&lt;25,"Youth",
   IF(Customer_Dim[[#This Row],[Age]]&lt;=40,"Adult",
   IF(Customer_Dim[[#This Row],[Age]]&lt;=60,"Middle-Aged","Senior")))</f>
        <v>Adult</v>
      </c>
    </row>
    <row r="210" spans="1:12" x14ac:dyDescent="0.3">
      <c r="A210" t="s">
        <v>678</v>
      </c>
      <c r="B210" t="s">
        <v>679</v>
      </c>
      <c r="C210" t="str">
        <f t="shared" si="9"/>
        <v>John Perez</v>
      </c>
      <c r="D210" t="str">
        <f t="shared" si="10"/>
        <v>John Perez</v>
      </c>
      <c r="E210" s="7">
        <v>54</v>
      </c>
      <c r="F210" t="s">
        <v>9</v>
      </c>
      <c r="G210" t="s">
        <v>680</v>
      </c>
      <c r="H210" t="s">
        <v>328</v>
      </c>
      <c r="I210" t="s">
        <v>12</v>
      </c>
      <c r="J210" t="s">
        <v>19</v>
      </c>
      <c r="K210" t="str">
        <f t="shared" si="11"/>
        <v>Platinum</v>
      </c>
      <c r="L210" t="str">
        <f>IF(Customer_Dim[[#This Row],[Age]]&lt;25,"Youth",
   IF(Customer_Dim[[#This Row],[Age]]&lt;=40,"Adult",
   IF(Customer_Dim[[#This Row],[Age]]&lt;=60,"Middle-Aged","Senior")))</f>
        <v>Middle-Aged</v>
      </c>
    </row>
    <row r="211" spans="1:12" x14ac:dyDescent="0.3">
      <c r="A211" t="s">
        <v>681</v>
      </c>
      <c r="B211" t="s">
        <v>682</v>
      </c>
      <c r="C211" t="str">
        <f t="shared" si="9"/>
        <v>Joan Johnson</v>
      </c>
      <c r="D211" t="str">
        <f t="shared" si="10"/>
        <v>Joan Johnson</v>
      </c>
      <c r="E211" s="7">
        <v>50</v>
      </c>
      <c r="F211" t="s">
        <v>16</v>
      </c>
      <c r="G211" t="s">
        <v>683</v>
      </c>
      <c r="H211" t="s">
        <v>434</v>
      </c>
      <c r="I211" t="s">
        <v>12</v>
      </c>
      <c r="J211" t="s">
        <v>19</v>
      </c>
      <c r="K211" t="str">
        <f t="shared" si="11"/>
        <v>Platinum</v>
      </c>
      <c r="L211" t="str">
        <f>IF(Customer_Dim[[#This Row],[Age]]&lt;25,"Youth",
   IF(Customer_Dim[[#This Row],[Age]]&lt;=40,"Adult",
   IF(Customer_Dim[[#This Row],[Age]]&lt;=60,"Middle-Aged","Senior")))</f>
        <v>Middle-Aged</v>
      </c>
    </row>
    <row r="212" spans="1:12" x14ac:dyDescent="0.3">
      <c r="A212" t="s">
        <v>684</v>
      </c>
      <c r="B212" t="s">
        <v>685</v>
      </c>
      <c r="C212" t="str">
        <f t="shared" si="9"/>
        <v>Antonio Jones</v>
      </c>
      <c r="D212" t="str">
        <f t="shared" si="10"/>
        <v>Antonio Jones</v>
      </c>
      <c r="E212" s="7">
        <v>48</v>
      </c>
      <c r="F212" t="s">
        <v>9</v>
      </c>
      <c r="G212" t="s">
        <v>686</v>
      </c>
      <c r="H212" t="s">
        <v>81</v>
      </c>
      <c r="I212" t="s">
        <v>12</v>
      </c>
      <c r="J212" t="s">
        <v>31</v>
      </c>
      <c r="K212" t="str">
        <f t="shared" si="11"/>
        <v>Silver</v>
      </c>
      <c r="L212" t="str">
        <f>IF(Customer_Dim[[#This Row],[Age]]&lt;25,"Youth",
   IF(Customer_Dim[[#This Row],[Age]]&lt;=40,"Adult",
   IF(Customer_Dim[[#This Row],[Age]]&lt;=60,"Middle-Aged","Senior")))</f>
        <v>Middle-Aged</v>
      </c>
    </row>
    <row r="213" spans="1:12" x14ac:dyDescent="0.3">
      <c r="A213" t="s">
        <v>687</v>
      </c>
      <c r="B213" t="s">
        <v>688</v>
      </c>
      <c r="C213" t="str">
        <f t="shared" si="9"/>
        <v>Rodney Huffman</v>
      </c>
      <c r="D213" t="str">
        <f t="shared" si="10"/>
        <v>Rodney Huffman</v>
      </c>
      <c r="E213" s="7">
        <v>20</v>
      </c>
      <c r="F213" t="s">
        <v>16</v>
      </c>
      <c r="G213" t="s">
        <v>689</v>
      </c>
      <c r="H213" t="s">
        <v>92</v>
      </c>
      <c r="I213" t="s">
        <v>12</v>
      </c>
      <c r="J213" t="s">
        <v>31</v>
      </c>
      <c r="K213" t="str">
        <f t="shared" si="11"/>
        <v>Silver</v>
      </c>
      <c r="L213" t="str">
        <f>IF(Customer_Dim[[#This Row],[Age]]&lt;25,"Youth",
   IF(Customer_Dim[[#This Row],[Age]]&lt;=40,"Adult",
   IF(Customer_Dim[[#This Row],[Age]]&lt;=60,"Middle-Aged","Senior")))</f>
        <v>Youth</v>
      </c>
    </row>
    <row r="214" spans="1:12" x14ac:dyDescent="0.3">
      <c r="A214" t="s">
        <v>690</v>
      </c>
      <c r="B214" t="s">
        <v>691</v>
      </c>
      <c r="C214" t="str">
        <f t="shared" si="9"/>
        <v>Blake Harrison</v>
      </c>
      <c r="D214" t="str">
        <f t="shared" si="10"/>
        <v>Blake Harrison</v>
      </c>
      <c r="E214" s="7">
        <v>63</v>
      </c>
      <c r="F214" t="s">
        <v>16</v>
      </c>
      <c r="G214" t="s">
        <v>692</v>
      </c>
      <c r="H214" t="s">
        <v>74</v>
      </c>
      <c r="I214" t="s">
        <v>12</v>
      </c>
      <c r="J214" t="s">
        <v>19</v>
      </c>
      <c r="K214" t="str">
        <f t="shared" si="11"/>
        <v>Platinum</v>
      </c>
      <c r="L214" t="str">
        <f>IF(Customer_Dim[[#This Row],[Age]]&lt;25,"Youth",
   IF(Customer_Dim[[#This Row],[Age]]&lt;=40,"Adult",
   IF(Customer_Dim[[#This Row],[Age]]&lt;=60,"Middle-Aged","Senior")))</f>
        <v>Senior</v>
      </c>
    </row>
    <row r="215" spans="1:12" x14ac:dyDescent="0.3">
      <c r="A215" t="s">
        <v>693</v>
      </c>
      <c r="B215" t="s">
        <v>694</v>
      </c>
      <c r="C215" t="str">
        <f t="shared" si="9"/>
        <v>Stuart Johnson</v>
      </c>
      <c r="D215" t="str">
        <f t="shared" si="10"/>
        <v>Stuart Johnson</v>
      </c>
      <c r="E215" s="7">
        <v>42</v>
      </c>
      <c r="F215" t="s">
        <v>16</v>
      </c>
      <c r="G215" t="s">
        <v>695</v>
      </c>
      <c r="H215" t="s">
        <v>18</v>
      </c>
      <c r="I215" t="s">
        <v>12</v>
      </c>
      <c r="J215" t="s">
        <v>19</v>
      </c>
      <c r="K215" t="str">
        <f t="shared" si="11"/>
        <v>Platinum</v>
      </c>
      <c r="L215" t="str">
        <f>IF(Customer_Dim[[#This Row],[Age]]&lt;25,"Youth",
   IF(Customer_Dim[[#This Row],[Age]]&lt;=40,"Adult",
   IF(Customer_Dim[[#This Row],[Age]]&lt;=60,"Middle-Aged","Senior")))</f>
        <v>Middle-Aged</v>
      </c>
    </row>
    <row r="216" spans="1:12" x14ac:dyDescent="0.3">
      <c r="A216" t="s">
        <v>696</v>
      </c>
      <c r="B216" t="s">
        <v>697</v>
      </c>
      <c r="C216" t="str">
        <f t="shared" si="9"/>
        <v>Eric Todd</v>
      </c>
      <c r="D216" t="str">
        <f t="shared" si="10"/>
        <v>Eric Todd</v>
      </c>
      <c r="E216" s="7">
        <v>61</v>
      </c>
      <c r="F216" t="s">
        <v>9</v>
      </c>
      <c r="G216" t="s">
        <v>698</v>
      </c>
      <c r="H216" t="s">
        <v>66</v>
      </c>
      <c r="I216" t="s">
        <v>12</v>
      </c>
      <c r="J216" t="s">
        <v>13</v>
      </c>
      <c r="K216" t="str">
        <f t="shared" si="11"/>
        <v>Gold</v>
      </c>
      <c r="L216" t="str">
        <f>IF(Customer_Dim[[#This Row],[Age]]&lt;25,"Youth",
   IF(Customer_Dim[[#This Row],[Age]]&lt;=40,"Adult",
   IF(Customer_Dim[[#This Row],[Age]]&lt;=60,"Middle-Aged","Senior")))</f>
        <v>Senior</v>
      </c>
    </row>
    <row r="217" spans="1:12" x14ac:dyDescent="0.3">
      <c r="A217" t="s">
        <v>699</v>
      </c>
      <c r="B217" t="s">
        <v>700</v>
      </c>
      <c r="C217" t="str">
        <f t="shared" si="9"/>
        <v>Steve Medina</v>
      </c>
      <c r="D217" t="str">
        <f t="shared" si="10"/>
        <v>Steve Medina</v>
      </c>
      <c r="E217" s="7">
        <v>50</v>
      </c>
      <c r="F217" t="s">
        <v>16</v>
      </c>
      <c r="G217" t="s">
        <v>701</v>
      </c>
      <c r="H217" t="s">
        <v>35</v>
      </c>
      <c r="I217" t="s">
        <v>12</v>
      </c>
      <c r="J217" t="s">
        <v>13</v>
      </c>
      <c r="K217" t="str">
        <f t="shared" si="11"/>
        <v>Gold</v>
      </c>
      <c r="L217" t="str">
        <f>IF(Customer_Dim[[#This Row],[Age]]&lt;25,"Youth",
   IF(Customer_Dim[[#This Row],[Age]]&lt;=40,"Adult",
   IF(Customer_Dim[[#This Row],[Age]]&lt;=60,"Middle-Aged","Senior")))</f>
        <v>Middle-Aged</v>
      </c>
    </row>
    <row r="218" spans="1:12" x14ac:dyDescent="0.3">
      <c r="A218" t="s">
        <v>702</v>
      </c>
      <c r="B218" t="s">
        <v>703</v>
      </c>
      <c r="C218" t="str">
        <f t="shared" si="9"/>
        <v>Kathryn Garcia</v>
      </c>
      <c r="D218" t="str">
        <f t="shared" si="10"/>
        <v>Kathryn Garcia</v>
      </c>
      <c r="E218" s="7">
        <v>44</v>
      </c>
      <c r="F218" t="s">
        <v>9</v>
      </c>
      <c r="G218" t="s">
        <v>704</v>
      </c>
      <c r="H218" t="s">
        <v>30</v>
      </c>
      <c r="I218" t="s">
        <v>12</v>
      </c>
      <c r="J218" t="s">
        <v>19</v>
      </c>
      <c r="K218" t="str">
        <f t="shared" si="11"/>
        <v>Platinum</v>
      </c>
      <c r="L218" t="str">
        <f>IF(Customer_Dim[[#This Row],[Age]]&lt;25,"Youth",
   IF(Customer_Dim[[#This Row],[Age]]&lt;=40,"Adult",
   IF(Customer_Dim[[#This Row],[Age]]&lt;=60,"Middle-Aged","Senior")))</f>
        <v>Middle-Aged</v>
      </c>
    </row>
    <row r="219" spans="1:12" x14ac:dyDescent="0.3">
      <c r="A219" t="s">
        <v>705</v>
      </c>
      <c r="B219" t="s">
        <v>706</v>
      </c>
      <c r="C219" t="str">
        <f t="shared" si="9"/>
        <v>Kathy Copeland</v>
      </c>
      <c r="D219" t="str">
        <f t="shared" si="10"/>
        <v>Kathy Copeland</v>
      </c>
      <c r="E219" s="7">
        <v>42</v>
      </c>
      <c r="F219" t="s">
        <v>9</v>
      </c>
      <c r="G219" t="s">
        <v>707</v>
      </c>
      <c r="H219" t="s">
        <v>113</v>
      </c>
      <c r="I219" t="s">
        <v>12</v>
      </c>
      <c r="J219" t="s">
        <v>31</v>
      </c>
      <c r="K219" t="str">
        <f t="shared" si="11"/>
        <v>Silver</v>
      </c>
      <c r="L219" t="str">
        <f>IF(Customer_Dim[[#This Row],[Age]]&lt;25,"Youth",
   IF(Customer_Dim[[#This Row],[Age]]&lt;=40,"Adult",
   IF(Customer_Dim[[#This Row],[Age]]&lt;=60,"Middle-Aged","Senior")))</f>
        <v>Middle-Aged</v>
      </c>
    </row>
    <row r="220" spans="1:12" x14ac:dyDescent="0.3">
      <c r="A220" t="s">
        <v>708</v>
      </c>
      <c r="B220" t="s">
        <v>709</v>
      </c>
      <c r="C220" t="str">
        <f t="shared" si="9"/>
        <v>Julia Jackson</v>
      </c>
      <c r="D220" t="str">
        <f t="shared" si="10"/>
        <v>Julia Jackson</v>
      </c>
      <c r="E220" s="7">
        <v>46</v>
      </c>
      <c r="F220" t="s">
        <v>9</v>
      </c>
      <c r="G220" t="s">
        <v>710</v>
      </c>
      <c r="H220" t="s">
        <v>30</v>
      </c>
      <c r="I220" t="s">
        <v>12</v>
      </c>
      <c r="J220" t="s">
        <v>19</v>
      </c>
      <c r="K220" t="str">
        <f t="shared" si="11"/>
        <v>Platinum</v>
      </c>
      <c r="L220" t="str">
        <f>IF(Customer_Dim[[#This Row],[Age]]&lt;25,"Youth",
   IF(Customer_Dim[[#This Row],[Age]]&lt;=40,"Adult",
   IF(Customer_Dim[[#This Row],[Age]]&lt;=60,"Middle-Aged","Senior")))</f>
        <v>Middle-Aged</v>
      </c>
    </row>
    <row r="221" spans="1:12" x14ac:dyDescent="0.3">
      <c r="A221" t="s">
        <v>711</v>
      </c>
      <c r="B221" t="s">
        <v>712</v>
      </c>
      <c r="C221" t="str">
        <f t="shared" si="9"/>
        <v>Jordan Wells</v>
      </c>
      <c r="D221" t="str">
        <f t="shared" si="10"/>
        <v>Jordan Wells</v>
      </c>
      <c r="E221" s="7">
        <v>47</v>
      </c>
      <c r="F221" t="s">
        <v>16</v>
      </c>
      <c r="G221" t="s">
        <v>3830</v>
      </c>
      <c r="H221" t="s">
        <v>88</v>
      </c>
      <c r="I221" t="s">
        <v>12</v>
      </c>
      <c r="J221" t="s">
        <v>13</v>
      </c>
      <c r="K221" t="str">
        <f t="shared" si="11"/>
        <v>Gold</v>
      </c>
      <c r="L221" t="str">
        <f>IF(Customer_Dim[[#This Row],[Age]]&lt;25,"Youth",
   IF(Customer_Dim[[#This Row],[Age]]&lt;=40,"Adult",
   IF(Customer_Dim[[#This Row],[Age]]&lt;=60,"Middle-Aged","Senior")))</f>
        <v>Middle-Aged</v>
      </c>
    </row>
    <row r="222" spans="1:12" x14ac:dyDescent="0.3">
      <c r="A222" t="s">
        <v>713</v>
      </c>
      <c r="B222" t="s">
        <v>714</v>
      </c>
      <c r="C222" t="str">
        <f t="shared" si="9"/>
        <v>George Davis</v>
      </c>
      <c r="D222" t="str">
        <f t="shared" si="10"/>
        <v>George Davis</v>
      </c>
      <c r="E222" s="7">
        <v>50</v>
      </c>
      <c r="F222" t="s">
        <v>16</v>
      </c>
      <c r="G222" t="s">
        <v>3829</v>
      </c>
      <c r="H222" t="s">
        <v>715</v>
      </c>
      <c r="I222" t="s">
        <v>3828</v>
      </c>
      <c r="J222" t="s">
        <v>26</v>
      </c>
      <c r="K222" t="str">
        <f t="shared" si="11"/>
        <v>Bronze</v>
      </c>
      <c r="L222" t="str">
        <f>IF(Customer_Dim[[#This Row],[Age]]&lt;25,"Youth",
   IF(Customer_Dim[[#This Row],[Age]]&lt;=40,"Adult",
   IF(Customer_Dim[[#This Row],[Age]]&lt;=60,"Middle-Aged","Senior")))</f>
        <v>Middle-Aged</v>
      </c>
    </row>
    <row r="223" spans="1:12" x14ac:dyDescent="0.3">
      <c r="A223" t="s">
        <v>716</v>
      </c>
      <c r="B223" t="s">
        <v>717</v>
      </c>
      <c r="C223" t="str">
        <f t="shared" si="9"/>
        <v>Lisa Young</v>
      </c>
      <c r="D223" t="str">
        <f t="shared" si="10"/>
        <v>Lisa Young</v>
      </c>
      <c r="E223" s="7">
        <v>38</v>
      </c>
      <c r="F223" t="s">
        <v>9</v>
      </c>
      <c r="G223" t="s">
        <v>718</v>
      </c>
      <c r="H223" t="s">
        <v>81</v>
      </c>
      <c r="I223" t="s">
        <v>12</v>
      </c>
      <c r="J223" t="s">
        <v>19</v>
      </c>
      <c r="K223" t="str">
        <f t="shared" si="11"/>
        <v>Platinum</v>
      </c>
      <c r="L223" t="str">
        <f>IF(Customer_Dim[[#This Row],[Age]]&lt;25,"Youth",
   IF(Customer_Dim[[#This Row],[Age]]&lt;=40,"Adult",
   IF(Customer_Dim[[#This Row],[Age]]&lt;=60,"Middle-Aged","Senior")))</f>
        <v>Adult</v>
      </c>
    </row>
    <row r="224" spans="1:12" x14ac:dyDescent="0.3">
      <c r="A224" t="s">
        <v>719</v>
      </c>
      <c r="B224" t="s">
        <v>720</v>
      </c>
      <c r="C224" t="str">
        <f t="shared" si="9"/>
        <v>Alejandro Doyle</v>
      </c>
      <c r="D224" t="str">
        <f t="shared" si="10"/>
        <v>Alejandro Doyle</v>
      </c>
      <c r="E224" s="7">
        <v>35</v>
      </c>
      <c r="F224" t="s">
        <v>9</v>
      </c>
      <c r="G224" t="s">
        <v>721</v>
      </c>
      <c r="H224" t="s">
        <v>233</v>
      </c>
      <c r="I224" t="s">
        <v>12</v>
      </c>
      <c r="J224" t="s">
        <v>19</v>
      </c>
      <c r="K224" t="str">
        <f t="shared" si="11"/>
        <v>Platinum</v>
      </c>
      <c r="L224" t="str">
        <f>IF(Customer_Dim[[#This Row],[Age]]&lt;25,"Youth",
   IF(Customer_Dim[[#This Row],[Age]]&lt;=40,"Adult",
   IF(Customer_Dim[[#This Row],[Age]]&lt;=60,"Middle-Aged","Senior")))</f>
        <v>Adult</v>
      </c>
    </row>
    <row r="225" spans="1:12" x14ac:dyDescent="0.3">
      <c r="A225" t="s">
        <v>722</v>
      </c>
      <c r="B225" t="s">
        <v>723</v>
      </c>
      <c r="C225" t="str">
        <f t="shared" si="9"/>
        <v>Robert Harris</v>
      </c>
      <c r="D225" t="str">
        <f t="shared" si="10"/>
        <v>Robert Harris</v>
      </c>
      <c r="E225" s="7">
        <v>50</v>
      </c>
      <c r="F225" t="s">
        <v>9</v>
      </c>
      <c r="G225" t="s">
        <v>3831</v>
      </c>
      <c r="H225" t="s">
        <v>267</v>
      </c>
      <c r="I225" t="s">
        <v>12</v>
      </c>
      <c r="J225" t="s">
        <v>19</v>
      </c>
      <c r="K225" t="str">
        <f t="shared" si="11"/>
        <v>Platinum</v>
      </c>
      <c r="L225" t="str">
        <f>IF(Customer_Dim[[#This Row],[Age]]&lt;25,"Youth",
   IF(Customer_Dim[[#This Row],[Age]]&lt;=40,"Adult",
   IF(Customer_Dim[[#This Row],[Age]]&lt;=60,"Middle-Aged","Senior")))</f>
        <v>Middle-Aged</v>
      </c>
    </row>
    <row r="226" spans="1:12" x14ac:dyDescent="0.3">
      <c r="A226" t="s">
        <v>724</v>
      </c>
      <c r="B226" t="s">
        <v>725</v>
      </c>
      <c r="C226" t="str">
        <f t="shared" si="9"/>
        <v>Anthony Morgan</v>
      </c>
      <c r="D226" t="str">
        <f t="shared" si="10"/>
        <v>Anthony Morgan</v>
      </c>
      <c r="E226" s="7">
        <v>29</v>
      </c>
      <c r="F226" t="s">
        <v>9</v>
      </c>
      <c r="G226" t="s">
        <v>726</v>
      </c>
      <c r="H226" t="s">
        <v>113</v>
      </c>
      <c r="I226" t="s">
        <v>12</v>
      </c>
      <c r="J226" t="s">
        <v>31</v>
      </c>
      <c r="K226" t="str">
        <f t="shared" si="11"/>
        <v>Silver</v>
      </c>
      <c r="L226" t="str">
        <f>IF(Customer_Dim[[#This Row],[Age]]&lt;25,"Youth",
   IF(Customer_Dim[[#This Row],[Age]]&lt;=40,"Adult",
   IF(Customer_Dim[[#This Row],[Age]]&lt;=60,"Middle-Aged","Senior")))</f>
        <v>Adult</v>
      </c>
    </row>
    <row r="227" spans="1:12" x14ac:dyDescent="0.3">
      <c r="A227" t="s">
        <v>727</v>
      </c>
      <c r="B227" t="s">
        <v>728</v>
      </c>
      <c r="C227" t="str">
        <f t="shared" si="9"/>
        <v>Elizabeth Stanley</v>
      </c>
      <c r="D227" t="str">
        <f t="shared" si="10"/>
        <v>Elizabeth Stanley</v>
      </c>
      <c r="E227" s="7">
        <v>46</v>
      </c>
      <c r="F227" t="s">
        <v>16</v>
      </c>
      <c r="G227" t="s">
        <v>729</v>
      </c>
      <c r="H227" t="s">
        <v>117</v>
      </c>
      <c r="I227" t="s">
        <v>12</v>
      </c>
      <c r="J227" t="s">
        <v>19</v>
      </c>
      <c r="K227" t="str">
        <f t="shared" si="11"/>
        <v>Platinum</v>
      </c>
      <c r="L227" t="str">
        <f>IF(Customer_Dim[[#This Row],[Age]]&lt;25,"Youth",
   IF(Customer_Dim[[#This Row],[Age]]&lt;=40,"Adult",
   IF(Customer_Dim[[#This Row],[Age]]&lt;=60,"Middle-Aged","Senior")))</f>
        <v>Middle-Aged</v>
      </c>
    </row>
    <row r="228" spans="1:12" x14ac:dyDescent="0.3">
      <c r="A228" t="s">
        <v>730</v>
      </c>
      <c r="B228" t="s">
        <v>731</v>
      </c>
      <c r="C228" t="str">
        <f t="shared" si="9"/>
        <v>Alexis Castaneda</v>
      </c>
      <c r="D228" t="str">
        <f t="shared" si="10"/>
        <v>Alexis Castaneda</v>
      </c>
      <c r="E228" s="7">
        <v>54</v>
      </c>
      <c r="F228" t="s">
        <v>9</v>
      </c>
      <c r="G228" t="s">
        <v>216</v>
      </c>
      <c r="H228" t="s">
        <v>163</v>
      </c>
      <c r="I228" t="s">
        <v>12</v>
      </c>
      <c r="J228" t="s">
        <v>13</v>
      </c>
      <c r="K228" t="str">
        <f t="shared" si="11"/>
        <v>Gold</v>
      </c>
      <c r="L228" t="str">
        <f>IF(Customer_Dim[[#This Row],[Age]]&lt;25,"Youth",
   IF(Customer_Dim[[#This Row],[Age]]&lt;=40,"Adult",
   IF(Customer_Dim[[#This Row],[Age]]&lt;=60,"Middle-Aged","Senior")))</f>
        <v>Middle-Aged</v>
      </c>
    </row>
    <row r="229" spans="1:12" x14ac:dyDescent="0.3">
      <c r="A229" t="s">
        <v>732</v>
      </c>
      <c r="B229" t="s">
        <v>733</v>
      </c>
      <c r="C229" t="str">
        <f t="shared" si="9"/>
        <v>Gregory Pham</v>
      </c>
      <c r="D229" t="str">
        <f t="shared" si="10"/>
        <v>Gregory Pham</v>
      </c>
      <c r="E229" s="7">
        <v>63</v>
      </c>
      <c r="F229" t="s">
        <v>16</v>
      </c>
      <c r="G229" t="s">
        <v>734</v>
      </c>
      <c r="H229" t="s">
        <v>62</v>
      </c>
      <c r="I229" t="s">
        <v>12</v>
      </c>
      <c r="J229" t="s">
        <v>13</v>
      </c>
      <c r="K229" t="str">
        <f t="shared" si="11"/>
        <v>Gold</v>
      </c>
      <c r="L229" t="str">
        <f>IF(Customer_Dim[[#This Row],[Age]]&lt;25,"Youth",
   IF(Customer_Dim[[#This Row],[Age]]&lt;=40,"Adult",
   IF(Customer_Dim[[#This Row],[Age]]&lt;=60,"Middle-Aged","Senior")))</f>
        <v>Senior</v>
      </c>
    </row>
    <row r="230" spans="1:12" x14ac:dyDescent="0.3">
      <c r="A230" t="s">
        <v>735</v>
      </c>
      <c r="B230" t="s">
        <v>736</v>
      </c>
      <c r="C230" t="str">
        <f t="shared" si="9"/>
        <v>Casey Flores</v>
      </c>
      <c r="D230" t="str">
        <f t="shared" si="10"/>
        <v>Casey Flores</v>
      </c>
      <c r="E230" s="7">
        <v>52</v>
      </c>
      <c r="F230" t="s">
        <v>16</v>
      </c>
      <c r="G230" t="s">
        <v>395</v>
      </c>
      <c r="H230" t="s">
        <v>117</v>
      </c>
      <c r="I230" t="s">
        <v>12</v>
      </c>
      <c r="J230" t="s">
        <v>13</v>
      </c>
      <c r="K230" t="str">
        <f t="shared" si="11"/>
        <v>Gold</v>
      </c>
      <c r="L230" t="str">
        <f>IF(Customer_Dim[[#This Row],[Age]]&lt;25,"Youth",
   IF(Customer_Dim[[#This Row],[Age]]&lt;=40,"Adult",
   IF(Customer_Dim[[#This Row],[Age]]&lt;=60,"Middle-Aged","Senior")))</f>
        <v>Middle-Aged</v>
      </c>
    </row>
    <row r="231" spans="1:12" x14ac:dyDescent="0.3">
      <c r="A231" t="s">
        <v>737</v>
      </c>
      <c r="B231" t="s">
        <v>738</v>
      </c>
      <c r="C231" t="str">
        <f t="shared" si="9"/>
        <v>Tanner Thompson</v>
      </c>
      <c r="D231" t="str">
        <f t="shared" si="10"/>
        <v>Tanner Thompson</v>
      </c>
      <c r="E231" s="7">
        <v>32</v>
      </c>
      <c r="F231" t="s">
        <v>16</v>
      </c>
      <c r="G231" t="s">
        <v>739</v>
      </c>
      <c r="H231" t="s">
        <v>140</v>
      </c>
      <c r="I231" t="s">
        <v>12</v>
      </c>
      <c r="J231" t="s">
        <v>26</v>
      </c>
      <c r="K231" t="str">
        <f t="shared" si="11"/>
        <v>Bronze</v>
      </c>
      <c r="L231" t="str">
        <f>IF(Customer_Dim[[#This Row],[Age]]&lt;25,"Youth",
   IF(Customer_Dim[[#This Row],[Age]]&lt;=40,"Adult",
   IF(Customer_Dim[[#This Row],[Age]]&lt;=60,"Middle-Aged","Senior")))</f>
        <v>Adult</v>
      </c>
    </row>
    <row r="232" spans="1:12" x14ac:dyDescent="0.3">
      <c r="A232" t="s">
        <v>740</v>
      </c>
      <c r="B232" t="s">
        <v>741</v>
      </c>
      <c r="C232" t="str">
        <f t="shared" si="9"/>
        <v>Timothy Sanders</v>
      </c>
      <c r="D232" t="str">
        <f t="shared" si="10"/>
        <v>Timothy Sanders</v>
      </c>
      <c r="E232" s="7">
        <v>29</v>
      </c>
      <c r="F232" t="s">
        <v>9</v>
      </c>
      <c r="G232" t="s">
        <v>742</v>
      </c>
      <c r="H232" t="s">
        <v>250</v>
      </c>
      <c r="I232" t="s">
        <v>12</v>
      </c>
      <c r="J232" t="s">
        <v>26</v>
      </c>
      <c r="K232" t="str">
        <f t="shared" si="11"/>
        <v>Bronze</v>
      </c>
      <c r="L232" t="str">
        <f>IF(Customer_Dim[[#This Row],[Age]]&lt;25,"Youth",
   IF(Customer_Dim[[#This Row],[Age]]&lt;=40,"Adult",
   IF(Customer_Dim[[#This Row],[Age]]&lt;=60,"Middle-Aged","Senior")))</f>
        <v>Adult</v>
      </c>
    </row>
    <row r="233" spans="1:12" x14ac:dyDescent="0.3">
      <c r="A233" t="s">
        <v>743</v>
      </c>
      <c r="B233" t="s">
        <v>744</v>
      </c>
      <c r="C233" t="str">
        <f t="shared" si="9"/>
        <v>Timothy Juarez</v>
      </c>
      <c r="D233" t="str">
        <f t="shared" si="10"/>
        <v>Timothy Juarez</v>
      </c>
      <c r="E233" s="7">
        <v>22</v>
      </c>
      <c r="F233" t="s">
        <v>16</v>
      </c>
      <c r="G233" t="s">
        <v>745</v>
      </c>
      <c r="H233" t="s">
        <v>317</v>
      </c>
      <c r="I233" t="s">
        <v>12</v>
      </c>
      <c r="J233" t="s">
        <v>26</v>
      </c>
      <c r="K233" t="str">
        <f t="shared" si="11"/>
        <v>Bronze</v>
      </c>
      <c r="L233" t="str">
        <f>IF(Customer_Dim[[#This Row],[Age]]&lt;25,"Youth",
   IF(Customer_Dim[[#This Row],[Age]]&lt;=40,"Adult",
   IF(Customer_Dim[[#This Row],[Age]]&lt;=60,"Middle-Aged","Senior")))</f>
        <v>Youth</v>
      </c>
    </row>
    <row r="234" spans="1:12" x14ac:dyDescent="0.3">
      <c r="A234" t="s">
        <v>746</v>
      </c>
      <c r="B234" t="s">
        <v>747</v>
      </c>
      <c r="C234" t="str">
        <f t="shared" si="9"/>
        <v>Christy Hill</v>
      </c>
      <c r="D234" t="str">
        <f t="shared" si="10"/>
        <v>Christy Hill</v>
      </c>
      <c r="E234" s="7">
        <v>27</v>
      </c>
      <c r="F234" t="s">
        <v>16</v>
      </c>
      <c r="G234" t="s">
        <v>748</v>
      </c>
      <c r="H234" t="s">
        <v>88</v>
      </c>
      <c r="I234" t="s">
        <v>12</v>
      </c>
      <c r="J234" t="s">
        <v>19</v>
      </c>
      <c r="K234" t="str">
        <f t="shared" si="11"/>
        <v>Platinum</v>
      </c>
      <c r="L234" t="str">
        <f>IF(Customer_Dim[[#This Row],[Age]]&lt;25,"Youth",
   IF(Customer_Dim[[#This Row],[Age]]&lt;=40,"Adult",
   IF(Customer_Dim[[#This Row],[Age]]&lt;=60,"Middle-Aged","Senior")))</f>
        <v>Adult</v>
      </c>
    </row>
    <row r="235" spans="1:12" x14ac:dyDescent="0.3">
      <c r="A235" t="s">
        <v>749</v>
      </c>
      <c r="B235" t="s">
        <v>750</v>
      </c>
      <c r="C235" t="str">
        <f t="shared" si="9"/>
        <v>Michelle Gonzalez</v>
      </c>
      <c r="D235" t="str">
        <f t="shared" si="10"/>
        <v>Michelle Gonzalez</v>
      </c>
      <c r="E235" s="7">
        <v>59</v>
      </c>
      <c r="F235" t="s">
        <v>9</v>
      </c>
      <c r="G235" t="s">
        <v>751</v>
      </c>
      <c r="H235" t="s">
        <v>43</v>
      </c>
      <c r="I235" t="s">
        <v>12</v>
      </c>
      <c r="J235" t="s">
        <v>31</v>
      </c>
      <c r="K235" t="str">
        <f t="shared" si="11"/>
        <v>Silver</v>
      </c>
      <c r="L235" t="str">
        <f>IF(Customer_Dim[[#This Row],[Age]]&lt;25,"Youth",
   IF(Customer_Dim[[#This Row],[Age]]&lt;=40,"Adult",
   IF(Customer_Dim[[#This Row],[Age]]&lt;=60,"Middle-Aged","Senior")))</f>
        <v>Middle-Aged</v>
      </c>
    </row>
    <row r="236" spans="1:12" x14ac:dyDescent="0.3">
      <c r="A236" t="s">
        <v>752</v>
      </c>
      <c r="B236" t="s">
        <v>753</v>
      </c>
      <c r="C236" t="str">
        <f t="shared" si="9"/>
        <v>Nathaniel Hill</v>
      </c>
      <c r="D236" t="str">
        <f t="shared" si="10"/>
        <v>Nathaniel Hill</v>
      </c>
      <c r="E236" s="7">
        <v>43</v>
      </c>
      <c r="F236" t="s">
        <v>16</v>
      </c>
      <c r="G236" t="s">
        <v>754</v>
      </c>
      <c r="H236" t="s">
        <v>62</v>
      </c>
      <c r="I236" t="s">
        <v>12</v>
      </c>
      <c r="J236" t="s">
        <v>13</v>
      </c>
      <c r="K236" t="str">
        <f t="shared" si="11"/>
        <v>Gold</v>
      </c>
      <c r="L236" t="str">
        <f>IF(Customer_Dim[[#This Row],[Age]]&lt;25,"Youth",
   IF(Customer_Dim[[#This Row],[Age]]&lt;=40,"Adult",
   IF(Customer_Dim[[#This Row],[Age]]&lt;=60,"Middle-Aged","Senior")))</f>
        <v>Middle-Aged</v>
      </c>
    </row>
    <row r="237" spans="1:12" x14ac:dyDescent="0.3">
      <c r="A237" t="s">
        <v>755</v>
      </c>
      <c r="B237" t="s">
        <v>756</v>
      </c>
      <c r="C237" t="str">
        <f t="shared" si="9"/>
        <v>Jon Ortiz</v>
      </c>
      <c r="D237" t="str">
        <f t="shared" si="10"/>
        <v>Jon Ortiz</v>
      </c>
      <c r="E237" s="7">
        <v>28</v>
      </c>
      <c r="F237" t="s">
        <v>16</v>
      </c>
      <c r="G237" t="s">
        <v>757</v>
      </c>
      <c r="H237" t="s">
        <v>92</v>
      </c>
      <c r="I237" t="s">
        <v>12</v>
      </c>
      <c r="J237" t="s">
        <v>26</v>
      </c>
      <c r="K237" t="str">
        <f t="shared" si="11"/>
        <v>Bronze</v>
      </c>
      <c r="L237" t="str">
        <f>IF(Customer_Dim[[#This Row],[Age]]&lt;25,"Youth",
   IF(Customer_Dim[[#This Row],[Age]]&lt;=40,"Adult",
   IF(Customer_Dim[[#This Row],[Age]]&lt;=60,"Middle-Aged","Senior")))</f>
        <v>Adult</v>
      </c>
    </row>
    <row r="238" spans="1:12" x14ac:dyDescent="0.3">
      <c r="A238" t="s">
        <v>758</v>
      </c>
      <c r="B238" t="s">
        <v>759</v>
      </c>
      <c r="C238" t="str">
        <f t="shared" si="9"/>
        <v>Joshua Wilson</v>
      </c>
      <c r="D238" t="str">
        <f t="shared" si="10"/>
        <v>Joshua Wilson</v>
      </c>
      <c r="E238" s="7">
        <v>42</v>
      </c>
      <c r="F238" t="s">
        <v>16</v>
      </c>
      <c r="G238" t="s">
        <v>760</v>
      </c>
      <c r="H238" t="s">
        <v>287</v>
      </c>
      <c r="I238" t="s">
        <v>12</v>
      </c>
      <c r="J238" t="s">
        <v>26</v>
      </c>
      <c r="K238" t="str">
        <f t="shared" si="11"/>
        <v>Bronze</v>
      </c>
      <c r="L238" t="str">
        <f>IF(Customer_Dim[[#This Row],[Age]]&lt;25,"Youth",
   IF(Customer_Dim[[#This Row],[Age]]&lt;=40,"Adult",
   IF(Customer_Dim[[#This Row],[Age]]&lt;=60,"Middle-Aged","Senior")))</f>
        <v>Middle-Aged</v>
      </c>
    </row>
    <row r="239" spans="1:12" x14ac:dyDescent="0.3">
      <c r="A239" t="s">
        <v>761</v>
      </c>
      <c r="B239" t="s">
        <v>762</v>
      </c>
      <c r="C239" t="str">
        <f t="shared" si="9"/>
        <v>Wesley Short</v>
      </c>
      <c r="D239" t="str">
        <f t="shared" si="10"/>
        <v>Wesley Short</v>
      </c>
      <c r="E239" s="7">
        <v>41</v>
      </c>
      <c r="F239" t="s">
        <v>16</v>
      </c>
      <c r="G239" t="s">
        <v>763</v>
      </c>
      <c r="H239" t="s">
        <v>66</v>
      </c>
      <c r="I239" t="s">
        <v>12</v>
      </c>
      <c r="J239" t="s">
        <v>13</v>
      </c>
      <c r="K239" t="str">
        <f t="shared" si="11"/>
        <v>Gold</v>
      </c>
      <c r="L239" t="str">
        <f>IF(Customer_Dim[[#This Row],[Age]]&lt;25,"Youth",
   IF(Customer_Dim[[#This Row],[Age]]&lt;=40,"Adult",
   IF(Customer_Dim[[#This Row],[Age]]&lt;=60,"Middle-Aged","Senior")))</f>
        <v>Middle-Aged</v>
      </c>
    </row>
    <row r="240" spans="1:12" x14ac:dyDescent="0.3">
      <c r="A240" t="s">
        <v>764</v>
      </c>
      <c r="B240" t="s">
        <v>765</v>
      </c>
      <c r="C240" t="str">
        <f t="shared" si="9"/>
        <v>Steven Smith</v>
      </c>
      <c r="D240" t="str">
        <f t="shared" si="10"/>
        <v>Steven Smith</v>
      </c>
      <c r="E240" s="7">
        <v>40</v>
      </c>
      <c r="F240" t="s">
        <v>9</v>
      </c>
      <c r="G240" t="s">
        <v>766</v>
      </c>
      <c r="H240" t="s">
        <v>43</v>
      </c>
      <c r="I240" t="s">
        <v>12</v>
      </c>
      <c r="J240" t="s">
        <v>19</v>
      </c>
      <c r="K240" t="str">
        <f t="shared" si="11"/>
        <v>Platinum</v>
      </c>
      <c r="L240" t="str">
        <f>IF(Customer_Dim[[#This Row],[Age]]&lt;25,"Youth",
   IF(Customer_Dim[[#This Row],[Age]]&lt;=40,"Adult",
   IF(Customer_Dim[[#This Row],[Age]]&lt;=60,"Middle-Aged","Senior")))</f>
        <v>Adult</v>
      </c>
    </row>
    <row r="241" spans="1:12" x14ac:dyDescent="0.3">
      <c r="A241" t="s">
        <v>767</v>
      </c>
      <c r="B241" t="s">
        <v>768</v>
      </c>
      <c r="C241" t="str">
        <f t="shared" si="9"/>
        <v>Maria Hill</v>
      </c>
      <c r="D241" t="str">
        <f t="shared" si="10"/>
        <v>Maria Hill</v>
      </c>
      <c r="E241" s="7">
        <v>58</v>
      </c>
      <c r="F241" t="s">
        <v>16</v>
      </c>
      <c r="G241" t="s">
        <v>769</v>
      </c>
      <c r="H241" t="s">
        <v>184</v>
      </c>
      <c r="I241" t="s">
        <v>12</v>
      </c>
      <c r="J241" t="s">
        <v>19</v>
      </c>
      <c r="K241" t="str">
        <f t="shared" si="11"/>
        <v>Platinum</v>
      </c>
      <c r="L241" t="str">
        <f>IF(Customer_Dim[[#This Row],[Age]]&lt;25,"Youth",
   IF(Customer_Dim[[#This Row],[Age]]&lt;=40,"Adult",
   IF(Customer_Dim[[#This Row],[Age]]&lt;=60,"Middle-Aged","Senior")))</f>
        <v>Middle-Aged</v>
      </c>
    </row>
    <row r="242" spans="1:12" x14ac:dyDescent="0.3">
      <c r="A242" t="s">
        <v>770</v>
      </c>
      <c r="B242" t="s">
        <v>771</v>
      </c>
      <c r="C242" t="str">
        <f t="shared" si="9"/>
        <v>William Hull</v>
      </c>
      <c r="D242" t="str">
        <f t="shared" si="10"/>
        <v>William Hull</v>
      </c>
      <c r="E242" s="7">
        <v>59</v>
      </c>
      <c r="F242" t="s">
        <v>16</v>
      </c>
      <c r="G242" t="s">
        <v>772</v>
      </c>
      <c r="H242" t="s">
        <v>156</v>
      </c>
      <c r="I242" t="s">
        <v>12</v>
      </c>
      <c r="J242" t="s">
        <v>19</v>
      </c>
      <c r="K242" t="str">
        <f t="shared" si="11"/>
        <v>Platinum</v>
      </c>
      <c r="L242" t="str">
        <f>IF(Customer_Dim[[#This Row],[Age]]&lt;25,"Youth",
   IF(Customer_Dim[[#This Row],[Age]]&lt;=40,"Adult",
   IF(Customer_Dim[[#This Row],[Age]]&lt;=60,"Middle-Aged","Senior")))</f>
        <v>Middle-Aged</v>
      </c>
    </row>
    <row r="243" spans="1:12" x14ac:dyDescent="0.3">
      <c r="A243" t="s">
        <v>773</v>
      </c>
      <c r="B243" t="s">
        <v>774</v>
      </c>
      <c r="C243" t="str">
        <f t="shared" si="9"/>
        <v>Mr. William Horton</v>
      </c>
      <c r="D243" t="str">
        <f t="shared" si="10"/>
        <v>Mr. William Horton</v>
      </c>
      <c r="E243" s="7">
        <v>31</v>
      </c>
      <c r="F243" t="s">
        <v>9</v>
      </c>
      <c r="G243" t="s">
        <v>775</v>
      </c>
      <c r="H243" t="s">
        <v>287</v>
      </c>
      <c r="I243" t="s">
        <v>12</v>
      </c>
      <c r="J243" t="s">
        <v>19</v>
      </c>
      <c r="K243" t="str">
        <f t="shared" si="11"/>
        <v>Platinum</v>
      </c>
      <c r="L243" t="str">
        <f>IF(Customer_Dim[[#This Row],[Age]]&lt;25,"Youth",
   IF(Customer_Dim[[#This Row],[Age]]&lt;=40,"Adult",
   IF(Customer_Dim[[#This Row],[Age]]&lt;=60,"Middle-Aged","Senior")))</f>
        <v>Adult</v>
      </c>
    </row>
    <row r="244" spans="1:12" x14ac:dyDescent="0.3">
      <c r="A244" t="s">
        <v>776</v>
      </c>
      <c r="B244" t="s">
        <v>777</v>
      </c>
      <c r="C244" t="str">
        <f t="shared" si="9"/>
        <v>William Jackson</v>
      </c>
      <c r="D244" t="str">
        <f t="shared" si="10"/>
        <v>William Jackson</v>
      </c>
      <c r="E244" s="7">
        <v>58</v>
      </c>
      <c r="F244" t="s">
        <v>16</v>
      </c>
      <c r="G244" t="s">
        <v>778</v>
      </c>
      <c r="H244" t="s">
        <v>167</v>
      </c>
      <c r="I244" t="s">
        <v>12</v>
      </c>
      <c r="J244" t="s">
        <v>31</v>
      </c>
      <c r="K244" t="str">
        <f t="shared" si="11"/>
        <v>Silver</v>
      </c>
      <c r="L244" t="str">
        <f>IF(Customer_Dim[[#This Row],[Age]]&lt;25,"Youth",
   IF(Customer_Dim[[#This Row],[Age]]&lt;=40,"Adult",
   IF(Customer_Dim[[#This Row],[Age]]&lt;=60,"Middle-Aged","Senior")))</f>
        <v>Middle-Aged</v>
      </c>
    </row>
    <row r="245" spans="1:12" x14ac:dyDescent="0.3">
      <c r="A245" t="s">
        <v>779</v>
      </c>
      <c r="B245" t="s">
        <v>780</v>
      </c>
      <c r="C245" t="str">
        <f t="shared" si="9"/>
        <v>Brian Hammond</v>
      </c>
      <c r="D245" t="str">
        <f t="shared" si="10"/>
        <v>Brian Hammond</v>
      </c>
      <c r="E245" s="7">
        <v>56</v>
      </c>
      <c r="F245" t="s">
        <v>16</v>
      </c>
      <c r="G245" t="s">
        <v>781</v>
      </c>
      <c r="H245" t="s">
        <v>359</v>
      </c>
      <c r="I245" t="s">
        <v>12</v>
      </c>
      <c r="J245" t="s">
        <v>13</v>
      </c>
      <c r="K245" t="str">
        <f t="shared" si="11"/>
        <v>Gold</v>
      </c>
      <c r="L245" t="str">
        <f>IF(Customer_Dim[[#This Row],[Age]]&lt;25,"Youth",
   IF(Customer_Dim[[#This Row],[Age]]&lt;=40,"Adult",
   IF(Customer_Dim[[#This Row],[Age]]&lt;=60,"Middle-Aged","Senior")))</f>
        <v>Middle-Aged</v>
      </c>
    </row>
    <row r="246" spans="1:12" x14ac:dyDescent="0.3">
      <c r="A246" t="s">
        <v>782</v>
      </c>
      <c r="B246" t="s">
        <v>783</v>
      </c>
      <c r="C246" t="str">
        <f t="shared" si="9"/>
        <v>Nancy Page</v>
      </c>
      <c r="D246" t="str">
        <f t="shared" si="10"/>
        <v>Nancy Page</v>
      </c>
      <c r="E246" s="7">
        <v>19</v>
      </c>
      <c r="F246" t="s">
        <v>9</v>
      </c>
      <c r="G246" t="s">
        <v>784</v>
      </c>
      <c r="H246" t="s">
        <v>117</v>
      </c>
      <c r="I246" t="s">
        <v>12</v>
      </c>
      <c r="J246" t="s">
        <v>26</v>
      </c>
      <c r="K246" t="str">
        <f t="shared" si="11"/>
        <v>Bronze</v>
      </c>
      <c r="L246" t="str">
        <f>IF(Customer_Dim[[#This Row],[Age]]&lt;25,"Youth",
   IF(Customer_Dim[[#This Row],[Age]]&lt;=40,"Adult",
   IF(Customer_Dim[[#This Row],[Age]]&lt;=60,"Middle-Aged","Senior")))</f>
        <v>Youth</v>
      </c>
    </row>
    <row r="247" spans="1:12" x14ac:dyDescent="0.3">
      <c r="A247" t="s">
        <v>785</v>
      </c>
      <c r="B247" t="s">
        <v>786</v>
      </c>
      <c r="C247" t="str">
        <f t="shared" si="9"/>
        <v>Laura Soto</v>
      </c>
      <c r="D247" t="str">
        <f t="shared" si="10"/>
        <v>Laura Soto</v>
      </c>
      <c r="E247" s="7">
        <v>57</v>
      </c>
      <c r="F247" t="s">
        <v>16</v>
      </c>
      <c r="G247" t="s">
        <v>787</v>
      </c>
      <c r="H247" t="s">
        <v>156</v>
      </c>
      <c r="I247" t="s">
        <v>12</v>
      </c>
      <c r="J247" t="s">
        <v>19</v>
      </c>
      <c r="K247" t="str">
        <f t="shared" si="11"/>
        <v>Platinum</v>
      </c>
      <c r="L247" t="str">
        <f>IF(Customer_Dim[[#This Row],[Age]]&lt;25,"Youth",
   IF(Customer_Dim[[#This Row],[Age]]&lt;=40,"Adult",
   IF(Customer_Dim[[#This Row],[Age]]&lt;=60,"Middle-Aged","Senior")))</f>
        <v>Middle-Aged</v>
      </c>
    </row>
    <row r="248" spans="1:12" x14ac:dyDescent="0.3">
      <c r="A248" t="s">
        <v>788</v>
      </c>
      <c r="B248" t="s">
        <v>789</v>
      </c>
      <c r="C248" t="str">
        <f t="shared" si="9"/>
        <v>Mary Russell</v>
      </c>
      <c r="D248" t="str">
        <f t="shared" si="10"/>
        <v>Mary Russell</v>
      </c>
      <c r="E248" s="7">
        <v>58</v>
      </c>
      <c r="F248" t="s">
        <v>9</v>
      </c>
      <c r="G248" t="s">
        <v>790</v>
      </c>
      <c r="H248" t="s">
        <v>291</v>
      </c>
      <c r="I248" t="s">
        <v>12</v>
      </c>
      <c r="J248" t="s">
        <v>26</v>
      </c>
      <c r="K248" t="str">
        <f t="shared" si="11"/>
        <v>Bronze</v>
      </c>
      <c r="L248" t="str">
        <f>IF(Customer_Dim[[#This Row],[Age]]&lt;25,"Youth",
   IF(Customer_Dim[[#This Row],[Age]]&lt;=40,"Adult",
   IF(Customer_Dim[[#This Row],[Age]]&lt;=60,"Middle-Aged","Senior")))</f>
        <v>Middle-Aged</v>
      </c>
    </row>
    <row r="249" spans="1:12" x14ac:dyDescent="0.3">
      <c r="A249" t="s">
        <v>791</v>
      </c>
      <c r="B249" t="s">
        <v>792</v>
      </c>
      <c r="C249" t="str">
        <f t="shared" si="9"/>
        <v>Douglas Rhodes</v>
      </c>
      <c r="D249" t="str">
        <f t="shared" si="10"/>
        <v>Douglas Rhodes</v>
      </c>
      <c r="E249" s="7">
        <v>32</v>
      </c>
      <c r="F249" t="s">
        <v>9</v>
      </c>
      <c r="G249" t="s">
        <v>793</v>
      </c>
      <c r="H249" t="s">
        <v>47</v>
      </c>
      <c r="I249" t="s">
        <v>12</v>
      </c>
      <c r="J249" t="s">
        <v>19</v>
      </c>
      <c r="K249" t="str">
        <f t="shared" si="11"/>
        <v>Platinum</v>
      </c>
      <c r="L249" t="str">
        <f>IF(Customer_Dim[[#This Row],[Age]]&lt;25,"Youth",
   IF(Customer_Dim[[#This Row],[Age]]&lt;=40,"Adult",
   IF(Customer_Dim[[#This Row],[Age]]&lt;=60,"Middle-Aged","Senior")))</f>
        <v>Adult</v>
      </c>
    </row>
    <row r="250" spans="1:12" x14ac:dyDescent="0.3">
      <c r="A250" t="s">
        <v>794</v>
      </c>
      <c r="B250" t="s">
        <v>795</v>
      </c>
      <c r="C250" t="str">
        <f t="shared" si="9"/>
        <v>Nicholas Webb</v>
      </c>
      <c r="D250" t="str">
        <f t="shared" si="10"/>
        <v>Nicholas Webb</v>
      </c>
      <c r="E250" s="7">
        <v>19</v>
      </c>
      <c r="F250" t="s">
        <v>9</v>
      </c>
      <c r="G250" t="s">
        <v>796</v>
      </c>
      <c r="H250" t="s">
        <v>184</v>
      </c>
      <c r="I250" t="s">
        <v>12</v>
      </c>
      <c r="J250" t="s">
        <v>13</v>
      </c>
      <c r="K250" t="str">
        <f t="shared" si="11"/>
        <v>Gold</v>
      </c>
      <c r="L250" t="str">
        <f>IF(Customer_Dim[[#This Row],[Age]]&lt;25,"Youth",
   IF(Customer_Dim[[#This Row],[Age]]&lt;=40,"Adult",
   IF(Customer_Dim[[#This Row],[Age]]&lt;=60,"Middle-Aged","Senior")))</f>
        <v>Youth</v>
      </c>
    </row>
    <row r="251" spans="1:12" x14ac:dyDescent="0.3">
      <c r="A251" t="s">
        <v>797</v>
      </c>
      <c r="B251" t="s">
        <v>798</v>
      </c>
      <c r="C251" t="str">
        <f t="shared" si="9"/>
        <v>Lauren George</v>
      </c>
      <c r="D251" t="str">
        <f t="shared" si="10"/>
        <v>Lauren George</v>
      </c>
      <c r="E251" s="7">
        <v>41</v>
      </c>
      <c r="F251" t="s">
        <v>16</v>
      </c>
      <c r="G251" t="s">
        <v>799</v>
      </c>
      <c r="H251" t="s">
        <v>58</v>
      </c>
      <c r="I251" t="s">
        <v>12</v>
      </c>
      <c r="J251" t="s">
        <v>13</v>
      </c>
      <c r="K251" t="str">
        <f t="shared" si="11"/>
        <v>Gold</v>
      </c>
      <c r="L251" t="str">
        <f>IF(Customer_Dim[[#This Row],[Age]]&lt;25,"Youth",
   IF(Customer_Dim[[#This Row],[Age]]&lt;=40,"Adult",
   IF(Customer_Dim[[#This Row],[Age]]&lt;=60,"Middle-Aged","Senior")))</f>
        <v>Middle-Aged</v>
      </c>
    </row>
    <row r="252" spans="1:12" x14ac:dyDescent="0.3">
      <c r="A252" t="s">
        <v>800</v>
      </c>
      <c r="B252" t="s">
        <v>801</v>
      </c>
      <c r="C252" t="str">
        <f t="shared" si="9"/>
        <v>Veronica Newman</v>
      </c>
      <c r="D252" t="str">
        <f t="shared" si="10"/>
        <v>Veronica Newman</v>
      </c>
      <c r="E252" s="7">
        <v>48</v>
      </c>
      <c r="F252" t="s">
        <v>9</v>
      </c>
      <c r="G252" t="s">
        <v>802</v>
      </c>
      <c r="H252" t="s">
        <v>92</v>
      </c>
      <c r="I252" t="s">
        <v>12</v>
      </c>
      <c r="J252" t="s">
        <v>19</v>
      </c>
      <c r="K252" t="str">
        <f t="shared" si="11"/>
        <v>Platinum</v>
      </c>
      <c r="L252" t="str">
        <f>IF(Customer_Dim[[#This Row],[Age]]&lt;25,"Youth",
   IF(Customer_Dim[[#This Row],[Age]]&lt;=40,"Adult",
   IF(Customer_Dim[[#This Row],[Age]]&lt;=60,"Middle-Aged","Senior")))</f>
        <v>Middle-Aged</v>
      </c>
    </row>
    <row r="253" spans="1:12" x14ac:dyDescent="0.3">
      <c r="A253" t="s">
        <v>803</v>
      </c>
      <c r="B253" t="s">
        <v>804</v>
      </c>
      <c r="C253" t="str">
        <f t="shared" si="9"/>
        <v>Tyler Garner</v>
      </c>
      <c r="D253" t="str">
        <f t="shared" si="10"/>
        <v>Tyler Garner</v>
      </c>
      <c r="E253" s="7">
        <v>64</v>
      </c>
      <c r="F253" t="s">
        <v>9</v>
      </c>
      <c r="G253" t="s">
        <v>805</v>
      </c>
      <c r="H253" t="s">
        <v>22</v>
      </c>
      <c r="I253" t="s">
        <v>12</v>
      </c>
      <c r="J253" t="s">
        <v>31</v>
      </c>
      <c r="K253" t="str">
        <f t="shared" si="11"/>
        <v>Silver</v>
      </c>
      <c r="L253" t="str">
        <f>IF(Customer_Dim[[#This Row],[Age]]&lt;25,"Youth",
   IF(Customer_Dim[[#This Row],[Age]]&lt;=40,"Adult",
   IF(Customer_Dim[[#This Row],[Age]]&lt;=60,"Middle-Aged","Senior")))</f>
        <v>Senior</v>
      </c>
    </row>
    <row r="254" spans="1:12" x14ac:dyDescent="0.3">
      <c r="A254" t="s">
        <v>806</v>
      </c>
      <c r="B254" t="s">
        <v>807</v>
      </c>
      <c r="C254" t="str">
        <f t="shared" si="9"/>
        <v>John Mccoy</v>
      </c>
      <c r="D254" t="str">
        <f t="shared" si="10"/>
        <v>John Mccoy</v>
      </c>
      <c r="E254" s="7">
        <v>26</v>
      </c>
      <c r="F254" t="s">
        <v>9</v>
      </c>
      <c r="G254" t="s">
        <v>808</v>
      </c>
      <c r="H254" t="s">
        <v>39</v>
      </c>
      <c r="I254" t="s">
        <v>12</v>
      </c>
      <c r="J254" t="s">
        <v>31</v>
      </c>
      <c r="K254" t="str">
        <f t="shared" si="11"/>
        <v>Silver</v>
      </c>
      <c r="L254" t="str">
        <f>IF(Customer_Dim[[#This Row],[Age]]&lt;25,"Youth",
   IF(Customer_Dim[[#This Row],[Age]]&lt;=40,"Adult",
   IF(Customer_Dim[[#This Row],[Age]]&lt;=60,"Middle-Aged","Senior")))</f>
        <v>Adult</v>
      </c>
    </row>
    <row r="255" spans="1:12" x14ac:dyDescent="0.3">
      <c r="A255" t="s">
        <v>809</v>
      </c>
      <c r="B255" t="s">
        <v>810</v>
      </c>
      <c r="C255" t="str">
        <f t="shared" si="9"/>
        <v>Dr. Ashley Yates Md</v>
      </c>
      <c r="D255" t="str">
        <f t="shared" si="10"/>
        <v>Dr. Ashley Yates Md</v>
      </c>
      <c r="E255" s="7">
        <v>32</v>
      </c>
      <c r="F255" t="s">
        <v>9</v>
      </c>
      <c r="G255" t="s">
        <v>811</v>
      </c>
      <c r="H255" t="s">
        <v>324</v>
      </c>
      <c r="I255" t="s">
        <v>12</v>
      </c>
      <c r="J255" t="s">
        <v>26</v>
      </c>
      <c r="K255" t="str">
        <f t="shared" si="11"/>
        <v>Bronze</v>
      </c>
      <c r="L255" t="str">
        <f>IF(Customer_Dim[[#This Row],[Age]]&lt;25,"Youth",
   IF(Customer_Dim[[#This Row],[Age]]&lt;=40,"Adult",
   IF(Customer_Dim[[#This Row],[Age]]&lt;=60,"Middle-Aged","Senior")))</f>
        <v>Adult</v>
      </c>
    </row>
    <row r="256" spans="1:12" x14ac:dyDescent="0.3">
      <c r="A256" t="s">
        <v>812</v>
      </c>
      <c r="B256" t="s">
        <v>813</v>
      </c>
      <c r="C256" t="str">
        <f t="shared" si="9"/>
        <v>Linda Kline</v>
      </c>
      <c r="D256" t="str">
        <f t="shared" si="10"/>
        <v>Linda Kline</v>
      </c>
      <c r="E256" s="7">
        <v>34</v>
      </c>
      <c r="F256" t="s">
        <v>9</v>
      </c>
      <c r="G256" t="s">
        <v>814</v>
      </c>
      <c r="H256" t="s">
        <v>163</v>
      </c>
      <c r="I256" t="s">
        <v>12</v>
      </c>
      <c r="J256" t="s">
        <v>31</v>
      </c>
      <c r="K256" t="str">
        <f t="shared" si="11"/>
        <v>Silver</v>
      </c>
      <c r="L256" t="str">
        <f>IF(Customer_Dim[[#This Row],[Age]]&lt;25,"Youth",
   IF(Customer_Dim[[#This Row],[Age]]&lt;=40,"Adult",
   IF(Customer_Dim[[#This Row],[Age]]&lt;=60,"Middle-Aged","Senior")))</f>
        <v>Adult</v>
      </c>
    </row>
    <row r="257" spans="1:12" x14ac:dyDescent="0.3">
      <c r="A257" t="s">
        <v>815</v>
      </c>
      <c r="B257" t="s">
        <v>816</v>
      </c>
      <c r="C257" t="str">
        <f t="shared" si="9"/>
        <v>Damon Perez</v>
      </c>
      <c r="D257" t="str">
        <f t="shared" si="10"/>
        <v>Damon Perez</v>
      </c>
      <c r="E257" s="7">
        <v>21</v>
      </c>
      <c r="F257" t="s">
        <v>9</v>
      </c>
      <c r="G257" t="s">
        <v>817</v>
      </c>
      <c r="H257" t="s">
        <v>25</v>
      </c>
      <c r="I257" t="s">
        <v>12</v>
      </c>
      <c r="J257" t="s">
        <v>13</v>
      </c>
      <c r="K257" t="str">
        <f t="shared" si="11"/>
        <v>Gold</v>
      </c>
      <c r="L257" t="str">
        <f>IF(Customer_Dim[[#This Row],[Age]]&lt;25,"Youth",
   IF(Customer_Dim[[#This Row],[Age]]&lt;=40,"Adult",
   IF(Customer_Dim[[#This Row],[Age]]&lt;=60,"Middle-Aged","Senior")))</f>
        <v>Youth</v>
      </c>
    </row>
    <row r="258" spans="1:12" x14ac:dyDescent="0.3">
      <c r="A258" t="s">
        <v>818</v>
      </c>
      <c r="B258" t="s">
        <v>819</v>
      </c>
      <c r="C258" t="str">
        <f t="shared" si="9"/>
        <v>Kristen Fischer</v>
      </c>
      <c r="D258" t="str">
        <f t="shared" si="10"/>
        <v>Kristen Fischer</v>
      </c>
      <c r="E258" s="7">
        <v>57</v>
      </c>
      <c r="F258" t="s">
        <v>9</v>
      </c>
      <c r="G258" t="s">
        <v>820</v>
      </c>
      <c r="H258" t="s">
        <v>291</v>
      </c>
      <c r="I258" t="s">
        <v>12</v>
      </c>
      <c r="J258" t="s">
        <v>19</v>
      </c>
      <c r="K258" t="str">
        <f t="shared" si="11"/>
        <v>Platinum</v>
      </c>
      <c r="L258" t="str">
        <f>IF(Customer_Dim[[#This Row],[Age]]&lt;25,"Youth",
   IF(Customer_Dim[[#This Row],[Age]]&lt;=40,"Adult",
   IF(Customer_Dim[[#This Row],[Age]]&lt;=60,"Middle-Aged","Senior")))</f>
        <v>Middle-Aged</v>
      </c>
    </row>
    <row r="259" spans="1:12" x14ac:dyDescent="0.3">
      <c r="A259" t="s">
        <v>821</v>
      </c>
      <c r="B259" t="s">
        <v>822</v>
      </c>
      <c r="C259" t="str">
        <f t="shared" ref="C259:C322" si="12">PROPER(B259)</f>
        <v>Christopher David</v>
      </c>
      <c r="D259" t="str">
        <f t="shared" ref="D259:D322" si="13">TRIM(C259)</f>
        <v>Christopher David</v>
      </c>
      <c r="E259" s="7">
        <v>42</v>
      </c>
      <c r="F259" t="s">
        <v>9</v>
      </c>
      <c r="G259" t="s">
        <v>823</v>
      </c>
      <c r="H259" t="s">
        <v>715</v>
      </c>
      <c r="I259" t="s">
        <v>12</v>
      </c>
      <c r="J259" t="s">
        <v>31</v>
      </c>
      <c r="K259" t="str">
        <f t="shared" ref="K259:K322" si="14">IF(ISBLANK(J259),"UNKNOWN",J259)</f>
        <v>Silver</v>
      </c>
      <c r="L259" t="str">
        <f>IF(Customer_Dim[[#This Row],[Age]]&lt;25,"Youth",
   IF(Customer_Dim[[#This Row],[Age]]&lt;=40,"Adult",
   IF(Customer_Dim[[#This Row],[Age]]&lt;=60,"Middle-Aged","Senior")))</f>
        <v>Middle-Aged</v>
      </c>
    </row>
    <row r="260" spans="1:12" x14ac:dyDescent="0.3">
      <c r="A260" t="s">
        <v>824</v>
      </c>
      <c r="B260" t="s">
        <v>825</v>
      </c>
      <c r="C260" t="str">
        <f t="shared" si="12"/>
        <v>Sarah Stewart</v>
      </c>
      <c r="D260" t="str">
        <f t="shared" si="13"/>
        <v>Sarah Stewart</v>
      </c>
      <c r="E260" s="7">
        <v>24</v>
      </c>
      <c r="F260" t="s">
        <v>16</v>
      </c>
      <c r="G260" t="s">
        <v>826</v>
      </c>
      <c r="H260" t="s">
        <v>359</v>
      </c>
      <c r="I260" t="s">
        <v>12</v>
      </c>
      <c r="J260" t="s">
        <v>19</v>
      </c>
      <c r="K260" t="str">
        <f t="shared" si="14"/>
        <v>Platinum</v>
      </c>
      <c r="L260" t="str">
        <f>IF(Customer_Dim[[#This Row],[Age]]&lt;25,"Youth",
   IF(Customer_Dim[[#This Row],[Age]]&lt;=40,"Adult",
   IF(Customer_Dim[[#This Row],[Age]]&lt;=60,"Middle-Aged","Senior")))</f>
        <v>Youth</v>
      </c>
    </row>
    <row r="261" spans="1:12" x14ac:dyDescent="0.3">
      <c r="A261" t="s">
        <v>827</v>
      </c>
      <c r="B261" t="s">
        <v>828</v>
      </c>
      <c r="C261" t="str">
        <f t="shared" si="12"/>
        <v>Beth Allen</v>
      </c>
      <c r="D261" t="str">
        <f t="shared" si="13"/>
        <v>Beth Allen</v>
      </c>
      <c r="E261" s="7">
        <v>32</v>
      </c>
      <c r="F261" t="s">
        <v>16</v>
      </c>
      <c r="G261" t="s">
        <v>829</v>
      </c>
      <c r="H261" t="s">
        <v>96</v>
      </c>
      <c r="I261" t="s">
        <v>12</v>
      </c>
      <c r="J261" t="s">
        <v>31</v>
      </c>
      <c r="K261" t="str">
        <f t="shared" si="14"/>
        <v>Silver</v>
      </c>
      <c r="L261" t="str">
        <f>IF(Customer_Dim[[#This Row],[Age]]&lt;25,"Youth",
   IF(Customer_Dim[[#This Row],[Age]]&lt;=40,"Adult",
   IF(Customer_Dim[[#This Row],[Age]]&lt;=60,"Middle-Aged","Senior")))</f>
        <v>Adult</v>
      </c>
    </row>
    <row r="262" spans="1:12" x14ac:dyDescent="0.3">
      <c r="A262" t="s">
        <v>830</v>
      </c>
      <c r="B262" t="s">
        <v>831</v>
      </c>
      <c r="C262" t="str">
        <f t="shared" si="12"/>
        <v>Russell Lamb</v>
      </c>
      <c r="D262" t="str">
        <f t="shared" si="13"/>
        <v>Russell Lamb</v>
      </c>
      <c r="E262" s="7">
        <v>63</v>
      </c>
      <c r="F262" t="s">
        <v>16</v>
      </c>
      <c r="G262" t="s">
        <v>832</v>
      </c>
      <c r="H262" t="s">
        <v>133</v>
      </c>
      <c r="I262" t="s">
        <v>12</v>
      </c>
      <c r="J262" t="s">
        <v>19</v>
      </c>
      <c r="K262" t="str">
        <f t="shared" si="14"/>
        <v>Platinum</v>
      </c>
      <c r="L262" t="str">
        <f>IF(Customer_Dim[[#This Row],[Age]]&lt;25,"Youth",
   IF(Customer_Dim[[#This Row],[Age]]&lt;=40,"Adult",
   IF(Customer_Dim[[#This Row],[Age]]&lt;=60,"Middle-Aged","Senior")))</f>
        <v>Senior</v>
      </c>
    </row>
    <row r="263" spans="1:12" x14ac:dyDescent="0.3">
      <c r="A263" t="s">
        <v>833</v>
      </c>
      <c r="B263" t="s">
        <v>834</v>
      </c>
      <c r="C263" t="str">
        <f t="shared" si="12"/>
        <v>Carol Bishop</v>
      </c>
      <c r="D263" t="str">
        <f t="shared" si="13"/>
        <v>Carol Bishop</v>
      </c>
      <c r="E263" s="7">
        <v>27</v>
      </c>
      <c r="F263" t="s">
        <v>16</v>
      </c>
      <c r="G263" t="s">
        <v>835</v>
      </c>
      <c r="H263" t="s">
        <v>35</v>
      </c>
      <c r="I263" t="s">
        <v>12</v>
      </c>
      <c r="J263" t="s">
        <v>31</v>
      </c>
      <c r="K263" t="str">
        <f t="shared" si="14"/>
        <v>Silver</v>
      </c>
      <c r="L263" t="str">
        <f>IF(Customer_Dim[[#This Row],[Age]]&lt;25,"Youth",
   IF(Customer_Dim[[#This Row],[Age]]&lt;=40,"Adult",
   IF(Customer_Dim[[#This Row],[Age]]&lt;=60,"Middle-Aged","Senior")))</f>
        <v>Adult</v>
      </c>
    </row>
    <row r="264" spans="1:12" x14ac:dyDescent="0.3">
      <c r="A264" t="s">
        <v>836</v>
      </c>
      <c r="B264" t="s">
        <v>837</v>
      </c>
      <c r="C264" t="str">
        <f t="shared" si="12"/>
        <v>Katherine Cowan</v>
      </c>
      <c r="D264" t="str">
        <f t="shared" si="13"/>
        <v>Katherine Cowan</v>
      </c>
      <c r="E264" s="7">
        <v>60</v>
      </c>
      <c r="F264" t="s">
        <v>16</v>
      </c>
      <c r="G264" t="s">
        <v>838</v>
      </c>
      <c r="H264" t="s">
        <v>66</v>
      </c>
      <c r="I264" t="s">
        <v>12</v>
      </c>
      <c r="J264" t="s">
        <v>31</v>
      </c>
      <c r="K264" t="str">
        <f t="shared" si="14"/>
        <v>Silver</v>
      </c>
      <c r="L264" t="str">
        <f>IF(Customer_Dim[[#This Row],[Age]]&lt;25,"Youth",
   IF(Customer_Dim[[#This Row],[Age]]&lt;=40,"Adult",
   IF(Customer_Dim[[#This Row],[Age]]&lt;=60,"Middle-Aged","Senior")))</f>
        <v>Middle-Aged</v>
      </c>
    </row>
    <row r="265" spans="1:12" x14ac:dyDescent="0.3">
      <c r="A265" t="s">
        <v>839</v>
      </c>
      <c r="B265" t="s">
        <v>840</v>
      </c>
      <c r="C265" t="str">
        <f t="shared" si="12"/>
        <v>Crystal Davis</v>
      </c>
      <c r="D265" t="str">
        <f t="shared" si="13"/>
        <v>Crystal Davis</v>
      </c>
      <c r="E265" s="7">
        <v>50</v>
      </c>
      <c r="F265" t="s">
        <v>9</v>
      </c>
      <c r="G265" t="s">
        <v>841</v>
      </c>
      <c r="H265" t="s">
        <v>328</v>
      </c>
      <c r="I265" t="s">
        <v>12</v>
      </c>
      <c r="J265" t="s">
        <v>26</v>
      </c>
      <c r="K265" t="str">
        <f t="shared" si="14"/>
        <v>Bronze</v>
      </c>
      <c r="L265" t="str">
        <f>IF(Customer_Dim[[#This Row],[Age]]&lt;25,"Youth",
   IF(Customer_Dim[[#This Row],[Age]]&lt;=40,"Adult",
   IF(Customer_Dim[[#This Row],[Age]]&lt;=60,"Middle-Aged","Senior")))</f>
        <v>Middle-Aged</v>
      </c>
    </row>
    <row r="266" spans="1:12" x14ac:dyDescent="0.3">
      <c r="A266" t="s">
        <v>842</v>
      </c>
      <c r="B266" t="s">
        <v>843</v>
      </c>
      <c r="C266" t="str">
        <f t="shared" si="12"/>
        <v>Matthew Payne</v>
      </c>
      <c r="D266" t="str">
        <f t="shared" si="13"/>
        <v>Matthew Payne</v>
      </c>
      <c r="E266" s="7">
        <v>25</v>
      </c>
      <c r="F266" t="s">
        <v>9</v>
      </c>
      <c r="G266" t="s">
        <v>844</v>
      </c>
      <c r="H266" t="s">
        <v>845</v>
      </c>
      <c r="I266" t="s">
        <v>12</v>
      </c>
      <c r="J266" t="s">
        <v>13</v>
      </c>
      <c r="K266" t="str">
        <f t="shared" si="14"/>
        <v>Gold</v>
      </c>
      <c r="L266" t="str">
        <f>IF(Customer_Dim[[#This Row],[Age]]&lt;25,"Youth",
   IF(Customer_Dim[[#This Row],[Age]]&lt;=40,"Adult",
   IF(Customer_Dim[[#This Row],[Age]]&lt;=60,"Middle-Aged","Senior")))</f>
        <v>Adult</v>
      </c>
    </row>
    <row r="267" spans="1:12" x14ac:dyDescent="0.3">
      <c r="A267" t="s">
        <v>846</v>
      </c>
      <c r="B267" t="s">
        <v>847</v>
      </c>
      <c r="C267" t="str">
        <f t="shared" si="12"/>
        <v>Tracy Kelly</v>
      </c>
      <c r="D267" t="str">
        <f t="shared" si="13"/>
        <v>Tracy Kelly</v>
      </c>
      <c r="E267" s="7">
        <v>38</v>
      </c>
      <c r="F267" t="s">
        <v>9</v>
      </c>
      <c r="G267" t="s">
        <v>848</v>
      </c>
      <c r="H267" t="s">
        <v>237</v>
      </c>
      <c r="I267" t="s">
        <v>12</v>
      </c>
      <c r="J267" t="s">
        <v>31</v>
      </c>
      <c r="K267" t="str">
        <f t="shared" si="14"/>
        <v>Silver</v>
      </c>
      <c r="L267" t="str">
        <f>IF(Customer_Dim[[#This Row],[Age]]&lt;25,"Youth",
   IF(Customer_Dim[[#This Row],[Age]]&lt;=40,"Adult",
   IF(Customer_Dim[[#This Row],[Age]]&lt;=60,"Middle-Aged","Senior")))</f>
        <v>Adult</v>
      </c>
    </row>
    <row r="268" spans="1:12" x14ac:dyDescent="0.3">
      <c r="A268" t="s">
        <v>849</v>
      </c>
      <c r="B268" t="s">
        <v>850</v>
      </c>
      <c r="C268" t="str">
        <f t="shared" si="12"/>
        <v>Cynthia Payne</v>
      </c>
      <c r="D268" t="str">
        <f t="shared" si="13"/>
        <v>Cynthia Payne</v>
      </c>
      <c r="E268" s="7">
        <v>32</v>
      </c>
      <c r="F268" t="s">
        <v>16</v>
      </c>
      <c r="G268" t="s">
        <v>851</v>
      </c>
      <c r="H268" t="s">
        <v>588</v>
      </c>
      <c r="I268" t="s">
        <v>12</v>
      </c>
      <c r="J268" t="s">
        <v>26</v>
      </c>
      <c r="K268" t="str">
        <f t="shared" si="14"/>
        <v>Bronze</v>
      </c>
      <c r="L268" t="str">
        <f>IF(Customer_Dim[[#This Row],[Age]]&lt;25,"Youth",
   IF(Customer_Dim[[#This Row],[Age]]&lt;=40,"Adult",
   IF(Customer_Dim[[#This Row],[Age]]&lt;=60,"Middle-Aged","Senior")))</f>
        <v>Adult</v>
      </c>
    </row>
    <row r="269" spans="1:12" x14ac:dyDescent="0.3">
      <c r="A269" t="s">
        <v>852</v>
      </c>
      <c r="B269" t="s">
        <v>853</v>
      </c>
      <c r="C269" t="str">
        <f t="shared" si="12"/>
        <v>Zachary Shelton</v>
      </c>
      <c r="D269" t="str">
        <f t="shared" si="13"/>
        <v>Zachary Shelton</v>
      </c>
      <c r="E269" s="7">
        <v>18</v>
      </c>
      <c r="F269" t="s">
        <v>9</v>
      </c>
      <c r="G269" t="s">
        <v>781</v>
      </c>
      <c r="H269" t="s">
        <v>66</v>
      </c>
      <c r="I269" t="s">
        <v>12</v>
      </c>
      <c r="J269" t="s">
        <v>26</v>
      </c>
      <c r="K269" t="str">
        <f t="shared" si="14"/>
        <v>Bronze</v>
      </c>
      <c r="L269" t="str">
        <f>IF(Customer_Dim[[#This Row],[Age]]&lt;25,"Youth",
   IF(Customer_Dim[[#This Row],[Age]]&lt;=40,"Adult",
   IF(Customer_Dim[[#This Row],[Age]]&lt;=60,"Middle-Aged","Senior")))</f>
        <v>Youth</v>
      </c>
    </row>
    <row r="270" spans="1:12" x14ac:dyDescent="0.3">
      <c r="A270" t="s">
        <v>854</v>
      </c>
      <c r="B270" t="s">
        <v>855</v>
      </c>
      <c r="C270" t="str">
        <f t="shared" si="12"/>
        <v>Kevin Orr</v>
      </c>
      <c r="D270" t="str">
        <f t="shared" si="13"/>
        <v>Kevin Orr</v>
      </c>
      <c r="E270" s="7">
        <v>53</v>
      </c>
      <c r="F270" t="s">
        <v>16</v>
      </c>
      <c r="G270" t="s">
        <v>856</v>
      </c>
      <c r="H270" t="s">
        <v>201</v>
      </c>
      <c r="I270" t="s">
        <v>12</v>
      </c>
      <c r="J270" t="s">
        <v>26</v>
      </c>
      <c r="K270" t="str">
        <f t="shared" si="14"/>
        <v>Bronze</v>
      </c>
      <c r="L270" t="str">
        <f>IF(Customer_Dim[[#This Row],[Age]]&lt;25,"Youth",
   IF(Customer_Dim[[#This Row],[Age]]&lt;=40,"Adult",
   IF(Customer_Dim[[#This Row],[Age]]&lt;=60,"Middle-Aged","Senior")))</f>
        <v>Middle-Aged</v>
      </c>
    </row>
    <row r="271" spans="1:12" x14ac:dyDescent="0.3">
      <c r="A271" t="s">
        <v>857</v>
      </c>
      <c r="B271" t="s">
        <v>858</v>
      </c>
      <c r="C271" t="str">
        <f t="shared" si="12"/>
        <v>Tyrone Olson</v>
      </c>
      <c r="D271" t="str">
        <f t="shared" si="13"/>
        <v>Tyrone Olson</v>
      </c>
      <c r="E271" s="7">
        <v>45</v>
      </c>
      <c r="F271" t="s">
        <v>16</v>
      </c>
      <c r="G271" t="s">
        <v>859</v>
      </c>
      <c r="H271" t="s">
        <v>30</v>
      </c>
      <c r="I271" t="s">
        <v>12</v>
      </c>
      <c r="J271" t="s">
        <v>31</v>
      </c>
      <c r="K271" t="str">
        <f t="shared" si="14"/>
        <v>Silver</v>
      </c>
      <c r="L271" t="str">
        <f>IF(Customer_Dim[[#This Row],[Age]]&lt;25,"Youth",
   IF(Customer_Dim[[#This Row],[Age]]&lt;=40,"Adult",
   IF(Customer_Dim[[#This Row],[Age]]&lt;=60,"Middle-Aged","Senior")))</f>
        <v>Middle-Aged</v>
      </c>
    </row>
    <row r="272" spans="1:12" x14ac:dyDescent="0.3">
      <c r="A272" t="s">
        <v>860</v>
      </c>
      <c r="B272" t="s">
        <v>861</v>
      </c>
      <c r="C272" t="str">
        <f t="shared" si="12"/>
        <v>Brian Garcia</v>
      </c>
      <c r="D272" t="str">
        <f t="shared" si="13"/>
        <v>Brian Garcia</v>
      </c>
      <c r="E272" s="7">
        <v>31</v>
      </c>
      <c r="F272" t="s">
        <v>16</v>
      </c>
      <c r="G272" t="s">
        <v>862</v>
      </c>
      <c r="H272" t="s">
        <v>328</v>
      </c>
      <c r="I272" t="s">
        <v>12</v>
      </c>
      <c r="J272" t="s">
        <v>13</v>
      </c>
      <c r="K272" t="str">
        <f t="shared" si="14"/>
        <v>Gold</v>
      </c>
      <c r="L272" t="str">
        <f>IF(Customer_Dim[[#This Row],[Age]]&lt;25,"Youth",
   IF(Customer_Dim[[#This Row],[Age]]&lt;=40,"Adult",
   IF(Customer_Dim[[#This Row],[Age]]&lt;=60,"Middle-Aged","Senior")))</f>
        <v>Adult</v>
      </c>
    </row>
    <row r="273" spans="1:12" x14ac:dyDescent="0.3">
      <c r="A273" t="s">
        <v>863</v>
      </c>
      <c r="B273" t="s">
        <v>864</v>
      </c>
      <c r="C273" t="str">
        <f t="shared" si="12"/>
        <v>Daisy Johnson Dds</v>
      </c>
      <c r="D273" t="str">
        <f t="shared" si="13"/>
        <v>Daisy Johnson Dds</v>
      </c>
      <c r="E273" s="7">
        <v>64</v>
      </c>
      <c r="F273" t="s">
        <v>9</v>
      </c>
      <c r="G273" t="s">
        <v>865</v>
      </c>
      <c r="H273" t="s">
        <v>70</v>
      </c>
      <c r="I273" t="s">
        <v>12</v>
      </c>
      <c r="J273" t="s">
        <v>19</v>
      </c>
      <c r="K273" t="str">
        <f t="shared" si="14"/>
        <v>Platinum</v>
      </c>
      <c r="L273" t="str">
        <f>IF(Customer_Dim[[#This Row],[Age]]&lt;25,"Youth",
   IF(Customer_Dim[[#This Row],[Age]]&lt;=40,"Adult",
   IF(Customer_Dim[[#This Row],[Age]]&lt;=60,"Middle-Aged","Senior")))</f>
        <v>Senior</v>
      </c>
    </row>
    <row r="274" spans="1:12" x14ac:dyDescent="0.3">
      <c r="A274" t="s">
        <v>866</v>
      </c>
      <c r="B274" t="s">
        <v>867</v>
      </c>
      <c r="C274" t="str">
        <f t="shared" si="12"/>
        <v>Adam Rowland</v>
      </c>
      <c r="D274" t="str">
        <f t="shared" si="13"/>
        <v>Adam Rowland</v>
      </c>
      <c r="E274" s="7">
        <v>48</v>
      </c>
      <c r="F274" t="s">
        <v>16</v>
      </c>
      <c r="G274" t="s">
        <v>868</v>
      </c>
      <c r="H274" t="s">
        <v>30</v>
      </c>
      <c r="I274" t="s">
        <v>12</v>
      </c>
      <c r="J274" t="s">
        <v>13</v>
      </c>
      <c r="K274" t="str">
        <f t="shared" si="14"/>
        <v>Gold</v>
      </c>
      <c r="L274" t="str">
        <f>IF(Customer_Dim[[#This Row],[Age]]&lt;25,"Youth",
   IF(Customer_Dim[[#This Row],[Age]]&lt;=40,"Adult",
   IF(Customer_Dim[[#This Row],[Age]]&lt;=60,"Middle-Aged","Senior")))</f>
        <v>Middle-Aged</v>
      </c>
    </row>
    <row r="275" spans="1:12" x14ac:dyDescent="0.3">
      <c r="A275" t="s">
        <v>869</v>
      </c>
      <c r="B275" t="s">
        <v>870</v>
      </c>
      <c r="C275" t="str">
        <f t="shared" si="12"/>
        <v>Samantha Robinson</v>
      </c>
      <c r="D275" t="str">
        <f t="shared" si="13"/>
        <v>Samantha Robinson</v>
      </c>
      <c r="E275" s="7">
        <v>23</v>
      </c>
      <c r="F275" t="s">
        <v>9</v>
      </c>
      <c r="G275" t="s">
        <v>871</v>
      </c>
      <c r="H275" t="s">
        <v>313</v>
      </c>
      <c r="I275" t="s">
        <v>12</v>
      </c>
      <c r="J275" t="s">
        <v>26</v>
      </c>
      <c r="K275" t="str">
        <f t="shared" si="14"/>
        <v>Bronze</v>
      </c>
      <c r="L275" t="str">
        <f>IF(Customer_Dim[[#This Row],[Age]]&lt;25,"Youth",
   IF(Customer_Dim[[#This Row],[Age]]&lt;=40,"Adult",
   IF(Customer_Dim[[#This Row],[Age]]&lt;=60,"Middle-Aged","Senior")))</f>
        <v>Youth</v>
      </c>
    </row>
    <row r="276" spans="1:12" x14ac:dyDescent="0.3">
      <c r="A276" t="s">
        <v>872</v>
      </c>
      <c r="B276" t="s">
        <v>873</v>
      </c>
      <c r="C276" t="str">
        <f t="shared" si="12"/>
        <v>Sarah Lane</v>
      </c>
      <c r="D276" t="str">
        <f t="shared" si="13"/>
        <v>Sarah Lane</v>
      </c>
      <c r="E276" s="7">
        <v>38</v>
      </c>
      <c r="F276" t="s">
        <v>9</v>
      </c>
      <c r="G276" t="s">
        <v>874</v>
      </c>
      <c r="H276" t="s">
        <v>171</v>
      </c>
      <c r="I276" t="s">
        <v>12</v>
      </c>
      <c r="J276" t="s">
        <v>31</v>
      </c>
      <c r="K276" t="str">
        <f t="shared" si="14"/>
        <v>Silver</v>
      </c>
      <c r="L276" t="str">
        <f>IF(Customer_Dim[[#This Row],[Age]]&lt;25,"Youth",
   IF(Customer_Dim[[#This Row],[Age]]&lt;=40,"Adult",
   IF(Customer_Dim[[#This Row],[Age]]&lt;=60,"Middle-Aged","Senior")))</f>
        <v>Adult</v>
      </c>
    </row>
    <row r="277" spans="1:12" x14ac:dyDescent="0.3">
      <c r="A277" t="s">
        <v>875</v>
      </c>
      <c r="B277" t="s">
        <v>876</v>
      </c>
      <c r="C277" t="str">
        <f t="shared" si="12"/>
        <v>Shannon Miller</v>
      </c>
      <c r="D277" t="str">
        <f t="shared" si="13"/>
        <v>Shannon Miller</v>
      </c>
      <c r="E277" s="7">
        <v>22</v>
      </c>
      <c r="F277" t="s">
        <v>9</v>
      </c>
      <c r="G277" t="s">
        <v>877</v>
      </c>
      <c r="H277" t="s">
        <v>588</v>
      </c>
      <c r="I277" t="s">
        <v>12</v>
      </c>
      <c r="J277" t="s">
        <v>13</v>
      </c>
      <c r="K277" t="str">
        <f t="shared" si="14"/>
        <v>Gold</v>
      </c>
      <c r="L277" t="str">
        <f>IF(Customer_Dim[[#This Row],[Age]]&lt;25,"Youth",
   IF(Customer_Dim[[#This Row],[Age]]&lt;=40,"Adult",
   IF(Customer_Dim[[#This Row],[Age]]&lt;=60,"Middle-Aged","Senior")))</f>
        <v>Youth</v>
      </c>
    </row>
    <row r="278" spans="1:12" x14ac:dyDescent="0.3">
      <c r="A278" t="s">
        <v>878</v>
      </c>
      <c r="B278" t="s">
        <v>879</v>
      </c>
      <c r="C278" t="str">
        <f t="shared" si="12"/>
        <v>Arthur Warren</v>
      </c>
      <c r="D278" t="str">
        <f t="shared" si="13"/>
        <v>Arthur Warren</v>
      </c>
      <c r="E278" s="7">
        <v>38</v>
      </c>
      <c r="F278" t="s">
        <v>9</v>
      </c>
      <c r="G278" t="s">
        <v>880</v>
      </c>
      <c r="H278" t="s">
        <v>184</v>
      </c>
      <c r="I278" t="s">
        <v>12</v>
      </c>
      <c r="J278" t="s">
        <v>13</v>
      </c>
      <c r="K278" t="str">
        <f t="shared" si="14"/>
        <v>Gold</v>
      </c>
      <c r="L278" t="str">
        <f>IF(Customer_Dim[[#This Row],[Age]]&lt;25,"Youth",
   IF(Customer_Dim[[#This Row],[Age]]&lt;=40,"Adult",
   IF(Customer_Dim[[#This Row],[Age]]&lt;=60,"Middle-Aged","Senior")))</f>
        <v>Adult</v>
      </c>
    </row>
    <row r="279" spans="1:12" x14ac:dyDescent="0.3">
      <c r="A279" t="s">
        <v>881</v>
      </c>
      <c r="B279" t="s">
        <v>882</v>
      </c>
      <c r="C279" t="str">
        <f t="shared" si="12"/>
        <v>Jeffrey Gomez</v>
      </c>
      <c r="D279" t="str">
        <f t="shared" si="13"/>
        <v>Jeffrey Gomez</v>
      </c>
      <c r="E279" s="7">
        <v>22</v>
      </c>
      <c r="F279" t="s">
        <v>16</v>
      </c>
      <c r="G279" t="s">
        <v>883</v>
      </c>
      <c r="H279" t="s">
        <v>274</v>
      </c>
      <c r="I279" t="s">
        <v>12</v>
      </c>
      <c r="J279" t="s">
        <v>19</v>
      </c>
      <c r="K279" t="str">
        <f t="shared" si="14"/>
        <v>Platinum</v>
      </c>
      <c r="L279" t="str">
        <f>IF(Customer_Dim[[#This Row],[Age]]&lt;25,"Youth",
   IF(Customer_Dim[[#This Row],[Age]]&lt;=40,"Adult",
   IF(Customer_Dim[[#This Row],[Age]]&lt;=60,"Middle-Aged","Senior")))</f>
        <v>Youth</v>
      </c>
    </row>
    <row r="280" spans="1:12" x14ac:dyDescent="0.3">
      <c r="A280" t="s">
        <v>884</v>
      </c>
      <c r="B280" t="s">
        <v>885</v>
      </c>
      <c r="C280" t="str">
        <f t="shared" si="12"/>
        <v>Stephen Fowler</v>
      </c>
      <c r="D280" t="str">
        <f t="shared" si="13"/>
        <v>Stephen Fowler</v>
      </c>
      <c r="E280" s="7">
        <v>42</v>
      </c>
      <c r="F280" t="s">
        <v>16</v>
      </c>
      <c r="G280" t="s">
        <v>886</v>
      </c>
      <c r="H280" t="s">
        <v>217</v>
      </c>
      <c r="I280" t="s">
        <v>12</v>
      </c>
      <c r="J280" t="s">
        <v>19</v>
      </c>
      <c r="K280" t="str">
        <f t="shared" si="14"/>
        <v>Platinum</v>
      </c>
      <c r="L280" t="str">
        <f>IF(Customer_Dim[[#This Row],[Age]]&lt;25,"Youth",
   IF(Customer_Dim[[#This Row],[Age]]&lt;=40,"Adult",
   IF(Customer_Dim[[#This Row],[Age]]&lt;=60,"Middle-Aged","Senior")))</f>
        <v>Middle-Aged</v>
      </c>
    </row>
    <row r="281" spans="1:12" x14ac:dyDescent="0.3">
      <c r="A281" t="s">
        <v>887</v>
      </c>
      <c r="B281" t="s">
        <v>888</v>
      </c>
      <c r="C281" t="str">
        <f t="shared" si="12"/>
        <v>Aaron Luna</v>
      </c>
      <c r="D281" t="str">
        <f t="shared" si="13"/>
        <v>Aaron Luna</v>
      </c>
      <c r="E281" s="7">
        <v>21</v>
      </c>
      <c r="F281" t="s">
        <v>16</v>
      </c>
      <c r="G281" t="s">
        <v>889</v>
      </c>
      <c r="H281" t="s">
        <v>25</v>
      </c>
      <c r="I281" t="s">
        <v>12</v>
      </c>
      <c r="J281" t="s">
        <v>26</v>
      </c>
      <c r="K281" t="str">
        <f t="shared" si="14"/>
        <v>Bronze</v>
      </c>
      <c r="L281" t="str">
        <f>IF(Customer_Dim[[#This Row],[Age]]&lt;25,"Youth",
   IF(Customer_Dim[[#This Row],[Age]]&lt;=40,"Adult",
   IF(Customer_Dim[[#This Row],[Age]]&lt;=60,"Middle-Aged","Senior")))</f>
        <v>Youth</v>
      </c>
    </row>
    <row r="282" spans="1:12" x14ac:dyDescent="0.3">
      <c r="A282" t="s">
        <v>890</v>
      </c>
      <c r="B282" t="s">
        <v>891</v>
      </c>
      <c r="C282" t="str">
        <f t="shared" si="12"/>
        <v>Antonio Leon</v>
      </c>
      <c r="D282" t="str">
        <f t="shared" si="13"/>
        <v>Antonio Leon</v>
      </c>
      <c r="E282" s="7">
        <v>48</v>
      </c>
      <c r="F282" t="s">
        <v>9</v>
      </c>
      <c r="G282" t="s">
        <v>892</v>
      </c>
      <c r="H282" t="s">
        <v>99</v>
      </c>
      <c r="I282" t="s">
        <v>12</v>
      </c>
      <c r="J282" t="s">
        <v>26</v>
      </c>
      <c r="K282" t="str">
        <f t="shared" si="14"/>
        <v>Bronze</v>
      </c>
      <c r="L282" t="str">
        <f>IF(Customer_Dim[[#This Row],[Age]]&lt;25,"Youth",
   IF(Customer_Dim[[#This Row],[Age]]&lt;=40,"Adult",
   IF(Customer_Dim[[#This Row],[Age]]&lt;=60,"Middle-Aged","Senior")))</f>
        <v>Middle-Aged</v>
      </c>
    </row>
    <row r="283" spans="1:12" x14ac:dyDescent="0.3">
      <c r="A283" t="s">
        <v>893</v>
      </c>
      <c r="B283" t="s">
        <v>894</v>
      </c>
      <c r="C283" t="str">
        <f t="shared" si="12"/>
        <v>Brittany Watson</v>
      </c>
      <c r="D283" t="str">
        <f t="shared" si="13"/>
        <v>Brittany Watson</v>
      </c>
      <c r="E283" s="7">
        <v>59</v>
      </c>
      <c r="F283" t="s">
        <v>9</v>
      </c>
      <c r="G283" t="s">
        <v>895</v>
      </c>
      <c r="H283" t="s">
        <v>167</v>
      </c>
      <c r="I283" t="s">
        <v>12</v>
      </c>
      <c r="J283" t="s">
        <v>19</v>
      </c>
      <c r="K283" t="str">
        <f t="shared" si="14"/>
        <v>Platinum</v>
      </c>
      <c r="L283" t="str">
        <f>IF(Customer_Dim[[#This Row],[Age]]&lt;25,"Youth",
   IF(Customer_Dim[[#This Row],[Age]]&lt;=40,"Adult",
   IF(Customer_Dim[[#This Row],[Age]]&lt;=60,"Middle-Aged","Senior")))</f>
        <v>Middle-Aged</v>
      </c>
    </row>
    <row r="284" spans="1:12" x14ac:dyDescent="0.3">
      <c r="A284" t="s">
        <v>896</v>
      </c>
      <c r="B284" t="s">
        <v>897</v>
      </c>
      <c r="C284" t="str">
        <f t="shared" si="12"/>
        <v>Kristi Lopez</v>
      </c>
      <c r="D284" t="str">
        <f t="shared" si="13"/>
        <v>Kristi Lopez</v>
      </c>
      <c r="E284" s="7">
        <v>46</v>
      </c>
      <c r="F284" t="s">
        <v>16</v>
      </c>
      <c r="G284" t="s">
        <v>898</v>
      </c>
      <c r="H284" t="s">
        <v>88</v>
      </c>
      <c r="I284" t="s">
        <v>12</v>
      </c>
      <c r="J284" t="s">
        <v>13</v>
      </c>
      <c r="K284" t="str">
        <f t="shared" si="14"/>
        <v>Gold</v>
      </c>
      <c r="L284" t="str">
        <f>IF(Customer_Dim[[#This Row],[Age]]&lt;25,"Youth",
   IF(Customer_Dim[[#This Row],[Age]]&lt;=40,"Adult",
   IF(Customer_Dim[[#This Row],[Age]]&lt;=60,"Middle-Aged","Senior")))</f>
        <v>Middle-Aged</v>
      </c>
    </row>
    <row r="285" spans="1:12" x14ac:dyDescent="0.3">
      <c r="A285" t="s">
        <v>899</v>
      </c>
      <c r="B285" t="s">
        <v>900</v>
      </c>
      <c r="C285" t="str">
        <f t="shared" si="12"/>
        <v>Bryan Garcia</v>
      </c>
      <c r="D285" t="str">
        <f t="shared" si="13"/>
        <v>Bryan Garcia</v>
      </c>
      <c r="E285" s="7">
        <v>54</v>
      </c>
      <c r="F285" t="s">
        <v>16</v>
      </c>
      <c r="G285" t="s">
        <v>901</v>
      </c>
      <c r="H285" t="s">
        <v>845</v>
      </c>
      <c r="I285" t="s">
        <v>12</v>
      </c>
      <c r="J285" t="s">
        <v>31</v>
      </c>
      <c r="K285" t="str">
        <f t="shared" si="14"/>
        <v>Silver</v>
      </c>
      <c r="L285" t="str">
        <f>IF(Customer_Dim[[#This Row],[Age]]&lt;25,"Youth",
   IF(Customer_Dim[[#This Row],[Age]]&lt;=40,"Adult",
   IF(Customer_Dim[[#This Row],[Age]]&lt;=60,"Middle-Aged","Senior")))</f>
        <v>Middle-Aged</v>
      </c>
    </row>
    <row r="286" spans="1:12" x14ac:dyDescent="0.3">
      <c r="A286" t="s">
        <v>902</v>
      </c>
      <c r="B286" t="s">
        <v>903</v>
      </c>
      <c r="C286" t="str">
        <f t="shared" si="12"/>
        <v>Hunter Sutton</v>
      </c>
      <c r="D286" t="str">
        <f t="shared" si="13"/>
        <v>Hunter Sutton</v>
      </c>
      <c r="E286" s="7">
        <v>54</v>
      </c>
      <c r="F286" t="s">
        <v>9</v>
      </c>
      <c r="G286" t="s">
        <v>904</v>
      </c>
      <c r="H286" t="s">
        <v>167</v>
      </c>
      <c r="I286" t="s">
        <v>12</v>
      </c>
      <c r="J286" t="s">
        <v>13</v>
      </c>
      <c r="K286" t="str">
        <f t="shared" si="14"/>
        <v>Gold</v>
      </c>
      <c r="L286" t="str">
        <f>IF(Customer_Dim[[#This Row],[Age]]&lt;25,"Youth",
   IF(Customer_Dim[[#This Row],[Age]]&lt;=40,"Adult",
   IF(Customer_Dim[[#This Row],[Age]]&lt;=60,"Middle-Aged","Senior")))</f>
        <v>Middle-Aged</v>
      </c>
    </row>
    <row r="287" spans="1:12" x14ac:dyDescent="0.3">
      <c r="A287" t="s">
        <v>905</v>
      </c>
      <c r="B287" t="s">
        <v>906</v>
      </c>
      <c r="C287" t="str">
        <f t="shared" si="12"/>
        <v>Donna Guerra</v>
      </c>
      <c r="D287" t="str">
        <f t="shared" si="13"/>
        <v>Donna Guerra</v>
      </c>
      <c r="E287" s="7">
        <v>46</v>
      </c>
      <c r="F287" t="s">
        <v>16</v>
      </c>
      <c r="G287" t="s">
        <v>907</v>
      </c>
      <c r="H287" t="s">
        <v>715</v>
      </c>
      <c r="I287" t="s">
        <v>12</v>
      </c>
      <c r="J287" t="s">
        <v>31</v>
      </c>
      <c r="K287" t="str">
        <f t="shared" si="14"/>
        <v>Silver</v>
      </c>
      <c r="L287" t="str">
        <f>IF(Customer_Dim[[#This Row],[Age]]&lt;25,"Youth",
   IF(Customer_Dim[[#This Row],[Age]]&lt;=40,"Adult",
   IF(Customer_Dim[[#This Row],[Age]]&lt;=60,"Middle-Aged","Senior")))</f>
        <v>Middle-Aged</v>
      </c>
    </row>
    <row r="288" spans="1:12" x14ac:dyDescent="0.3">
      <c r="A288" t="s">
        <v>908</v>
      </c>
      <c r="B288" t="s">
        <v>909</v>
      </c>
      <c r="C288" t="str">
        <f t="shared" si="12"/>
        <v>Tommy Roberts</v>
      </c>
      <c r="D288" t="str">
        <f t="shared" si="13"/>
        <v>Tommy Roberts</v>
      </c>
      <c r="E288" s="7">
        <v>22</v>
      </c>
      <c r="F288" t="s">
        <v>9</v>
      </c>
      <c r="G288" t="s">
        <v>910</v>
      </c>
      <c r="H288" t="s">
        <v>39</v>
      </c>
      <c r="I288" t="s">
        <v>12</v>
      </c>
      <c r="J288" t="s">
        <v>31</v>
      </c>
      <c r="K288" t="str">
        <f t="shared" si="14"/>
        <v>Silver</v>
      </c>
      <c r="L288" t="str">
        <f>IF(Customer_Dim[[#This Row],[Age]]&lt;25,"Youth",
   IF(Customer_Dim[[#This Row],[Age]]&lt;=40,"Adult",
   IF(Customer_Dim[[#This Row],[Age]]&lt;=60,"Middle-Aged","Senior")))</f>
        <v>Youth</v>
      </c>
    </row>
    <row r="289" spans="1:12" x14ac:dyDescent="0.3">
      <c r="A289" t="s">
        <v>911</v>
      </c>
      <c r="B289" t="s">
        <v>912</v>
      </c>
      <c r="C289" t="str">
        <f t="shared" si="12"/>
        <v>Cynthia Roberts</v>
      </c>
      <c r="D289" t="str">
        <f t="shared" si="13"/>
        <v>Cynthia Roberts</v>
      </c>
      <c r="E289" s="7">
        <v>22</v>
      </c>
      <c r="F289" t="s">
        <v>16</v>
      </c>
      <c r="G289" t="s">
        <v>913</v>
      </c>
      <c r="H289" t="s">
        <v>171</v>
      </c>
      <c r="I289" t="s">
        <v>12</v>
      </c>
      <c r="J289" t="s">
        <v>13</v>
      </c>
      <c r="K289" t="str">
        <f t="shared" si="14"/>
        <v>Gold</v>
      </c>
      <c r="L289" t="str">
        <f>IF(Customer_Dim[[#This Row],[Age]]&lt;25,"Youth",
   IF(Customer_Dim[[#This Row],[Age]]&lt;=40,"Adult",
   IF(Customer_Dim[[#This Row],[Age]]&lt;=60,"Middle-Aged","Senior")))</f>
        <v>Youth</v>
      </c>
    </row>
    <row r="290" spans="1:12" x14ac:dyDescent="0.3">
      <c r="A290" t="s">
        <v>914</v>
      </c>
      <c r="B290" t="s">
        <v>915</v>
      </c>
      <c r="C290" t="str">
        <f t="shared" si="12"/>
        <v>Misty Ferguson</v>
      </c>
      <c r="D290" t="str">
        <f t="shared" si="13"/>
        <v>Misty Ferguson</v>
      </c>
      <c r="E290" s="7">
        <v>58</v>
      </c>
      <c r="F290" t="s">
        <v>9</v>
      </c>
      <c r="G290" t="s">
        <v>916</v>
      </c>
      <c r="H290" t="s">
        <v>167</v>
      </c>
      <c r="I290" t="s">
        <v>12</v>
      </c>
      <c r="J290" t="s">
        <v>13</v>
      </c>
      <c r="K290" t="str">
        <f t="shared" si="14"/>
        <v>Gold</v>
      </c>
      <c r="L290" t="str">
        <f>IF(Customer_Dim[[#This Row],[Age]]&lt;25,"Youth",
   IF(Customer_Dim[[#This Row],[Age]]&lt;=40,"Adult",
   IF(Customer_Dim[[#This Row],[Age]]&lt;=60,"Middle-Aged","Senior")))</f>
        <v>Middle-Aged</v>
      </c>
    </row>
    <row r="291" spans="1:12" x14ac:dyDescent="0.3">
      <c r="A291" t="s">
        <v>917</v>
      </c>
      <c r="B291" t="s">
        <v>918</v>
      </c>
      <c r="C291" t="str">
        <f t="shared" si="12"/>
        <v>Jennifer Figueroa</v>
      </c>
      <c r="D291" t="str">
        <f t="shared" si="13"/>
        <v>Jennifer Figueroa</v>
      </c>
      <c r="E291" s="7">
        <v>45</v>
      </c>
      <c r="F291" t="s">
        <v>9</v>
      </c>
      <c r="G291" t="s">
        <v>919</v>
      </c>
      <c r="H291" t="s">
        <v>25</v>
      </c>
      <c r="I291" t="s">
        <v>12</v>
      </c>
      <c r="J291" t="s">
        <v>26</v>
      </c>
      <c r="K291" t="str">
        <f t="shared" si="14"/>
        <v>Bronze</v>
      </c>
      <c r="L291" t="str">
        <f>IF(Customer_Dim[[#This Row],[Age]]&lt;25,"Youth",
   IF(Customer_Dim[[#This Row],[Age]]&lt;=40,"Adult",
   IF(Customer_Dim[[#This Row],[Age]]&lt;=60,"Middle-Aged","Senior")))</f>
        <v>Middle-Aged</v>
      </c>
    </row>
    <row r="292" spans="1:12" x14ac:dyDescent="0.3">
      <c r="A292" t="s">
        <v>920</v>
      </c>
      <c r="B292" t="s">
        <v>921</v>
      </c>
      <c r="C292" t="str">
        <f t="shared" si="12"/>
        <v>Chase Williams Md</v>
      </c>
      <c r="D292" t="str">
        <f t="shared" si="13"/>
        <v>Chase Williams Md</v>
      </c>
      <c r="E292" s="7">
        <v>52</v>
      </c>
      <c r="F292" t="s">
        <v>16</v>
      </c>
      <c r="G292" t="s">
        <v>922</v>
      </c>
      <c r="H292" t="s">
        <v>287</v>
      </c>
      <c r="I292" t="s">
        <v>12</v>
      </c>
      <c r="J292" t="s">
        <v>31</v>
      </c>
      <c r="K292" t="str">
        <f t="shared" si="14"/>
        <v>Silver</v>
      </c>
      <c r="L292" t="str">
        <f>IF(Customer_Dim[[#This Row],[Age]]&lt;25,"Youth",
   IF(Customer_Dim[[#This Row],[Age]]&lt;=40,"Adult",
   IF(Customer_Dim[[#This Row],[Age]]&lt;=60,"Middle-Aged","Senior")))</f>
        <v>Middle-Aged</v>
      </c>
    </row>
    <row r="293" spans="1:12" x14ac:dyDescent="0.3">
      <c r="A293" t="s">
        <v>923</v>
      </c>
      <c r="B293" t="s">
        <v>924</v>
      </c>
      <c r="C293" t="str">
        <f t="shared" si="12"/>
        <v>James Powell</v>
      </c>
      <c r="D293" t="str">
        <f t="shared" si="13"/>
        <v>James Powell</v>
      </c>
      <c r="E293" s="7">
        <v>40</v>
      </c>
      <c r="F293" t="s">
        <v>16</v>
      </c>
      <c r="G293" t="s">
        <v>925</v>
      </c>
      <c r="H293" t="s">
        <v>113</v>
      </c>
      <c r="I293" t="s">
        <v>12</v>
      </c>
      <c r="J293" t="s">
        <v>26</v>
      </c>
      <c r="K293" t="str">
        <f t="shared" si="14"/>
        <v>Bronze</v>
      </c>
      <c r="L293" t="str">
        <f>IF(Customer_Dim[[#This Row],[Age]]&lt;25,"Youth",
   IF(Customer_Dim[[#This Row],[Age]]&lt;=40,"Adult",
   IF(Customer_Dim[[#This Row],[Age]]&lt;=60,"Middle-Aged","Senior")))</f>
        <v>Adult</v>
      </c>
    </row>
    <row r="294" spans="1:12" x14ac:dyDescent="0.3">
      <c r="A294" t="s">
        <v>926</v>
      </c>
      <c r="B294" t="s">
        <v>927</v>
      </c>
      <c r="C294" t="str">
        <f t="shared" si="12"/>
        <v>Ricardo Jones</v>
      </c>
      <c r="D294" t="str">
        <f t="shared" si="13"/>
        <v>Ricardo Jones</v>
      </c>
      <c r="E294" s="7">
        <v>30</v>
      </c>
      <c r="F294" t="s">
        <v>9</v>
      </c>
      <c r="G294" t="s">
        <v>928</v>
      </c>
      <c r="H294" t="s">
        <v>201</v>
      </c>
      <c r="I294" t="s">
        <v>12</v>
      </c>
      <c r="J294" t="s">
        <v>31</v>
      </c>
      <c r="K294" t="str">
        <f t="shared" si="14"/>
        <v>Silver</v>
      </c>
      <c r="L294" t="str">
        <f>IF(Customer_Dim[[#This Row],[Age]]&lt;25,"Youth",
   IF(Customer_Dim[[#This Row],[Age]]&lt;=40,"Adult",
   IF(Customer_Dim[[#This Row],[Age]]&lt;=60,"Middle-Aged","Senior")))</f>
        <v>Adult</v>
      </c>
    </row>
    <row r="295" spans="1:12" x14ac:dyDescent="0.3">
      <c r="A295" t="s">
        <v>929</v>
      </c>
      <c r="B295" t="s">
        <v>930</v>
      </c>
      <c r="C295" t="str">
        <f t="shared" si="12"/>
        <v>Gloria Taylor</v>
      </c>
      <c r="D295" t="str">
        <f t="shared" si="13"/>
        <v>Gloria Taylor</v>
      </c>
      <c r="E295" s="7">
        <v>56</v>
      </c>
      <c r="F295" t="s">
        <v>16</v>
      </c>
      <c r="G295" t="s">
        <v>931</v>
      </c>
      <c r="H295" t="s">
        <v>328</v>
      </c>
      <c r="I295" t="s">
        <v>12</v>
      </c>
      <c r="J295" t="s">
        <v>19</v>
      </c>
      <c r="K295" t="str">
        <f t="shared" si="14"/>
        <v>Platinum</v>
      </c>
      <c r="L295" t="str">
        <f>IF(Customer_Dim[[#This Row],[Age]]&lt;25,"Youth",
   IF(Customer_Dim[[#This Row],[Age]]&lt;=40,"Adult",
   IF(Customer_Dim[[#This Row],[Age]]&lt;=60,"Middle-Aged","Senior")))</f>
        <v>Middle-Aged</v>
      </c>
    </row>
    <row r="296" spans="1:12" x14ac:dyDescent="0.3">
      <c r="A296" t="s">
        <v>932</v>
      </c>
      <c r="B296" t="s">
        <v>933</v>
      </c>
      <c r="C296" t="str">
        <f t="shared" si="12"/>
        <v>Lisa Chandler</v>
      </c>
      <c r="D296" t="str">
        <f t="shared" si="13"/>
        <v>Lisa Chandler</v>
      </c>
      <c r="E296" s="7">
        <v>29</v>
      </c>
      <c r="F296" t="s">
        <v>9</v>
      </c>
      <c r="G296" t="s">
        <v>573</v>
      </c>
      <c r="H296" t="s">
        <v>66</v>
      </c>
      <c r="I296" t="s">
        <v>12</v>
      </c>
      <c r="J296" t="s">
        <v>19</v>
      </c>
      <c r="K296" t="str">
        <f t="shared" si="14"/>
        <v>Platinum</v>
      </c>
      <c r="L296" t="str">
        <f>IF(Customer_Dim[[#This Row],[Age]]&lt;25,"Youth",
   IF(Customer_Dim[[#This Row],[Age]]&lt;=40,"Adult",
   IF(Customer_Dim[[#This Row],[Age]]&lt;=60,"Middle-Aged","Senior")))</f>
        <v>Adult</v>
      </c>
    </row>
    <row r="297" spans="1:12" x14ac:dyDescent="0.3">
      <c r="A297" t="s">
        <v>934</v>
      </c>
      <c r="B297" t="s">
        <v>935</v>
      </c>
      <c r="C297" t="str">
        <f t="shared" si="12"/>
        <v>Crystal Waters</v>
      </c>
      <c r="D297" t="str">
        <f t="shared" si="13"/>
        <v>Crystal Waters</v>
      </c>
      <c r="E297" s="7">
        <v>19</v>
      </c>
      <c r="F297" t="s">
        <v>16</v>
      </c>
      <c r="G297" t="s">
        <v>936</v>
      </c>
      <c r="H297" t="s">
        <v>62</v>
      </c>
      <c r="I297" t="s">
        <v>12</v>
      </c>
      <c r="J297" t="s">
        <v>26</v>
      </c>
      <c r="K297" t="str">
        <f t="shared" si="14"/>
        <v>Bronze</v>
      </c>
      <c r="L297" t="str">
        <f>IF(Customer_Dim[[#This Row],[Age]]&lt;25,"Youth",
   IF(Customer_Dim[[#This Row],[Age]]&lt;=40,"Adult",
   IF(Customer_Dim[[#This Row],[Age]]&lt;=60,"Middle-Aged","Senior")))</f>
        <v>Youth</v>
      </c>
    </row>
    <row r="298" spans="1:12" x14ac:dyDescent="0.3">
      <c r="A298" t="s">
        <v>937</v>
      </c>
      <c r="B298" t="s">
        <v>938</v>
      </c>
      <c r="C298" t="str">
        <f t="shared" si="12"/>
        <v>Jared Moran</v>
      </c>
      <c r="D298" t="str">
        <f t="shared" si="13"/>
        <v>Jared Moran</v>
      </c>
      <c r="E298" s="7">
        <v>28</v>
      </c>
      <c r="F298" t="s">
        <v>16</v>
      </c>
      <c r="G298" t="s">
        <v>297</v>
      </c>
      <c r="H298" t="s">
        <v>43</v>
      </c>
      <c r="I298" t="s">
        <v>12</v>
      </c>
      <c r="J298" t="s">
        <v>26</v>
      </c>
      <c r="K298" t="str">
        <f t="shared" si="14"/>
        <v>Bronze</v>
      </c>
      <c r="L298" t="str">
        <f>IF(Customer_Dim[[#This Row],[Age]]&lt;25,"Youth",
   IF(Customer_Dim[[#This Row],[Age]]&lt;=40,"Adult",
   IF(Customer_Dim[[#This Row],[Age]]&lt;=60,"Middle-Aged","Senior")))</f>
        <v>Adult</v>
      </c>
    </row>
    <row r="299" spans="1:12" x14ac:dyDescent="0.3">
      <c r="A299" t="s">
        <v>939</v>
      </c>
      <c r="B299" t="s">
        <v>940</v>
      </c>
      <c r="C299" t="str">
        <f t="shared" si="12"/>
        <v>Jennifer Carr</v>
      </c>
      <c r="D299" t="str">
        <f t="shared" si="13"/>
        <v>Jennifer Carr</v>
      </c>
      <c r="E299" s="7">
        <v>47</v>
      </c>
      <c r="F299" t="s">
        <v>16</v>
      </c>
      <c r="G299" t="s">
        <v>941</v>
      </c>
      <c r="H299" t="s">
        <v>113</v>
      </c>
      <c r="I299" t="s">
        <v>12</v>
      </c>
      <c r="J299" t="s">
        <v>31</v>
      </c>
      <c r="K299" t="str">
        <f t="shared" si="14"/>
        <v>Silver</v>
      </c>
      <c r="L299" t="str">
        <f>IF(Customer_Dim[[#This Row],[Age]]&lt;25,"Youth",
   IF(Customer_Dim[[#This Row],[Age]]&lt;=40,"Adult",
   IF(Customer_Dim[[#This Row],[Age]]&lt;=60,"Middle-Aged","Senior")))</f>
        <v>Middle-Aged</v>
      </c>
    </row>
    <row r="300" spans="1:12" x14ac:dyDescent="0.3">
      <c r="A300" t="s">
        <v>942</v>
      </c>
      <c r="B300" t="s">
        <v>943</v>
      </c>
      <c r="C300" t="str">
        <f t="shared" si="12"/>
        <v>Tracy Stephens</v>
      </c>
      <c r="D300" t="str">
        <f t="shared" si="13"/>
        <v>Tracy Stephens</v>
      </c>
      <c r="E300" s="7">
        <v>64</v>
      </c>
      <c r="F300" t="s">
        <v>9</v>
      </c>
      <c r="G300" t="s">
        <v>944</v>
      </c>
      <c r="H300" t="s">
        <v>434</v>
      </c>
      <c r="I300" t="s">
        <v>12</v>
      </c>
      <c r="J300" t="s">
        <v>19</v>
      </c>
      <c r="K300" t="str">
        <f t="shared" si="14"/>
        <v>Platinum</v>
      </c>
      <c r="L300" t="str">
        <f>IF(Customer_Dim[[#This Row],[Age]]&lt;25,"Youth",
   IF(Customer_Dim[[#This Row],[Age]]&lt;=40,"Adult",
   IF(Customer_Dim[[#This Row],[Age]]&lt;=60,"Middle-Aged","Senior")))</f>
        <v>Senior</v>
      </c>
    </row>
    <row r="301" spans="1:12" x14ac:dyDescent="0.3">
      <c r="A301" t="s">
        <v>945</v>
      </c>
      <c r="B301" t="s">
        <v>946</v>
      </c>
      <c r="C301" t="str">
        <f t="shared" si="12"/>
        <v>Stephanie Jacobs</v>
      </c>
      <c r="D301" t="str">
        <f t="shared" si="13"/>
        <v>Stephanie Jacobs</v>
      </c>
      <c r="E301" s="7">
        <v>48</v>
      </c>
      <c r="F301" t="s">
        <v>16</v>
      </c>
      <c r="G301" t="s">
        <v>947</v>
      </c>
      <c r="H301" t="s">
        <v>328</v>
      </c>
      <c r="I301" t="s">
        <v>12</v>
      </c>
      <c r="J301" t="s">
        <v>19</v>
      </c>
      <c r="K301" t="str">
        <f t="shared" si="14"/>
        <v>Platinum</v>
      </c>
      <c r="L301" t="str">
        <f>IF(Customer_Dim[[#This Row],[Age]]&lt;25,"Youth",
   IF(Customer_Dim[[#This Row],[Age]]&lt;=40,"Adult",
   IF(Customer_Dim[[#This Row],[Age]]&lt;=60,"Middle-Aged","Senior")))</f>
        <v>Middle-Aged</v>
      </c>
    </row>
    <row r="302" spans="1:12" x14ac:dyDescent="0.3">
      <c r="A302" t="s">
        <v>948</v>
      </c>
      <c r="B302" t="s">
        <v>949</v>
      </c>
      <c r="C302" t="str">
        <f t="shared" si="12"/>
        <v>Matthew Avery</v>
      </c>
      <c r="D302" t="str">
        <f t="shared" si="13"/>
        <v>Matthew Avery</v>
      </c>
      <c r="E302" s="7">
        <v>29</v>
      </c>
      <c r="F302" t="s">
        <v>9</v>
      </c>
      <c r="G302" t="s">
        <v>950</v>
      </c>
      <c r="H302" t="s">
        <v>35</v>
      </c>
      <c r="I302" t="s">
        <v>12</v>
      </c>
      <c r="J302" t="s">
        <v>31</v>
      </c>
      <c r="K302" t="str">
        <f t="shared" si="14"/>
        <v>Silver</v>
      </c>
      <c r="L302" t="str">
        <f>IF(Customer_Dim[[#This Row],[Age]]&lt;25,"Youth",
   IF(Customer_Dim[[#This Row],[Age]]&lt;=40,"Adult",
   IF(Customer_Dim[[#This Row],[Age]]&lt;=60,"Middle-Aged","Senior")))</f>
        <v>Adult</v>
      </c>
    </row>
    <row r="303" spans="1:12" x14ac:dyDescent="0.3">
      <c r="A303" t="s">
        <v>951</v>
      </c>
      <c r="B303" t="s">
        <v>952</v>
      </c>
      <c r="C303" t="str">
        <f t="shared" si="12"/>
        <v>Ryan Kane</v>
      </c>
      <c r="D303" t="str">
        <f t="shared" si="13"/>
        <v>Ryan Kane</v>
      </c>
      <c r="E303" s="7">
        <v>50</v>
      </c>
      <c r="F303" t="s">
        <v>9</v>
      </c>
      <c r="G303" t="s">
        <v>953</v>
      </c>
      <c r="H303" t="s">
        <v>287</v>
      </c>
      <c r="I303" t="s">
        <v>12</v>
      </c>
      <c r="J303" t="s">
        <v>13</v>
      </c>
      <c r="K303" t="str">
        <f t="shared" si="14"/>
        <v>Gold</v>
      </c>
      <c r="L303" t="str">
        <f>IF(Customer_Dim[[#This Row],[Age]]&lt;25,"Youth",
   IF(Customer_Dim[[#This Row],[Age]]&lt;=40,"Adult",
   IF(Customer_Dim[[#This Row],[Age]]&lt;=60,"Middle-Aged","Senior")))</f>
        <v>Middle-Aged</v>
      </c>
    </row>
    <row r="304" spans="1:12" x14ac:dyDescent="0.3">
      <c r="A304" t="s">
        <v>954</v>
      </c>
      <c r="B304" t="s">
        <v>955</v>
      </c>
      <c r="C304" t="str">
        <f t="shared" si="12"/>
        <v>Edward Cole</v>
      </c>
      <c r="D304" t="str">
        <f t="shared" si="13"/>
        <v>Edward Cole</v>
      </c>
      <c r="E304" s="7">
        <v>36</v>
      </c>
      <c r="F304" t="s">
        <v>9</v>
      </c>
      <c r="G304" t="s">
        <v>956</v>
      </c>
      <c r="H304" t="s">
        <v>133</v>
      </c>
      <c r="I304" t="s">
        <v>12</v>
      </c>
      <c r="J304" t="s">
        <v>13</v>
      </c>
      <c r="K304" t="str">
        <f t="shared" si="14"/>
        <v>Gold</v>
      </c>
      <c r="L304" t="str">
        <f>IF(Customer_Dim[[#This Row],[Age]]&lt;25,"Youth",
   IF(Customer_Dim[[#This Row],[Age]]&lt;=40,"Adult",
   IF(Customer_Dim[[#This Row],[Age]]&lt;=60,"Middle-Aged","Senior")))</f>
        <v>Adult</v>
      </c>
    </row>
    <row r="305" spans="1:12" x14ac:dyDescent="0.3">
      <c r="A305" t="s">
        <v>957</v>
      </c>
      <c r="B305" t="s">
        <v>958</v>
      </c>
      <c r="C305" t="str">
        <f t="shared" si="12"/>
        <v>John Sloan</v>
      </c>
      <c r="D305" t="str">
        <f t="shared" si="13"/>
        <v>John Sloan</v>
      </c>
      <c r="E305" s="7">
        <v>23</v>
      </c>
      <c r="F305" t="s">
        <v>16</v>
      </c>
      <c r="G305" t="s">
        <v>959</v>
      </c>
      <c r="H305" t="s">
        <v>92</v>
      </c>
      <c r="I305" t="s">
        <v>12</v>
      </c>
      <c r="J305" t="s">
        <v>19</v>
      </c>
      <c r="K305" t="str">
        <f t="shared" si="14"/>
        <v>Platinum</v>
      </c>
      <c r="L305" t="str">
        <f>IF(Customer_Dim[[#This Row],[Age]]&lt;25,"Youth",
   IF(Customer_Dim[[#This Row],[Age]]&lt;=40,"Adult",
   IF(Customer_Dim[[#This Row],[Age]]&lt;=60,"Middle-Aged","Senior")))</f>
        <v>Youth</v>
      </c>
    </row>
    <row r="306" spans="1:12" x14ac:dyDescent="0.3">
      <c r="A306" t="s">
        <v>960</v>
      </c>
      <c r="B306" t="s">
        <v>961</v>
      </c>
      <c r="C306" t="str">
        <f t="shared" si="12"/>
        <v>Miss Alexandria Li Dvm</v>
      </c>
      <c r="D306" t="str">
        <f t="shared" si="13"/>
        <v>Miss Alexandria Li Dvm</v>
      </c>
      <c r="E306" s="7">
        <v>41</v>
      </c>
      <c r="F306" t="s">
        <v>9</v>
      </c>
      <c r="G306" t="s">
        <v>962</v>
      </c>
      <c r="H306" t="s">
        <v>62</v>
      </c>
      <c r="I306" t="s">
        <v>12</v>
      </c>
      <c r="J306" t="s">
        <v>31</v>
      </c>
      <c r="K306" t="str">
        <f t="shared" si="14"/>
        <v>Silver</v>
      </c>
      <c r="L306" t="str">
        <f>IF(Customer_Dim[[#This Row],[Age]]&lt;25,"Youth",
   IF(Customer_Dim[[#This Row],[Age]]&lt;=40,"Adult",
   IF(Customer_Dim[[#This Row],[Age]]&lt;=60,"Middle-Aged","Senior")))</f>
        <v>Middle-Aged</v>
      </c>
    </row>
    <row r="307" spans="1:12" x14ac:dyDescent="0.3">
      <c r="A307" t="s">
        <v>963</v>
      </c>
      <c r="B307" t="s">
        <v>964</v>
      </c>
      <c r="C307" t="str">
        <f t="shared" si="12"/>
        <v>Roberta Green</v>
      </c>
      <c r="D307" t="str">
        <f t="shared" si="13"/>
        <v>Roberta Green</v>
      </c>
      <c r="E307" s="7">
        <v>64</v>
      </c>
      <c r="F307" t="s">
        <v>9</v>
      </c>
      <c r="G307" t="s">
        <v>965</v>
      </c>
      <c r="H307" t="s">
        <v>74</v>
      </c>
      <c r="I307" t="s">
        <v>12</v>
      </c>
      <c r="J307" t="s">
        <v>19</v>
      </c>
      <c r="K307" t="str">
        <f t="shared" si="14"/>
        <v>Platinum</v>
      </c>
      <c r="L307" t="str">
        <f>IF(Customer_Dim[[#This Row],[Age]]&lt;25,"Youth",
   IF(Customer_Dim[[#This Row],[Age]]&lt;=40,"Adult",
   IF(Customer_Dim[[#This Row],[Age]]&lt;=60,"Middle-Aged","Senior")))</f>
        <v>Senior</v>
      </c>
    </row>
    <row r="308" spans="1:12" x14ac:dyDescent="0.3">
      <c r="A308" t="s">
        <v>966</v>
      </c>
      <c r="B308" t="s">
        <v>967</v>
      </c>
      <c r="C308" t="str">
        <f t="shared" si="12"/>
        <v>Angela Robinson</v>
      </c>
      <c r="D308" t="str">
        <f t="shared" si="13"/>
        <v>Angela Robinson</v>
      </c>
      <c r="E308" s="7">
        <v>44</v>
      </c>
      <c r="F308" t="s">
        <v>9</v>
      </c>
      <c r="G308" t="s">
        <v>968</v>
      </c>
      <c r="H308" t="s">
        <v>237</v>
      </c>
      <c r="I308" t="s">
        <v>12</v>
      </c>
      <c r="J308" t="s">
        <v>19</v>
      </c>
      <c r="K308" t="str">
        <f t="shared" si="14"/>
        <v>Platinum</v>
      </c>
      <c r="L308" t="str">
        <f>IF(Customer_Dim[[#This Row],[Age]]&lt;25,"Youth",
   IF(Customer_Dim[[#This Row],[Age]]&lt;=40,"Adult",
   IF(Customer_Dim[[#This Row],[Age]]&lt;=60,"Middle-Aged","Senior")))</f>
        <v>Middle-Aged</v>
      </c>
    </row>
    <row r="309" spans="1:12" x14ac:dyDescent="0.3">
      <c r="A309" t="s">
        <v>969</v>
      </c>
      <c r="B309" t="s">
        <v>970</v>
      </c>
      <c r="C309" t="str">
        <f t="shared" si="12"/>
        <v>Brandy Thompson</v>
      </c>
      <c r="D309" t="str">
        <f t="shared" si="13"/>
        <v>Brandy Thompson</v>
      </c>
      <c r="E309" s="7">
        <v>56</v>
      </c>
      <c r="F309" t="s">
        <v>16</v>
      </c>
      <c r="G309" t="s">
        <v>971</v>
      </c>
      <c r="H309" t="s">
        <v>22</v>
      </c>
      <c r="I309" t="s">
        <v>12</v>
      </c>
      <c r="J309" t="s">
        <v>26</v>
      </c>
      <c r="K309" t="str">
        <f t="shared" si="14"/>
        <v>Bronze</v>
      </c>
      <c r="L309" t="str">
        <f>IF(Customer_Dim[[#This Row],[Age]]&lt;25,"Youth",
   IF(Customer_Dim[[#This Row],[Age]]&lt;=40,"Adult",
   IF(Customer_Dim[[#This Row],[Age]]&lt;=60,"Middle-Aged","Senior")))</f>
        <v>Middle-Aged</v>
      </c>
    </row>
    <row r="310" spans="1:12" x14ac:dyDescent="0.3">
      <c r="A310" t="s">
        <v>972</v>
      </c>
      <c r="B310" t="s">
        <v>973</v>
      </c>
      <c r="C310" t="str">
        <f t="shared" si="12"/>
        <v>Jennifer Zamora</v>
      </c>
      <c r="D310" t="str">
        <f t="shared" si="13"/>
        <v>Jennifer Zamora</v>
      </c>
      <c r="E310" s="7">
        <v>60</v>
      </c>
      <c r="F310" t="s">
        <v>16</v>
      </c>
      <c r="G310" t="s">
        <v>974</v>
      </c>
      <c r="H310" t="s">
        <v>267</v>
      </c>
      <c r="I310" t="s">
        <v>12</v>
      </c>
      <c r="J310" t="s">
        <v>13</v>
      </c>
      <c r="K310" t="str">
        <f t="shared" si="14"/>
        <v>Gold</v>
      </c>
      <c r="L310" t="str">
        <f>IF(Customer_Dim[[#This Row],[Age]]&lt;25,"Youth",
   IF(Customer_Dim[[#This Row],[Age]]&lt;=40,"Adult",
   IF(Customer_Dim[[#This Row],[Age]]&lt;=60,"Middle-Aged","Senior")))</f>
        <v>Middle-Aged</v>
      </c>
    </row>
    <row r="311" spans="1:12" x14ac:dyDescent="0.3">
      <c r="A311" t="s">
        <v>975</v>
      </c>
      <c r="B311" t="s">
        <v>976</v>
      </c>
      <c r="C311" t="str">
        <f t="shared" si="12"/>
        <v>Stacy Collins</v>
      </c>
      <c r="D311" t="str">
        <f t="shared" si="13"/>
        <v>Stacy Collins</v>
      </c>
      <c r="E311" s="7">
        <v>41</v>
      </c>
      <c r="F311" t="s">
        <v>16</v>
      </c>
      <c r="G311" t="s">
        <v>977</v>
      </c>
      <c r="H311" t="s">
        <v>30</v>
      </c>
      <c r="I311" t="s">
        <v>12</v>
      </c>
      <c r="J311" t="s">
        <v>26</v>
      </c>
      <c r="K311" t="str">
        <f t="shared" si="14"/>
        <v>Bronze</v>
      </c>
      <c r="L311" t="str">
        <f>IF(Customer_Dim[[#This Row],[Age]]&lt;25,"Youth",
   IF(Customer_Dim[[#This Row],[Age]]&lt;=40,"Adult",
   IF(Customer_Dim[[#This Row],[Age]]&lt;=60,"Middle-Aged","Senior")))</f>
        <v>Middle-Aged</v>
      </c>
    </row>
    <row r="312" spans="1:12" x14ac:dyDescent="0.3">
      <c r="A312" t="s">
        <v>978</v>
      </c>
      <c r="B312" t="s">
        <v>979</v>
      </c>
      <c r="C312" t="str">
        <f t="shared" si="12"/>
        <v>Kara Dodson</v>
      </c>
      <c r="D312" t="str">
        <f t="shared" si="13"/>
        <v>Kara Dodson</v>
      </c>
      <c r="E312" s="7">
        <v>20</v>
      </c>
      <c r="F312" t="s">
        <v>9</v>
      </c>
      <c r="G312" t="s">
        <v>980</v>
      </c>
      <c r="H312" t="s">
        <v>171</v>
      </c>
      <c r="I312" t="s">
        <v>12</v>
      </c>
      <c r="J312" t="s">
        <v>31</v>
      </c>
      <c r="K312" t="str">
        <f t="shared" si="14"/>
        <v>Silver</v>
      </c>
      <c r="L312" t="str">
        <f>IF(Customer_Dim[[#This Row],[Age]]&lt;25,"Youth",
   IF(Customer_Dim[[#This Row],[Age]]&lt;=40,"Adult",
   IF(Customer_Dim[[#This Row],[Age]]&lt;=60,"Middle-Aged","Senior")))</f>
        <v>Youth</v>
      </c>
    </row>
    <row r="313" spans="1:12" x14ac:dyDescent="0.3">
      <c r="A313" t="s">
        <v>981</v>
      </c>
      <c r="B313" t="s">
        <v>982</v>
      </c>
      <c r="C313" t="str">
        <f t="shared" si="12"/>
        <v>Kevin Larson</v>
      </c>
      <c r="D313" t="str">
        <f t="shared" si="13"/>
        <v>Kevin Larson</v>
      </c>
      <c r="E313" s="7">
        <v>35</v>
      </c>
      <c r="F313" t="s">
        <v>9</v>
      </c>
      <c r="G313" t="s">
        <v>983</v>
      </c>
      <c r="H313" t="s">
        <v>35</v>
      </c>
      <c r="I313" t="s">
        <v>12</v>
      </c>
      <c r="J313" t="s">
        <v>19</v>
      </c>
      <c r="K313" t="str">
        <f t="shared" si="14"/>
        <v>Platinum</v>
      </c>
      <c r="L313" t="str">
        <f>IF(Customer_Dim[[#This Row],[Age]]&lt;25,"Youth",
   IF(Customer_Dim[[#This Row],[Age]]&lt;=40,"Adult",
   IF(Customer_Dim[[#This Row],[Age]]&lt;=60,"Middle-Aged","Senior")))</f>
        <v>Adult</v>
      </c>
    </row>
    <row r="314" spans="1:12" x14ac:dyDescent="0.3">
      <c r="A314" t="s">
        <v>984</v>
      </c>
      <c r="B314" t="s">
        <v>985</v>
      </c>
      <c r="C314" t="str">
        <f t="shared" si="12"/>
        <v>Jason Mullins</v>
      </c>
      <c r="D314" t="str">
        <f t="shared" si="13"/>
        <v>Jason Mullins</v>
      </c>
      <c r="E314" s="7">
        <v>47</v>
      </c>
      <c r="F314" t="s">
        <v>16</v>
      </c>
      <c r="G314" t="s">
        <v>986</v>
      </c>
      <c r="H314" t="s">
        <v>92</v>
      </c>
      <c r="I314" t="s">
        <v>12</v>
      </c>
      <c r="J314" t="s">
        <v>31</v>
      </c>
      <c r="K314" t="str">
        <f t="shared" si="14"/>
        <v>Silver</v>
      </c>
      <c r="L314" t="str">
        <f>IF(Customer_Dim[[#This Row],[Age]]&lt;25,"Youth",
   IF(Customer_Dim[[#This Row],[Age]]&lt;=40,"Adult",
   IF(Customer_Dim[[#This Row],[Age]]&lt;=60,"Middle-Aged","Senior")))</f>
        <v>Middle-Aged</v>
      </c>
    </row>
    <row r="315" spans="1:12" x14ac:dyDescent="0.3">
      <c r="A315" t="s">
        <v>987</v>
      </c>
      <c r="B315" t="s">
        <v>988</v>
      </c>
      <c r="C315" t="str">
        <f t="shared" si="12"/>
        <v>Elizabeth Jones</v>
      </c>
      <c r="D315" t="str">
        <f t="shared" si="13"/>
        <v>Elizabeth Jones</v>
      </c>
      <c r="E315" s="7">
        <v>62</v>
      </c>
      <c r="F315" t="s">
        <v>9</v>
      </c>
      <c r="G315" t="s">
        <v>989</v>
      </c>
      <c r="H315" t="s">
        <v>140</v>
      </c>
      <c r="I315" t="s">
        <v>12</v>
      </c>
      <c r="J315" t="s">
        <v>19</v>
      </c>
      <c r="K315" t="str">
        <f t="shared" si="14"/>
        <v>Platinum</v>
      </c>
      <c r="L315" t="str">
        <f>IF(Customer_Dim[[#This Row],[Age]]&lt;25,"Youth",
   IF(Customer_Dim[[#This Row],[Age]]&lt;=40,"Adult",
   IF(Customer_Dim[[#This Row],[Age]]&lt;=60,"Middle-Aged","Senior")))</f>
        <v>Senior</v>
      </c>
    </row>
    <row r="316" spans="1:12" x14ac:dyDescent="0.3">
      <c r="A316" t="s">
        <v>990</v>
      </c>
      <c r="B316" t="s">
        <v>991</v>
      </c>
      <c r="C316" t="str">
        <f t="shared" si="12"/>
        <v>Elizabeth Johnson</v>
      </c>
      <c r="D316" t="str">
        <f t="shared" si="13"/>
        <v>Elizabeth Johnson</v>
      </c>
      <c r="E316" s="7">
        <v>53</v>
      </c>
      <c r="F316" t="s">
        <v>16</v>
      </c>
      <c r="G316" t="s">
        <v>992</v>
      </c>
      <c r="H316" t="s">
        <v>74</v>
      </c>
      <c r="I316" t="s">
        <v>12</v>
      </c>
      <c r="J316" t="s">
        <v>31</v>
      </c>
      <c r="K316" t="str">
        <f t="shared" si="14"/>
        <v>Silver</v>
      </c>
      <c r="L316" t="str">
        <f>IF(Customer_Dim[[#This Row],[Age]]&lt;25,"Youth",
   IF(Customer_Dim[[#This Row],[Age]]&lt;=40,"Adult",
   IF(Customer_Dim[[#This Row],[Age]]&lt;=60,"Middle-Aged","Senior")))</f>
        <v>Middle-Aged</v>
      </c>
    </row>
    <row r="317" spans="1:12" x14ac:dyDescent="0.3">
      <c r="A317" t="s">
        <v>993</v>
      </c>
      <c r="B317" t="s">
        <v>994</v>
      </c>
      <c r="C317" t="str">
        <f t="shared" si="12"/>
        <v>William Rodriguez</v>
      </c>
      <c r="D317" t="str">
        <f t="shared" si="13"/>
        <v>William Rodriguez</v>
      </c>
      <c r="E317" s="7">
        <v>49</v>
      </c>
      <c r="F317" t="s">
        <v>9</v>
      </c>
      <c r="G317" t="s">
        <v>995</v>
      </c>
      <c r="H317" t="s">
        <v>715</v>
      </c>
      <c r="I317" t="s">
        <v>12</v>
      </c>
      <c r="J317" t="s">
        <v>31</v>
      </c>
      <c r="K317" t="str">
        <f t="shared" si="14"/>
        <v>Silver</v>
      </c>
      <c r="L317" t="str">
        <f>IF(Customer_Dim[[#This Row],[Age]]&lt;25,"Youth",
   IF(Customer_Dim[[#This Row],[Age]]&lt;=40,"Adult",
   IF(Customer_Dim[[#This Row],[Age]]&lt;=60,"Middle-Aged","Senior")))</f>
        <v>Middle-Aged</v>
      </c>
    </row>
    <row r="318" spans="1:12" x14ac:dyDescent="0.3">
      <c r="A318" t="s">
        <v>996</v>
      </c>
      <c r="B318" t="s">
        <v>997</v>
      </c>
      <c r="C318" t="str">
        <f t="shared" si="12"/>
        <v>Robert House</v>
      </c>
      <c r="D318" t="str">
        <f t="shared" si="13"/>
        <v>Robert House</v>
      </c>
      <c r="E318" s="7">
        <v>34</v>
      </c>
      <c r="F318" t="s">
        <v>9</v>
      </c>
      <c r="G318" t="s">
        <v>998</v>
      </c>
      <c r="H318" t="s">
        <v>140</v>
      </c>
      <c r="I318" t="s">
        <v>12</v>
      </c>
      <c r="J318" t="s">
        <v>13</v>
      </c>
      <c r="K318" t="str">
        <f t="shared" si="14"/>
        <v>Gold</v>
      </c>
      <c r="L318" t="str">
        <f>IF(Customer_Dim[[#This Row],[Age]]&lt;25,"Youth",
   IF(Customer_Dim[[#This Row],[Age]]&lt;=40,"Adult",
   IF(Customer_Dim[[#This Row],[Age]]&lt;=60,"Middle-Aged","Senior")))</f>
        <v>Adult</v>
      </c>
    </row>
    <row r="319" spans="1:12" x14ac:dyDescent="0.3">
      <c r="A319" t="s">
        <v>999</v>
      </c>
      <c r="B319" t="s">
        <v>1000</v>
      </c>
      <c r="C319" t="str">
        <f t="shared" si="12"/>
        <v>Tiffany Williams</v>
      </c>
      <c r="D319" t="str">
        <f t="shared" si="13"/>
        <v>Tiffany Williams</v>
      </c>
      <c r="E319" s="7">
        <v>64</v>
      </c>
      <c r="F319" t="s">
        <v>16</v>
      </c>
      <c r="G319" t="s">
        <v>1001</v>
      </c>
      <c r="H319" t="s">
        <v>47</v>
      </c>
      <c r="I319" t="s">
        <v>12</v>
      </c>
      <c r="J319" t="s">
        <v>13</v>
      </c>
      <c r="K319" t="str">
        <f t="shared" si="14"/>
        <v>Gold</v>
      </c>
      <c r="L319" t="str">
        <f>IF(Customer_Dim[[#This Row],[Age]]&lt;25,"Youth",
   IF(Customer_Dim[[#This Row],[Age]]&lt;=40,"Adult",
   IF(Customer_Dim[[#This Row],[Age]]&lt;=60,"Middle-Aged","Senior")))</f>
        <v>Senior</v>
      </c>
    </row>
    <row r="320" spans="1:12" x14ac:dyDescent="0.3">
      <c r="A320" t="s">
        <v>1002</v>
      </c>
      <c r="B320" t="s">
        <v>1003</v>
      </c>
      <c r="C320" t="str">
        <f t="shared" si="12"/>
        <v>Madison Wright</v>
      </c>
      <c r="D320" t="str">
        <f t="shared" si="13"/>
        <v>Madison Wright</v>
      </c>
      <c r="E320" s="7">
        <v>25</v>
      </c>
      <c r="F320" t="s">
        <v>9</v>
      </c>
      <c r="G320" t="s">
        <v>1004</v>
      </c>
      <c r="H320" t="s">
        <v>62</v>
      </c>
      <c r="I320" t="s">
        <v>12</v>
      </c>
      <c r="J320" t="s">
        <v>19</v>
      </c>
      <c r="K320" t="str">
        <f t="shared" si="14"/>
        <v>Platinum</v>
      </c>
      <c r="L320" t="str">
        <f>IF(Customer_Dim[[#This Row],[Age]]&lt;25,"Youth",
   IF(Customer_Dim[[#This Row],[Age]]&lt;=40,"Adult",
   IF(Customer_Dim[[#This Row],[Age]]&lt;=60,"Middle-Aged","Senior")))</f>
        <v>Adult</v>
      </c>
    </row>
    <row r="321" spans="1:12" x14ac:dyDescent="0.3">
      <c r="A321" t="s">
        <v>1005</v>
      </c>
      <c r="B321" t="s">
        <v>1006</v>
      </c>
      <c r="C321" t="str">
        <f t="shared" si="12"/>
        <v>Casey Simpson</v>
      </c>
      <c r="D321" t="str">
        <f t="shared" si="13"/>
        <v>Casey Simpson</v>
      </c>
      <c r="E321" s="7">
        <v>54</v>
      </c>
      <c r="F321" t="s">
        <v>9</v>
      </c>
      <c r="G321" t="s">
        <v>1007</v>
      </c>
      <c r="H321" t="s">
        <v>313</v>
      </c>
      <c r="I321" t="s">
        <v>12</v>
      </c>
      <c r="J321" t="s">
        <v>19</v>
      </c>
      <c r="K321" t="str">
        <f t="shared" si="14"/>
        <v>Platinum</v>
      </c>
      <c r="L321" t="str">
        <f>IF(Customer_Dim[[#This Row],[Age]]&lt;25,"Youth",
   IF(Customer_Dim[[#This Row],[Age]]&lt;=40,"Adult",
   IF(Customer_Dim[[#This Row],[Age]]&lt;=60,"Middle-Aged","Senior")))</f>
        <v>Middle-Aged</v>
      </c>
    </row>
    <row r="322" spans="1:12" x14ac:dyDescent="0.3">
      <c r="A322" t="s">
        <v>1008</v>
      </c>
      <c r="B322" t="s">
        <v>1009</v>
      </c>
      <c r="C322" t="str">
        <f t="shared" si="12"/>
        <v>Jessica Gonzalez</v>
      </c>
      <c r="D322" t="str">
        <f t="shared" si="13"/>
        <v>Jessica Gonzalez</v>
      </c>
      <c r="E322" s="7">
        <v>34</v>
      </c>
      <c r="F322" t="s">
        <v>16</v>
      </c>
      <c r="G322" t="s">
        <v>1010</v>
      </c>
      <c r="H322" t="s">
        <v>267</v>
      </c>
      <c r="I322" t="s">
        <v>12</v>
      </c>
      <c r="J322" t="s">
        <v>26</v>
      </c>
      <c r="K322" t="str">
        <f t="shared" si="14"/>
        <v>Bronze</v>
      </c>
      <c r="L322" t="str">
        <f>IF(Customer_Dim[[#This Row],[Age]]&lt;25,"Youth",
   IF(Customer_Dim[[#This Row],[Age]]&lt;=40,"Adult",
   IF(Customer_Dim[[#This Row],[Age]]&lt;=60,"Middle-Aged","Senior")))</f>
        <v>Adult</v>
      </c>
    </row>
    <row r="323" spans="1:12" x14ac:dyDescent="0.3">
      <c r="A323" t="s">
        <v>1011</v>
      </c>
      <c r="B323" t="s">
        <v>1012</v>
      </c>
      <c r="C323" t="str">
        <f t="shared" ref="C323:C386" si="15">PROPER(B323)</f>
        <v>Darren Burton</v>
      </c>
      <c r="D323" t="str">
        <f t="shared" ref="D323:D386" si="16">TRIM(C323)</f>
        <v>Darren Burton</v>
      </c>
      <c r="E323" s="7">
        <v>21</v>
      </c>
      <c r="F323" t="s">
        <v>16</v>
      </c>
      <c r="G323" t="s">
        <v>1013</v>
      </c>
      <c r="H323" t="s">
        <v>237</v>
      </c>
      <c r="I323" t="s">
        <v>12</v>
      </c>
      <c r="J323" t="s">
        <v>26</v>
      </c>
      <c r="K323" t="str">
        <f t="shared" ref="K323:K386" si="17">IF(ISBLANK(J323),"UNKNOWN",J323)</f>
        <v>Bronze</v>
      </c>
      <c r="L323" t="str">
        <f>IF(Customer_Dim[[#This Row],[Age]]&lt;25,"Youth",
   IF(Customer_Dim[[#This Row],[Age]]&lt;=40,"Adult",
   IF(Customer_Dim[[#This Row],[Age]]&lt;=60,"Middle-Aged","Senior")))</f>
        <v>Youth</v>
      </c>
    </row>
    <row r="324" spans="1:12" x14ac:dyDescent="0.3">
      <c r="A324" t="s">
        <v>1014</v>
      </c>
      <c r="B324" t="s">
        <v>1015</v>
      </c>
      <c r="C324" t="str">
        <f t="shared" si="15"/>
        <v>Samuel Arias</v>
      </c>
      <c r="D324" t="str">
        <f t="shared" si="16"/>
        <v>Samuel Arias</v>
      </c>
      <c r="E324" s="7">
        <v>54</v>
      </c>
      <c r="F324" t="s">
        <v>9</v>
      </c>
      <c r="G324" t="s">
        <v>1016</v>
      </c>
      <c r="H324" t="s">
        <v>845</v>
      </c>
      <c r="I324" t="s">
        <v>12</v>
      </c>
      <c r="J324" t="s">
        <v>26</v>
      </c>
      <c r="K324" t="str">
        <f t="shared" si="17"/>
        <v>Bronze</v>
      </c>
      <c r="L324" t="str">
        <f>IF(Customer_Dim[[#This Row],[Age]]&lt;25,"Youth",
   IF(Customer_Dim[[#This Row],[Age]]&lt;=40,"Adult",
   IF(Customer_Dim[[#This Row],[Age]]&lt;=60,"Middle-Aged","Senior")))</f>
        <v>Middle-Aged</v>
      </c>
    </row>
    <row r="325" spans="1:12" x14ac:dyDescent="0.3">
      <c r="A325" t="s">
        <v>1017</v>
      </c>
      <c r="B325" t="s">
        <v>1018</v>
      </c>
      <c r="C325" t="str">
        <f t="shared" si="15"/>
        <v>Kristy Dunlap</v>
      </c>
      <c r="D325" t="str">
        <f t="shared" si="16"/>
        <v>Kristy Dunlap</v>
      </c>
      <c r="E325" s="7">
        <v>64</v>
      </c>
      <c r="F325" t="s">
        <v>16</v>
      </c>
      <c r="G325" t="s">
        <v>1019</v>
      </c>
      <c r="H325" t="s">
        <v>11</v>
      </c>
      <c r="I325" t="s">
        <v>12</v>
      </c>
      <c r="J325" t="s">
        <v>19</v>
      </c>
      <c r="K325" t="str">
        <f t="shared" si="17"/>
        <v>Platinum</v>
      </c>
      <c r="L325" t="str">
        <f>IF(Customer_Dim[[#This Row],[Age]]&lt;25,"Youth",
   IF(Customer_Dim[[#This Row],[Age]]&lt;=40,"Adult",
   IF(Customer_Dim[[#This Row],[Age]]&lt;=60,"Middle-Aged","Senior")))</f>
        <v>Senior</v>
      </c>
    </row>
    <row r="326" spans="1:12" x14ac:dyDescent="0.3">
      <c r="A326" t="s">
        <v>1020</v>
      </c>
      <c r="B326" t="s">
        <v>1021</v>
      </c>
      <c r="C326" t="str">
        <f t="shared" si="15"/>
        <v>Alex Mann Ii</v>
      </c>
      <c r="D326" t="str">
        <f t="shared" si="16"/>
        <v>Alex Mann Ii</v>
      </c>
      <c r="E326" s="7">
        <v>58</v>
      </c>
      <c r="F326" t="s">
        <v>9</v>
      </c>
      <c r="G326" t="s">
        <v>1022</v>
      </c>
      <c r="H326" t="s">
        <v>96</v>
      </c>
      <c r="I326" t="s">
        <v>12</v>
      </c>
      <c r="J326" t="s">
        <v>26</v>
      </c>
      <c r="K326" t="str">
        <f t="shared" si="17"/>
        <v>Bronze</v>
      </c>
      <c r="L326" t="str">
        <f>IF(Customer_Dim[[#This Row],[Age]]&lt;25,"Youth",
   IF(Customer_Dim[[#This Row],[Age]]&lt;=40,"Adult",
   IF(Customer_Dim[[#This Row],[Age]]&lt;=60,"Middle-Aged","Senior")))</f>
        <v>Middle-Aged</v>
      </c>
    </row>
    <row r="327" spans="1:12" x14ac:dyDescent="0.3">
      <c r="A327" t="s">
        <v>1023</v>
      </c>
      <c r="B327" t="s">
        <v>1024</v>
      </c>
      <c r="C327" t="str">
        <f t="shared" si="15"/>
        <v>Andrew Smith</v>
      </c>
      <c r="D327" t="str">
        <f t="shared" si="16"/>
        <v>Andrew Smith</v>
      </c>
      <c r="E327" s="7">
        <v>60</v>
      </c>
      <c r="F327" t="s">
        <v>9</v>
      </c>
      <c r="G327" t="s">
        <v>1025</v>
      </c>
      <c r="H327" t="s">
        <v>324</v>
      </c>
      <c r="I327" t="s">
        <v>12</v>
      </c>
      <c r="J327" t="s">
        <v>26</v>
      </c>
      <c r="K327" t="str">
        <f t="shared" si="17"/>
        <v>Bronze</v>
      </c>
      <c r="L327" t="str">
        <f>IF(Customer_Dim[[#This Row],[Age]]&lt;25,"Youth",
   IF(Customer_Dim[[#This Row],[Age]]&lt;=40,"Adult",
   IF(Customer_Dim[[#This Row],[Age]]&lt;=60,"Middle-Aged","Senior")))</f>
        <v>Middle-Aged</v>
      </c>
    </row>
    <row r="328" spans="1:12" x14ac:dyDescent="0.3">
      <c r="A328" t="s">
        <v>1026</v>
      </c>
      <c r="B328" t="s">
        <v>1027</v>
      </c>
      <c r="C328" t="str">
        <f t="shared" si="15"/>
        <v>Robert King</v>
      </c>
      <c r="D328" t="str">
        <f t="shared" si="16"/>
        <v>Robert King</v>
      </c>
      <c r="E328" s="7">
        <v>58</v>
      </c>
      <c r="F328" t="s">
        <v>16</v>
      </c>
      <c r="G328" t="s">
        <v>1028</v>
      </c>
      <c r="H328" t="s">
        <v>217</v>
      </c>
      <c r="I328" t="s">
        <v>12</v>
      </c>
      <c r="J328" t="s">
        <v>13</v>
      </c>
      <c r="K328" t="str">
        <f t="shared" si="17"/>
        <v>Gold</v>
      </c>
      <c r="L328" t="str">
        <f>IF(Customer_Dim[[#This Row],[Age]]&lt;25,"Youth",
   IF(Customer_Dim[[#This Row],[Age]]&lt;=40,"Adult",
   IF(Customer_Dim[[#This Row],[Age]]&lt;=60,"Middle-Aged","Senior")))</f>
        <v>Middle-Aged</v>
      </c>
    </row>
    <row r="329" spans="1:12" x14ac:dyDescent="0.3">
      <c r="A329" t="s">
        <v>1029</v>
      </c>
      <c r="B329" t="s">
        <v>1030</v>
      </c>
      <c r="C329" t="str">
        <f t="shared" si="15"/>
        <v>Reginald Willis</v>
      </c>
      <c r="D329" t="str">
        <f t="shared" si="16"/>
        <v>Reginald Willis</v>
      </c>
      <c r="E329" s="7">
        <v>62</v>
      </c>
      <c r="F329" t="s">
        <v>16</v>
      </c>
      <c r="G329" t="s">
        <v>1031</v>
      </c>
      <c r="H329" t="s">
        <v>58</v>
      </c>
      <c r="I329" t="s">
        <v>12</v>
      </c>
      <c r="J329" t="s">
        <v>26</v>
      </c>
      <c r="K329" t="str">
        <f t="shared" si="17"/>
        <v>Bronze</v>
      </c>
      <c r="L329" t="str">
        <f>IF(Customer_Dim[[#This Row],[Age]]&lt;25,"Youth",
   IF(Customer_Dim[[#This Row],[Age]]&lt;=40,"Adult",
   IF(Customer_Dim[[#This Row],[Age]]&lt;=60,"Middle-Aged","Senior")))</f>
        <v>Senior</v>
      </c>
    </row>
    <row r="330" spans="1:12" x14ac:dyDescent="0.3">
      <c r="A330" t="s">
        <v>1032</v>
      </c>
      <c r="B330" t="s">
        <v>1033</v>
      </c>
      <c r="C330" t="str">
        <f t="shared" si="15"/>
        <v>Mario Harvey Jr.</v>
      </c>
      <c r="D330" t="str">
        <f t="shared" si="16"/>
        <v>Mario Harvey Jr.</v>
      </c>
      <c r="E330" s="7">
        <v>46</v>
      </c>
      <c r="F330" t="s">
        <v>9</v>
      </c>
      <c r="G330" t="s">
        <v>1034</v>
      </c>
      <c r="H330" t="s">
        <v>201</v>
      </c>
      <c r="I330" t="s">
        <v>12</v>
      </c>
      <c r="J330" t="s">
        <v>19</v>
      </c>
      <c r="K330" t="str">
        <f t="shared" si="17"/>
        <v>Platinum</v>
      </c>
      <c r="L330" t="str">
        <f>IF(Customer_Dim[[#This Row],[Age]]&lt;25,"Youth",
   IF(Customer_Dim[[#This Row],[Age]]&lt;=40,"Adult",
   IF(Customer_Dim[[#This Row],[Age]]&lt;=60,"Middle-Aged","Senior")))</f>
        <v>Middle-Aged</v>
      </c>
    </row>
    <row r="331" spans="1:12" x14ac:dyDescent="0.3">
      <c r="A331" t="s">
        <v>1035</v>
      </c>
      <c r="B331" t="s">
        <v>1036</v>
      </c>
      <c r="C331" t="str">
        <f t="shared" si="15"/>
        <v>Victor Mcintosh</v>
      </c>
      <c r="D331" t="str">
        <f t="shared" si="16"/>
        <v>Victor Mcintosh</v>
      </c>
      <c r="E331" s="7">
        <v>62</v>
      </c>
      <c r="F331" t="s">
        <v>16</v>
      </c>
      <c r="G331" t="s">
        <v>1037</v>
      </c>
      <c r="H331" t="s">
        <v>201</v>
      </c>
      <c r="I331" t="s">
        <v>12</v>
      </c>
      <c r="J331" t="s">
        <v>26</v>
      </c>
      <c r="K331" t="str">
        <f t="shared" si="17"/>
        <v>Bronze</v>
      </c>
      <c r="L331" t="str">
        <f>IF(Customer_Dim[[#This Row],[Age]]&lt;25,"Youth",
   IF(Customer_Dim[[#This Row],[Age]]&lt;=40,"Adult",
   IF(Customer_Dim[[#This Row],[Age]]&lt;=60,"Middle-Aged","Senior")))</f>
        <v>Senior</v>
      </c>
    </row>
    <row r="332" spans="1:12" x14ac:dyDescent="0.3">
      <c r="A332" t="s">
        <v>1038</v>
      </c>
      <c r="B332" t="s">
        <v>1039</v>
      </c>
      <c r="C332" t="str">
        <f t="shared" si="15"/>
        <v>Pamela Mcguire</v>
      </c>
      <c r="D332" t="str">
        <f t="shared" si="16"/>
        <v>Pamela Mcguire</v>
      </c>
      <c r="E332" s="7">
        <v>54</v>
      </c>
      <c r="F332" t="s">
        <v>9</v>
      </c>
      <c r="G332" t="s">
        <v>1040</v>
      </c>
      <c r="H332" t="s">
        <v>194</v>
      </c>
      <c r="I332" t="s">
        <v>12</v>
      </c>
      <c r="J332" t="s">
        <v>19</v>
      </c>
      <c r="K332" t="str">
        <f t="shared" si="17"/>
        <v>Platinum</v>
      </c>
      <c r="L332" t="str">
        <f>IF(Customer_Dim[[#This Row],[Age]]&lt;25,"Youth",
   IF(Customer_Dim[[#This Row],[Age]]&lt;=40,"Adult",
   IF(Customer_Dim[[#This Row],[Age]]&lt;=60,"Middle-Aged","Senior")))</f>
        <v>Middle-Aged</v>
      </c>
    </row>
    <row r="333" spans="1:12" x14ac:dyDescent="0.3">
      <c r="A333" t="s">
        <v>1041</v>
      </c>
      <c r="B333" t="s">
        <v>1042</v>
      </c>
      <c r="C333" t="str">
        <f t="shared" si="15"/>
        <v>Maria Phillips</v>
      </c>
      <c r="D333" t="str">
        <f t="shared" si="16"/>
        <v>Maria Phillips</v>
      </c>
      <c r="E333" s="7">
        <v>38</v>
      </c>
      <c r="F333" t="s">
        <v>16</v>
      </c>
      <c r="G333" t="s">
        <v>1043</v>
      </c>
      <c r="H333" t="s">
        <v>66</v>
      </c>
      <c r="I333" t="s">
        <v>12</v>
      </c>
      <c r="J333" t="s">
        <v>26</v>
      </c>
      <c r="K333" t="str">
        <f t="shared" si="17"/>
        <v>Bronze</v>
      </c>
      <c r="L333" t="str">
        <f>IF(Customer_Dim[[#This Row],[Age]]&lt;25,"Youth",
   IF(Customer_Dim[[#This Row],[Age]]&lt;=40,"Adult",
   IF(Customer_Dim[[#This Row],[Age]]&lt;=60,"Middle-Aged","Senior")))</f>
        <v>Adult</v>
      </c>
    </row>
    <row r="334" spans="1:12" x14ac:dyDescent="0.3">
      <c r="A334" t="s">
        <v>1044</v>
      </c>
      <c r="B334" t="s">
        <v>1045</v>
      </c>
      <c r="C334" t="str">
        <f t="shared" si="15"/>
        <v>Dr. Lindsay Hanna</v>
      </c>
      <c r="D334" t="str">
        <f t="shared" si="16"/>
        <v>Dr. Lindsay Hanna</v>
      </c>
      <c r="E334" s="7">
        <v>34</v>
      </c>
      <c r="F334" t="s">
        <v>16</v>
      </c>
      <c r="G334" t="s">
        <v>1046</v>
      </c>
      <c r="H334" t="s">
        <v>99</v>
      </c>
      <c r="I334" t="s">
        <v>12</v>
      </c>
      <c r="J334" t="s">
        <v>26</v>
      </c>
      <c r="K334" t="str">
        <f t="shared" si="17"/>
        <v>Bronze</v>
      </c>
      <c r="L334" t="str">
        <f>IF(Customer_Dim[[#This Row],[Age]]&lt;25,"Youth",
   IF(Customer_Dim[[#This Row],[Age]]&lt;=40,"Adult",
   IF(Customer_Dim[[#This Row],[Age]]&lt;=60,"Middle-Aged","Senior")))</f>
        <v>Adult</v>
      </c>
    </row>
    <row r="335" spans="1:12" x14ac:dyDescent="0.3">
      <c r="A335" t="s">
        <v>1047</v>
      </c>
      <c r="B335" t="s">
        <v>1048</v>
      </c>
      <c r="C335" t="str">
        <f t="shared" si="15"/>
        <v>Teresa Johnson</v>
      </c>
      <c r="D335" t="str">
        <f t="shared" si="16"/>
        <v>Teresa Johnson</v>
      </c>
      <c r="E335" s="7">
        <v>64</v>
      </c>
      <c r="F335" t="s">
        <v>16</v>
      </c>
      <c r="G335" t="s">
        <v>1049</v>
      </c>
      <c r="H335" t="s">
        <v>81</v>
      </c>
      <c r="I335" t="s">
        <v>12</v>
      </c>
      <c r="J335" t="s">
        <v>13</v>
      </c>
      <c r="K335" t="str">
        <f t="shared" si="17"/>
        <v>Gold</v>
      </c>
      <c r="L335" t="str">
        <f>IF(Customer_Dim[[#This Row],[Age]]&lt;25,"Youth",
   IF(Customer_Dim[[#This Row],[Age]]&lt;=40,"Adult",
   IF(Customer_Dim[[#This Row],[Age]]&lt;=60,"Middle-Aged","Senior")))</f>
        <v>Senior</v>
      </c>
    </row>
    <row r="336" spans="1:12" x14ac:dyDescent="0.3">
      <c r="A336" t="s">
        <v>1050</v>
      </c>
      <c r="B336" t="s">
        <v>1051</v>
      </c>
      <c r="C336" t="str">
        <f t="shared" si="15"/>
        <v>Mr. Christopher Sims</v>
      </c>
      <c r="D336" t="str">
        <f t="shared" si="16"/>
        <v>Mr. Christopher Sims</v>
      </c>
      <c r="E336" s="7">
        <v>50</v>
      </c>
      <c r="F336" t="s">
        <v>16</v>
      </c>
      <c r="G336" t="s">
        <v>1052</v>
      </c>
      <c r="H336" t="s">
        <v>167</v>
      </c>
      <c r="I336" t="s">
        <v>12</v>
      </c>
      <c r="J336" t="s">
        <v>31</v>
      </c>
      <c r="K336" t="str">
        <f t="shared" si="17"/>
        <v>Silver</v>
      </c>
      <c r="L336" t="str">
        <f>IF(Customer_Dim[[#This Row],[Age]]&lt;25,"Youth",
   IF(Customer_Dim[[#This Row],[Age]]&lt;=40,"Adult",
   IF(Customer_Dim[[#This Row],[Age]]&lt;=60,"Middle-Aged","Senior")))</f>
        <v>Middle-Aged</v>
      </c>
    </row>
    <row r="337" spans="1:12" x14ac:dyDescent="0.3">
      <c r="A337" t="s">
        <v>1053</v>
      </c>
      <c r="B337" t="s">
        <v>1054</v>
      </c>
      <c r="C337" t="str">
        <f t="shared" si="15"/>
        <v>Jennifer Woods</v>
      </c>
      <c r="D337" t="str">
        <f t="shared" si="16"/>
        <v>Jennifer Woods</v>
      </c>
      <c r="E337" s="7">
        <v>37</v>
      </c>
      <c r="F337" t="s">
        <v>9</v>
      </c>
      <c r="G337" t="s">
        <v>1055</v>
      </c>
      <c r="H337" t="s">
        <v>11</v>
      </c>
      <c r="I337" t="s">
        <v>12</v>
      </c>
      <c r="J337" t="s">
        <v>19</v>
      </c>
      <c r="K337" t="str">
        <f t="shared" si="17"/>
        <v>Platinum</v>
      </c>
      <c r="L337" t="str">
        <f>IF(Customer_Dim[[#This Row],[Age]]&lt;25,"Youth",
   IF(Customer_Dim[[#This Row],[Age]]&lt;=40,"Adult",
   IF(Customer_Dim[[#This Row],[Age]]&lt;=60,"Middle-Aged","Senior")))</f>
        <v>Adult</v>
      </c>
    </row>
    <row r="338" spans="1:12" x14ac:dyDescent="0.3">
      <c r="A338" t="s">
        <v>1056</v>
      </c>
      <c r="B338" t="s">
        <v>1057</v>
      </c>
      <c r="C338" t="str">
        <f t="shared" si="15"/>
        <v>John Jones</v>
      </c>
      <c r="D338" t="str">
        <f t="shared" si="16"/>
        <v>John Jones</v>
      </c>
      <c r="E338" s="7">
        <v>58</v>
      </c>
      <c r="F338" t="s">
        <v>16</v>
      </c>
      <c r="G338" t="s">
        <v>1058</v>
      </c>
      <c r="H338" t="s">
        <v>35</v>
      </c>
      <c r="I338" t="s">
        <v>12</v>
      </c>
      <c r="J338" t="s">
        <v>31</v>
      </c>
      <c r="K338" t="str">
        <f t="shared" si="17"/>
        <v>Silver</v>
      </c>
      <c r="L338" t="str">
        <f>IF(Customer_Dim[[#This Row],[Age]]&lt;25,"Youth",
   IF(Customer_Dim[[#This Row],[Age]]&lt;=40,"Adult",
   IF(Customer_Dim[[#This Row],[Age]]&lt;=60,"Middle-Aged","Senior")))</f>
        <v>Middle-Aged</v>
      </c>
    </row>
    <row r="339" spans="1:12" x14ac:dyDescent="0.3">
      <c r="A339" t="s">
        <v>1059</v>
      </c>
      <c r="B339" t="s">
        <v>1060</v>
      </c>
      <c r="C339" t="str">
        <f t="shared" si="15"/>
        <v>Carol Lewis</v>
      </c>
      <c r="D339" t="str">
        <f t="shared" si="16"/>
        <v>Carol Lewis</v>
      </c>
      <c r="E339" s="7">
        <v>40</v>
      </c>
      <c r="F339" t="s">
        <v>16</v>
      </c>
      <c r="G339" t="s">
        <v>1061</v>
      </c>
      <c r="H339" t="s">
        <v>11</v>
      </c>
      <c r="I339" t="s">
        <v>12</v>
      </c>
      <c r="J339" t="s">
        <v>26</v>
      </c>
      <c r="K339" t="str">
        <f t="shared" si="17"/>
        <v>Bronze</v>
      </c>
      <c r="L339" t="str">
        <f>IF(Customer_Dim[[#This Row],[Age]]&lt;25,"Youth",
   IF(Customer_Dim[[#This Row],[Age]]&lt;=40,"Adult",
   IF(Customer_Dim[[#This Row],[Age]]&lt;=60,"Middle-Aged","Senior")))</f>
        <v>Adult</v>
      </c>
    </row>
    <row r="340" spans="1:12" x14ac:dyDescent="0.3">
      <c r="A340" t="s">
        <v>1062</v>
      </c>
      <c r="B340" t="s">
        <v>1063</v>
      </c>
      <c r="C340" t="str">
        <f t="shared" si="15"/>
        <v>Jasmine Snyder</v>
      </c>
      <c r="D340" t="str">
        <f t="shared" si="16"/>
        <v>Jasmine Snyder</v>
      </c>
      <c r="E340" s="7">
        <v>46</v>
      </c>
      <c r="F340" t="s">
        <v>16</v>
      </c>
      <c r="G340" t="s">
        <v>1064</v>
      </c>
      <c r="H340" t="s">
        <v>167</v>
      </c>
      <c r="I340" t="s">
        <v>12</v>
      </c>
      <c r="J340" t="s">
        <v>31</v>
      </c>
      <c r="K340" t="str">
        <f t="shared" si="17"/>
        <v>Silver</v>
      </c>
      <c r="L340" t="str">
        <f>IF(Customer_Dim[[#This Row],[Age]]&lt;25,"Youth",
   IF(Customer_Dim[[#This Row],[Age]]&lt;=40,"Adult",
   IF(Customer_Dim[[#This Row],[Age]]&lt;=60,"Middle-Aged","Senior")))</f>
        <v>Middle-Aged</v>
      </c>
    </row>
    <row r="341" spans="1:12" x14ac:dyDescent="0.3">
      <c r="A341" t="s">
        <v>1065</v>
      </c>
      <c r="B341" t="s">
        <v>1066</v>
      </c>
      <c r="C341" t="str">
        <f t="shared" si="15"/>
        <v>Mrs. Susan Buckley</v>
      </c>
      <c r="D341" t="str">
        <f t="shared" si="16"/>
        <v>Mrs. Susan Buckley</v>
      </c>
      <c r="E341" s="7">
        <v>52</v>
      </c>
      <c r="F341" t="s">
        <v>16</v>
      </c>
      <c r="G341" t="s">
        <v>1067</v>
      </c>
      <c r="H341" t="s">
        <v>133</v>
      </c>
      <c r="I341" t="s">
        <v>12</v>
      </c>
      <c r="J341" t="s">
        <v>19</v>
      </c>
      <c r="K341" t="str">
        <f t="shared" si="17"/>
        <v>Platinum</v>
      </c>
      <c r="L341" t="str">
        <f>IF(Customer_Dim[[#This Row],[Age]]&lt;25,"Youth",
   IF(Customer_Dim[[#This Row],[Age]]&lt;=40,"Adult",
   IF(Customer_Dim[[#This Row],[Age]]&lt;=60,"Middle-Aged","Senior")))</f>
        <v>Middle-Aged</v>
      </c>
    </row>
    <row r="342" spans="1:12" x14ac:dyDescent="0.3">
      <c r="A342" t="s">
        <v>1068</v>
      </c>
      <c r="B342" t="s">
        <v>1069</v>
      </c>
      <c r="C342" t="str">
        <f t="shared" si="15"/>
        <v>Eric Davis</v>
      </c>
      <c r="D342" t="str">
        <f t="shared" si="16"/>
        <v>Eric Davis</v>
      </c>
      <c r="E342" s="7">
        <v>27</v>
      </c>
      <c r="F342" t="s">
        <v>9</v>
      </c>
      <c r="G342" t="s">
        <v>1070</v>
      </c>
      <c r="H342" t="s">
        <v>274</v>
      </c>
      <c r="I342" t="s">
        <v>12</v>
      </c>
      <c r="J342" t="s">
        <v>26</v>
      </c>
      <c r="K342" t="str">
        <f t="shared" si="17"/>
        <v>Bronze</v>
      </c>
      <c r="L342" t="str">
        <f>IF(Customer_Dim[[#This Row],[Age]]&lt;25,"Youth",
   IF(Customer_Dim[[#This Row],[Age]]&lt;=40,"Adult",
   IF(Customer_Dim[[#This Row],[Age]]&lt;=60,"Middle-Aged","Senior")))</f>
        <v>Adult</v>
      </c>
    </row>
    <row r="343" spans="1:12" x14ac:dyDescent="0.3">
      <c r="A343" t="s">
        <v>1071</v>
      </c>
      <c r="B343" t="s">
        <v>1072</v>
      </c>
      <c r="C343" t="str">
        <f t="shared" si="15"/>
        <v>Angela Williams</v>
      </c>
      <c r="D343" t="str">
        <f t="shared" si="16"/>
        <v>Angela Williams</v>
      </c>
      <c r="E343" s="7">
        <v>56</v>
      </c>
      <c r="F343" t="s">
        <v>16</v>
      </c>
      <c r="G343" t="s">
        <v>1073</v>
      </c>
      <c r="H343" t="s">
        <v>194</v>
      </c>
      <c r="I343" t="s">
        <v>12</v>
      </c>
      <c r="J343" t="s">
        <v>26</v>
      </c>
      <c r="K343" t="str">
        <f t="shared" si="17"/>
        <v>Bronze</v>
      </c>
      <c r="L343" t="str">
        <f>IF(Customer_Dim[[#This Row],[Age]]&lt;25,"Youth",
   IF(Customer_Dim[[#This Row],[Age]]&lt;=40,"Adult",
   IF(Customer_Dim[[#This Row],[Age]]&lt;=60,"Middle-Aged","Senior")))</f>
        <v>Middle-Aged</v>
      </c>
    </row>
    <row r="344" spans="1:12" x14ac:dyDescent="0.3">
      <c r="A344" t="s">
        <v>1074</v>
      </c>
      <c r="B344" t="s">
        <v>1075</v>
      </c>
      <c r="C344" t="str">
        <f t="shared" si="15"/>
        <v>Michelle Cunningham</v>
      </c>
      <c r="D344" t="str">
        <f t="shared" si="16"/>
        <v>Michelle Cunningham</v>
      </c>
      <c r="E344" s="7">
        <v>30</v>
      </c>
      <c r="F344" t="s">
        <v>16</v>
      </c>
      <c r="G344" t="s">
        <v>1076</v>
      </c>
      <c r="H344" t="s">
        <v>167</v>
      </c>
      <c r="I344" t="s">
        <v>12</v>
      </c>
      <c r="J344" t="s">
        <v>26</v>
      </c>
      <c r="K344" t="str">
        <f t="shared" si="17"/>
        <v>Bronze</v>
      </c>
      <c r="L344" t="str">
        <f>IF(Customer_Dim[[#This Row],[Age]]&lt;25,"Youth",
   IF(Customer_Dim[[#This Row],[Age]]&lt;=40,"Adult",
   IF(Customer_Dim[[#This Row],[Age]]&lt;=60,"Middle-Aged","Senior")))</f>
        <v>Adult</v>
      </c>
    </row>
    <row r="345" spans="1:12" x14ac:dyDescent="0.3">
      <c r="A345" t="s">
        <v>1077</v>
      </c>
      <c r="B345" t="s">
        <v>1078</v>
      </c>
      <c r="C345" t="str">
        <f t="shared" si="15"/>
        <v>Ryan Moore</v>
      </c>
      <c r="D345" t="str">
        <f t="shared" si="16"/>
        <v>Ryan Moore</v>
      </c>
      <c r="E345" s="7">
        <v>38</v>
      </c>
      <c r="F345" t="s">
        <v>9</v>
      </c>
      <c r="G345" t="s">
        <v>1079</v>
      </c>
      <c r="H345" t="s">
        <v>287</v>
      </c>
      <c r="I345" t="s">
        <v>12</v>
      </c>
      <c r="J345" t="s">
        <v>26</v>
      </c>
      <c r="K345" t="str">
        <f t="shared" si="17"/>
        <v>Bronze</v>
      </c>
      <c r="L345" t="str">
        <f>IF(Customer_Dim[[#This Row],[Age]]&lt;25,"Youth",
   IF(Customer_Dim[[#This Row],[Age]]&lt;=40,"Adult",
   IF(Customer_Dim[[#This Row],[Age]]&lt;=60,"Middle-Aged","Senior")))</f>
        <v>Adult</v>
      </c>
    </row>
    <row r="346" spans="1:12" x14ac:dyDescent="0.3">
      <c r="A346" t="s">
        <v>1080</v>
      </c>
      <c r="B346" t="s">
        <v>1081</v>
      </c>
      <c r="C346" t="str">
        <f t="shared" si="15"/>
        <v>Evelyn Brown</v>
      </c>
      <c r="D346" t="str">
        <f t="shared" si="16"/>
        <v>Evelyn Brown</v>
      </c>
      <c r="E346" s="7">
        <v>39</v>
      </c>
      <c r="F346" t="s">
        <v>9</v>
      </c>
      <c r="G346" t="s">
        <v>1082</v>
      </c>
      <c r="H346" t="s">
        <v>233</v>
      </c>
      <c r="I346" t="s">
        <v>12</v>
      </c>
      <c r="J346" t="s">
        <v>13</v>
      </c>
      <c r="K346" t="str">
        <f t="shared" si="17"/>
        <v>Gold</v>
      </c>
      <c r="L346" t="str">
        <f>IF(Customer_Dim[[#This Row],[Age]]&lt;25,"Youth",
   IF(Customer_Dim[[#This Row],[Age]]&lt;=40,"Adult",
   IF(Customer_Dim[[#This Row],[Age]]&lt;=60,"Middle-Aged","Senior")))</f>
        <v>Adult</v>
      </c>
    </row>
    <row r="347" spans="1:12" x14ac:dyDescent="0.3">
      <c r="A347" t="s">
        <v>1083</v>
      </c>
      <c r="B347" t="s">
        <v>1084</v>
      </c>
      <c r="C347" t="str">
        <f t="shared" si="15"/>
        <v>Daniel Nelson</v>
      </c>
      <c r="D347" t="str">
        <f t="shared" si="16"/>
        <v>Daniel Nelson</v>
      </c>
      <c r="E347" s="7">
        <v>33</v>
      </c>
      <c r="F347" t="s">
        <v>9</v>
      </c>
      <c r="G347" t="s">
        <v>1085</v>
      </c>
      <c r="H347" t="s">
        <v>96</v>
      </c>
      <c r="I347" t="s">
        <v>12</v>
      </c>
      <c r="J347" t="s">
        <v>26</v>
      </c>
      <c r="K347" t="str">
        <f t="shared" si="17"/>
        <v>Bronze</v>
      </c>
      <c r="L347" t="str">
        <f>IF(Customer_Dim[[#This Row],[Age]]&lt;25,"Youth",
   IF(Customer_Dim[[#This Row],[Age]]&lt;=40,"Adult",
   IF(Customer_Dim[[#This Row],[Age]]&lt;=60,"Middle-Aged","Senior")))</f>
        <v>Adult</v>
      </c>
    </row>
    <row r="348" spans="1:12" x14ac:dyDescent="0.3">
      <c r="A348" t="s">
        <v>1086</v>
      </c>
      <c r="B348" t="s">
        <v>1087</v>
      </c>
      <c r="C348" t="str">
        <f t="shared" si="15"/>
        <v>John Jordan</v>
      </c>
      <c r="D348" t="str">
        <f t="shared" si="16"/>
        <v>John Jordan</v>
      </c>
      <c r="E348" s="7">
        <v>58</v>
      </c>
      <c r="F348" t="s">
        <v>16</v>
      </c>
      <c r="G348" t="s">
        <v>1088</v>
      </c>
      <c r="H348" t="s">
        <v>237</v>
      </c>
      <c r="I348" t="s">
        <v>12</v>
      </c>
      <c r="J348" t="s">
        <v>19</v>
      </c>
      <c r="K348" t="str">
        <f t="shared" si="17"/>
        <v>Platinum</v>
      </c>
      <c r="L348" t="str">
        <f>IF(Customer_Dim[[#This Row],[Age]]&lt;25,"Youth",
   IF(Customer_Dim[[#This Row],[Age]]&lt;=40,"Adult",
   IF(Customer_Dim[[#This Row],[Age]]&lt;=60,"Middle-Aged","Senior")))</f>
        <v>Middle-Aged</v>
      </c>
    </row>
    <row r="349" spans="1:12" x14ac:dyDescent="0.3">
      <c r="A349" t="s">
        <v>1089</v>
      </c>
      <c r="B349" t="s">
        <v>1090</v>
      </c>
      <c r="C349" t="str">
        <f t="shared" si="15"/>
        <v>Justin Mason Dds</v>
      </c>
      <c r="D349" t="str">
        <f t="shared" si="16"/>
        <v>Justin Mason Dds</v>
      </c>
      <c r="E349" s="7">
        <v>39</v>
      </c>
      <c r="F349" t="s">
        <v>16</v>
      </c>
      <c r="G349" t="s">
        <v>1091</v>
      </c>
      <c r="H349" t="s">
        <v>167</v>
      </c>
      <c r="I349" t="s">
        <v>12</v>
      </c>
      <c r="J349" t="s">
        <v>13</v>
      </c>
      <c r="K349" t="str">
        <f t="shared" si="17"/>
        <v>Gold</v>
      </c>
      <c r="L349" t="str">
        <f>IF(Customer_Dim[[#This Row],[Age]]&lt;25,"Youth",
   IF(Customer_Dim[[#This Row],[Age]]&lt;=40,"Adult",
   IF(Customer_Dim[[#This Row],[Age]]&lt;=60,"Middle-Aged","Senior")))</f>
        <v>Adult</v>
      </c>
    </row>
    <row r="350" spans="1:12" x14ac:dyDescent="0.3">
      <c r="A350" t="s">
        <v>1092</v>
      </c>
      <c r="B350" t="s">
        <v>1093</v>
      </c>
      <c r="C350" t="str">
        <f t="shared" si="15"/>
        <v>Sherry Cabrera</v>
      </c>
      <c r="D350" t="str">
        <f t="shared" si="16"/>
        <v>Sherry Cabrera</v>
      </c>
      <c r="E350" s="7">
        <v>55</v>
      </c>
      <c r="F350" t="s">
        <v>9</v>
      </c>
      <c r="G350" t="s">
        <v>1094</v>
      </c>
      <c r="H350" t="s">
        <v>51</v>
      </c>
      <c r="I350" t="s">
        <v>12</v>
      </c>
      <c r="J350" t="s">
        <v>31</v>
      </c>
      <c r="K350" t="str">
        <f t="shared" si="17"/>
        <v>Silver</v>
      </c>
      <c r="L350" t="str">
        <f>IF(Customer_Dim[[#This Row],[Age]]&lt;25,"Youth",
   IF(Customer_Dim[[#This Row],[Age]]&lt;=40,"Adult",
   IF(Customer_Dim[[#This Row],[Age]]&lt;=60,"Middle-Aged","Senior")))</f>
        <v>Middle-Aged</v>
      </c>
    </row>
    <row r="351" spans="1:12" x14ac:dyDescent="0.3">
      <c r="A351" t="s">
        <v>1095</v>
      </c>
      <c r="B351" t="s">
        <v>1096</v>
      </c>
      <c r="C351" t="str">
        <f t="shared" si="15"/>
        <v>Heather Valenzuela</v>
      </c>
      <c r="D351" t="str">
        <f t="shared" si="16"/>
        <v>Heather Valenzuela</v>
      </c>
      <c r="E351" s="7">
        <v>31</v>
      </c>
      <c r="F351" t="s">
        <v>9</v>
      </c>
      <c r="G351" t="s">
        <v>1097</v>
      </c>
      <c r="H351" t="s">
        <v>163</v>
      </c>
      <c r="I351" t="s">
        <v>12</v>
      </c>
      <c r="J351" t="s">
        <v>26</v>
      </c>
      <c r="K351" t="str">
        <f t="shared" si="17"/>
        <v>Bronze</v>
      </c>
      <c r="L351" t="str">
        <f>IF(Customer_Dim[[#This Row],[Age]]&lt;25,"Youth",
   IF(Customer_Dim[[#This Row],[Age]]&lt;=40,"Adult",
   IF(Customer_Dim[[#This Row],[Age]]&lt;=60,"Middle-Aged","Senior")))</f>
        <v>Adult</v>
      </c>
    </row>
    <row r="352" spans="1:12" x14ac:dyDescent="0.3">
      <c r="A352" t="s">
        <v>1098</v>
      </c>
      <c r="B352" t="s">
        <v>1099</v>
      </c>
      <c r="C352" t="str">
        <f t="shared" si="15"/>
        <v>Charles Miller</v>
      </c>
      <c r="D352" t="str">
        <f t="shared" si="16"/>
        <v>Charles Miller</v>
      </c>
      <c r="E352" s="7">
        <v>26</v>
      </c>
      <c r="F352" t="s">
        <v>9</v>
      </c>
      <c r="G352" t="s">
        <v>1100</v>
      </c>
      <c r="H352" t="s">
        <v>267</v>
      </c>
      <c r="I352" t="s">
        <v>12</v>
      </c>
      <c r="J352" t="s">
        <v>31</v>
      </c>
      <c r="K352" t="str">
        <f t="shared" si="17"/>
        <v>Silver</v>
      </c>
      <c r="L352" t="str">
        <f>IF(Customer_Dim[[#This Row],[Age]]&lt;25,"Youth",
   IF(Customer_Dim[[#This Row],[Age]]&lt;=40,"Adult",
   IF(Customer_Dim[[#This Row],[Age]]&lt;=60,"Middle-Aged","Senior")))</f>
        <v>Adult</v>
      </c>
    </row>
    <row r="353" spans="1:12" x14ac:dyDescent="0.3">
      <c r="A353" t="s">
        <v>1101</v>
      </c>
      <c r="B353" t="s">
        <v>1102</v>
      </c>
      <c r="C353" t="str">
        <f t="shared" si="15"/>
        <v>Jeffrey Mccarthy</v>
      </c>
      <c r="D353" t="str">
        <f t="shared" si="16"/>
        <v>Jeffrey Mccarthy</v>
      </c>
      <c r="E353" s="7">
        <v>25</v>
      </c>
      <c r="F353" t="s">
        <v>16</v>
      </c>
      <c r="G353" t="s">
        <v>1103</v>
      </c>
      <c r="H353" t="s">
        <v>70</v>
      </c>
      <c r="I353" t="s">
        <v>12</v>
      </c>
      <c r="J353" t="s">
        <v>26</v>
      </c>
      <c r="K353" t="str">
        <f t="shared" si="17"/>
        <v>Bronze</v>
      </c>
      <c r="L353" t="str">
        <f>IF(Customer_Dim[[#This Row],[Age]]&lt;25,"Youth",
   IF(Customer_Dim[[#This Row],[Age]]&lt;=40,"Adult",
   IF(Customer_Dim[[#This Row],[Age]]&lt;=60,"Middle-Aged","Senior")))</f>
        <v>Adult</v>
      </c>
    </row>
    <row r="354" spans="1:12" x14ac:dyDescent="0.3">
      <c r="A354" t="s">
        <v>1104</v>
      </c>
      <c r="B354" t="s">
        <v>1105</v>
      </c>
      <c r="C354" t="str">
        <f t="shared" si="15"/>
        <v>Michael Greene</v>
      </c>
      <c r="D354" t="str">
        <f t="shared" si="16"/>
        <v>Michael Greene</v>
      </c>
      <c r="E354" s="7">
        <v>52</v>
      </c>
      <c r="F354" t="s">
        <v>16</v>
      </c>
      <c r="G354" t="s">
        <v>1106</v>
      </c>
      <c r="H354" t="s">
        <v>324</v>
      </c>
      <c r="I354" t="s">
        <v>12</v>
      </c>
      <c r="J354" t="s">
        <v>31</v>
      </c>
      <c r="K354" t="str">
        <f t="shared" si="17"/>
        <v>Silver</v>
      </c>
      <c r="L354" t="str">
        <f>IF(Customer_Dim[[#This Row],[Age]]&lt;25,"Youth",
   IF(Customer_Dim[[#This Row],[Age]]&lt;=40,"Adult",
   IF(Customer_Dim[[#This Row],[Age]]&lt;=60,"Middle-Aged","Senior")))</f>
        <v>Middle-Aged</v>
      </c>
    </row>
    <row r="355" spans="1:12" x14ac:dyDescent="0.3">
      <c r="A355" t="s">
        <v>1107</v>
      </c>
      <c r="B355" t="s">
        <v>3836</v>
      </c>
      <c r="C355" t="str">
        <f t="shared" si="15"/>
        <v xml:space="preserve">   Laura Green</v>
      </c>
      <c r="D355" t="str">
        <f t="shared" si="16"/>
        <v>Laura Green</v>
      </c>
      <c r="E355" s="7">
        <v>56</v>
      </c>
      <c r="F355" t="s">
        <v>16</v>
      </c>
      <c r="G355" t="s">
        <v>1108</v>
      </c>
      <c r="H355" t="s">
        <v>35</v>
      </c>
      <c r="I355" t="s">
        <v>12</v>
      </c>
      <c r="J355" t="s">
        <v>19</v>
      </c>
      <c r="K355" t="str">
        <f t="shared" si="17"/>
        <v>Platinum</v>
      </c>
      <c r="L355" t="str">
        <f>IF(Customer_Dim[[#This Row],[Age]]&lt;25,"Youth",
   IF(Customer_Dim[[#This Row],[Age]]&lt;=40,"Adult",
   IF(Customer_Dim[[#This Row],[Age]]&lt;=60,"Middle-Aged","Senior")))</f>
        <v>Middle-Aged</v>
      </c>
    </row>
    <row r="356" spans="1:12" x14ac:dyDescent="0.3">
      <c r="A356" t="s">
        <v>1109</v>
      </c>
      <c r="B356" t="s">
        <v>1110</v>
      </c>
      <c r="C356" t="str">
        <f t="shared" si="15"/>
        <v>Ryan Torres</v>
      </c>
      <c r="D356" t="str">
        <f t="shared" si="16"/>
        <v>Ryan Torres</v>
      </c>
      <c r="E356" s="7">
        <v>38</v>
      </c>
      <c r="F356" t="s">
        <v>9</v>
      </c>
      <c r="G356" t="s">
        <v>1111</v>
      </c>
      <c r="H356" t="s">
        <v>167</v>
      </c>
      <c r="I356" t="s">
        <v>12</v>
      </c>
      <c r="J356" t="s">
        <v>31</v>
      </c>
      <c r="K356" t="str">
        <f t="shared" si="17"/>
        <v>Silver</v>
      </c>
      <c r="L356" t="str">
        <f>IF(Customer_Dim[[#This Row],[Age]]&lt;25,"Youth",
   IF(Customer_Dim[[#This Row],[Age]]&lt;=40,"Adult",
   IF(Customer_Dim[[#This Row],[Age]]&lt;=60,"Middle-Aged","Senior")))</f>
        <v>Adult</v>
      </c>
    </row>
    <row r="357" spans="1:12" x14ac:dyDescent="0.3">
      <c r="A357" t="s">
        <v>1112</v>
      </c>
      <c r="B357" t="s">
        <v>1113</v>
      </c>
      <c r="C357" t="str">
        <f t="shared" si="15"/>
        <v>Carlos Flores</v>
      </c>
      <c r="D357" t="str">
        <f t="shared" si="16"/>
        <v>Carlos Flores</v>
      </c>
      <c r="E357" s="7">
        <v>20</v>
      </c>
      <c r="F357" t="s">
        <v>9</v>
      </c>
      <c r="G357" t="s">
        <v>1114</v>
      </c>
      <c r="H357" t="s">
        <v>74</v>
      </c>
      <c r="I357" t="s">
        <v>12</v>
      </c>
      <c r="J357" t="s">
        <v>13</v>
      </c>
      <c r="K357" t="str">
        <f t="shared" si="17"/>
        <v>Gold</v>
      </c>
      <c r="L357" t="str">
        <f>IF(Customer_Dim[[#This Row],[Age]]&lt;25,"Youth",
   IF(Customer_Dim[[#This Row],[Age]]&lt;=40,"Adult",
   IF(Customer_Dim[[#This Row],[Age]]&lt;=60,"Middle-Aged","Senior")))</f>
        <v>Youth</v>
      </c>
    </row>
    <row r="358" spans="1:12" x14ac:dyDescent="0.3">
      <c r="A358" t="s">
        <v>1115</v>
      </c>
      <c r="B358" t="s">
        <v>1116</v>
      </c>
      <c r="C358" t="str">
        <f t="shared" si="15"/>
        <v>Steve Hunt</v>
      </c>
      <c r="D358" t="str">
        <f t="shared" si="16"/>
        <v>Steve Hunt</v>
      </c>
      <c r="E358" s="7">
        <v>54</v>
      </c>
      <c r="F358" t="s">
        <v>9</v>
      </c>
      <c r="G358" t="s">
        <v>1117</v>
      </c>
      <c r="H358" t="s">
        <v>287</v>
      </c>
      <c r="I358" t="s">
        <v>12</v>
      </c>
      <c r="J358" t="s">
        <v>26</v>
      </c>
      <c r="K358" t="str">
        <f t="shared" si="17"/>
        <v>Bronze</v>
      </c>
      <c r="L358" t="str">
        <f>IF(Customer_Dim[[#This Row],[Age]]&lt;25,"Youth",
   IF(Customer_Dim[[#This Row],[Age]]&lt;=40,"Adult",
   IF(Customer_Dim[[#This Row],[Age]]&lt;=60,"Middle-Aged","Senior")))</f>
        <v>Middle-Aged</v>
      </c>
    </row>
    <row r="359" spans="1:12" x14ac:dyDescent="0.3">
      <c r="A359" t="s">
        <v>1118</v>
      </c>
      <c r="B359" t="s">
        <v>1119</v>
      </c>
      <c r="C359" t="str">
        <f t="shared" si="15"/>
        <v>Manuel Castillo</v>
      </c>
      <c r="D359" t="str">
        <f t="shared" si="16"/>
        <v>Manuel Castillo</v>
      </c>
      <c r="E359" s="7">
        <v>41</v>
      </c>
      <c r="F359" t="s">
        <v>9</v>
      </c>
      <c r="G359" t="s">
        <v>1120</v>
      </c>
      <c r="H359" t="s">
        <v>237</v>
      </c>
      <c r="I359" t="s">
        <v>12</v>
      </c>
      <c r="J359" t="s">
        <v>13</v>
      </c>
      <c r="K359" t="str">
        <f t="shared" si="17"/>
        <v>Gold</v>
      </c>
      <c r="L359" t="str">
        <f>IF(Customer_Dim[[#This Row],[Age]]&lt;25,"Youth",
   IF(Customer_Dim[[#This Row],[Age]]&lt;=40,"Adult",
   IF(Customer_Dim[[#This Row],[Age]]&lt;=60,"Middle-Aged","Senior")))</f>
        <v>Middle-Aged</v>
      </c>
    </row>
    <row r="360" spans="1:12" x14ac:dyDescent="0.3">
      <c r="A360" t="s">
        <v>1121</v>
      </c>
      <c r="B360" t="s">
        <v>1122</v>
      </c>
      <c r="C360" t="str">
        <f t="shared" si="15"/>
        <v>Ashley Anderson</v>
      </c>
      <c r="D360" t="str">
        <f t="shared" si="16"/>
        <v>Ashley Anderson</v>
      </c>
      <c r="E360" s="7">
        <v>60</v>
      </c>
      <c r="F360" t="s">
        <v>16</v>
      </c>
      <c r="G360" t="s">
        <v>1123</v>
      </c>
      <c r="H360" t="s">
        <v>313</v>
      </c>
      <c r="I360" t="s">
        <v>12</v>
      </c>
      <c r="J360" t="s">
        <v>13</v>
      </c>
      <c r="K360" t="str">
        <f t="shared" si="17"/>
        <v>Gold</v>
      </c>
      <c r="L360" t="str">
        <f>IF(Customer_Dim[[#This Row],[Age]]&lt;25,"Youth",
   IF(Customer_Dim[[#This Row],[Age]]&lt;=40,"Adult",
   IF(Customer_Dim[[#This Row],[Age]]&lt;=60,"Middle-Aged","Senior")))</f>
        <v>Middle-Aged</v>
      </c>
    </row>
    <row r="361" spans="1:12" x14ac:dyDescent="0.3">
      <c r="A361" t="s">
        <v>1124</v>
      </c>
      <c r="B361" t="s">
        <v>1125</v>
      </c>
      <c r="C361" t="str">
        <f t="shared" si="15"/>
        <v>Melanie Lam</v>
      </c>
      <c r="D361" t="str">
        <f t="shared" si="16"/>
        <v>Melanie Lam</v>
      </c>
      <c r="E361" s="7">
        <v>32</v>
      </c>
      <c r="F361" t="s">
        <v>9</v>
      </c>
      <c r="G361" t="s">
        <v>1126</v>
      </c>
      <c r="H361" t="s">
        <v>62</v>
      </c>
      <c r="I361" t="s">
        <v>12</v>
      </c>
      <c r="J361" t="s">
        <v>31</v>
      </c>
      <c r="K361" t="str">
        <f t="shared" si="17"/>
        <v>Silver</v>
      </c>
      <c r="L361" t="str">
        <f>IF(Customer_Dim[[#This Row],[Age]]&lt;25,"Youth",
   IF(Customer_Dim[[#This Row],[Age]]&lt;=40,"Adult",
   IF(Customer_Dim[[#This Row],[Age]]&lt;=60,"Middle-Aged","Senior")))</f>
        <v>Adult</v>
      </c>
    </row>
    <row r="362" spans="1:12" x14ac:dyDescent="0.3">
      <c r="A362" t="s">
        <v>1127</v>
      </c>
      <c r="B362" t="s">
        <v>1128</v>
      </c>
      <c r="C362" t="str">
        <f t="shared" si="15"/>
        <v>Denise Tate</v>
      </c>
      <c r="D362" t="str">
        <f t="shared" si="16"/>
        <v>Denise Tate</v>
      </c>
      <c r="E362" s="7">
        <v>34</v>
      </c>
      <c r="F362" t="s">
        <v>9</v>
      </c>
      <c r="G362" t="s">
        <v>1129</v>
      </c>
      <c r="H362" t="s">
        <v>291</v>
      </c>
      <c r="I362" t="s">
        <v>12</v>
      </c>
      <c r="J362" t="s">
        <v>19</v>
      </c>
      <c r="K362" t="str">
        <f t="shared" si="17"/>
        <v>Platinum</v>
      </c>
      <c r="L362" t="str">
        <f>IF(Customer_Dim[[#This Row],[Age]]&lt;25,"Youth",
   IF(Customer_Dim[[#This Row],[Age]]&lt;=40,"Adult",
   IF(Customer_Dim[[#This Row],[Age]]&lt;=60,"Middle-Aged","Senior")))</f>
        <v>Adult</v>
      </c>
    </row>
    <row r="363" spans="1:12" x14ac:dyDescent="0.3">
      <c r="A363" t="s">
        <v>1130</v>
      </c>
      <c r="B363" t="s">
        <v>1131</v>
      </c>
      <c r="C363" t="str">
        <f t="shared" si="15"/>
        <v>Natalie Johnson</v>
      </c>
      <c r="D363" t="str">
        <f t="shared" si="16"/>
        <v>Natalie Johnson</v>
      </c>
      <c r="E363" s="7">
        <v>64</v>
      </c>
      <c r="F363" t="s">
        <v>9</v>
      </c>
      <c r="G363" t="s">
        <v>1132</v>
      </c>
      <c r="H363" t="s">
        <v>254</v>
      </c>
      <c r="I363" t="s">
        <v>12</v>
      </c>
      <c r="J363" t="s">
        <v>19</v>
      </c>
      <c r="K363" t="str">
        <f t="shared" si="17"/>
        <v>Platinum</v>
      </c>
      <c r="L363" t="str">
        <f>IF(Customer_Dim[[#This Row],[Age]]&lt;25,"Youth",
   IF(Customer_Dim[[#This Row],[Age]]&lt;=40,"Adult",
   IF(Customer_Dim[[#This Row],[Age]]&lt;=60,"Middle-Aged","Senior")))</f>
        <v>Senior</v>
      </c>
    </row>
    <row r="364" spans="1:12" x14ac:dyDescent="0.3">
      <c r="A364" t="s">
        <v>1133</v>
      </c>
      <c r="B364" t="s">
        <v>1134</v>
      </c>
      <c r="C364" t="str">
        <f t="shared" si="15"/>
        <v>Joshua Smith Dvm</v>
      </c>
      <c r="D364" t="str">
        <f t="shared" si="16"/>
        <v>Joshua Smith Dvm</v>
      </c>
      <c r="E364" s="7">
        <v>60</v>
      </c>
      <c r="F364" t="s">
        <v>9</v>
      </c>
      <c r="G364" t="s">
        <v>1135</v>
      </c>
      <c r="H364" t="s">
        <v>163</v>
      </c>
      <c r="I364" t="s">
        <v>12</v>
      </c>
      <c r="J364" t="s">
        <v>13</v>
      </c>
      <c r="K364" t="str">
        <f t="shared" si="17"/>
        <v>Gold</v>
      </c>
      <c r="L364" t="str">
        <f>IF(Customer_Dim[[#This Row],[Age]]&lt;25,"Youth",
   IF(Customer_Dim[[#This Row],[Age]]&lt;=40,"Adult",
   IF(Customer_Dim[[#This Row],[Age]]&lt;=60,"Middle-Aged","Senior")))</f>
        <v>Middle-Aged</v>
      </c>
    </row>
    <row r="365" spans="1:12" x14ac:dyDescent="0.3">
      <c r="A365" t="s">
        <v>1136</v>
      </c>
      <c r="B365" t="s">
        <v>1137</v>
      </c>
      <c r="C365" t="str">
        <f t="shared" si="15"/>
        <v>Elizabeth Smith</v>
      </c>
      <c r="D365" t="str">
        <f t="shared" si="16"/>
        <v>Elizabeth Smith</v>
      </c>
      <c r="E365" s="7">
        <v>23</v>
      </c>
      <c r="F365" t="s">
        <v>9</v>
      </c>
      <c r="G365" t="s">
        <v>1138</v>
      </c>
      <c r="H365" t="s">
        <v>25</v>
      </c>
      <c r="I365" t="s">
        <v>12</v>
      </c>
      <c r="J365" t="s">
        <v>26</v>
      </c>
      <c r="K365" t="str">
        <f t="shared" si="17"/>
        <v>Bronze</v>
      </c>
      <c r="L365" t="str">
        <f>IF(Customer_Dim[[#This Row],[Age]]&lt;25,"Youth",
   IF(Customer_Dim[[#This Row],[Age]]&lt;=40,"Adult",
   IF(Customer_Dim[[#This Row],[Age]]&lt;=60,"Middle-Aged","Senior")))</f>
        <v>Youth</v>
      </c>
    </row>
    <row r="366" spans="1:12" x14ac:dyDescent="0.3">
      <c r="A366" t="s">
        <v>1139</v>
      </c>
      <c r="B366" t="s">
        <v>1140</v>
      </c>
      <c r="C366" t="str">
        <f t="shared" si="15"/>
        <v>Chloe Aguilar</v>
      </c>
      <c r="D366" t="str">
        <f t="shared" si="16"/>
        <v>Chloe Aguilar</v>
      </c>
      <c r="E366" s="7">
        <v>58</v>
      </c>
      <c r="F366" t="s">
        <v>9</v>
      </c>
      <c r="G366" t="s">
        <v>1141</v>
      </c>
      <c r="H366" t="s">
        <v>133</v>
      </c>
      <c r="I366" t="s">
        <v>12</v>
      </c>
      <c r="J366" t="s">
        <v>26</v>
      </c>
      <c r="K366" t="str">
        <f t="shared" si="17"/>
        <v>Bronze</v>
      </c>
      <c r="L366" t="str">
        <f>IF(Customer_Dim[[#This Row],[Age]]&lt;25,"Youth",
   IF(Customer_Dim[[#This Row],[Age]]&lt;=40,"Adult",
   IF(Customer_Dim[[#This Row],[Age]]&lt;=60,"Middle-Aged","Senior")))</f>
        <v>Middle-Aged</v>
      </c>
    </row>
    <row r="367" spans="1:12" x14ac:dyDescent="0.3">
      <c r="A367" t="s">
        <v>1142</v>
      </c>
      <c r="B367" t="s">
        <v>1143</v>
      </c>
      <c r="C367" t="str">
        <f t="shared" si="15"/>
        <v>Brandon Mcbride</v>
      </c>
      <c r="D367" t="str">
        <f t="shared" si="16"/>
        <v>Brandon Mcbride</v>
      </c>
      <c r="E367" s="7">
        <v>63</v>
      </c>
      <c r="F367" t="s">
        <v>16</v>
      </c>
      <c r="G367" t="s">
        <v>1144</v>
      </c>
      <c r="H367" t="s">
        <v>163</v>
      </c>
      <c r="I367" t="s">
        <v>12</v>
      </c>
      <c r="J367" t="s">
        <v>19</v>
      </c>
      <c r="K367" t="str">
        <f t="shared" si="17"/>
        <v>Platinum</v>
      </c>
      <c r="L367" t="str">
        <f>IF(Customer_Dim[[#This Row],[Age]]&lt;25,"Youth",
   IF(Customer_Dim[[#This Row],[Age]]&lt;=40,"Adult",
   IF(Customer_Dim[[#This Row],[Age]]&lt;=60,"Middle-Aged","Senior")))</f>
        <v>Senior</v>
      </c>
    </row>
    <row r="368" spans="1:12" x14ac:dyDescent="0.3">
      <c r="A368" t="s">
        <v>1145</v>
      </c>
      <c r="B368" t="s">
        <v>1146</v>
      </c>
      <c r="C368" t="str">
        <f t="shared" si="15"/>
        <v>Mallory Allen</v>
      </c>
      <c r="D368" t="str">
        <f t="shared" si="16"/>
        <v>Mallory Allen</v>
      </c>
      <c r="E368" s="7">
        <v>40</v>
      </c>
      <c r="F368" t="s">
        <v>16</v>
      </c>
      <c r="G368" t="s">
        <v>1147</v>
      </c>
      <c r="H368" t="s">
        <v>22</v>
      </c>
      <c r="I368" t="s">
        <v>12</v>
      </c>
      <c r="J368" t="s">
        <v>19</v>
      </c>
      <c r="K368" t="str">
        <f t="shared" si="17"/>
        <v>Platinum</v>
      </c>
      <c r="L368" t="str">
        <f>IF(Customer_Dim[[#This Row],[Age]]&lt;25,"Youth",
   IF(Customer_Dim[[#This Row],[Age]]&lt;=40,"Adult",
   IF(Customer_Dim[[#This Row],[Age]]&lt;=60,"Middle-Aged","Senior")))</f>
        <v>Adult</v>
      </c>
    </row>
    <row r="369" spans="1:12" x14ac:dyDescent="0.3">
      <c r="A369" t="s">
        <v>1148</v>
      </c>
      <c r="B369" t="s">
        <v>1149</v>
      </c>
      <c r="C369" t="str">
        <f t="shared" si="15"/>
        <v>Melinda Johnson</v>
      </c>
      <c r="D369" t="str">
        <f t="shared" si="16"/>
        <v>Melinda Johnson</v>
      </c>
      <c r="E369" s="7">
        <v>51</v>
      </c>
      <c r="F369" t="s">
        <v>9</v>
      </c>
      <c r="G369" t="s">
        <v>1150</v>
      </c>
      <c r="H369" t="s">
        <v>25</v>
      </c>
      <c r="I369" t="s">
        <v>12</v>
      </c>
      <c r="J369" t="s">
        <v>26</v>
      </c>
      <c r="K369" t="str">
        <f t="shared" si="17"/>
        <v>Bronze</v>
      </c>
      <c r="L369" t="str">
        <f>IF(Customer_Dim[[#This Row],[Age]]&lt;25,"Youth",
   IF(Customer_Dim[[#This Row],[Age]]&lt;=40,"Adult",
   IF(Customer_Dim[[#This Row],[Age]]&lt;=60,"Middle-Aged","Senior")))</f>
        <v>Middle-Aged</v>
      </c>
    </row>
    <row r="370" spans="1:12" x14ac:dyDescent="0.3">
      <c r="A370" t="s">
        <v>1151</v>
      </c>
      <c r="B370" t="s">
        <v>1152</v>
      </c>
      <c r="C370" t="str">
        <f t="shared" si="15"/>
        <v>Miranda King</v>
      </c>
      <c r="D370" t="str">
        <f t="shared" si="16"/>
        <v>Miranda King</v>
      </c>
      <c r="E370" s="7">
        <v>34</v>
      </c>
      <c r="F370" t="s">
        <v>16</v>
      </c>
      <c r="G370" t="s">
        <v>1153</v>
      </c>
      <c r="H370" t="s">
        <v>58</v>
      </c>
      <c r="I370" t="s">
        <v>12</v>
      </c>
      <c r="J370" t="s">
        <v>19</v>
      </c>
      <c r="K370" t="str">
        <f t="shared" si="17"/>
        <v>Platinum</v>
      </c>
      <c r="L370" t="str">
        <f>IF(Customer_Dim[[#This Row],[Age]]&lt;25,"Youth",
   IF(Customer_Dim[[#This Row],[Age]]&lt;=40,"Adult",
   IF(Customer_Dim[[#This Row],[Age]]&lt;=60,"Middle-Aged","Senior")))</f>
        <v>Adult</v>
      </c>
    </row>
    <row r="371" spans="1:12" x14ac:dyDescent="0.3">
      <c r="A371" t="s">
        <v>1154</v>
      </c>
      <c r="B371" t="s">
        <v>1155</v>
      </c>
      <c r="C371" t="str">
        <f t="shared" si="15"/>
        <v>Gregory Allen</v>
      </c>
      <c r="D371" t="str">
        <f t="shared" si="16"/>
        <v>Gregory Allen</v>
      </c>
      <c r="E371" s="7">
        <v>20</v>
      </c>
      <c r="F371" t="s">
        <v>16</v>
      </c>
      <c r="G371" t="s">
        <v>1156</v>
      </c>
      <c r="H371" t="s">
        <v>171</v>
      </c>
      <c r="I371" t="s">
        <v>12</v>
      </c>
      <c r="J371" t="s">
        <v>19</v>
      </c>
      <c r="K371" t="str">
        <f t="shared" si="17"/>
        <v>Platinum</v>
      </c>
      <c r="L371" t="str">
        <f>IF(Customer_Dim[[#This Row],[Age]]&lt;25,"Youth",
   IF(Customer_Dim[[#This Row],[Age]]&lt;=40,"Adult",
   IF(Customer_Dim[[#This Row],[Age]]&lt;=60,"Middle-Aged","Senior")))</f>
        <v>Youth</v>
      </c>
    </row>
    <row r="372" spans="1:12" x14ac:dyDescent="0.3">
      <c r="A372" t="s">
        <v>1157</v>
      </c>
      <c r="B372" t="s">
        <v>1158</v>
      </c>
      <c r="C372" t="str">
        <f t="shared" si="15"/>
        <v>James Holloway Jr.</v>
      </c>
      <c r="D372" t="str">
        <f t="shared" si="16"/>
        <v>James Holloway Jr.</v>
      </c>
      <c r="E372" s="7">
        <v>45</v>
      </c>
      <c r="F372" t="s">
        <v>9</v>
      </c>
      <c r="G372" t="s">
        <v>1159</v>
      </c>
      <c r="H372" t="s">
        <v>254</v>
      </c>
      <c r="I372" t="s">
        <v>12</v>
      </c>
      <c r="J372" t="s">
        <v>31</v>
      </c>
      <c r="K372" t="str">
        <f t="shared" si="17"/>
        <v>Silver</v>
      </c>
      <c r="L372" t="str">
        <f>IF(Customer_Dim[[#This Row],[Age]]&lt;25,"Youth",
   IF(Customer_Dim[[#This Row],[Age]]&lt;=40,"Adult",
   IF(Customer_Dim[[#This Row],[Age]]&lt;=60,"Middle-Aged","Senior")))</f>
        <v>Middle-Aged</v>
      </c>
    </row>
    <row r="373" spans="1:12" x14ac:dyDescent="0.3">
      <c r="A373" t="s">
        <v>1160</v>
      </c>
      <c r="B373" t="s">
        <v>1161</v>
      </c>
      <c r="C373" t="str">
        <f t="shared" si="15"/>
        <v>Michael Garner</v>
      </c>
      <c r="D373" t="str">
        <f t="shared" si="16"/>
        <v>Michael Garner</v>
      </c>
      <c r="E373" s="7">
        <v>21</v>
      </c>
      <c r="F373" t="s">
        <v>16</v>
      </c>
      <c r="G373" t="s">
        <v>1162</v>
      </c>
      <c r="H373" t="s">
        <v>47</v>
      </c>
      <c r="I373" t="s">
        <v>12</v>
      </c>
      <c r="J373" t="s">
        <v>19</v>
      </c>
      <c r="K373" t="str">
        <f t="shared" si="17"/>
        <v>Platinum</v>
      </c>
      <c r="L373" t="str">
        <f>IF(Customer_Dim[[#This Row],[Age]]&lt;25,"Youth",
   IF(Customer_Dim[[#This Row],[Age]]&lt;=40,"Adult",
   IF(Customer_Dim[[#This Row],[Age]]&lt;=60,"Middle-Aged","Senior")))</f>
        <v>Youth</v>
      </c>
    </row>
    <row r="374" spans="1:12" x14ac:dyDescent="0.3">
      <c r="A374" t="s">
        <v>1163</v>
      </c>
      <c r="B374" t="s">
        <v>1164</v>
      </c>
      <c r="C374" t="str">
        <f t="shared" si="15"/>
        <v>Jacqueline Anthony</v>
      </c>
      <c r="D374" t="str">
        <f t="shared" si="16"/>
        <v>Jacqueline Anthony</v>
      </c>
      <c r="E374" s="7">
        <v>28</v>
      </c>
      <c r="F374" t="s">
        <v>9</v>
      </c>
      <c r="G374" t="s">
        <v>1165</v>
      </c>
      <c r="H374" t="s">
        <v>25</v>
      </c>
      <c r="I374" t="s">
        <v>12</v>
      </c>
      <c r="J374" t="s">
        <v>26</v>
      </c>
      <c r="K374" t="str">
        <f t="shared" si="17"/>
        <v>Bronze</v>
      </c>
      <c r="L374" t="str">
        <f>IF(Customer_Dim[[#This Row],[Age]]&lt;25,"Youth",
   IF(Customer_Dim[[#This Row],[Age]]&lt;=40,"Adult",
   IF(Customer_Dim[[#This Row],[Age]]&lt;=60,"Middle-Aged","Senior")))</f>
        <v>Adult</v>
      </c>
    </row>
    <row r="375" spans="1:12" x14ac:dyDescent="0.3">
      <c r="A375" t="s">
        <v>1166</v>
      </c>
      <c r="B375" t="s">
        <v>1167</v>
      </c>
      <c r="C375" t="str">
        <f t="shared" si="15"/>
        <v>James Orozco</v>
      </c>
      <c r="D375" t="str">
        <f t="shared" si="16"/>
        <v>James Orozco</v>
      </c>
      <c r="E375" s="7">
        <v>37</v>
      </c>
      <c r="F375" t="s">
        <v>16</v>
      </c>
      <c r="G375" t="s">
        <v>1168</v>
      </c>
      <c r="H375" t="s">
        <v>434</v>
      </c>
      <c r="I375" t="s">
        <v>12</v>
      </c>
      <c r="J375" t="s">
        <v>13</v>
      </c>
      <c r="K375" t="str">
        <f t="shared" si="17"/>
        <v>Gold</v>
      </c>
      <c r="L375" t="str">
        <f>IF(Customer_Dim[[#This Row],[Age]]&lt;25,"Youth",
   IF(Customer_Dim[[#This Row],[Age]]&lt;=40,"Adult",
   IF(Customer_Dim[[#This Row],[Age]]&lt;=60,"Middle-Aged","Senior")))</f>
        <v>Adult</v>
      </c>
    </row>
    <row r="376" spans="1:12" x14ac:dyDescent="0.3">
      <c r="A376" t="s">
        <v>1169</v>
      </c>
      <c r="B376" t="s">
        <v>1170</v>
      </c>
      <c r="C376" t="str">
        <f t="shared" si="15"/>
        <v>Emma Wilson</v>
      </c>
      <c r="D376" t="str">
        <f t="shared" si="16"/>
        <v>Emma Wilson</v>
      </c>
      <c r="E376" s="7">
        <v>60</v>
      </c>
      <c r="F376" t="s">
        <v>9</v>
      </c>
      <c r="G376" t="s">
        <v>1171</v>
      </c>
      <c r="H376" t="s">
        <v>99</v>
      </c>
      <c r="I376" t="s">
        <v>12</v>
      </c>
      <c r="J376" t="s">
        <v>19</v>
      </c>
      <c r="K376" t="str">
        <f t="shared" si="17"/>
        <v>Platinum</v>
      </c>
      <c r="L376" t="str">
        <f>IF(Customer_Dim[[#This Row],[Age]]&lt;25,"Youth",
   IF(Customer_Dim[[#This Row],[Age]]&lt;=40,"Adult",
   IF(Customer_Dim[[#This Row],[Age]]&lt;=60,"Middle-Aged","Senior")))</f>
        <v>Middle-Aged</v>
      </c>
    </row>
    <row r="377" spans="1:12" x14ac:dyDescent="0.3">
      <c r="A377" t="s">
        <v>1172</v>
      </c>
      <c r="B377" t="s">
        <v>1173</v>
      </c>
      <c r="C377" t="str">
        <f t="shared" si="15"/>
        <v>Joshua Bell</v>
      </c>
      <c r="D377" t="str">
        <f t="shared" si="16"/>
        <v>Joshua Bell</v>
      </c>
      <c r="E377" s="7">
        <v>26</v>
      </c>
      <c r="F377" t="s">
        <v>9</v>
      </c>
      <c r="G377" t="s">
        <v>1174</v>
      </c>
      <c r="H377" t="s">
        <v>201</v>
      </c>
      <c r="I377" t="s">
        <v>12</v>
      </c>
      <c r="J377" t="s">
        <v>19</v>
      </c>
      <c r="K377" t="str">
        <f t="shared" si="17"/>
        <v>Platinum</v>
      </c>
      <c r="L377" t="str">
        <f>IF(Customer_Dim[[#This Row],[Age]]&lt;25,"Youth",
   IF(Customer_Dim[[#This Row],[Age]]&lt;=40,"Adult",
   IF(Customer_Dim[[#This Row],[Age]]&lt;=60,"Middle-Aged","Senior")))</f>
        <v>Adult</v>
      </c>
    </row>
    <row r="378" spans="1:12" x14ac:dyDescent="0.3">
      <c r="A378" t="s">
        <v>1175</v>
      </c>
      <c r="B378" t="s">
        <v>1176</v>
      </c>
      <c r="C378" t="str">
        <f t="shared" si="15"/>
        <v>Michele Burke</v>
      </c>
      <c r="D378" t="str">
        <f t="shared" si="16"/>
        <v>Michele Burke</v>
      </c>
      <c r="E378" s="7">
        <v>30</v>
      </c>
      <c r="F378" t="s">
        <v>9</v>
      </c>
      <c r="G378" t="s">
        <v>1177</v>
      </c>
      <c r="H378" t="s">
        <v>167</v>
      </c>
      <c r="I378" t="s">
        <v>12</v>
      </c>
      <c r="J378" t="s">
        <v>26</v>
      </c>
      <c r="K378" t="str">
        <f t="shared" si="17"/>
        <v>Bronze</v>
      </c>
      <c r="L378" t="str">
        <f>IF(Customer_Dim[[#This Row],[Age]]&lt;25,"Youth",
   IF(Customer_Dim[[#This Row],[Age]]&lt;=40,"Adult",
   IF(Customer_Dim[[#This Row],[Age]]&lt;=60,"Middle-Aged","Senior")))</f>
        <v>Adult</v>
      </c>
    </row>
    <row r="379" spans="1:12" x14ac:dyDescent="0.3">
      <c r="A379" t="s">
        <v>1178</v>
      </c>
      <c r="B379" t="s">
        <v>1179</v>
      </c>
      <c r="C379" t="str">
        <f t="shared" si="15"/>
        <v>Charles Conley</v>
      </c>
      <c r="D379" t="str">
        <f t="shared" si="16"/>
        <v>Charles Conley</v>
      </c>
      <c r="E379" s="7">
        <v>39</v>
      </c>
      <c r="F379" t="s">
        <v>16</v>
      </c>
      <c r="G379" t="s">
        <v>1180</v>
      </c>
      <c r="H379" t="s">
        <v>434</v>
      </c>
      <c r="I379" t="s">
        <v>12</v>
      </c>
      <c r="J379" t="s">
        <v>13</v>
      </c>
      <c r="K379" t="str">
        <f t="shared" si="17"/>
        <v>Gold</v>
      </c>
      <c r="L379" t="str">
        <f>IF(Customer_Dim[[#This Row],[Age]]&lt;25,"Youth",
   IF(Customer_Dim[[#This Row],[Age]]&lt;=40,"Adult",
   IF(Customer_Dim[[#This Row],[Age]]&lt;=60,"Middle-Aged","Senior")))</f>
        <v>Adult</v>
      </c>
    </row>
    <row r="380" spans="1:12" x14ac:dyDescent="0.3">
      <c r="A380" t="s">
        <v>1181</v>
      </c>
      <c r="B380" t="s">
        <v>1182</v>
      </c>
      <c r="C380" t="str">
        <f t="shared" si="15"/>
        <v>Frank Stewart</v>
      </c>
      <c r="D380" t="str">
        <f t="shared" si="16"/>
        <v>Frank Stewart</v>
      </c>
      <c r="E380" s="7">
        <v>44</v>
      </c>
      <c r="F380" t="s">
        <v>16</v>
      </c>
      <c r="G380" t="s">
        <v>1183</v>
      </c>
      <c r="H380" t="s">
        <v>92</v>
      </c>
      <c r="I380" t="s">
        <v>12</v>
      </c>
      <c r="J380" t="s">
        <v>26</v>
      </c>
      <c r="K380" t="str">
        <f t="shared" si="17"/>
        <v>Bronze</v>
      </c>
      <c r="L380" t="str">
        <f>IF(Customer_Dim[[#This Row],[Age]]&lt;25,"Youth",
   IF(Customer_Dim[[#This Row],[Age]]&lt;=40,"Adult",
   IF(Customer_Dim[[#This Row],[Age]]&lt;=60,"Middle-Aged","Senior")))</f>
        <v>Middle-Aged</v>
      </c>
    </row>
    <row r="381" spans="1:12" x14ac:dyDescent="0.3">
      <c r="A381" t="s">
        <v>1184</v>
      </c>
      <c r="B381" t="s">
        <v>1185</v>
      </c>
      <c r="C381" t="str">
        <f t="shared" si="15"/>
        <v>Tanya Lopez</v>
      </c>
      <c r="D381" t="str">
        <f t="shared" si="16"/>
        <v>Tanya Lopez</v>
      </c>
      <c r="E381" s="7">
        <v>34</v>
      </c>
      <c r="F381" t="s">
        <v>16</v>
      </c>
      <c r="G381" t="s">
        <v>1186</v>
      </c>
      <c r="H381" t="s">
        <v>267</v>
      </c>
      <c r="I381" t="s">
        <v>12</v>
      </c>
      <c r="J381" t="s">
        <v>13</v>
      </c>
      <c r="K381" t="str">
        <f t="shared" si="17"/>
        <v>Gold</v>
      </c>
      <c r="L381" t="str">
        <f>IF(Customer_Dim[[#This Row],[Age]]&lt;25,"Youth",
   IF(Customer_Dim[[#This Row],[Age]]&lt;=40,"Adult",
   IF(Customer_Dim[[#This Row],[Age]]&lt;=60,"Middle-Aged","Senior")))</f>
        <v>Adult</v>
      </c>
    </row>
    <row r="382" spans="1:12" x14ac:dyDescent="0.3">
      <c r="A382" t="s">
        <v>1187</v>
      </c>
      <c r="B382" t="s">
        <v>1188</v>
      </c>
      <c r="C382" t="str">
        <f t="shared" si="15"/>
        <v>Shelley Ponce</v>
      </c>
      <c r="D382" t="str">
        <f t="shared" si="16"/>
        <v>Shelley Ponce</v>
      </c>
      <c r="E382" s="7">
        <v>23</v>
      </c>
      <c r="F382" t="s">
        <v>9</v>
      </c>
      <c r="G382" t="s">
        <v>1189</v>
      </c>
      <c r="H382" t="s">
        <v>217</v>
      </c>
      <c r="I382" t="s">
        <v>12</v>
      </c>
      <c r="J382" t="s">
        <v>13</v>
      </c>
      <c r="K382" t="str">
        <f t="shared" si="17"/>
        <v>Gold</v>
      </c>
      <c r="L382" t="str">
        <f>IF(Customer_Dim[[#This Row],[Age]]&lt;25,"Youth",
   IF(Customer_Dim[[#This Row],[Age]]&lt;=40,"Adult",
   IF(Customer_Dim[[#This Row],[Age]]&lt;=60,"Middle-Aged","Senior")))</f>
        <v>Youth</v>
      </c>
    </row>
    <row r="383" spans="1:12" x14ac:dyDescent="0.3">
      <c r="A383" t="s">
        <v>1190</v>
      </c>
      <c r="B383" t="s">
        <v>1191</v>
      </c>
      <c r="C383" t="str">
        <f t="shared" si="15"/>
        <v>Erika Padilla</v>
      </c>
      <c r="D383" t="str">
        <f t="shared" si="16"/>
        <v>Erika Padilla</v>
      </c>
      <c r="E383" s="7">
        <v>50</v>
      </c>
      <c r="F383" t="s">
        <v>9</v>
      </c>
      <c r="G383" t="s">
        <v>1192</v>
      </c>
      <c r="H383" t="s">
        <v>22</v>
      </c>
      <c r="I383" t="s">
        <v>12</v>
      </c>
      <c r="J383" t="s">
        <v>31</v>
      </c>
      <c r="K383" t="str">
        <f t="shared" si="17"/>
        <v>Silver</v>
      </c>
      <c r="L383" t="str">
        <f>IF(Customer_Dim[[#This Row],[Age]]&lt;25,"Youth",
   IF(Customer_Dim[[#This Row],[Age]]&lt;=40,"Adult",
   IF(Customer_Dim[[#This Row],[Age]]&lt;=60,"Middle-Aged","Senior")))</f>
        <v>Middle-Aged</v>
      </c>
    </row>
    <row r="384" spans="1:12" x14ac:dyDescent="0.3">
      <c r="A384" t="s">
        <v>1193</v>
      </c>
      <c r="B384" t="s">
        <v>1194</v>
      </c>
      <c r="C384" t="str">
        <f t="shared" si="15"/>
        <v>Martha Brown</v>
      </c>
      <c r="D384" t="str">
        <f t="shared" si="16"/>
        <v>Martha Brown</v>
      </c>
      <c r="E384" s="7">
        <v>20</v>
      </c>
      <c r="F384" t="s">
        <v>16</v>
      </c>
      <c r="G384" t="s">
        <v>1195</v>
      </c>
      <c r="H384" t="s">
        <v>30</v>
      </c>
      <c r="I384" t="s">
        <v>12</v>
      </c>
      <c r="J384" t="s">
        <v>13</v>
      </c>
      <c r="K384" t="str">
        <f t="shared" si="17"/>
        <v>Gold</v>
      </c>
      <c r="L384" t="str">
        <f>IF(Customer_Dim[[#This Row],[Age]]&lt;25,"Youth",
   IF(Customer_Dim[[#This Row],[Age]]&lt;=40,"Adult",
   IF(Customer_Dim[[#This Row],[Age]]&lt;=60,"Middle-Aged","Senior")))</f>
        <v>Youth</v>
      </c>
    </row>
    <row r="385" spans="1:12" x14ac:dyDescent="0.3">
      <c r="A385" t="s">
        <v>1196</v>
      </c>
      <c r="B385" t="s">
        <v>1197</v>
      </c>
      <c r="C385" t="str">
        <f t="shared" si="15"/>
        <v>Kristine Higgins</v>
      </c>
      <c r="D385" t="str">
        <f t="shared" si="16"/>
        <v>Kristine Higgins</v>
      </c>
      <c r="E385" s="7">
        <v>27</v>
      </c>
      <c r="F385" t="s">
        <v>16</v>
      </c>
      <c r="G385" t="s">
        <v>1198</v>
      </c>
      <c r="H385" t="s">
        <v>317</v>
      </c>
      <c r="I385" t="s">
        <v>12</v>
      </c>
      <c r="J385" t="s">
        <v>31</v>
      </c>
      <c r="K385" t="str">
        <f t="shared" si="17"/>
        <v>Silver</v>
      </c>
      <c r="L385" t="str">
        <f>IF(Customer_Dim[[#This Row],[Age]]&lt;25,"Youth",
   IF(Customer_Dim[[#This Row],[Age]]&lt;=40,"Adult",
   IF(Customer_Dim[[#This Row],[Age]]&lt;=60,"Middle-Aged","Senior")))</f>
        <v>Adult</v>
      </c>
    </row>
    <row r="386" spans="1:12" x14ac:dyDescent="0.3">
      <c r="A386" t="s">
        <v>1199</v>
      </c>
      <c r="B386" t="s">
        <v>1200</v>
      </c>
      <c r="C386" t="str">
        <f t="shared" si="15"/>
        <v>Andrew Mason</v>
      </c>
      <c r="D386" t="str">
        <f t="shared" si="16"/>
        <v>Andrew Mason</v>
      </c>
      <c r="E386" s="7">
        <v>52</v>
      </c>
      <c r="F386" t="s">
        <v>16</v>
      </c>
      <c r="G386" t="s">
        <v>1201</v>
      </c>
      <c r="H386" t="s">
        <v>267</v>
      </c>
      <c r="I386" t="s">
        <v>12</v>
      </c>
      <c r="J386" t="s">
        <v>26</v>
      </c>
      <c r="K386" t="str">
        <f t="shared" si="17"/>
        <v>Bronze</v>
      </c>
      <c r="L386" t="str">
        <f>IF(Customer_Dim[[#This Row],[Age]]&lt;25,"Youth",
   IF(Customer_Dim[[#This Row],[Age]]&lt;=40,"Adult",
   IF(Customer_Dim[[#This Row],[Age]]&lt;=60,"Middle-Aged","Senior")))</f>
        <v>Middle-Aged</v>
      </c>
    </row>
    <row r="387" spans="1:12" x14ac:dyDescent="0.3">
      <c r="A387" t="s">
        <v>1202</v>
      </c>
      <c r="B387" t="s">
        <v>1203</v>
      </c>
      <c r="C387" t="str">
        <f t="shared" ref="C387:C450" si="18">PROPER(B387)</f>
        <v>Tammy Brennan</v>
      </c>
      <c r="D387" t="str">
        <f t="shared" ref="D387:D450" si="19">TRIM(C387)</f>
        <v>Tammy Brennan</v>
      </c>
      <c r="E387" s="7">
        <v>60</v>
      </c>
      <c r="F387" t="s">
        <v>9</v>
      </c>
      <c r="G387" t="s">
        <v>1204</v>
      </c>
      <c r="H387" t="s">
        <v>317</v>
      </c>
      <c r="I387" t="s">
        <v>12</v>
      </c>
      <c r="J387" t="s">
        <v>13</v>
      </c>
      <c r="K387" t="str">
        <f t="shared" ref="K387:K450" si="20">IF(ISBLANK(J387),"UNKNOWN",J387)</f>
        <v>Gold</v>
      </c>
      <c r="L387" t="str">
        <f>IF(Customer_Dim[[#This Row],[Age]]&lt;25,"Youth",
   IF(Customer_Dim[[#This Row],[Age]]&lt;=40,"Adult",
   IF(Customer_Dim[[#This Row],[Age]]&lt;=60,"Middle-Aged","Senior")))</f>
        <v>Middle-Aged</v>
      </c>
    </row>
    <row r="388" spans="1:12" x14ac:dyDescent="0.3">
      <c r="A388" t="s">
        <v>1205</v>
      </c>
      <c r="B388" t="s">
        <v>1206</v>
      </c>
      <c r="C388" t="str">
        <f t="shared" si="18"/>
        <v>Melanie Mitchell</v>
      </c>
      <c r="D388" t="str">
        <f t="shared" si="19"/>
        <v>Melanie Mitchell</v>
      </c>
      <c r="E388" s="7">
        <v>18</v>
      </c>
      <c r="F388" t="s">
        <v>16</v>
      </c>
      <c r="G388" t="s">
        <v>1207</v>
      </c>
      <c r="H388" t="s">
        <v>140</v>
      </c>
      <c r="I388" t="s">
        <v>12</v>
      </c>
      <c r="J388" t="s">
        <v>26</v>
      </c>
      <c r="K388" t="str">
        <f t="shared" si="20"/>
        <v>Bronze</v>
      </c>
      <c r="L388" t="str">
        <f>IF(Customer_Dim[[#This Row],[Age]]&lt;25,"Youth",
   IF(Customer_Dim[[#This Row],[Age]]&lt;=40,"Adult",
   IF(Customer_Dim[[#This Row],[Age]]&lt;=60,"Middle-Aged","Senior")))</f>
        <v>Youth</v>
      </c>
    </row>
    <row r="389" spans="1:12" x14ac:dyDescent="0.3">
      <c r="A389" t="s">
        <v>1208</v>
      </c>
      <c r="B389" t="s">
        <v>1209</v>
      </c>
      <c r="C389" t="str">
        <f t="shared" si="18"/>
        <v>Timothy Gardner</v>
      </c>
      <c r="D389" t="str">
        <f t="shared" si="19"/>
        <v>Timothy Gardner</v>
      </c>
      <c r="E389" s="7">
        <v>28</v>
      </c>
      <c r="F389" t="s">
        <v>16</v>
      </c>
      <c r="G389" t="s">
        <v>1210</v>
      </c>
      <c r="H389" t="s">
        <v>88</v>
      </c>
      <c r="I389" t="s">
        <v>12</v>
      </c>
      <c r="J389" t="s">
        <v>31</v>
      </c>
      <c r="K389" t="str">
        <f t="shared" si="20"/>
        <v>Silver</v>
      </c>
      <c r="L389" t="str">
        <f>IF(Customer_Dim[[#This Row],[Age]]&lt;25,"Youth",
   IF(Customer_Dim[[#This Row],[Age]]&lt;=40,"Adult",
   IF(Customer_Dim[[#This Row],[Age]]&lt;=60,"Middle-Aged","Senior")))</f>
        <v>Adult</v>
      </c>
    </row>
    <row r="390" spans="1:12" x14ac:dyDescent="0.3">
      <c r="A390" t="s">
        <v>1211</v>
      </c>
      <c r="B390" t="s">
        <v>1212</v>
      </c>
      <c r="C390" t="str">
        <f t="shared" si="18"/>
        <v>Timothy Valenzuela</v>
      </c>
      <c r="D390" t="str">
        <f t="shared" si="19"/>
        <v>Timothy Valenzuela</v>
      </c>
      <c r="E390" s="7">
        <v>53</v>
      </c>
      <c r="F390" t="s">
        <v>9</v>
      </c>
      <c r="G390" t="s">
        <v>1213</v>
      </c>
      <c r="H390" t="s">
        <v>113</v>
      </c>
      <c r="I390" t="s">
        <v>12</v>
      </c>
      <c r="J390" t="s">
        <v>19</v>
      </c>
      <c r="K390" t="str">
        <f t="shared" si="20"/>
        <v>Platinum</v>
      </c>
      <c r="L390" t="str">
        <f>IF(Customer_Dim[[#This Row],[Age]]&lt;25,"Youth",
   IF(Customer_Dim[[#This Row],[Age]]&lt;=40,"Adult",
   IF(Customer_Dim[[#This Row],[Age]]&lt;=60,"Middle-Aged","Senior")))</f>
        <v>Middle-Aged</v>
      </c>
    </row>
    <row r="391" spans="1:12" x14ac:dyDescent="0.3">
      <c r="A391" t="s">
        <v>1214</v>
      </c>
      <c r="B391" t="s">
        <v>1215</v>
      </c>
      <c r="C391" t="str">
        <f t="shared" si="18"/>
        <v>Cynthia Lopez</v>
      </c>
      <c r="D391" t="str">
        <f t="shared" si="19"/>
        <v>Cynthia Lopez</v>
      </c>
      <c r="E391" s="7">
        <v>50</v>
      </c>
      <c r="F391" t="s">
        <v>9</v>
      </c>
      <c r="G391" t="s">
        <v>1216</v>
      </c>
      <c r="H391" t="s">
        <v>70</v>
      </c>
      <c r="I391" t="s">
        <v>12</v>
      </c>
      <c r="J391" t="s">
        <v>19</v>
      </c>
      <c r="K391" t="str">
        <f t="shared" si="20"/>
        <v>Platinum</v>
      </c>
      <c r="L391" t="str">
        <f>IF(Customer_Dim[[#This Row],[Age]]&lt;25,"Youth",
   IF(Customer_Dim[[#This Row],[Age]]&lt;=40,"Adult",
   IF(Customer_Dim[[#This Row],[Age]]&lt;=60,"Middle-Aged","Senior")))</f>
        <v>Middle-Aged</v>
      </c>
    </row>
    <row r="392" spans="1:12" x14ac:dyDescent="0.3">
      <c r="A392" t="s">
        <v>1217</v>
      </c>
      <c r="B392" t="s">
        <v>1218</v>
      </c>
      <c r="C392" t="str">
        <f t="shared" si="18"/>
        <v>Daniel Bell</v>
      </c>
      <c r="D392" t="str">
        <f t="shared" si="19"/>
        <v>Daniel Bell</v>
      </c>
      <c r="E392" s="7">
        <v>56</v>
      </c>
      <c r="F392" t="s">
        <v>9</v>
      </c>
      <c r="G392" t="s">
        <v>1219</v>
      </c>
      <c r="H392" t="s">
        <v>291</v>
      </c>
      <c r="I392" t="s">
        <v>12</v>
      </c>
      <c r="J392" t="s">
        <v>31</v>
      </c>
      <c r="K392" t="str">
        <f t="shared" si="20"/>
        <v>Silver</v>
      </c>
      <c r="L392" t="str">
        <f>IF(Customer_Dim[[#This Row],[Age]]&lt;25,"Youth",
   IF(Customer_Dim[[#This Row],[Age]]&lt;=40,"Adult",
   IF(Customer_Dim[[#This Row],[Age]]&lt;=60,"Middle-Aged","Senior")))</f>
        <v>Middle-Aged</v>
      </c>
    </row>
    <row r="393" spans="1:12" x14ac:dyDescent="0.3">
      <c r="A393" t="s">
        <v>1220</v>
      </c>
      <c r="B393" t="s">
        <v>1221</v>
      </c>
      <c r="C393" t="str">
        <f t="shared" si="18"/>
        <v>Heidi Tyler</v>
      </c>
      <c r="D393" t="str">
        <f t="shared" si="19"/>
        <v>Heidi Tyler</v>
      </c>
      <c r="E393" s="7">
        <v>40</v>
      </c>
      <c r="F393" t="s">
        <v>16</v>
      </c>
      <c r="G393" t="s">
        <v>1222</v>
      </c>
      <c r="H393" t="s">
        <v>35</v>
      </c>
      <c r="I393" t="s">
        <v>12</v>
      </c>
      <c r="J393" t="s">
        <v>26</v>
      </c>
      <c r="K393" t="str">
        <f t="shared" si="20"/>
        <v>Bronze</v>
      </c>
      <c r="L393" t="str">
        <f>IF(Customer_Dim[[#This Row],[Age]]&lt;25,"Youth",
   IF(Customer_Dim[[#This Row],[Age]]&lt;=40,"Adult",
   IF(Customer_Dim[[#This Row],[Age]]&lt;=60,"Middle-Aged","Senior")))</f>
        <v>Adult</v>
      </c>
    </row>
    <row r="394" spans="1:12" x14ac:dyDescent="0.3">
      <c r="A394" t="s">
        <v>1223</v>
      </c>
      <c r="B394" t="s">
        <v>1224</v>
      </c>
      <c r="C394" t="str">
        <f t="shared" si="18"/>
        <v>Jacqueline Payne</v>
      </c>
      <c r="D394" t="str">
        <f t="shared" si="19"/>
        <v>Jacqueline Payne</v>
      </c>
      <c r="E394" s="7">
        <v>46</v>
      </c>
      <c r="F394" t="s">
        <v>9</v>
      </c>
      <c r="G394" t="s">
        <v>1225</v>
      </c>
      <c r="H394" t="s">
        <v>113</v>
      </c>
      <c r="I394" t="s">
        <v>12</v>
      </c>
      <c r="J394" t="s">
        <v>13</v>
      </c>
      <c r="K394" t="str">
        <f t="shared" si="20"/>
        <v>Gold</v>
      </c>
      <c r="L394" t="str">
        <f>IF(Customer_Dim[[#This Row],[Age]]&lt;25,"Youth",
   IF(Customer_Dim[[#This Row],[Age]]&lt;=40,"Adult",
   IF(Customer_Dim[[#This Row],[Age]]&lt;=60,"Middle-Aged","Senior")))</f>
        <v>Middle-Aged</v>
      </c>
    </row>
    <row r="395" spans="1:12" x14ac:dyDescent="0.3">
      <c r="A395" t="s">
        <v>1226</v>
      </c>
      <c r="B395" t="s">
        <v>1227</v>
      </c>
      <c r="C395" t="str">
        <f t="shared" si="18"/>
        <v>Michael Mcneil</v>
      </c>
      <c r="D395" t="str">
        <f t="shared" si="19"/>
        <v>Michael Mcneil</v>
      </c>
      <c r="E395" s="7">
        <v>46</v>
      </c>
      <c r="F395" t="s">
        <v>9</v>
      </c>
      <c r="G395" t="s">
        <v>1228</v>
      </c>
      <c r="H395" t="s">
        <v>117</v>
      </c>
      <c r="I395" t="s">
        <v>12</v>
      </c>
      <c r="J395" t="s">
        <v>26</v>
      </c>
      <c r="K395" t="str">
        <f t="shared" si="20"/>
        <v>Bronze</v>
      </c>
      <c r="L395" t="str">
        <f>IF(Customer_Dim[[#This Row],[Age]]&lt;25,"Youth",
   IF(Customer_Dim[[#This Row],[Age]]&lt;=40,"Adult",
   IF(Customer_Dim[[#This Row],[Age]]&lt;=60,"Middle-Aged","Senior")))</f>
        <v>Middle-Aged</v>
      </c>
    </row>
    <row r="396" spans="1:12" x14ac:dyDescent="0.3">
      <c r="A396" t="s">
        <v>1229</v>
      </c>
      <c r="B396" t="s">
        <v>1230</v>
      </c>
      <c r="C396" t="str">
        <f t="shared" si="18"/>
        <v>Alejandro Evans</v>
      </c>
      <c r="D396" t="str">
        <f t="shared" si="19"/>
        <v>Alejandro Evans</v>
      </c>
      <c r="E396" s="7">
        <v>43</v>
      </c>
      <c r="F396" t="s">
        <v>16</v>
      </c>
      <c r="G396" t="s">
        <v>1231</v>
      </c>
      <c r="H396" t="s">
        <v>167</v>
      </c>
      <c r="I396" t="s">
        <v>12</v>
      </c>
      <c r="J396" t="s">
        <v>26</v>
      </c>
      <c r="K396" t="str">
        <f t="shared" si="20"/>
        <v>Bronze</v>
      </c>
      <c r="L396" t="str">
        <f>IF(Customer_Dim[[#This Row],[Age]]&lt;25,"Youth",
   IF(Customer_Dim[[#This Row],[Age]]&lt;=40,"Adult",
   IF(Customer_Dim[[#This Row],[Age]]&lt;=60,"Middle-Aged","Senior")))</f>
        <v>Middle-Aged</v>
      </c>
    </row>
    <row r="397" spans="1:12" x14ac:dyDescent="0.3">
      <c r="A397" t="s">
        <v>1232</v>
      </c>
      <c r="B397" t="s">
        <v>1233</v>
      </c>
      <c r="C397" t="str">
        <f t="shared" si="18"/>
        <v>Brandon Mcguire</v>
      </c>
      <c r="D397" t="str">
        <f t="shared" si="19"/>
        <v>Brandon Mcguire</v>
      </c>
      <c r="E397" s="7">
        <v>50</v>
      </c>
      <c r="F397" t="s">
        <v>9</v>
      </c>
      <c r="G397" t="s">
        <v>1234</v>
      </c>
      <c r="H397" t="s">
        <v>62</v>
      </c>
      <c r="I397" t="s">
        <v>12</v>
      </c>
      <c r="J397" t="s">
        <v>13</v>
      </c>
      <c r="K397" t="str">
        <f t="shared" si="20"/>
        <v>Gold</v>
      </c>
      <c r="L397" t="str">
        <f>IF(Customer_Dim[[#This Row],[Age]]&lt;25,"Youth",
   IF(Customer_Dim[[#This Row],[Age]]&lt;=40,"Adult",
   IF(Customer_Dim[[#This Row],[Age]]&lt;=60,"Middle-Aged","Senior")))</f>
        <v>Middle-Aged</v>
      </c>
    </row>
    <row r="398" spans="1:12" x14ac:dyDescent="0.3">
      <c r="A398" t="s">
        <v>1235</v>
      </c>
      <c r="B398" t="s">
        <v>1236</v>
      </c>
      <c r="C398" t="str">
        <f t="shared" si="18"/>
        <v>Alexander Byrd</v>
      </c>
      <c r="D398" t="str">
        <f t="shared" si="19"/>
        <v>Alexander Byrd</v>
      </c>
      <c r="E398" s="7">
        <v>25</v>
      </c>
      <c r="F398" t="s">
        <v>16</v>
      </c>
      <c r="G398" t="s">
        <v>1237</v>
      </c>
      <c r="H398" t="s">
        <v>58</v>
      </c>
      <c r="I398" t="s">
        <v>12</v>
      </c>
      <c r="J398" t="s">
        <v>31</v>
      </c>
      <c r="K398" t="str">
        <f t="shared" si="20"/>
        <v>Silver</v>
      </c>
      <c r="L398" t="str">
        <f>IF(Customer_Dim[[#This Row],[Age]]&lt;25,"Youth",
   IF(Customer_Dim[[#This Row],[Age]]&lt;=40,"Adult",
   IF(Customer_Dim[[#This Row],[Age]]&lt;=60,"Middle-Aged","Senior")))</f>
        <v>Adult</v>
      </c>
    </row>
    <row r="399" spans="1:12" x14ac:dyDescent="0.3">
      <c r="A399" t="s">
        <v>1238</v>
      </c>
      <c r="B399" t="s">
        <v>1239</v>
      </c>
      <c r="C399" t="str">
        <f t="shared" si="18"/>
        <v>Charles Norman Phd</v>
      </c>
      <c r="D399" t="str">
        <f t="shared" si="19"/>
        <v>Charles Norman Phd</v>
      </c>
      <c r="E399" s="7">
        <v>62</v>
      </c>
      <c r="F399" t="s">
        <v>16</v>
      </c>
      <c r="G399" t="s">
        <v>123</v>
      </c>
      <c r="H399" t="s">
        <v>62</v>
      </c>
      <c r="I399" t="s">
        <v>12</v>
      </c>
      <c r="J399" t="s">
        <v>19</v>
      </c>
      <c r="K399" t="str">
        <f t="shared" si="20"/>
        <v>Platinum</v>
      </c>
      <c r="L399" t="str">
        <f>IF(Customer_Dim[[#This Row],[Age]]&lt;25,"Youth",
   IF(Customer_Dim[[#This Row],[Age]]&lt;=40,"Adult",
   IF(Customer_Dim[[#This Row],[Age]]&lt;=60,"Middle-Aged","Senior")))</f>
        <v>Senior</v>
      </c>
    </row>
    <row r="400" spans="1:12" x14ac:dyDescent="0.3">
      <c r="A400" t="s">
        <v>1240</v>
      </c>
      <c r="B400" t="s">
        <v>1241</v>
      </c>
      <c r="C400" t="str">
        <f t="shared" si="18"/>
        <v>Jennifer Johnson</v>
      </c>
      <c r="D400" t="str">
        <f t="shared" si="19"/>
        <v>Jennifer Johnson</v>
      </c>
      <c r="E400" s="7">
        <v>54</v>
      </c>
      <c r="F400" t="s">
        <v>9</v>
      </c>
      <c r="G400" t="s">
        <v>1242</v>
      </c>
      <c r="H400" t="s">
        <v>47</v>
      </c>
      <c r="I400" t="s">
        <v>12</v>
      </c>
      <c r="J400" t="s">
        <v>26</v>
      </c>
      <c r="K400" t="str">
        <f t="shared" si="20"/>
        <v>Bronze</v>
      </c>
      <c r="L400" t="str">
        <f>IF(Customer_Dim[[#This Row],[Age]]&lt;25,"Youth",
   IF(Customer_Dim[[#This Row],[Age]]&lt;=40,"Adult",
   IF(Customer_Dim[[#This Row],[Age]]&lt;=60,"Middle-Aged","Senior")))</f>
        <v>Middle-Aged</v>
      </c>
    </row>
    <row r="401" spans="1:12" x14ac:dyDescent="0.3">
      <c r="A401" t="s">
        <v>1243</v>
      </c>
      <c r="B401" t="s">
        <v>1244</v>
      </c>
      <c r="C401" t="str">
        <f t="shared" si="18"/>
        <v>John Donaldson</v>
      </c>
      <c r="D401" t="str">
        <f t="shared" si="19"/>
        <v>John Donaldson</v>
      </c>
      <c r="E401" s="7">
        <v>27</v>
      </c>
      <c r="F401" t="s">
        <v>9</v>
      </c>
      <c r="G401" t="s">
        <v>1245</v>
      </c>
      <c r="H401" t="s">
        <v>434</v>
      </c>
      <c r="I401" t="s">
        <v>12</v>
      </c>
      <c r="J401" t="s">
        <v>26</v>
      </c>
      <c r="K401" t="str">
        <f t="shared" si="20"/>
        <v>Bronze</v>
      </c>
      <c r="L401" t="str">
        <f>IF(Customer_Dim[[#This Row],[Age]]&lt;25,"Youth",
   IF(Customer_Dim[[#This Row],[Age]]&lt;=40,"Adult",
   IF(Customer_Dim[[#This Row],[Age]]&lt;=60,"Middle-Aged","Senior")))</f>
        <v>Adult</v>
      </c>
    </row>
    <row r="402" spans="1:12" x14ac:dyDescent="0.3">
      <c r="A402" t="s">
        <v>1246</v>
      </c>
      <c r="B402" t="s">
        <v>1247</v>
      </c>
      <c r="C402" t="str">
        <f t="shared" si="18"/>
        <v>Mark Rogers</v>
      </c>
      <c r="D402" t="str">
        <f t="shared" si="19"/>
        <v>Mark Rogers</v>
      </c>
      <c r="E402" s="7">
        <v>57</v>
      </c>
      <c r="F402" t="s">
        <v>16</v>
      </c>
      <c r="G402" t="s">
        <v>1248</v>
      </c>
      <c r="H402" t="s">
        <v>96</v>
      </c>
      <c r="I402" t="s">
        <v>12</v>
      </c>
      <c r="J402" t="s">
        <v>19</v>
      </c>
      <c r="K402" t="str">
        <f t="shared" si="20"/>
        <v>Platinum</v>
      </c>
      <c r="L402" t="str">
        <f>IF(Customer_Dim[[#This Row],[Age]]&lt;25,"Youth",
   IF(Customer_Dim[[#This Row],[Age]]&lt;=40,"Adult",
   IF(Customer_Dim[[#This Row],[Age]]&lt;=60,"Middle-Aged","Senior")))</f>
        <v>Middle-Aged</v>
      </c>
    </row>
    <row r="403" spans="1:12" x14ac:dyDescent="0.3">
      <c r="A403" t="s">
        <v>1249</v>
      </c>
      <c r="B403" t="s">
        <v>1250</v>
      </c>
      <c r="C403" t="str">
        <f t="shared" si="18"/>
        <v>Terry Moses</v>
      </c>
      <c r="D403" t="str">
        <f t="shared" si="19"/>
        <v>Terry Moses</v>
      </c>
      <c r="E403" s="7">
        <v>51</v>
      </c>
      <c r="F403" t="s">
        <v>16</v>
      </c>
      <c r="G403" t="s">
        <v>1251</v>
      </c>
      <c r="H403" t="s">
        <v>184</v>
      </c>
      <c r="I403" t="s">
        <v>12</v>
      </c>
      <c r="J403" t="s">
        <v>19</v>
      </c>
      <c r="K403" t="str">
        <f t="shared" si="20"/>
        <v>Platinum</v>
      </c>
      <c r="L403" t="str">
        <f>IF(Customer_Dim[[#This Row],[Age]]&lt;25,"Youth",
   IF(Customer_Dim[[#This Row],[Age]]&lt;=40,"Adult",
   IF(Customer_Dim[[#This Row],[Age]]&lt;=60,"Middle-Aged","Senior")))</f>
        <v>Middle-Aged</v>
      </c>
    </row>
    <row r="404" spans="1:12" x14ac:dyDescent="0.3">
      <c r="A404" t="s">
        <v>1252</v>
      </c>
      <c r="B404" t="s">
        <v>1253</v>
      </c>
      <c r="C404" t="str">
        <f t="shared" si="18"/>
        <v>Cassandra Perez</v>
      </c>
      <c r="D404" t="str">
        <f t="shared" si="19"/>
        <v>Cassandra Perez</v>
      </c>
      <c r="E404" s="7">
        <v>31</v>
      </c>
      <c r="F404" t="s">
        <v>9</v>
      </c>
      <c r="G404" t="s">
        <v>80</v>
      </c>
      <c r="H404" t="s">
        <v>313</v>
      </c>
      <c r="I404" t="s">
        <v>12</v>
      </c>
      <c r="J404" t="s">
        <v>26</v>
      </c>
      <c r="K404" t="str">
        <f t="shared" si="20"/>
        <v>Bronze</v>
      </c>
      <c r="L404" t="str">
        <f>IF(Customer_Dim[[#This Row],[Age]]&lt;25,"Youth",
   IF(Customer_Dim[[#This Row],[Age]]&lt;=40,"Adult",
   IF(Customer_Dim[[#This Row],[Age]]&lt;=60,"Middle-Aged","Senior")))</f>
        <v>Adult</v>
      </c>
    </row>
    <row r="405" spans="1:12" x14ac:dyDescent="0.3">
      <c r="A405" t="s">
        <v>1254</v>
      </c>
      <c r="B405" t="s">
        <v>1255</v>
      </c>
      <c r="C405" t="str">
        <f t="shared" si="18"/>
        <v>Justin Ingram</v>
      </c>
      <c r="D405" t="str">
        <f t="shared" si="19"/>
        <v>Justin Ingram</v>
      </c>
      <c r="E405" s="7">
        <v>34</v>
      </c>
      <c r="F405" t="s">
        <v>9</v>
      </c>
      <c r="G405" t="s">
        <v>1256</v>
      </c>
      <c r="H405" t="s">
        <v>328</v>
      </c>
      <c r="I405" t="s">
        <v>12</v>
      </c>
      <c r="J405" t="s">
        <v>26</v>
      </c>
      <c r="K405" t="str">
        <f t="shared" si="20"/>
        <v>Bronze</v>
      </c>
      <c r="L405" t="str">
        <f>IF(Customer_Dim[[#This Row],[Age]]&lt;25,"Youth",
   IF(Customer_Dim[[#This Row],[Age]]&lt;=40,"Adult",
   IF(Customer_Dim[[#This Row],[Age]]&lt;=60,"Middle-Aged","Senior")))</f>
        <v>Adult</v>
      </c>
    </row>
    <row r="406" spans="1:12" x14ac:dyDescent="0.3">
      <c r="A406" t="s">
        <v>1257</v>
      </c>
      <c r="B406" t="s">
        <v>1258</v>
      </c>
      <c r="C406" t="str">
        <f t="shared" si="18"/>
        <v>David Ross</v>
      </c>
      <c r="D406" t="str">
        <f t="shared" si="19"/>
        <v>David Ross</v>
      </c>
      <c r="E406" s="7">
        <v>22</v>
      </c>
      <c r="F406" t="s">
        <v>16</v>
      </c>
      <c r="G406" t="s">
        <v>1259</v>
      </c>
      <c r="H406" t="s">
        <v>291</v>
      </c>
      <c r="I406" t="s">
        <v>12</v>
      </c>
      <c r="J406" t="s">
        <v>31</v>
      </c>
      <c r="K406" t="str">
        <f t="shared" si="20"/>
        <v>Silver</v>
      </c>
      <c r="L406" t="str">
        <f>IF(Customer_Dim[[#This Row],[Age]]&lt;25,"Youth",
   IF(Customer_Dim[[#This Row],[Age]]&lt;=40,"Adult",
   IF(Customer_Dim[[#This Row],[Age]]&lt;=60,"Middle-Aged","Senior")))</f>
        <v>Youth</v>
      </c>
    </row>
    <row r="407" spans="1:12" x14ac:dyDescent="0.3">
      <c r="A407" t="s">
        <v>1260</v>
      </c>
      <c r="B407" t="s">
        <v>1261</v>
      </c>
      <c r="C407" t="str">
        <f t="shared" si="18"/>
        <v>Eric Wolfe</v>
      </c>
      <c r="D407" t="str">
        <f t="shared" si="19"/>
        <v>Eric Wolfe</v>
      </c>
      <c r="E407" s="7">
        <v>18</v>
      </c>
      <c r="F407" t="s">
        <v>16</v>
      </c>
      <c r="G407" t="s">
        <v>1262</v>
      </c>
      <c r="H407" t="s">
        <v>328</v>
      </c>
      <c r="I407" t="s">
        <v>12</v>
      </c>
      <c r="J407" t="s">
        <v>13</v>
      </c>
      <c r="K407" t="str">
        <f t="shared" si="20"/>
        <v>Gold</v>
      </c>
      <c r="L407" t="str">
        <f>IF(Customer_Dim[[#This Row],[Age]]&lt;25,"Youth",
   IF(Customer_Dim[[#This Row],[Age]]&lt;=40,"Adult",
   IF(Customer_Dim[[#This Row],[Age]]&lt;=60,"Middle-Aged","Senior")))</f>
        <v>Youth</v>
      </c>
    </row>
    <row r="408" spans="1:12" x14ac:dyDescent="0.3">
      <c r="A408" t="s">
        <v>1263</v>
      </c>
      <c r="B408" t="s">
        <v>1264</v>
      </c>
      <c r="C408" t="str">
        <f t="shared" si="18"/>
        <v>David Lozano</v>
      </c>
      <c r="D408" t="str">
        <f t="shared" si="19"/>
        <v>David Lozano</v>
      </c>
      <c r="E408" s="7">
        <v>23</v>
      </c>
      <c r="F408" t="s">
        <v>16</v>
      </c>
      <c r="G408" t="s">
        <v>1265</v>
      </c>
      <c r="H408" t="s">
        <v>324</v>
      </c>
      <c r="I408" t="s">
        <v>12</v>
      </c>
      <c r="J408" t="s">
        <v>13</v>
      </c>
      <c r="K408" t="str">
        <f t="shared" si="20"/>
        <v>Gold</v>
      </c>
      <c r="L408" t="str">
        <f>IF(Customer_Dim[[#This Row],[Age]]&lt;25,"Youth",
   IF(Customer_Dim[[#This Row],[Age]]&lt;=40,"Adult",
   IF(Customer_Dim[[#This Row],[Age]]&lt;=60,"Middle-Aged","Senior")))</f>
        <v>Youth</v>
      </c>
    </row>
    <row r="409" spans="1:12" x14ac:dyDescent="0.3">
      <c r="A409" t="s">
        <v>1266</v>
      </c>
      <c r="B409" t="s">
        <v>1267</v>
      </c>
      <c r="C409" t="str">
        <f t="shared" si="18"/>
        <v>Joseph Mendoza</v>
      </c>
      <c r="D409" t="str">
        <f t="shared" si="19"/>
        <v>Joseph Mendoza</v>
      </c>
      <c r="E409" s="7">
        <v>33</v>
      </c>
      <c r="F409" t="s">
        <v>9</v>
      </c>
      <c r="G409" t="s">
        <v>1268</v>
      </c>
      <c r="H409" t="s">
        <v>140</v>
      </c>
      <c r="I409" t="s">
        <v>12</v>
      </c>
      <c r="J409" t="s">
        <v>13</v>
      </c>
      <c r="K409" t="str">
        <f t="shared" si="20"/>
        <v>Gold</v>
      </c>
      <c r="L409" t="str">
        <f>IF(Customer_Dim[[#This Row],[Age]]&lt;25,"Youth",
   IF(Customer_Dim[[#This Row],[Age]]&lt;=40,"Adult",
   IF(Customer_Dim[[#This Row],[Age]]&lt;=60,"Middle-Aged","Senior")))</f>
        <v>Adult</v>
      </c>
    </row>
    <row r="410" spans="1:12" x14ac:dyDescent="0.3">
      <c r="A410" t="s">
        <v>1269</v>
      </c>
      <c r="B410" t="s">
        <v>1270</v>
      </c>
      <c r="C410" t="str">
        <f t="shared" si="18"/>
        <v>Isabel Foster</v>
      </c>
      <c r="D410" t="str">
        <f t="shared" si="19"/>
        <v>Isabel Foster</v>
      </c>
      <c r="E410" s="7">
        <v>36</v>
      </c>
      <c r="F410" t="s">
        <v>9</v>
      </c>
      <c r="G410" t="s">
        <v>1271</v>
      </c>
      <c r="H410" t="s">
        <v>88</v>
      </c>
      <c r="I410" t="s">
        <v>12</v>
      </c>
      <c r="J410" t="s">
        <v>13</v>
      </c>
      <c r="K410" t="str">
        <f t="shared" si="20"/>
        <v>Gold</v>
      </c>
      <c r="L410" t="str">
        <f>IF(Customer_Dim[[#This Row],[Age]]&lt;25,"Youth",
   IF(Customer_Dim[[#This Row],[Age]]&lt;=40,"Adult",
   IF(Customer_Dim[[#This Row],[Age]]&lt;=60,"Middle-Aged","Senior")))</f>
        <v>Adult</v>
      </c>
    </row>
    <row r="411" spans="1:12" x14ac:dyDescent="0.3">
      <c r="A411" t="s">
        <v>1272</v>
      </c>
      <c r="B411" t="s">
        <v>1273</v>
      </c>
      <c r="C411" t="str">
        <f t="shared" si="18"/>
        <v>Sarah Smith</v>
      </c>
      <c r="D411" t="str">
        <f t="shared" si="19"/>
        <v>Sarah Smith</v>
      </c>
      <c r="E411" s="7">
        <v>55</v>
      </c>
      <c r="F411" t="s">
        <v>9</v>
      </c>
      <c r="G411" t="s">
        <v>1274</v>
      </c>
      <c r="H411" t="s">
        <v>845</v>
      </c>
      <c r="I411" t="s">
        <v>12</v>
      </c>
      <c r="J411" t="s">
        <v>13</v>
      </c>
      <c r="K411" t="str">
        <f t="shared" si="20"/>
        <v>Gold</v>
      </c>
      <c r="L411" t="str">
        <f>IF(Customer_Dim[[#This Row],[Age]]&lt;25,"Youth",
   IF(Customer_Dim[[#This Row],[Age]]&lt;=40,"Adult",
   IF(Customer_Dim[[#This Row],[Age]]&lt;=60,"Middle-Aged","Senior")))</f>
        <v>Middle-Aged</v>
      </c>
    </row>
    <row r="412" spans="1:12" x14ac:dyDescent="0.3">
      <c r="A412" t="s">
        <v>1275</v>
      </c>
      <c r="B412" t="s">
        <v>1276</v>
      </c>
      <c r="C412" t="str">
        <f t="shared" si="18"/>
        <v>Jackie Thompson</v>
      </c>
      <c r="D412" t="str">
        <f t="shared" si="19"/>
        <v>Jackie Thompson</v>
      </c>
      <c r="E412" s="7">
        <v>48</v>
      </c>
      <c r="F412" t="s">
        <v>16</v>
      </c>
      <c r="G412" t="s">
        <v>1277</v>
      </c>
      <c r="H412" t="s">
        <v>88</v>
      </c>
      <c r="I412" t="s">
        <v>12</v>
      </c>
      <c r="J412" t="s">
        <v>26</v>
      </c>
      <c r="K412" t="str">
        <f t="shared" si="20"/>
        <v>Bronze</v>
      </c>
      <c r="L412" t="str">
        <f>IF(Customer_Dim[[#This Row],[Age]]&lt;25,"Youth",
   IF(Customer_Dim[[#This Row],[Age]]&lt;=40,"Adult",
   IF(Customer_Dim[[#This Row],[Age]]&lt;=60,"Middle-Aged","Senior")))</f>
        <v>Middle-Aged</v>
      </c>
    </row>
    <row r="413" spans="1:12" x14ac:dyDescent="0.3">
      <c r="A413" t="s">
        <v>1278</v>
      </c>
      <c r="B413" t="s">
        <v>1279</v>
      </c>
      <c r="C413" t="str">
        <f t="shared" si="18"/>
        <v>Katrina Perez</v>
      </c>
      <c r="D413" t="str">
        <f t="shared" si="19"/>
        <v>Katrina Perez</v>
      </c>
      <c r="E413" s="7">
        <v>63</v>
      </c>
      <c r="F413" t="s">
        <v>9</v>
      </c>
      <c r="G413" t="s">
        <v>1280</v>
      </c>
      <c r="H413" t="s">
        <v>25</v>
      </c>
      <c r="I413" t="s">
        <v>12</v>
      </c>
      <c r="J413" t="s">
        <v>31</v>
      </c>
      <c r="K413" t="str">
        <f t="shared" si="20"/>
        <v>Silver</v>
      </c>
      <c r="L413" t="str">
        <f>IF(Customer_Dim[[#This Row],[Age]]&lt;25,"Youth",
   IF(Customer_Dim[[#This Row],[Age]]&lt;=40,"Adult",
   IF(Customer_Dim[[#This Row],[Age]]&lt;=60,"Middle-Aged","Senior")))</f>
        <v>Senior</v>
      </c>
    </row>
    <row r="414" spans="1:12" x14ac:dyDescent="0.3">
      <c r="A414" t="s">
        <v>1281</v>
      </c>
      <c r="B414" t="s">
        <v>1282</v>
      </c>
      <c r="C414" t="str">
        <f t="shared" si="18"/>
        <v>Shane Brown</v>
      </c>
      <c r="D414" t="str">
        <f t="shared" si="19"/>
        <v>Shane Brown</v>
      </c>
      <c r="E414" s="7">
        <v>23</v>
      </c>
      <c r="F414" t="s">
        <v>16</v>
      </c>
      <c r="G414" t="s">
        <v>204</v>
      </c>
      <c r="H414" t="s">
        <v>156</v>
      </c>
      <c r="I414" t="s">
        <v>12</v>
      </c>
      <c r="J414" t="s">
        <v>13</v>
      </c>
      <c r="K414" t="str">
        <f t="shared" si="20"/>
        <v>Gold</v>
      </c>
      <c r="L414" t="str">
        <f>IF(Customer_Dim[[#This Row],[Age]]&lt;25,"Youth",
   IF(Customer_Dim[[#This Row],[Age]]&lt;=40,"Adult",
   IF(Customer_Dim[[#This Row],[Age]]&lt;=60,"Middle-Aged","Senior")))</f>
        <v>Youth</v>
      </c>
    </row>
    <row r="415" spans="1:12" x14ac:dyDescent="0.3">
      <c r="A415" t="s">
        <v>1283</v>
      </c>
      <c r="B415" t="s">
        <v>1284</v>
      </c>
      <c r="C415" t="str">
        <f t="shared" si="18"/>
        <v>Megan Ryan</v>
      </c>
      <c r="D415" t="str">
        <f t="shared" si="19"/>
        <v>Megan Ryan</v>
      </c>
      <c r="E415" s="7">
        <v>59</v>
      </c>
      <c r="F415" t="s">
        <v>16</v>
      </c>
      <c r="G415" t="s">
        <v>1285</v>
      </c>
      <c r="H415" t="s">
        <v>106</v>
      </c>
      <c r="I415" t="s">
        <v>12</v>
      </c>
      <c r="J415" t="s">
        <v>26</v>
      </c>
      <c r="K415" t="str">
        <f t="shared" si="20"/>
        <v>Bronze</v>
      </c>
      <c r="L415" t="str">
        <f>IF(Customer_Dim[[#This Row],[Age]]&lt;25,"Youth",
   IF(Customer_Dim[[#This Row],[Age]]&lt;=40,"Adult",
   IF(Customer_Dim[[#This Row],[Age]]&lt;=60,"Middle-Aged","Senior")))</f>
        <v>Middle-Aged</v>
      </c>
    </row>
    <row r="416" spans="1:12" x14ac:dyDescent="0.3">
      <c r="A416" t="s">
        <v>1286</v>
      </c>
      <c r="B416" t="s">
        <v>1287</v>
      </c>
      <c r="C416" t="str">
        <f t="shared" si="18"/>
        <v>Melissa Valentine</v>
      </c>
      <c r="D416" t="str">
        <f t="shared" si="19"/>
        <v>Melissa Valentine</v>
      </c>
      <c r="E416" s="7">
        <v>35</v>
      </c>
      <c r="F416" t="s">
        <v>16</v>
      </c>
      <c r="G416" t="s">
        <v>1288</v>
      </c>
      <c r="H416" t="s">
        <v>113</v>
      </c>
      <c r="I416" t="s">
        <v>12</v>
      </c>
      <c r="J416" t="s">
        <v>13</v>
      </c>
      <c r="K416" t="str">
        <f t="shared" si="20"/>
        <v>Gold</v>
      </c>
      <c r="L416" t="str">
        <f>IF(Customer_Dim[[#This Row],[Age]]&lt;25,"Youth",
   IF(Customer_Dim[[#This Row],[Age]]&lt;=40,"Adult",
   IF(Customer_Dim[[#This Row],[Age]]&lt;=60,"Middle-Aged","Senior")))</f>
        <v>Adult</v>
      </c>
    </row>
    <row r="417" spans="1:12" x14ac:dyDescent="0.3">
      <c r="A417" t="s">
        <v>1289</v>
      </c>
      <c r="B417" t="s">
        <v>1290</v>
      </c>
      <c r="C417" t="str">
        <f t="shared" si="18"/>
        <v>Tyler Cook</v>
      </c>
      <c r="D417" t="str">
        <f t="shared" si="19"/>
        <v>Tyler Cook</v>
      </c>
      <c r="E417" s="7">
        <v>26</v>
      </c>
      <c r="F417" t="s">
        <v>16</v>
      </c>
      <c r="G417" t="s">
        <v>1291</v>
      </c>
      <c r="H417" t="s">
        <v>163</v>
      </c>
      <c r="I417" t="s">
        <v>12</v>
      </c>
      <c r="J417" t="s">
        <v>31</v>
      </c>
      <c r="K417" t="str">
        <f t="shared" si="20"/>
        <v>Silver</v>
      </c>
      <c r="L417" t="str">
        <f>IF(Customer_Dim[[#This Row],[Age]]&lt;25,"Youth",
   IF(Customer_Dim[[#This Row],[Age]]&lt;=40,"Adult",
   IF(Customer_Dim[[#This Row],[Age]]&lt;=60,"Middle-Aged","Senior")))</f>
        <v>Adult</v>
      </c>
    </row>
    <row r="418" spans="1:12" x14ac:dyDescent="0.3">
      <c r="A418" t="s">
        <v>1292</v>
      </c>
      <c r="B418" t="s">
        <v>1293</v>
      </c>
      <c r="C418" t="str">
        <f t="shared" si="18"/>
        <v>Jennifer Myers</v>
      </c>
      <c r="D418" t="str">
        <f t="shared" si="19"/>
        <v>Jennifer Myers</v>
      </c>
      <c r="E418" s="7">
        <v>46</v>
      </c>
      <c r="F418" t="s">
        <v>9</v>
      </c>
      <c r="G418" t="s">
        <v>1294</v>
      </c>
      <c r="H418" t="s">
        <v>324</v>
      </c>
      <c r="I418" t="s">
        <v>12</v>
      </c>
      <c r="J418" t="s">
        <v>19</v>
      </c>
      <c r="K418" t="str">
        <f t="shared" si="20"/>
        <v>Platinum</v>
      </c>
      <c r="L418" t="str">
        <f>IF(Customer_Dim[[#This Row],[Age]]&lt;25,"Youth",
   IF(Customer_Dim[[#This Row],[Age]]&lt;=40,"Adult",
   IF(Customer_Dim[[#This Row],[Age]]&lt;=60,"Middle-Aged","Senior")))</f>
        <v>Middle-Aged</v>
      </c>
    </row>
    <row r="419" spans="1:12" x14ac:dyDescent="0.3">
      <c r="A419" t="s">
        <v>1295</v>
      </c>
      <c r="B419" t="s">
        <v>1296</v>
      </c>
      <c r="C419" t="str">
        <f t="shared" si="18"/>
        <v>Karen King</v>
      </c>
      <c r="D419" t="str">
        <f t="shared" si="19"/>
        <v>Karen King</v>
      </c>
      <c r="E419" s="7">
        <v>64</v>
      </c>
      <c r="F419" t="s">
        <v>16</v>
      </c>
      <c r="G419" t="s">
        <v>1297</v>
      </c>
      <c r="H419" t="s">
        <v>11</v>
      </c>
      <c r="I419" t="s">
        <v>12</v>
      </c>
      <c r="J419" t="s">
        <v>26</v>
      </c>
      <c r="K419" t="str">
        <f t="shared" si="20"/>
        <v>Bronze</v>
      </c>
      <c r="L419" t="str">
        <f>IF(Customer_Dim[[#This Row],[Age]]&lt;25,"Youth",
   IF(Customer_Dim[[#This Row],[Age]]&lt;=40,"Adult",
   IF(Customer_Dim[[#This Row],[Age]]&lt;=60,"Middle-Aged","Senior")))</f>
        <v>Senior</v>
      </c>
    </row>
    <row r="420" spans="1:12" x14ac:dyDescent="0.3">
      <c r="A420" t="s">
        <v>1298</v>
      </c>
      <c r="B420" t="s">
        <v>1299</v>
      </c>
      <c r="C420" t="str">
        <f t="shared" si="18"/>
        <v>Luke Parks</v>
      </c>
      <c r="D420" t="str">
        <f t="shared" si="19"/>
        <v>Luke Parks</v>
      </c>
      <c r="E420" s="7">
        <v>60</v>
      </c>
      <c r="F420" t="s">
        <v>16</v>
      </c>
      <c r="G420" t="s">
        <v>1300</v>
      </c>
      <c r="H420" t="s">
        <v>47</v>
      </c>
      <c r="I420" t="s">
        <v>12</v>
      </c>
      <c r="J420" t="s">
        <v>31</v>
      </c>
      <c r="K420" t="str">
        <f t="shared" si="20"/>
        <v>Silver</v>
      </c>
      <c r="L420" t="str">
        <f>IF(Customer_Dim[[#This Row],[Age]]&lt;25,"Youth",
   IF(Customer_Dim[[#This Row],[Age]]&lt;=40,"Adult",
   IF(Customer_Dim[[#This Row],[Age]]&lt;=60,"Middle-Aged","Senior")))</f>
        <v>Middle-Aged</v>
      </c>
    </row>
    <row r="421" spans="1:12" x14ac:dyDescent="0.3">
      <c r="A421" t="s">
        <v>1301</v>
      </c>
      <c r="B421" t="s">
        <v>1302</v>
      </c>
      <c r="C421" t="str">
        <f t="shared" si="18"/>
        <v>Monica Miller</v>
      </c>
      <c r="D421" t="str">
        <f t="shared" si="19"/>
        <v>Monica Miller</v>
      </c>
      <c r="E421" s="7">
        <v>33</v>
      </c>
      <c r="F421" t="s">
        <v>9</v>
      </c>
      <c r="G421" t="s">
        <v>1303</v>
      </c>
      <c r="H421" t="s">
        <v>313</v>
      </c>
      <c r="I421" t="s">
        <v>12</v>
      </c>
      <c r="J421" t="s">
        <v>13</v>
      </c>
      <c r="K421" t="str">
        <f t="shared" si="20"/>
        <v>Gold</v>
      </c>
      <c r="L421" t="str">
        <f>IF(Customer_Dim[[#This Row],[Age]]&lt;25,"Youth",
   IF(Customer_Dim[[#This Row],[Age]]&lt;=40,"Adult",
   IF(Customer_Dim[[#This Row],[Age]]&lt;=60,"Middle-Aged","Senior")))</f>
        <v>Adult</v>
      </c>
    </row>
    <row r="422" spans="1:12" x14ac:dyDescent="0.3">
      <c r="A422" t="s">
        <v>1304</v>
      </c>
      <c r="B422" t="s">
        <v>1305</v>
      </c>
      <c r="C422" t="str">
        <f t="shared" si="18"/>
        <v>Dr. Tamara White Md</v>
      </c>
      <c r="D422" t="str">
        <f t="shared" si="19"/>
        <v>Dr. Tamara White Md</v>
      </c>
      <c r="E422" s="7">
        <v>60</v>
      </c>
      <c r="F422" t="s">
        <v>9</v>
      </c>
      <c r="G422" t="s">
        <v>1306</v>
      </c>
      <c r="H422" t="s">
        <v>11</v>
      </c>
      <c r="I422" t="s">
        <v>12</v>
      </c>
      <c r="J422" t="s">
        <v>26</v>
      </c>
      <c r="K422" t="str">
        <f t="shared" si="20"/>
        <v>Bronze</v>
      </c>
      <c r="L422" t="str">
        <f>IF(Customer_Dim[[#This Row],[Age]]&lt;25,"Youth",
   IF(Customer_Dim[[#This Row],[Age]]&lt;=40,"Adult",
   IF(Customer_Dim[[#This Row],[Age]]&lt;=60,"Middle-Aged","Senior")))</f>
        <v>Middle-Aged</v>
      </c>
    </row>
    <row r="423" spans="1:12" x14ac:dyDescent="0.3">
      <c r="A423" t="s">
        <v>1307</v>
      </c>
      <c r="B423" t="s">
        <v>1308</v>
      </c>
      <c r="C423" t="str">
        <f t="shared" si="18"/>
        <v>Holly Robinson</v>
      </c>
      <c r="D423" t="str">
        <f t="shared" si="19"/>
        <v>Holly Robinson</v>
      </c>
      <c r="E423" s="7">
        <v>45</v>
      </c>
      <c r="F423" t="s">
        <v>16</v>
      </c>
      <c r="G423" t="s">
        <v>1309</v>
      </c>
      <c r="H423" t="s">
        <v>74</v>
      </c>
      <c r="I423" t="s">
        <v>12</v>
      </c>
      <c r="J423" t="s">
        <v>19</v>
      </c>
      <c r="K423" t="str">
        <f t="shared" si="20"/>
        <v>Platinum</v>
      </c>
      <c r="L423" t="str">
        <f>IF(Customer_Dim[[#This Row],[Age]]&lt;25,"Youth",
   IF(Customer_Dim[[#This Row],[Age]]&lt;=40,"Adult",
   IF(Customer_Dim[[#This Row],[Age]]&lt;=60,"Middle-Aged","Senior")))</f>
        <v>Middle-Aged</v>
      </c>
    </row>
    <row r="424" spans="1:12" x14ac:dyDescent="0.3">
      <c r="A424" t="s">
        <v>1310</v>
      </c>
      <c r="B424" t="s">
        <v>1311</v>
      </c>
      <c r="C424" t="str">
        <f t="shared" si="18"/>
        <v>Brittany Edwards Dds</v>
      </c>
      <c r="D424" t="str">
        <f t="shared" si="19"/>
        <v>Brittany Edwards Dds</v>
      </c>
      <c r="E424" s="7">
        <v>42</v>
      </c>
      <c r="F424" t="s">
        <v>16</v>
      </c>
      <c r="G424" t="s">
        <v>1312</v>
      </c>
      <c r="H424" t="s">
        <v>62</v>
      </c>
      <c r="I424" t="s">
        <v>12</v>
      </c>
      <c r="J424" t="s">
        <v>19</v>
      </c>
      <c r="K424" t="str">
        <f t="shared" si="20"/>
        <v>Platinum</v>
      </c>
      <c r="L424" t="str">
        <f>IF(Customer_Dim[[#This Row],[Age]]&lt;25,"Youth",
   IF(Customer_Dim[[#This Row],[Age]]&lt;=40,"Adult",
   IF(Customer_Dim[[#This Row],[Age]]&lt;=60,"Middle-Aged","Senior")))</f>
        <v>Middle-Aged</v>
      </c>
    </row>
    <row r="425" spans="1:12" x14ac:dyDescent="0.3">
      <c r="A425" t="s">
        <v>1313</v>
      </c>
      <c r="B425" t="s">
        <v>1314</v>
      </c>
      <c r="C425" t="str">
        <f t="shared" si="18"/>
        <v>Rebecca Baker</v>
      </c>
      <c r="D425" t="str">
        <f t="shared" si="19"/>
        <v>Rebecca Baker</v>
      </c>
      <c r="E425" s="7">
        <v>35</v>
      </c>
      <c r="F425" t="s">
        <v>9</v>
      </c>
      <c r="G425" t="s">
        <v>1315</v>
      </c>
      <c r="H425" t="s">
        <v>62</v>
      </c>
      <c r="I425" t="s">
        <v>12</v>
      </c>
      <c r="J425" t="s">
        <v>31</v>
      </c>
      <c r="K425" t="str">
        <f t="shared" si="20"/>
        <v>Silver</v>
      </c>
      <c r="L425" t="str">
        <f>IF(Customer_Dim[[#This Row],[Age]]&lt;25,"Youth",
   IF(Customer_Dim[[#This Row],[Age]]&lt;=40,"Adult",
   IF(Customer_Dim[[#This Row],[Age]]&lt;=60,"Middle-Aged","Senior")))</f>
        <v>Adult</v>
      </c>
    </row>
    <row r="426" spans="1:12" x14ac:dyDescent="0.3">
      <c r="A426" t="s">
        <v>1316</v>
      </c>
      <c r="B426" t="s">
        <v>1317</v>
      </c>
      <c r="C426" t="str">
        <f t="shared" si="18"/>
        <v>Edwin Barnes</v>
      </c>
      <c r="D426" t="str">
        <f t="shared" si="19"/>
        <v>Edwin Barnes</v>
      </c>
      <c r="E426" s="7">
        <v>53</v>
      </c>
      <c r="F426" t="s">
        <v>9</v>
      </c>
      <c r="G426" t="s">
        <v>1318</v>
      </c>
      <c r="H426" t="s">
        <v>11</v>
      </c>
      <c r="I426" t="s">
        <v>12</v>
      </c>
      <c r="J426" t="s">
        <v>26</v>
      </c>
      <c r="K426" t="str">
        <f t="shared" si="20"/>
        <v>Bronze</v>
      </c>
      <c r="L426" t="str">
        <f>IF(Customer_Dim[[#This Row],[Age]]&lt;25,"Youth",
   IF(Customer_Dim[[#This Row],[Age]]&lt;=40,"Adult",
   IF(Customer_Dim[[#This Row],[Age]]&lt;=60,"Middle-Aged","Senior")))</f>
        <v>Middle-Aged</v>
      </c>
    </row>
    <row r="427" spans="1:12" x14ac:dyDescent="0.3">
      <c r="A427" t="s">
        <v>1319</v>
      </c>
      <c r="B427" t="s">
        <v>1320</v>
      </c>
      <c r="C427" t="str">
        <f t="shared" si="18"/>
        <v>Bryce Hawkins</v>
      </c>
      <c r="D427" t="str">
        <f t="shared" si="19"/>
        <v>Bryce Hawkins</v>
      </c>
      <c r="E427" s="7">
        <v>40</v>
      </c>
      <c r="F427" t="s">
        <v>9</v>
      </c>
      <c r="G427" t="s">
        <v>1321</v>
      </c>
      <c r="H427" t="s">
        <v>117</v>
      </c>
      <c r="I427" t="s">
        <v>12</v>
      </c>
      <c r="J427" t="s">
        <v>26</v>
      </c>
      <c r="K427" t="str">
        <f t="shared" si="20"/>
        <v>Bronze</v>
      </c>
      <c r="L427" t="str">
        <f>IF(Customer_Dim[[#This Row],[Age]]&lt;25,"Youth",
   IF(Customer_Dim[[#This Row],[Age]]&lt;=40,"Adult",
   IF(Customer_Dim[[#This Row],[Age]]&lt;=60,"Middle-Aged","Senior")))</f>
        <v>Adult</v>
      </c>
    </row>
    <row r="428" spans="1:12" x14ac:dyDescent="0.3">
      <c r="A428" t="s">
        <v>1322</v>
      </c>
      <c r="B428" t="s">
        <v>1323</v>
      </c>
      <c r="C428" t="str">
        <f t="shared" si="18"/>
        <v>Jeanette Nichols</v>
      </c>
      <c r="D428" t="str">
        <f t="shared" si="19"/>
        <v>Jeanette Nichols</v>
      </c>
      <c r="E428" s="7">
        <v>28</v>
      </c>
      <c r="F428" t="s">
        <v>9</v>
      </c>
      <c r="G428" t="s">
        <v>1324</v>
      </c>
      <c r="H428" t="s">
        <v>11</v>
      </c>
      <c r="I428" t="s">
        <v>12</v>
      </c>
      <c r="J428" t="s">
        <v>19</v>
      </c>
      <c r="K428" t="str">
        <f t="shared" si="20"/>
        <v>Platinum</v>
      </c>
      <c r="L428" t="str">
        <f>IF(Customer_Dim[[#This Row],[Age]]&lt;25,"Youth",
   IF(Customer_Dim[[#This Row],[Age]]&lt;=40,"Adult",
   IF(Customer_Dim[[#This Row],[Age]]&lt;=60,"Middle-Aged","Senior")))</f>
        <v>Adult</v>
      </c>
    </row>
    <row r="429" spans="1:12" x14ac:dyDescent="0.3">
      <c r="A429" t="s">
        <v>1325</v>
      </c>
      <c r="B429" t="s">
        <v>1326</v>
      </c>
      <c r="C429" t="str">
        <f t="shared" si="18"/>
        <v>Jose Stewart</v>
      </c>
      <c r="D429" t="str">
        <f t="shared" si="19"/>
        <v>Jose Stewart</v>
      </c>
      <c r="E429" s="7">
        <v>18</v>
      </c>
      <c r="F429" t="s">
        <v>16</v>
      </c>
      <c r="G429" t="s">
        <v>1327</v>
      </c>
      <c r="H429" t="s">
        <v>434</v>
      </c>
      <c r="I429" t="s">
        <v>12</v>
      </c>
      <c r="J429" t="s">
        <v>13</v>
      </c>
      <c r="K429" t="str">
        <f t="shared" si="20"/>
        <v>Gold</v>
      </c>
      <c r="L429" t="str">
        <f>IF(Customer_Dim[[#This Row],[Age]]&lt;25,"Youth",
   IF(Customer_Dim[[#This Row],[Age]]&lt;=40,"Adult",
   IF(Customer_Dim[[#This Row],[Age]]&lt;=60,"Middle-Aged","Senior")))</f>
        <v>Youth</v>
      </c>
    </row>
    <row r="430" spans="1:12" x14ac:dyDescent="0.3">
      <c r="A430" t="s">
        <v>1328</v>
      </c>
      <c r="B430" t="s">
        <v>1329</v>
      </c>
      <c r="C430" t="str">
        <f t="shared" si="18"/>
        <v>Samuel Mullins</v>
      </c>
      <c r="D430" t="str">
        <f t="shared" si="19"/>
        <v>Samuel Mullins</v>
      </c>
      <c r="E430" s="7">
        <v>27</v>
      </c>
      <c r="F430" t="s">
        <v>16</v>
      </c>
      <c r="G430" t="s">
        <v>1330</v>
      </c>
      <c r="H430" t="s">
        <v>328</v>
      </c>
      <c r="I430" t="s">
        <v>12</v>
      </c>
      <c r="J430" t="s">
        <v>26</v>
      </c>
      <c r="K430" t="str">
        <f t="shared" si="20"/>
        <v>Bronze</v>
      </c>
      <c r="L430" t="str">
        <f>IF(Customer_Dim[[#This Row],[Age]]&lt;25,"Youth",
   IF(Customer_Dim[[#This Row],[Age]]&lt;=40,"Adult",
   IF(Customer_Dim[[#This Row],[Age]]&lt;=60,"Middle-Aged","Senior")))</f>
        <v>Adult</v>
      </c>
    </row>
    <row r="431" spans="1:12" x14ac:dyDescent="0.3">
      <c r="A431" t="s">
        <v>1331</v>
      </c>
      <c r="B431" t="s">
        <v>1332</v>
      </c>
      <c r="C431" t="str">
        <f t="shared" si="18"/>
        <v>Sean Vang</v>
      </c>
      <c r="D431" t="str">
        <f t="shared" si="19"/>
        <v>Sean Vang</v>
      </c>
      <c r="E431" s="7">
        <v>43</v>
      </c>
      <c r="F431" t="s">
        <v>9</v>
      </c>
      <c r="G431" t="s">
        <v>1333</v>
      </c>
      <c r="H431" t="s">
        <v>106</v>
      </c>
      <c r="I431" t="s">
        <v>12</v>
      </c>
      <c r="J431" t="s">
        <v>19</v>
      </c>
      <c r="K431" t="str">
        <f t="shared" si="20"/>
        <v>Platinum</v>
      </c>
      <c r="L431" t="str">
        <f>IF(Customer_Dim[[#This Row],[Age]]&lt;25,"Youth",
   IF(Customer_Dim[[#This Row],[Age]]&lt;=40,"Adult",
   IF(Customer_Dim[[#This Row],[Age]]&lt;=60,"Middle-Aged","Senior")))</f>
        <v>Middle-Aged</v>
      </c>
    </row>
    <row r="432" spans="1:12" x14ac:dyDescent="0.3">
      <c r="A432" t="s">
        <v>1334</v>
      </c>
      <c r="B432" t="s">
        <v>1335</v>
      </c>
      <c r="C432" t="str">
        <f t="shared" si="18"/>
        <v>Kimberly Roberts</v>
      </c>
      <c r="D432" t="str">
        <f t="shared" si="19"/>
        <v>Kimberly Roberts</v>
      </c>
      <c r="E432" s="7">
        <v>36</v>
      </c>
      <c r="F432" t="s">
        <v>16</v>
      </c>
      <c r="G432" t="s">
        <v>1336</v>
      </c>
      <c r="H432" t="s">
        <v>88</v>
      </c>
      <c r="I432" t="s">
        <v>12</v>
      </c>
      <c r="J432" t="s">
        <v>13</v>
      </c>
      <c r="K432" t="str">
        <f t="shared" si="20"/>
        <v>Gold</v>
      </c>
      <c r="L432" t="str">
        <f>IF(Customer_Dim[[#This Row],[Age]]&lt;25,"Youth",
   IF(Customer_Dim[[#This Row],[Age]]&lt;=40,"Adult",
   IF(Customer_Dim[[#This Row],[Age]]&lt;=60,"Middle-Aged","Senior")))</f>
        <v>Adult</v>
      </c>
    </row>
    <row r="433" spans="1:12" x14ac:dyDescent="0.3">
      <c r="A433" t="s">
        <v>1337</v>
      </c>
      <c r="B433" t="s">
        <v>1338</v>
      </c>
      <c r="C433" t="str">
        <f t="shared" si="18"/>
        <v>John Smith</v>
      </c>
      <c r="D433" t="str">
        <f t="shared" si="19"/>
        <v>John Smith</v>
      </c>
      <c r="E433" s="7">
        <v>27</v>
      </c>
      <c r="F433" t="s">
        <v>9</v>
      </c>
      <c r="G433" t="s">
        <v>1339</v>
      </c>
      <c r="H433" t="s">
        <v>30</v>
      </c>
      <c r="I433" t="s">
        <v>12</v>
      </c>
      <c r="J433" t="s">
        <v>19</v>
      </c>
      <c r="K433" t="str">
        <f t="shared" si="20"/>
        <v>Platinum</v>
      </c>
      <c r="L433" t="str">
        <f>IF(Customer_Dim[[#This Row],[Age]]&lt;25,"Youth",
   IF(Customer_Dim[[#This Row],[Age]]&lt;=40,"Adult",
   IF(Customer_Dim[[#This Row],[Age]]&lt;=60,"Middle-Aged","Senior")))</f>
        <v>Adult</v>
      </c>
    </row>
    <row r="434" spans="1:12" x14ac:dyDescent="0.3">
      <c r="A434" t="s">
        <v>1340</v>
      </c>
      <c r="B434" t="s">
        <v>1341</v>
      </c>
      <c r="C434" t="str">
        <f t="shared" si="18"/>
        <v>Summer Weiss</v>
      </c>
      <c r="D434" t="str">
        <f t="shared" si="19"/>
        <v>Summer Weiss</v>
      </c>
      <c r="E434" s="7">
        <v>37</v>
      </c>
      <c r="F434" t="s">
        <v>9</v>
      </c>
      <c r="G434" t="s">
        <v>1342</v>
      </c>
      <c r="H434" t="s">
        <v>88</v>
      </c>
      <c r="I434" t="s">
        <v>12</v>
      </c>
      <c r="J434" t="s">
        <v>26</v>
      </c>
      <c r="K434" t="str">
        <f t="shared" si="20"/>
        <v>Bronze</v>
      </c>
      <c r="L434" t="str">
        <f>IF(Customer_Dim[[#This Row],[Age]]&lt;25,"Youth",
   IF(Customer_Dim[[#This Row],[Age]]&lt;=40,"Adult",
   IF(Customer_Dim[[#This Row],[Age]]&lt;=60,"Middle-Aged","Senior")))</f>
        <v>Adult</v>
      </c>
    </row>
    <row r="435" spans="1:12" x14ac:dyDescent="0.3">
      <c r="A435" t="s">
        <v>1343</v>
      </c>
      <c r="B435" t="s">
        <v>1344</v>
      </c>
      <c r="C435" t="str">
        <f t="shared" si="18"/>
        <v>Thomas Moore</v>
      </c>
      <c r="D435" t="str">
        <f t="shared" si="19"/>
        <v>Thomas Moore</v>
      </c>
      <c r="E435" s="7">
        <v>51</v>
      </c>
      <c r="F435" t="s">
        <v>16</v>
      </c>
      <c r="G435" t="s">
        <v>1345</v>
      </c>
      <c r="H435" t="s">
        <v>58</v>
      </c>
      <c r="I435" t="s">
        <v>12</v>
      </c>
      <c r="J435" t="s">
        <v>31</v>
      </c>
      <c r="K435" t="str">
        <f t="shared" si="20"/>
        <v>Silver</v>
      </c>
      <c r="L435" t="str">
        <f>IF(Customer_Dim[[#This Row],[Age]]&lt;25,"Youth",
   IF(Customer_Dim[[#This Row],[Age]]&lt;=40,"Adult",
   IF(Customer_Dim[[#This Row],[Age]]&lt;=60,"Middle-Aged","Senior")))</f>
        <v>Middle-Aged</v>
      </c>
    </row>
    <row r="436" spans="1:12" x14ac:dyDescent="0.3">
      <c r="A436" t="s">
        <v>1346</v>
      </c>
      <c r="B436" t="s">
        <v>1347</v>
      </c>
      <c r="C436" t="str">
        <f t="shared" si="18"/>
        <v>Monique Castro</v>
      </c>
      <c r="D436" t="str">
        <f t="shared" si="19"/>
        <v>Monique Castro</v>
      </c>
      <c r="E436" s="7">
        <v>48</v>
      </c>
      <c r="F436" t="s">
        <v>16</v>
      </c>
      <c r="G436" t="s">
        <v>1348</v>
      </c>
      <c r="H436" t="s">
        <v>254</v>
      </c>
      <c r="I436" t="s">
        <v>12</v>
      </c>
      <c r="J436" t="s">
        <v>13</v>
      </c>
      <c r="K436" t="str">
        <f t="shared" si="20"/>
        <v>Gold</v>
      </c>
      <c r="L436" t="str">
        <f>IF(Customer_Dim[[#This Row],[Age]]&lt;25,"Youth",
   IF(Customer_Dim[[#This Row],[Age]]&lt;=40,"Adult",
   IF(Customer_Dim[[#This Row],[Age]]&lt;=60,"Middle-Aged","Senior")))</f>
        <v>Middle-Aged</v>
      </c>
    </row>
    <row r="437" spans="1:12" x14ac:dyDescent="0.3">
      <c r="A437" t="s">
        <v>1349</v>
      </c>
      <c r="B437" t="s">
        <v>1350</v>
      </c>
      <c r="C437" t="str">
        <f t="shared" si="18"/>
        <v>Lindsay Beasley</v>
      </c>
      <c r="D437" t="str">
        <f t="shared" si="19"/>
        <v>Lindsay Beasley</v>
      </c>
      <c r="E437" s="7">
        <v>37</v>
      </c>
      <c r="F437" t="s">
        <v>16</v>
      </c>
      <c r="G437" t="s">
        <v>1351</v>
      </c>
      <c r="H437" t="s">
        <v>106</v>
      </c>
      <c r="I437" t="s">
        <v>12</v>
      </c>
      <c r="J437" t="s">
        <v>31</v>
      </c>
      <c r="K437" t="str">
        <f t="shared" si="20"/>
        <v>Silver</v>
      </c>
      <c r="L437" t="str">
        <f>IF(Customer_Dim[[#This Row],[Age]]&lt;25,"Youth",
   IF(Customer_Dim[[#This Row],[Age]]&lt;=40,"Adult",
   IF(Customer_Dim[[#This Row],[Age]]&lt;=60,"Middle-Aged","Senior")))</f>
        <v>Adult</v>
      </c>
    </row>
    <row r="438" spans="1:12" x14ac:dyDescent="0.3">
      <c r="A438" t="s">
        <v>1352</v>
      </c>
      <c r="B438" t="s">
        <v>1353</v>
      </c>
      <c r="C438" t="str">
        <f t="shared" si="18"/>
        <v>Sharon Simpson</v>
      </c>
      <c r="D438" t="str">
        <f t="shared" si="19"/>
        <v>Sharon Simpson</v>
      </c>
      <c r="E438" s="7">
        <v>61</v>
      </c>
      <c r="F438" t="s">
        <v>9</v>
      </c>
      <c r="G438" t="s">
        <v>1354</v>
      </c>
      <c r="H438" t="s">
        <v>39</v>
      </c>
      <c r="I438" t="s">
        <v>12</v>
      </c>
      <c r="J438" t="s">
        <v>13</v>
      </c>
      <c r="K438" t="str">
        <f t="shared" si="20"/>
        <v>Gold</v>
      </c>
      <c r="L438" t="str">
        <f>IF(Customer_Dim[[#This Row],[Age]]&lt;25,"Youth",
   IF(Customer_Dim[[#This Row],[Age]]&lt;=40,"Adult",
   IF(Customer_Dim[[#This Row],[Age]]&lt;=60,"Middle-Aged","Senior")))</f>
        <v>Senior</v>
      </c>
    </row>
    <row r="439" spans="1:12" x14ac:dyDescent="0.3">
      <c r="A439" t="s">
        <v>1355</v>
      </c>
      <c r="B439" t="s">
        <v>1356</v>
      </c>
      <c r="C439" t="str">
        <f t="shared" si="18"/>
        <v>Melinda Rivera</v>
      </c>
      <c r="D439" t="str">
        <f t="shared" si="19"/>
        <v>Melinda Rivera</v>
      </c>
      <c r="E439" s="7">
        <v>47</v>
      </c>
      <c r="F439" t="s">
        <v>16</v>
      </c>
      <c r="G439" t="s">
        <v>597</v>
      </c>
      <c r="H439" t="s">
        <v>47</v>
      </c>
      <c r="I439" t="s">
        <v>12</v>
      </c>
      <c r="J439" t="s">
        <v>19</v>
      </c>
      <c r="K439" t="str">
        <f t="shared" si="20"/>
        <v>Platinum</v>
      </c>
      <c r="L439" t="str">
        <f>IF(Customer_Dim[[#This Row],[Age]]&lt;25,"Youth",
   IF(Customer_Dim[[#This Row],[Age]]&lt;=40,"Adult",
   IF(Customer_Dim[[#This Row],[Age]]&lt;=60,"Middle-Aged","Senior")))</f>
        <v>Middle-Aged</v>
      </c>
    </row>
    <row r="440" spans="1:12" x14ac:dyDescent="0.3">
      <c r="A440" t="s">
        <v>1357</v>
      </c>
      <c r="B440" t="s">
        <v>1358</v>
      </c>
      <c r="C440" t="str">
        <f t="shared" si="18"/>
        <v>Monica Flynn</v>
      </c>
      <c r="D440" t="str">
        <f t="shared" si="19"/>
        <v>Monica Flynn</v>
      </c>
      <c r="E440" s="7">
        <v>59</v>
      </c>
      <c r="F440" t="s">
        <v>16</v>
      </c>
      <c r="G440" t="s">
        <v>1359</v>
      </c>
      <c r="H440" t="s">
        <v>237</v>
      </c>
      <c r="I440" t="s">
        <v>12</v>
      </c>
      <c r="J440" t="s">
        <v>19</v>
      </c>
      <c r="K440" t="str">
        <f t="shared" si="20"/>
        <v>Platinum</v>
      </c>
      <c r="L440" t="str">
        <f>IF(Customer_Dim[[#This Row],[Age]]&lt;25,"Youth",
   IF(Customer_Dim[[#This Row],[Age]]&lt;=40,"Adult",
   IF(Customer_Dim[[#This Row],[Age]]&lt;=60,"Middle-Aged","Senior")))</f>
        <v>Middle-Aged</v>
      </c>
    </row>
    <row r="441" spans="1:12" x14ac:dyDescent="0.3">
      <c r="A441" t="s">
        <v>1360</v>
      </c>
      <c r="B441" t="s">
        <v>1361</v>
      </c>
      <c r="C441" t="str">
        <f t="shared" si="18"/>
        <v>John Compton</v>
      </c>
      <c r="D441" t="str">
        <f t="shared" si="19"/>
        <v>John Compton</v>
      </c>
      <c r="E441" s="7">
        <v>53</v>
      </c>
      <c r="F441" t="s">
        <v>9</v>
      </c>
      <c r="G441" t="s">
        <v>931</v>
      </c>
      <c r="H441" t="s">
        <v>156</v>
      </c>
      <c r="I441" t="s">
        <v>12</v>
      </c>
      <c r="J441" t="s">
        <v>31</v>
      </c>
      <c r="K441" t="str">
        <f t="shared" si="20"/>
        <v>Silver</v>
      </c>
      <c r="L441" t="str">
        <f>IF(Customer_Dim[[#This Row],[Age]]&lt;25,"Youth",
   IF(Customer_Dim[[#This Row],[Age]]&lt;=40,"Adult",
   IF(Customer_Dim[[#This Row],[Age]]&lt;=60,"Middle-Aged","Senior")))</f>
        <v>Middle-Aged</v>
      </c>
    </row>
    <row r="442" spans="1:12" x14ac:dyDescent="0.3">
      <c r="A442" t="s">
        <v>1362</v>
      </c>
      <c r="B442" t="s">
        <v>1363</v>
      </c>
      <c r="C442" t="str">
        <f t="shared" si="18"/>
        <v>Tammy Trevino</v>
      </c>
      <c r="D442" t="str">
        <f t="shared" si="19"/>
        <v>Tammy Trevino</v>
      </c>
      <c r="E442" s="7">
        <v>60</v>
      </c>
      <c r="F442" t="s">
        <v>9</v>
      </c>
      <c r="G442" t="s">
        <v>1364</v>
      </c>
      <c r="H442" t="s">
        <v>18</v>
      </c>
      <c r="I442" t="s">
        <v>12</v>
      </c>
      <c r="J442" t="s">
        <v>31</v>
      </c>
      <c r="K442" t="str">
        <f t="shared" si="20"/>
        <v>Silver</v>
      </c>
      <c r="L442" t="str">
        <f>IF(Customer_Dim[[#This Row],[Age]]&lt;25,"Youth",
   IF(Customer_Dim[[#This Row],[Age]]&lt;=40,"Adult",
   IF(Customer_Dim[[#This Row],[Age]]&lt;=60,"Middle-Aged","Senior")))</f>
        <v>Middle-Aged</v>
      </c>
    </row>
    <row r="443" spans="1:12" x14ac:dyDescent="0.3">
      <c r="A443" t="s">
        <v>1365</v>
      </c>
      <c r="B443" t="s">
        <v>1366</v>
      </c>
      <c r="C443" t="str">
        <f t="shared" si="18"/>
        <v>Dalton Walters</v>
      </c>
      <c r="D443" t="str">
        <f t="shared" si="19"/>
        <v>Dalton Walters</v>
      </c>
      <c r="E443" s="7">
        <v>31</v>
      </c>
      <c r="F443" t="s">
        <v>9</v>
      </c>
      <c r="G443" t="s">
        <v>1367</v>
      </c>
      <c r="H443" t="s">
        <v>324</v>
      </c>
      <c r="I443" t="s">
        <v>12</v>
      </c>
      <c r="J443" t="s">
        <v>31</v>
      </c>
      <c r="K443" t="str">
        <f t="shared" si="20"/>
        <v>Silver</v>
      </c>
      <c r="L443" t="str">
        <f>IF(Customer_Dim[[#This Row],[Age]]&lt;25,"Youth",
   IF(Customer_Dim[[#This Row],[Age]]&lt;=40,"Adult",
   IF(Customer_Dim[[#This Row],[Age]]&lt;=60,"Middle-Aged","Senior")))</f>
        <v>Adult</v>
      </c>
    </row>
    <row r="444" spans="1:12" x14ac:dyDescent="0.3">
      <c r="A444" t="s">
        <v>1368</v>
      </c>
      <c r="B444" t="s">
        <v>1369</v>
      </c>
      <c r="C444" t="str">
        <f t="shared" si="18"/>
        <v>Kelli Smith</v>
      </c>
      <c r="D444" t="str">
        <f t="shared" si="19"/>
        <v>Kelli Smith</v>
      </c>
      <c r="E444" s="7">
        <v>42</v>
      </c>
      <c r="F444" t="s">
        <v>16</v>
      </c>
      <c r="G444" t="s">
        <v>1370</v>
      </c>
      <c r="H444" t="s">
        <v>35</v>
      </c>
      <c r="I444" t="s">
        <v>12</v>
      </c>
      <c r="J444" t="s">
        <v>26</v>
      </c>
      <c r="K444" t="str">
        <f t="shared" si="20"/>
        <v>Bronze</v>
      </c>
      <c r="L444" t="str">
        <f>IF(Customer_Dim[[#This Row],[Age]]&lt;25,"Youth",
   IF(Customer_Dim[[#This Row],[Age]]&lt;=40,"Adult",
   IF(Customer_Dim[[#This Row],[Age]]&lt;=60,"Middle-Aged","Senior")))</f>
        <v>Middle-Aged</v>
      </c>
    </row>
    <row r="445" spans="1:12" x14ac:dyDescent="0.3">
      <c r="A445" t="s">
        <v>1371</v>
      </c>
      <c r="B445" t="s">
        <v>1372</v>
      </c>
      <c r="C445" t="str">
        <f t="shared" si="18"/>
        <v>Adam Castro</v>
      </c>
      <c r="D445" t="str">
        <f t="shared" si="19"/>
        <v>Adam Castro</v>
      </c>
      <c r="E445" s="7">
        <v>51</v>
      </c>
      <c r="F445" t="s">
        <v>9</v>
      </c>
      <c r="G445" t="s">
        <v>1373</v>
      </c>
      <c r="H445" t="s">
        <v>359</v>
      </c>
      <c r="I445" t="s">
        <v>12</v>
      </c>
      <c r="J445" t="s">
        <v>31</v>
      </c>
      <c r="K445" t="str">
        <f t="shared" si="20"/>
        <v>Silver</v>
      </c>
      <c r="L445" t="str">
        <f>IF(Customer_Dim[[#This Row],[Age]]&lt;25,"Youth",
   IF(Customer_Dim[[#This Row],[Age]]&lt;=40,"Adult",
   IF(Customer_Dim[[#This Row],[Age]]&lt;=60,"Middle-Aged","Senior")))</f>
        <v>Middle-Aged</v>
      </c>
    </row>
    <row r="446" spans="1:12" x14ac:dyDescent="0.3">
      <c r="A446" t="s">
        <v>1374</v>
      </c>
      <c r="B446" t="s">
        <v>1375</v>
      </c>
      <c r="C446" t="str">
        <f t="shared" si="18"/>
        <v>Cheryl Carr</v>
      </c>
      <c r="D446" t="str">
        <f t="shared" si="19"/>
        <v>Cheryl Carr</v>
      </c>
      <c r="E446" s="7">
        <v>19</v>
      </c>
      <c r="F446" t="s">
        <v>9</v>
      </c>
      <c r="G446" t="s">
        <v>1376</v>
      </c>
      <c r="H446" t="s">
        <v>845</v>
      </c>
      <c r="I446" t="s">
        <v>12</v>
      </c>
      <c r="J446" t="s">
        <v>13</v>
      </c>
      <c r="K446" t="str">
        <f t="shared" si="20"/>
        <v>Gold</v>
      </c>
      <c r="L446" t="str">
        <f>IF(Customer_Dim[[#This Row],[Age]]&lt;25,"Youth",
   IF(Customer_Dim[[#This Row],[Age]]&lt;=40,"Adult",
   IF(Customer_Dim[[#This Row],[Age]]&lt;=60,"Middle-Aged","Senior")))</f>
        <v>Youth</v>
      </c>
    </row>
    <row r="447" spans="1:12" x14ac:dyDescent="0.3">
      <c r="A447" t="s">
        <v>1377</v>
      </c>
      <c r="B447" t="s">
        <v>1378</v>
      </c>
      <c r="C447" t="str">
        <f t="shared" si="18"/>
        <v>Gene Lee</v>
      </c>
      <c r="D447" t="str">
        <f t="shared" si="19"/>
        <v>Gene Lee</v>
      </c>
      <c r="E447" s="7">
        <v>41</v>
      </c>
      <c r="F447" t="s">
        <v>16</v>
      </c>
      <c r="G447" t="s">
        <v>1379</v>
      </c>
      <c r="H447" t="s">
        <v>287</v>
      </c>
      <c r="I447" t="s">
        <v>12</v>
      </c>
      <c r="J447" t="s">
        <v>19</v>
      </c>
      <c r="K447" t="str">
        <f t="shared" si="20"/>
        <v>Platinum</v>
      </c>
      <c r="L447" t="str">
        <f>IF(Customer_Dim[[#This Row],[Age]]&lt;25,"Youth",
   IF(Customer_Dim[[#This Row],[Age]]&lt;=40,"Adult",
   IF(Customer_Dim[[#This Row],[Age]]&lt;=60,"Middle-Aged","Senior")))</f>
        <v>Middle-Aged</v>
      </c>
    </row>
    <row r="448" spans="1:12" x14ac:dyDescent="0.3">
      <c r="A448" t="s">
        <v>1380</v>
      </c>
      <c r="B448" t="s">
        <v>1381</v>
      </c>
      <c r="C448" t="str">
        <f t="shared" si="18"/>
        <v>Shannon Turner</v>
      </c>
      <c r="D448" t="str">
        <f t="shared" si="19"/>
        <v>Shannon Turner</v>
      </c>
      <c r="E448" s="7">
        <v>35</v>
      </c>
      <c r="F448" t="s">
        <v>9</v>
      </c>
      <c r="G448" t="s">
        <v>1382</v>
      </c>
      <c r="H448" t="s">
        <v>96</v>
      </c>
      <c r="I448" t="s">
        <v>12</v>
      </c>
      <c r="J448" t="s">
        <v>31</v>
      </c>
      <c r="K448" t="str">
        <f t="shared" si="20"/>
        <v>Silver</v>
      </c>
      <c r="L448" t="str">
        <f>IF(Customer_Dim[[#This Row],[Age]]&lt;25,"Youth",
   IF(Customer_Dim[[#This Row],[Age]]&lt;=40,"Adult",
   IF(Customer_Dim[[#This Row],[Age]]&lt;=60,"Middle-Aged","Senior")))</f>
        <v>Adult</v>
      </c>
    </row>
    <row r="449" spans="1:12" x14ac:dyDescent="0.3">
      <c r="A449" t="s">
        <v>1383</v>
      </c>
      <c r="B449" t="s">
        <v>1384</v>
      </c>
      <c r="C449" t="str">
        <f t="shared" si="18"/>
        <v>Monica Wright</v>
      </c>
      <c r="D449" t="str">
        <f t="shared" si="19"/>
        <v>Monica Wright</v>
      </c>
      <c r="E449" s="7">
        <v>45</v>
      </c>
      <c r="F449" t="s">
        <v>9</v>
      </c>
      <c r="G449" t="s">
        <v>1385</v>
      </c>
      <c r="H449" t="s">
        <v>11</v>
      </c>
      <c r="I449" t="s">
        <v>12</v>
      </c>
      <c r="J449" t="s">
        <v>13</v>
      </c>
      <c r="K449" t="str">
        <f t="shared" si="20"/>
        <v>Gold</v>
      </c>
      <c r="L449" t="str">
        <f>IF(Customer_Dim[[#This Row],[Age]]&lt;25,"Youth",
   IF(Customer_Dim[[#This Row],[Age]]&lt;=40,"Adult",
   IF(Customer_Dim[[#This Row],[Age]]&lt;=60,"Middle-Aged","Senior")))</f>
        <v>Middle-Aged</v>
      </c>
    </row>
    <row r="450" spans="1:12" x14ac:dyDescent="0.3">
      <c r="A450" t="s">
        <v>1386</v>
      </c>
      <c r="B450" t="s">
        <v>1387</v>
      </c>
      <c r="C450" t="str">
        <f t="shared" si="18"/>
        <v>Eric Holmes</v>
      </c>
      <c r="D450" t="str">
        <f t="shared" si="19"/>
        <v>Eric Holmes</v>
      </c>
      <c r="E450" s="7">
        <v>64</v>
      </c>
      <c r="F450" t="s">
        <v>16</v>
      </c>
      <c r="G450" t="s">
        <v>1388</v>
      </c>
      <c r="H450" t="s">
        <v>845</v>
      </c>
      <c r="I450" t="s">
        <v>12</v>
      </c>
      <c r="J450" t="s">
        <v>26</v>
      </c>
      <c r="K450" t="str">
        <f t="shared" si="20"/>
        <v>Bronze</v>
      </c>
      <c r="L450" t="str">
        <f>IF(Customer_Dim[[#This Row],[Age]]&lt;25,"Youth",
   IF(Customer_Dim[[#This Row],[Age]]&lt;=40,"Adult",
   IF(Customer_Dim[[#This Row],[Age]]&lt;=60,"Middle-Aged","Senior")))</f>
        <v>Senior</v>
      </c>
    </row>
    <row r="451" spans="1:12" x14ac:dyDescent="0.3">
      <c r="A451" t="s">
        <v>1389</v>
      </c>
      <c r="B451" t="s">
        <v>1390</v>
      </c>
      <c r="C451" t="str">
        <f t="shared" ref="C451:C501" si="21">PROPER(B451)</f>
        <v>William Cortez</v>
      </c>
      <c r="D451" t="str">
        <f t="shared" ref="D451:D501" si="22">TRIM(C451)</f>
        <v>William Cortez</v>
      </c>
      <c r="E451" s="7">
        <v>29</v>
      </c>
      <c r="F451" t="s">
        <v>9</v>
      </c>
      <c r="G451" t="s">
        <v>1391</v>
      </c>
      <c r="H451" t="s">
        <v>25</v>
      </c>
      <c r="I451" t="s">
        <v>12</v>
      </c>
      <c r="J451" t="s">
        <v>26</v>
      </c>
      <c r="K451" t="str">
        <f t="shared" ref="K451:K501" si="23">IF(ISBLANK(J451),"UNKNOWN",J451)</f>
        <v>Bronze</v>
      </c>
      <c r="L451" t="str">
        <f>IF(Customer_Dim[[#This Row],[Age]]&lt;25,"Youth",
   IF(Customer_Dim[[#This Row],[Age]]&lt;=40,"Adult",
   IF(Customer_Dim[[#This Row],[Age]]&lt;=60,"Middle-Aged","Senior")))</f>
        <v>Adult</v>
      </c>
    </row>
    <row r="452" spans="1:12" x14ac:dyDescent="0.3">
      <c r="A452" t="s">
        <v>1392</v>
      </c>
      <c r="B452" t="s">
        <v>1393</v>
      </c>
      <c r="C452" t="str">
        <f t="shared" si="21"/>
        <v>Shane Mills</v>
      </c>
      <c r="D452" t="str">
        <f t="shared" si="22"/>
        <v>Shane Mills</v>
      </c>
      <c r="E452" s="7">
        <v>59</v>
      </c>
      <c r="F452" t="s">
        <v>9</v>
      </c>
      <c r="G452" t="s">
        <v>1394</v>
      </c>
      <c r="H452" t="s">
        <v>70</v>
      </c>
      <c r="I452" t="s">
        <v>12</v>
      </c>
      <c r="J452" t="s">
        <v>26</v>
      </c>
      <c r="K452" t="str">
        <f t="shared" si="23"/>
        <v>Bronze</v>
      </c>
      <c r="L452" t="str">
        <f>IF(Customer_Dim[[#This Row],[Age]]&lt;25,"Youth",
   IF(Customer_Dim[[#This Row],[Age]]&lt;=40,"Adult",
   IF(Customer_Dim[[#This Row],[Age]]&lt;=60,"Middle-Aged","Senior")))</f>
        <v>Middle-Aged</v>
      </c>
    </row>
    <row r="453" spans="1:12" x14ac:dyDescent="0.3">
      <c r="A453" t="s">
        <v>1395</v>
      </c>
      <c r="B453" t="s">
        <v>1396</v>
      </c>
      <c r="C453" t="str">
        <f t="shared" si="21"/>
        <v>Ashley Roberts</v>
      </c>
      <c r="D453" t="str">
        <f t="shared" si="22"/>
        <v>Ashley Roberts</v>
      </c>
      <c r="E453" s="7">
        <v>46</v>
      </c>
      <c r="F453" t="s">
        <v>9</v>
      </c>
      <c r="G453" t="s">
        <v>564</v>
      </c>
      <c r="H453" t="s">
        <v>233</v>
      </c>
      <c r="I453" t="s">
        <v>12</v>
      </c>
      <c r="J453" t="s">
        <v>13</v>
      </c>
      <c r="K453" t="str">
        <f t="shared" si="23"/>
        <v>Gold</v>
      </c>
      <c r="L453" t="str">
        <f>IF(Customer_Dim[[#This Row],[Age]]&lt;25,"Youth",
   IF(Customer_Dim[[#This Row],[Age]]&lt;=40,"Adult",
   IF(Customer_Dim[[#This Row],[Age]]&lt;=60,"Middle-Aged","Senior")))</f>
        <v>Middle-Aged</v>
      </c>
    </row>
    <row r="454" spans="1:12" x14ac:dyDescent="0.3">
      <c r="A454" t="s">
        <v>1397</v>
      </c>
      <c r="B454" t="s">
        <v>1398</v>
      </c>
      <c r="C454" t="str">
        <f t="shared" si="21"/>
        <v>Jeffery Wolf</v>
      </c>
      <c r="D454" t="str">
        <f t="shared" si="22"/>
        <v>Jeffery Wolf</v>
      </c>
      <c r="E454" s="7">
        <v>60</v>
      </c>
      <c r="F454" t="s">
        <v>16</v>
      </c>
      <c r="G454" t="s">
        <v>1399</v>
      </c>
      <c r="H454" t="s">
        <v>313</v>
      </c>
      <c r="I454" t="s">
        <v>12</v>
      </c>
      <c r="J454" t="s">
        <v>26</v>
      </c>
      <c r="K454" t="str">
        <f t="shared" si="23"/>
        <v>Bronze</v>
      </c>
      <c r="L454" t="str">
        <f>IF(Customer_Dim[[#This Row],[Age]]&lt;25,"Youth",
   IF(Customer_Dim[[#This Row],[Age]]&lt;=40,"Adult",
   IF(Customer_Dim[[#This Row],[Age]]&lt;=60,"Middle-Aged","Senior")))</f>
        <v>Middle-Aged</v>
      </c>
    </row>
    <row r="455" spans="1:12" x14ac:dyDescent="0.3">
      <c r="A455" t="s">
        <v>1400</v>
      </c>
      <c r="B455" t="s">
        <v>1401</v>
      </c>
      <c r="C455" t="str">
        <f t="shared" si="21"/>
        <v>April Phillips</v>
      </c>
      <c r="D455" t="str">
        <f t="shared" si="22"/>
        <v>April Phillips</v>
      </c>
      <c r="E455" s="7">
        <v>62</v>
      </c>
      <c r="F455" t="s">
        <v>16</v>
      </c>
      <c r="G455" t="s">
        <v>1402</v>
      </c>
      <c r="H455" t="s">
        <v>99</v>
      </c>
      <c r="I455" t="s">
        <v>12</v>
      </c>
      <c r="J455" t="s">
        <v>19</v>
      </c>
      <c r="K455" t="str">
        <f t="shared" si="23"/>
        <v>Platinum</v>
      </c>
      <c r="L455" t="str">
        <f>IF(Customer_Dim[[#This Row],[Age]]&lt;25,"Youth",
   IF(Customer_Dim[[#This Row],[Age]]&lt;=40,"Adult",
   IF(Customer_Dim[[#This Row],[Age]]&lt;=60,"Middle-Aged","Senior")))</f>
        <v>Senior</v>
      </c>
    </row>
    <row r="456" spans="1:12" x14ac:dyDescent="0.3">
      <c r="A456" t="s">
        <v>1403</v>
      </c>
      <c r="B456" t="s">
        <v>1404</v>
      </c>
      <c r="C456" t="str">
        <f t="shared" si="21"/>
        <v>John Berg</v>
      </c>
      <c r="D456" t="str">
        <f t="shared" si="22"/>
        <v>John Berg</v>
      </c>
      <c r="E456" s="7">
        <v>60</v>
      </c>
      <c r="F456" t="s">
        <v>9</v>
      </c>
      <c r="G456" t="s">
        <v>129</v>
      </c>
      <c r="H456" t="s">
        <v>96</v>
      </c>
      <c r="I456" t="s">
        <v>12</v>
      </c>
      <c r="J456" t="s">
        <v>13</v>
      </c>
      <c r="K456" t="str">
        <f t="shared" si="23"/>
        <v>Gold</v>
      </c>
      <c r="L456" t="str">
        <f>IF(Customer_Dim[[#This Row],[Age]]&lt;25,"Youth",
   IF(Customer_Dim[[#This Row],[Age]]&lt;=40,"Adult",
   IF(Customer_Dim[[#This Row],[Age]]&lt;=60,"Middle-Aged","Senior")))</f>
        <v>Middle-Aged</v>
      </c>
    </row>
    <row r="457" spans="1:12" x14ac:dyDescent="0.3">
      <c r="A457" t="s">
        <v>1405</v>
      </c>
      <c r="B457" t="s">
        <v>1406</v>
      </c>
      <c r="C457" t="str">
        <f t="shared" si="21"/>
        <v>Tyler Weber</v>
      </c>
      <c r="D457" t="str">
        <f t="shared" si="22"/>
        <v>Tyler Weber</v>
      </c>
      <c r="E457" s="7">
        <v>54</v>
      </c>
      <c r="F457" t="s">
        <v>9</v>
      </c>
      <c r="G457" t="s">
        <v>1407</v>
      </c>
      <c r="H457" t="s">
        <v>194</v>
      </c>
      <c r="I457" t="s">
        <v>12</v>
      </c>
      <c r="J457" t="s">
        <v>13</v>
      </c>
      <c r="K457" t="str">
        <f t="shared" si="23"/>
        <v>Gold</v>
      </c>
      <c r="L457" t="str">
        <f>IF(Customer_Dim[[#This Row],[Age]]&lt;25,"Youth",
   IF(Customer_Dim[[#This Row],[Age]]&lt;=40,"Adult",
   IF(Customer_Dim[[#This Row],[Age]]&lt;=60,"Middle-Aged","Senior")))</f>
        <v>Middle-Aged</v>
      </c>
    </row>
    <row r="458" spans="1:12" x14ac:dyDescent="0.3">
      <c r="A458" t="s">
        <v>1408</v>
      </c>
      <c r="B458" t="s">
        <v>1409</v>
      </c>
      <c r="C458" t="str">
        <f t="shared" si="21"/>
        <v>Julie Powell</v>
      </c>
      <c r="D458" t="str">
        <f t="shared" si="22"/>
        <v>Julie Powell</v>
      </c>
      <c r="E458" s="7">
        <v>59</v>
      </c>
      <c r="F458" t="s">
        <v>16</v>
      </c>
      <c r="G458" t="s">
        <v>1410</v>
      </c>
      <c r="H458" t="s">
        <v>291</v>
      </c>
      <c r="I458" t="s">
        <v>12</v>
      </c>
      <c r="J458" t="s">
        <v>13</v>
      </c>
      <c r="K458" t="str">
        <f t="shared" si="23"/>
        <v>Gold</v>
      </c>
      <c r="L458" t="str">
        <f>IF(Customer_Dim[[#This Row],[Age]]&lt;25,"Youth",
   IF(Customer_Dim[[#This Row],[Age]]&lt;=40,"Adult",
   IF(Customer_Dim[[#This Row],[Age]]&lt;=60,"Middle-Aged","Senior")))</f>
        <v>Middle-Aged</v>
      </c>
    </row>
    <row r="459" spans="1:12" x14ac:dyDescent="0.3">
      <c r="A459" t="s">
        <v>1411</v>
      </c>
      <c r="B459" t="s">
        <v>1412</v>
      </c>
      <c r="C459" t="str">
        <f t="shared" si="21"/>
        <v>Christina Robertson</v>
      </c>
      <c r="D459" t="str">
        <f t="shared" si="22"/>
        <v>Christina Robertson</v>
      </c>
      <c r="E459" s="7">
        <v>59</v>
      </c>
      <c r="F459" t="s">
        <v>9</v>
      </c>
      <c r="G459" t="s">
        <v>1413</v>
      </c>
      <c r="H459" t="s">
        <v>588</v>
      </c>
      <c r="I459" t="s">
        <v>12</v>
      </c>
      <c r="J459" t="s">
        <v>19</v>
      </c>
      <c r="K459" t="str">
        <f t="shared" si="23"/>
        <v>Platinum</v>
      </c>
      <c r="L459" t="str">
        <f>IF(Customer_Dim[[#This Row],[Age]]&lt;25,"Youth",
   IF(Customer_Dim[[#This Row],[Age]]&lt;=40,"Adult",
   IF(Customer_Dim[[#This Row],[Age]]&lt;=60,"Middle-Aged","Senior")))</f>
        <v>Middle-Aged</v>
      </c>
    </row>
    <row r="460" spans="1:12" x14ac:dyDescent="0.3">
      <c r="A460" t="s">
        <v>1414</v>
      </c>
      <c r="B460" t="s">
        <v>1415</v>
      </c>
      <c r="C460" t="str">
        <f t="shared" si="21"/>
        <v>Kelly Garrett</v>
      </c>
      <c r="D460" t="str">
        <f t="shared" si="22"/>
        <v>Kelly Garrett</v>
      </c>
      <c r="E460" s="7">
        <v>62</v>
      </c>
      <c r="F460" t="s">
        <v>16</v>
      </c>
      <c r="G460" t="s">
        <v>1416</v>
      </c>
      <c r="H460" t="s">
        <v>51</v>
      </c>
      <c r="I460" t="s">
        <v>12</v>
      </c>
      <c r="J460" t="s">
        <v>31</v>
      </c>
      <c r="K460" t="str">
        <f t="shared" si="23"/>
        <v>Silver</v>
      </c>
      <c r="L460" t="str">
        <f>IF(Customer_Dim[[#This Row],[Age]]&lt;25,"Youth",
   IF(Customer_Dim[[#This Row],[Age]]&lt;=40,"Adult",
   IF(Customer_Dim[[#This Row],[Age]]&lt;=60,"Middle-Aged","Senior")))</f>
        <v>Senior</v>
      </c>
    </row>
    <row r="461" spans="1:12" x14ac:dyDescent="0.3">
      <c r="A461" t="s">
        <v>1417</v>
      </c>
      <c r="B461" t="s">
        <v>679</v>
      </c>
      <c r="C461" t="str">
        <f t="shared" si="21"/>
        <v>John Perez</v>
      </c>
      <c r="D461" t="str">
        <f t="shared" si="22"/>
        <v>John Perez</v>
      </c>
      <c r="E461" s="7">
        <v>29</v>
      </c>
      <c r="F461" t="s">
        <v>16</v>
      </c>
      <c r="G461" t="s">
        <v>1418</v>
      </c>
      <c r="H461" t="s">
        <v>317</v>
      </c>
      <c r="I461" t="s">
        <v>12</v>
      </c>
      <c r="J461" t="s">
        <v>13</v>
      </c>
      <c r="K461" t="str">
        <f t="shared" si="23"/>
        <v>Gold</v>
      </c>
      <c r="L461" t="str">
        <f>IF(Customer_Dim[[#This Row],[Age]]&lt;25,"Youth",
   IF(Customer_Dim[[#This Row],[Age]]&lt;=40,"Adult",
   IF(Customer_Dim[[#This Row],[Age]]&lt;=60,"Middle-Aged","Senior")))</f>
        <v>Adult</v>
      </c>
    </row>
    <row r="462" spans="1:12" x14ac:dyDescent="0.3">
      <c r="A462" t="s">
        <v>1419</v>
      </c>
      <c r="B462" t="s">
        <v>1420</v>
      </c>
      <c r="C462" t="str">
        <f t="shared" si="21"/>
        <v>Justin Johnson</v>
      </c>
      <c r="D462" t="str">
        <f t="shared" si="22"/>
        <v>Justin Johnson</v>
      </c>
      <c r="E462" s="7">
        <v>35</v>
      </c>
      <c r="F462" t="s">
        <v>9</v>
      </c>
      <c r="G462" t="s">
        <v>1421</v>
      </c>
      <c r="H462" t="s">
        <v>267</v>
      </c>
      <c r="I462" t="s">
        <v>12</v>
      </c>
      <c r="J462" t="s">
        <v>13</v>
      </c>
      <c r="K462" t="str">
        <f t="shared" si="23"/>
        <v>Gold</v>
      </c>
      <c r="L462" t="str">
        <f>IF(Customer_Dim[[#This Row],[Age]]&lt;25,"Youth",
   IF(Customer_Dim[[#This Row],[Age]]&lt;=40,"Adult",
   IF(Customer_Dim[[#This Row],[Age]]&lt;=60,"Middle-Aged","Senior")))</f>
        <v>Adult</v>
      </c>
    </row>
    <row r="463" spans="1:12" x14ac:dyDescent="0.3">
      <c r="A463" t="s">
        <v>1422</v>
      </c>
      <c r="B463" t="s">
        <v>1423</v>
      </c>
      <c r="C463" t="str">
        <f t="shared" si="21"/>
        <v>Paul Cox</v>
      </c>
      <c r="D463" t="str">
        <f t="shared" si="22"/>
        <v>Paul Cox</v>
      </c>
      <c r="E463" s="7">
        <v>60</v>
      </c>
      <c r="F463" t="s">
        <v>16</v>
      </c>
      <c r="G463" t="s">
        <v>1424</v>
      </c>
      <c r="H463" t="s">
        <v>62</v>
      </c>
      <c r="I463" t="s">
        <v>12</v>
      </c>
      <c r="J463" t="s">
        <v>31</v>
      </c>
      <c r="K463" t="str">
        <f t="shared" si="23"/>
        <v>Silver</v>
      </c>
      <c r="L463" t="str">
        <f>IF(Customer_Dim[[#This Row],[Age]]&lt;25,"Youth",
   IF(Customer_Dim[[#This Row],[Age]]&lt;=40,"Adult",
   IF(Customer_Dim[[#This Row],[Age]]&lt;=60,"Middle-Aged","Senior")))</f>
        <v>Middle-Aged</v>
      </c>
    </row>
    <row r="464" spans="1:12" x14ac:dyDescent="0.3">
      <c r="A464" t="s">
        <v>1425</v>
      </c>
      <c r="B464" t="s">
        <v>1426</v>
      </c>
      <c r="C464" t="str">
        <f t="shared" si="21"/>
        <v>Beth Martin</v>
      </c>
      <c r="D464" t="str">
        <f t="shared" si="22"/>
        <v>Beth Martin</v>
      </c>
      <c r="E464" s="7">
        <v>34</v>
      </c>
      <c r="F464" t="s">
        <v>16</v>
      </c>
      <c r="G464" t="s">
        <v>1427</v>
      </c>
      <c r="H464" t="s">
        <v>43</v>
      </c>
      <c r="I464" t="s">
        <v>12</v>
      </c>
      <c r="J464" t="s">
        <v>31</v>
      </c>
      <c r="K464" t="str">
        <f t="shared" si="23"/>
        <v>Silver</v>
      </c>
      <c r="L464" t="str">
        <f>IF(Customer_Dim[[#This Row],[Age]]&lt;25,"Youth",
   IF(Customer_Dim[[#This Row],[Age]]&lt;=40,"Adult",
   IF(Customer_Dim[[#This Row],[Age]]&lt;=60,"Middle-Aged","Senior")))</f>
        <v>Adult</v>
      </c>
    </row>
    <row r="465" spans="1:12" x14ac:dyDescent="0.3">
      <c r="A465" t="s">
        <v>1428</v>
      </c>
      <c r="B465" t="s">
        <v>1429</v>
      </c>
      <c r="C465" t="str">
        <f t="shared" si="21"/>
        <v>Samantha Lee</v>
      </c>
      <c r="D465" t="str">
        <f t="shared" si="22"/>
        <v>Samantha Lee</v>
      </c>
      <c r="E465" s="7">
        <v>36</v>
      </c>
      <c r="F465" t="s">
        <v>16</v>
      </c>
      <c r="G465" t="s">
        <v>1430</v>
      </c>
      <c r="H465" t="s">
        <v>167</v>
      </c>
      <c r="I465" t="s">
        <v>12</v>
      </c>
      <c r="J465" t="s">
        <v>26</v>
      </c>
      <c r="K465" t="str">
        <f t="shared" si="23"/>
        <v>Bronze</v>
      </c>
      <c r="L465" t="str">
        <f>IF(Customer_Dim[[#This Row],[Age]]&lt;25,"Youth",
   IF(Customer_Dim[[#This Row],[Age]]&lt;=40,"Adult",
   IF(Customer_Dim[[#This Row],[Age]]&lt;=60,"Middle-Aged","Senior")))</f>
        <v>Adult</v>
      </c>
    </row>
    <row r="466" spans="1:12" x14ac:dyDescent="0.3">
      <c r="A466" t="s">
        <v>3835</v>
      </c>
      <c r="B466" t="s">
        <v>1432</v>
      </c>
      <c r="C466" t="str">
        <f t="shared" si="21"/>
        <v>David Pierce</v>
      </c>
      <c r="D466" t="str">
        <f t="shared" si="22"/>
        <v>David Pierce</v>
      </c>
      <c r="E466" s="7">
        <v>45</v>
      </c>
      <c r="F466" t="s">
        <v>16</v>
      </c>
      <c r="G466" t="s">
        <v>1433</v>
      </c>
      <c r="H466" t="s">
        <v>74</v>
      </c>
      <c r="I466" t="s">
        <v>12</v>
      </c>
      <c r="J466" t="s">
        <v>19</v>
      </c>
      <c r="K466" t="str">
        <f t="shared" si="23"/>
        <v>Platinum</v>
      </c>
      <c r="L466" t="str">
        <f>IF(Customer_Dim[[#This Row],[Age]]&lt;25,"Youth",
   IF(Customer_Dim[[#This Row],[Age]]&lt;=40,"Adult",
   IF(Customer_Dim[[#This Row],[Age]]&lt;=60,"Middle-Aged","Senior")))</f>
        <v>Middle-Aged</v>
      </c>
    </row>
    <row r="467" spans="1:12" x14ac:dyDescent="0.3">
      <c r="A467" t="s">
        <v>1434</v>
      </c>
      <c r="B467" t="s">
        <v>1435</v>
      </c>
      <c r="C467" t="str">
        <f t="shared" si="21"/>
        <v>Ronald Ross</v>
      </c>
      <c r="D467" t="str">
        <f t="shared" si="22"/>
        <v>Ronald Ross</v>
      </c>
      <c r="E467" s="7">
        <v>28</v>
      </c>
      <c r="F467" t="s">
        <v>16</v>
      </c>
      <c r="G467" t="s">
        <v>1436</v>
      </c>
      <c r="H467" t="s">
        <v>11</v>
      </c>
      <c r="I467" t="s">
        <v>12</v>
      </c>
      <c r="J467" t="s">
        <v>31</v>
      </c>
      <c r="K467" t="str">
        <f t="shared" si="23"/>
        <v>Silver</v>
      </c>
      <c r="L467" t="str">
        <f>IF(Customer_Dim[[#This Row],[Age]]&lt;25,"Youth",
   IF(Customer_Dim[[#This Row],[Age]]&lt;=40,"Adult",
   IF(Customer_Dim[[#This Row],[Age]]&lt;=60,"Middle-Aged","Senior")))</f>
        <v>Adult</v>
      </c>
    </row>
    <row r="468" spans="1:12" x14ac:dyDescent="0.3">
      <c r="A468" t="s">
        <v>1437</v>
      </c>
      <c r="B468" t="s">
        <v>1438</v>
      </c>
      <c r="C468" t="str">
        <f t="shared" si="21"/>
        <v>Cynthia Parrish</v>
      </c>
      <c r="D468" t="str">
        <f t="shared" si="22"/>
        <v>Cynthia Parrish</v>
      </c>
      <c r="E468" s="7">
        <v>18</v>
      </c>
      <c r="F468" t="s">
        <v>9</v>
      </c>
      <c r="G468" t="s">
        <v>1439</v>
      </c>
      <c r="H468" t="s">
        <v>201</v>
      </c>
      <c r="I468" t="s">
        <v>12</v>
      </c>
      <c r="J468" t="s">
        <v>31</v>
      </c>
      <c r="K468" t="str">
        <f t="shared" si="23"/>
        <v>Silver</v>
      </c>
      <c r="L468" t="str">
        <f>IF(Customer_Dim[[#This Row],[Age]]&lt;25,"Youth",
   IF(Customer_Dim[[#This Row],[Age]]&lt;=40,"Adult",
   IF(Customer_Dim[[#This Row],[Age]]&lt;=60,"Middle-Aged","Senior")))</f>
        <v>Youth</v>
      </c>
    </row>
    <row r="469" spans="1:12" x14ac:dyDescent="0.3">
      <c r="A469" t="s">
        <v>1440</v>
      </c>
      <c r="B469" t="s">
        <v>1441</v>
      </c>
      <c r="C469" t="str">
        <f t="shared" si="21"/>
        <v>Michael Foley</v>
      </c>
      <c r="D469" t="str">
        <f t="shared" si="22"/>
        <v>Michael Foley</v>
      </c>
      <c r="E469" s="7">
        <v>63</v>
      </c>
      <c r="F469" t="s">
        <v>16</v>
      </c>
      <c r="G469" t="s">
        <v>1442</v>
      </c>
      <c r="H469" t="s">
        <v>171</v>
      </c>
      <c r="I469" t="s">
        <v>12</v>
      </c>
      <c r="J469" t="s">
        <v>13</v>
      </c>
      <c r="K469" t="str">
        <f t="shared" si="23"/>
        <v>Gold</v>
      </c>
      <c r="L469" t="str">
        <f>IF(Customer_Dim[[#This Row],[Age]]&lt;25,"Youth",
   IF(Customer_Dim[[#This Row],[Age]]&lt;=40,"Adult",
   IF(Customer_Dim[[#This Row],[Age]]&lt;=60,"Middle-Aged","Senior")))</f>
        <v>Senior</v>
      </c>
    </row>
    <row r="470" spans="1:12" x14ac:dyDescent="0.3">
      <c r="A470" t="s">
        <v>1443</v>
      </c>
      <c r="B470" t="s">
        <v>1444</v>
      </c>
      <c r="C470" t="str">
        <f t="shared" si="21"/>
        <v>Gregory Curtis</v>
      </c>
      <c r="D470" t="str">
        <f t="shared" si="22"/>
        <v>Gregory Curtis</v>
      </c>
      <c r="E470" s="7">
        <v>45</v>
      </c>
      <c r="F470" t="s">
        <v>9</v>
      </c>
      <c r="G470" t="s">
        <v>1445</v>
      </c>
      <c r="H470" t="s">
        <v>171</v>
      </c>
      <c r="I470" t="s">
        <v>12</v>
      </c>
      <c r="J470" t="s">
        <v>26</v>
      </c>
      <c r="K470" t="str">
        <f t="shared" si="23"/>
        <v>Bronze</v>
      </c>
      <c r="L470" t="str">
        <f>IF(Customer_Dim[[#This Row],[Age]]&lt;25,"Youth",
   IF(Customer_Dim[[#This Row],[Age]]&lt;=40,"Adult",
   IF(Customer_Dim[[#This Row],[Age]]&lt;=60,"Middle-Aged","Senior")))</f>
        <v>Middle-Aged</v>
      </c>
    </row>
    <row r="471" spans="1:12" x14ac:dyDescent="0.3">
      <c r="A471" t="s">
        <v>1446</v>
      </c>
      <c r="B471" t="s">
        <v>1447</v>
      </c>
      <c r="C471" t="str">
        <f t="shared" si="21"/>
        <v>James Foster</v>
      </c>
      <c r="D471" t="str">
        <f t="shared" si="22"/>
        <v>James Foster</v>
      </c>
      <c r="E471" s="7">
        <v>19</v>
      </c>
      <c r="F471" t="s">
        <v>9</v>
      </c>
      <c r="G471" t="s">
        <v>1448</v>
      </c>
      <c r="H471" t="s">
        <v>117</v>
      </c>
      <c r="I471" t="s">
        <v>12</v>
      </c>
      <c r="J471" t="s">
        <v>13</v>
      </c>
      <c r="K471" t="str">
        <f t="shared" si="23"/>
        <v>Gold</v>
      </c>
      <c r="L471" t="str">
        <f>IF(Customer_Dim[[#This Row],[Age]]&lt;25,"Youth",
   IF(Customer_Dim[[#This Row],[Age]]&lt;=40,"Adult",
   IF(Customer_Dim[[#This Row],[Age]]&lt;=60,"Middle-Aged","Senior")))</f>
        <v>Youth</v>
      </c>
    </row>
    <row r="472" spans="1:12" x14ac:dyDescent="0.3">
      <c r="A472" t="s">
        <v>1449</v>
      </c>
      <c r="B472" t="s">
        <v>1450</v>
      </c>
      <c r="C472" t="str">
        <f t="shared" si="21"/>
        <v>Manuel Fisher</v>
      </c>
      <c r="D472" t="str">
        <f t="shared" si="22"/>
        <v>Manuel Fisher</v>
      </c>
      <c r="E472" s="7">
        <v>21</v>
      </c>
      <c r="F472" t="s">
        <v>16</v>
      </c>
      <c r="G472" t="s">
        <v>1451</v>
      </c>
      <c r="H472" t="s">
        <v>47</v>
      </c>
      <c r="I472" t="s">
        <v>12</v>
      </c>
      <c r="J472" t="s">
        <v>13</v>
      </c>
      <c r="K472" t="str">
        <f t="shared" si="23"/>
        <v>Gold</v>
      </c>
      <c r="L472" t="str">
        <f>IF(Customer_Dim[[#This Row],[Age]]&lt;25,"Youth",
   IF(Customer_Dim[[#This Row],[Age]]&lt;=40,"Adult",
   IF(Customer_Dim[[#This Row],[Age]]&lt;=60,"Middle-Aged","Senior")))</f>
        <v>Youth</v>
      </c>
    </row>
    <row r="473" spans="1:12" x14ac:dyDescent="0.3">
      <c r="A473" t="s">
        <v>1452</v>
      </c>
      <c r="B473" t="s">
        <v>1453</v>
      </c>
      <c r="C473" t="str">
        <f t="shared" si="21"/>
        <v>Debra Mccullough</v>
      </c>
      <c r="D473" t="str">
        <f t="shared" si="22"/>
        <v>Debra Mccullough</v>
      </c>
      <c r="E473" s="7">
        <v>42</v>
      </c>
      <c r="F473" t="s">
        <v>9</v>
      </c>
      <c r="G473" t="s">
        <v>1454</v>
      </c>
      <c r="H473" t="s">
        <v>66</v>
      </c>
      <c r="I473" t="s">
        <v>12</v>
      </c>
      <c r="J473" t="s">
        <v>19</v>
      </c>
      <c r="K473" t="str">
        <f t="shared" si="23"/>
        <v>Platinum</v>
      </c>
      <c r="L473" t="str">
        <f>IF(Customer_Dim[[#This Row],[Age]]&lt;25,"Youth",
   IF(Customer_Dim[[#This Row],[Age]]&lt;=40,"Adult",
   IF(Customer_Dim[[#This Row],[Age]]&lt;=60,"Middle-Aged","Senior")))</f>
        <v>Middle-Aged</v>
      </c>
    </row>
    <row r="474" spans="1:12" x14ac:dyDescent="0.3">
      <c r="A474" t="s">
        <v>1455</v>
      </c>
      <c r="B474" t="s">
        <v>1456</v>
      </c>
      <c r="C474" t="str">
        <f t="shared" si="21"/>
        <v>Philip Mendoza</v>
      </c>
      <c r="D474" t="str">
        <f t="shared" si="22"/>
        <v>Philip Mendoza</v>
      </c>
      <c r="E474" s="7">
        <v>42</v>
      </c>
      <c r="F474" t="s">
        <v>9</v>
      </c>
      <c r="G474" t="s">
        <v>1457</v>
      </c>
      <c r="H474" t="s">
        <v>715</v>
      </c>
      <c r="I474" t="s">
        <v>12</v>
      </c>
      <c r="J474" t="s">
        <v>31</v>
      </c>
      <c r="K474" t="str">
        <f t="shared" si="23"/>
        <v>Silver</v>
      </c>
      <c r="L474" t="str">
        <f>IF(Customer_Dim[[#This Row],[Age]]&lt;25,"Youth",
   IF(Customer_Dim[[#This Row],[Age]]&lt;=40,"Adult",
   IF(Customer_Dim[[#This Row],[Age]]&lt;=60,"Middle-Aged","Senior")))</f>
        <v>Middle-Aged</v>
      </c>
    </row>
    <row r="475" spans="1:12" x14ac:dyDescent="0.3">
      <c r="A475" t="s">
        <v>1458</v>
      </c>
      <c r="B475" t="s">
        <v>1459</v>
      </c>
      <c r="C475" t="str">
        <f t="shared" si="21"/>
        <v>Laura Mathews</v>
      </c>
      <c r="D475" t="str">
        <f t="shared" si="22"/>
        <v>Laura Mathews</v>
      </c>
      <c r="E475" s="7">
        <v>53</v>
      </c>
      <c r="F475" t="s">
        <v>9</v>
      </c>
      <c r="G475" t="s">
        <v>1460</v>
      </c>
      <c r="H475" t="s">
        <v>324</v>
      </c>
      <c r="I475" t="s">
        <v>12</v>
      </c>
      <c r="J475" t="s">
        <v>26</v>
      </c>
      <c r="K475" t="str">
        <f t="shared" si="23"/>
        <v>Bronze</v>
      </c>
      <c r="L475" t="str">
        <f>IF(Customer_Dim[[#This Row],[Age]]&lt;25,"Youth",
   IF(Customer_Dim[[#This Row],[Age]]&lt;=40,"Adult",
   IF(Customer_Dim[[#This Row],[Age]]&lt;=60,"Middle-Aged","Senior")))</f>
        <v>Middle-Aged</v>
      </c>
    </row>
    <row r="476" spans="1:12" x14ac:dyDescent="0.3">
      <c r="A476" t="s">
        <v>1461</v>
      </c>
      <c r="B476" t="s">
        <v>1462</v>
      </c>
      <c r="C476" t="str">
        <f t="shared" si="21"/>
        <v>Joshua Howard</v>
      </c>
      <c r="D476" t="str">
        <f t="shared" si="22"/>
        <v>Joshua Howard</v>
      </c>
      <c r="E476" s="7">
        <v>32</v>
      </c>
      <c r="F476" t="s">
        <v>16</v>
      </c>
      <c r="G476" t="s">
        <v>1463</v>
      </c>
      <c r="H476" t="s">
        <v>39</v>
      </c>
      <c r="I476" t="s">
        <v>12</v>
      </c>
      <c r="J476" t="s">
        <v>19</v>
      </c>
      <c r="K476" t="str">
        <f t="shared" si="23"/>
        <v>Platinum</v>
      </c>
      <c r="L476" t="str">
        <f>IF(Customer_Dim[[#This Row],[Age]]&lt;25,"Youth",
   IF(Customer_Dim[[#This Row],[Age]]&lt;=40,"Adult",
   IF(Customer_Dim[[#This Row],[Age]]&lt;=60,"Middle-Aged","Senior")))</f>
        <v>Adult</v>
      </c>
    </row>
    <row r="477" spans="1:12" x14ac:dyDescent="0.3">
      <c r="A477" t="s">
        <v>1464</v>
      </c>
      <c r="B477" t="s">
        <v>1465</v>
      </c>
      <c r="C477" t="str">
        <f t="shared" si="21"/>
        <v>Barbara Berry</v>
      </c>
      <c r="D477" t="str">
        <f t="shared" si="22"/>
        <v>Barbara Berry</v>
      </c>
      <c r="E477" s="7">
        <v>18</v>
      </c>
      <c r="F477" t="s">
        <v>16</v>
      </c>
      <c r="G477" t="s">
        <v>395</v>
      </c>
      <c r="H477" t="s">
        <v>171</v>
      </c>
      <c r="I477" t="s">
        <v>12</v>
      </c>
      <c r="J477" t="s">
        <v>19</v>
      </c>
      <c r="K477" t="str">
        <f t="shared" si="23"/>
        <v>Platinum</v>
      </c>
      <c r="L477" t="str">
        <f>IF(Customer_Dim[[#This Row],[Age]]&lt;25,"Youth",
   IF(Customer_Dim[[#This Row],[Age]]&lt;=40,"Adult",
   IF(Customer_Dim[[#This Row],[Age]]&lt;=60,"Middle-Aged","Senior")))</f>
        <v>Youth</v>
      </c>
    </row>
    <row r="478" spans="1:12" x14ac:dyDescent="0.3">
      <c r="A478" t="s">
        <v>1466</v>
      </c>
      <c r="B478" t="s">
        <v>1467</v>
      </c>
      <c r="C478" t="str">
        <f t="shared" si="21"/>
        <v>Elizabeth Foster</v>
      </c>
      <c r="D478" t="str">
        <f t="shared" si="22"/>
        <v>Elizabeth Foster</v>
      </c>
      <c r="E478" s="7">
        <v>33</v>
      </c>
      <c r="F478" t="s">
        <v>16</v>
      </c>
      <c r="G478" t="s">
        <v>1468</v>
      </c>
      <c r="H478" t="s">
        <v>96</v>
      </c>
      <c r="I478" t="s">
        <v>12</v>
      </c>
      <c r="J478" t="s">
        <v>13</v>
      </c>
      <c r="K478" t="str">
        <f t="shared" si="23"/>
        <v>Gold</v>
      </c>
      <c r="L478" t="str">
        <f>IF(Customer_Dim[[#This Row],[Age]]&lt;25,"Youth",
   IF(Customer_Dim[[#This Row],[Age]]&lt;=40,"Adult",
   IF(Customer_Dim[[#This Row],[Age]]&lt;=60,"Middle-Aged","Senior")))</f>
        <v>Adult</v>
      </c>
    </row>
    <row r="479" spans="1:12" x14ac:dyDescent="0.3">
      <c r="A479" t="s">
        <v>1469</v>
      </c>
      <c r="B479" t="s">
        <v>1470</v>
      </c>
      <c r="C479" t="str">
        <f t="shared" si="21"/>
        <v>Andrea Harris</v>
      </c>
      <c r="D479" t="str">
        <f t="shared" si="22"/>
        <v>Andrea Harris</v>
      </c>
      <c r="E479" s="7">
        <v>41</v>
      </c>
      <c r="F479" t="s">
        <v>16</v>
      </c>
      <c r="G479" t="s">
        <v>1471</v>
      </c>
      <c r="H479" t="s">
        <v>62</v>
      </c>
      <c r="I479" t="s">
        <v>12</v>
      </c>
      <c r="J479" t="s">
        <v>19</v>
      </c>
      <c r="K479" t="str">
        <f t="shared" si="23"/>
        <v>Platinum</v>
      </c>
      <c r="L479" t="str">
        <f>IF(Customer_Dim[[#This Row],[Age]]&lt;25,"Youth",
   IF(Customer_Dim[[#This Row],[Age]]&lt;=40,"Adult",
   IF(Customer_Dim[[#This Row],[Age]]&lt;=60,"Middle-Aged","Senior")))</f>
        <v>Middle-Aged</v>
      </c>
    </row>
    <row r="480" spans="1:12" x14ac:dyDescent="0.3">
      <c r="A480" t="s">
        <v>1472</v>
      </c>
      <c r="B480" t="s">
        <v>1473</v>
      </c>
      <c r="C480" t="str">
        <f t="shared" si="21"/>
        <v>Earl Smith Dds</v>
      </c>
      <c r="D480" t="str">
        <f t="shared" si="22"/>
        <v>Earl Smith Dds</v>
      </c>
      <c r="E480" s="7">
        <v>59</v>
      </c>
      <c r="F480" t="s">
        <v>9</v>
      </c>
      <c r="G480" t="s">
        <v>1474</v>
      </c>
      <c r="H480" t="s">
        <v>39</v>
      </c>
      <c r="I480" t="s">
        <v>12</v>
      </c>
      <c r="J480" t="s">
        <v>13</v>
      </c>
      <c r="K480" t="str">
        <f t="shared" si="23"/>
        <v>Gold</v>
      </c>
      <c r="L480" t="str">
        <f>IF(Customer_Dim[[#This Row],[Age]]&lt;25,"Youth",
   IF(Customer_Dim[[#This Row],[Age]]&lt;=40,"Adult",
   IF(Customer_Dim[[#This Row],[Age]]&lt;=60,"Middle-Aged","Senior")))</f>
        <v>Middle-Aged</v>
      </c>
    </row>
    <row r="481" spans="1:12" x14ac:dyDescent="0.3">
      <c r="A481" t="s">
        <v>1475</v>
      </c>
      <c r="B481" t="s">
        <v>1476</v>
      </c>
      <c r="C481" t="str">
        <f t="shared" si="21"/>
        <v>Dylan Gutierrez</v>
      </c>
      <c r="D481" t="str">
        <f t="shared" si="22"/>
        <v>Dylan Gutierrez</v>
      </c>
      <c r="E481" s="7">
        <v>40</v>
      </c>
      <c r="F481" t="s">
        <v>9</v>
      </c>
      <c r="G481" t="s">
        <v>1477</v>
      </c>
      <c r="H481" t="s">
        <v>43</v>
      </c>
      <c r="I481" t="s">
        <v>12</v>
      </c>
      <c r="J481" t="s">
        <v>26</v>
      </c>
      <c r="K481" t="str">
        <f t="shared" si="23"/>
        <v>Bronze</v>
      </c>
      <c r="L481" t="str">
        <f>IF(Customer_Dim[[#This Row],[Age]]&lt;25,"Youth",
   IF(Customer_Dim[[#This Row],[Age]]&lt;=40,"Adult",
   IF(Customer_Dim[[#This Row],[Age]]&lt;=60,"Middle-Aged","Senior")))</f>
        <v>Adult</v>
      </c>
    </row>
    <row r="482" spans="1:12" x14ac:dyDescent="0.3">
      <c r="A482" t="s">
        <v>1478</v>
      </c>
      <c r="B482" t="s">
        <v>1479</v>
      </c>
      <c r="C482" t="str">
        <f t="shared" si="21"/>
        <v>Jordan Medina</v>
      </c>
      <c r="D482" t="str">
        <f t="shared" si="22"/>
        <v>Jordan Medina</v>
      </c>
      <c r="E482" s="7">
        <v>33</v>
      </c>
      <c r="F482" t="s">
        <v>9</v>
      </c>
      <c r="G482" t="s">
        <v>1480</v>
      </c>
      <c r="H482" t="s">
        <v>250</v>
      </c>
      <c r="I482" t="s">
        <v>12</v>
      </c>
      <c r="J482" t="s">
        <v>26</v>
      </c>
      <c r="K482" t="str">
        <f t="shared" si="23"/>
        <v>Bronze</v>
      </c>
      <c r="L482" t="str">
        <f>IF(Customer_Dim[[#This Row],[Age]]&lt;25,"Youth",
   IF(Customer_Dim[[#This Row],[Age]]&lt;=40,"Adult",
   IF(Customer_Dim[[#This Row],[Age]]&lt;=60,"Middle-Aged","Senior")))</f>
        <v>Adult</v>
      </c>
    </row>
    <row r="483" spans="1:12" x14ac:dyDescent="0.3">
      <c r="A483" t="s">
        <v>1481</v>
      </c>
      <c r="B483" t="s">
        <v>1482</v>
      </c>
      <c r="C483" t="str">
        <f t="shared" si="21"/>
        <v>Bryan Tran</v>
      </c>
      <c r="D483" t="str">
        <f t="shared" si="22"/>
        <v>Bryan Tran</v>
      </c>
      <c r="E483" s="7">
        <v>21</v>
      </c>
      <c r="F483" t="s">
        <v>9</v>
      </c>
      <c r="G483" t="s">
        <v>1483</v>
      </c>
      <c r="H483" t="s">
        <v>81</v>
      </c>
      <c r="I483" t="s">
        <v>12</v>
      </c>
      <c r="J483" t="s">
        <v>13</v>
      </c>
      <c r="K483" t="str">
        <f t="shared" si="23"/>
        <v>Gold</v>
      </c>
      <c r="L483" t="str">
        <f>IF(Customer_Dim[[#This Row],[Age]]&lt;25,"Youth",
   IF(Customer_Dim[[#This Row],[Age]]&lt;=40,"Adult",
   IF(Customer_Dim[[#This Row],[Age]]&lt;=60,"Middle-Aged","Senior")))</f>
        <v>Youth</v>
      </c>
    </row>
    <row r="484" spans="1:12" x14ac:dyDescent="0.3">
      <c r="A484" t="s">
        <v>1484</v>
      </c>
      <c r="B484" t="s">
        <v>1485</v>
      </c>
      <c r="C484" t="str">
        <f t="shared" si="21"/>
        <v>Sheri Joyce</v>
      </c>
      <c r="D484" t="str">
        <f t="shared" si="22"/>
        <v>Sheri Joyce</v>
      </c>
      <c r="E484" s="7">
        <v>26</v>
      </c>
      <c r="F484" t="s">
        <v>9</v>
      </c>
      <c r="G484" t="s">
        <v>1486</v>
      </c>
      <c r="H484" t="s">
        <v>588</v>
      </c>
      <c r="I484" t="s">
        <v>12</v>
      </c>
      <c r="J484" t="s">
        <v>19</v>
      </c>
      <c r="K484" t="str">
        <f t="shared" si="23"/>
        <v>Platinum</v>
      </c>
      <c r="L484" t="str">
        <f>IF(Customer_Dim[[#This Row],[Age]]&lt;25,"Youth",
   IF(Customer_Dim[[#This Row],[Age]]&lt;=40,"Adult",
   IF(Customer_Dim[[#This Row],[Age]]&lt;=60,"Middle-Aged","Senior")))</f>
        <v>Adult</v>
      </c>
    </row>
    <row r="485" spans="1:12" x14ac:dyDescent="0.3">
      <c r="A485" t="s">
        <v>1487</v>
      </c>
      <c r="B485" t="s">
        <v>1273</v>
      </c>
      <c r="C485" t="str">
        <f t="shared" si="21"/>
        <v>Sarah Smith</v>
      </c>
      <c r="D485" t="str">
        <f t="shared" si="22"/>
        <v>Sarah Smith</v>
      </c>
      <c r="E485" s="7">
        <v>48</v>
      </c>
      <c r="F485" t="s">
        <v>9</v>
      </c>
      <c r="G485" t="s">
        <v>1488</v>
      </c>
      <c r="H485" t="s">
        <v>184</v>
      </c>
      <c r="I485" t="s">
        <v>12</v>
      </c>
      <c r="J485" t="s">
        <v>13</v>
      </c>
      <c r="K485" t="str">
        <f t="shared" si="23"/>
        <v>Gold</v>
      </c>
      <c r="L485" t="str">
        <f>IF(Customer_Dim[[#This Row],[Age]]&lt;25,"Youth",
   IF(Customer_Dim[[#This Row],[Age]]&lt;=40,"Adult",
   IF(Customer_Dim[[#This Row],[Age]]&lt;=60,"Middle-Aged","Senior")))</f>
        <v>Middle-Aged</v>
      </c>
    </row>
    <row r="486" spans="1:12" x14ac:dyDescent="0.3">
      <c r="A486" t="s">
        <v>1489</v>
      </c>
      <c r="B486" t="s">
        <v>1490</v>
      </c>
      <c r="C486" t="str">
        <f t="shared" si="21"/>
        <v>Jessica Castro</v>
      </c>
      <c r="D486" t="str">
        <f t="shared" si="22"/>
        <v>Jessica Castro</v>
      </c>
      <c r="E486" s="7">
        <v>32</v>
      </c>
      <c r="F486" t="s">
        <v>9</v>
      </c>
      <c r="G486" t="s">
        <v>1491</v>
      </c>
      <c r="H486" t="s">
        <v>715</v>
      </c>
      <c r="I486" t="s">
        <v>12</v>
      </c>
      <c r="J486" t="s">
        <v>26</v>
      </c>
      <c r="K486" t="str">
        <f t="shared" si="23"/>
        <v>Bronze</v>
      </c>
      <c r="L486" t="str">
        <f>IF(Customer_Dim[[#This Row],[Age]]&lt;25,"Youth",
   IF(Customer_Dim[[#This Row],[Age]]&lt;=40,"Adult",
   IF(Customer_Dim[[#This Row],[Age]]&lt;=60,"Middle-Aged","Senior")))</f>
        <v>Adult</v>
      </c>
    </row>
    <row r="487" spans="1:12" x14ac:dyDescent="0.3">
      <c r="A487" t="s">
        <v>1492</v>
      </c>
      <c r="B487" t="s">
        <v>1493</v>
      </c>
      <c r="C487" t="str">
        <f t="shared" si="21"/>
        <v>Sara Ingram</v>
      </c>
      <c r="D487" t="str">
        <f t="shared" si="22"/>
        <v>Sara Ingram</v>
      </c>
      <c r="E487" s="7">
        <v>46</v>
      </c>
      <c r="F487" t="s">
        <v>16</v>
      </c>
      <c r="G487" t="s">
        <v>1494</v>
      </c>
      <c r="H487" t="s">
        <v>287</v>
      </c>
      <c r="I487" t="s">
        <v>12</v>
      </c>
      <c r="J487" t="s">
        <v>26</v>
      </c>
      <c r="K487" t="str">
        <f t="shared" si="23"/>
        <v>Bronze</v>
      </c>
      <c r="L487" t="str">
        <f>IF(Customer_Dim[[#This Row],[Age]]&lt;25,"Youth",
   IF(Customer_Dim[[#This Row],[Age]]&lt;=40,"Adult",
   IF(Customer_Dim[[#This Row],[Age]]&lt;=60,"Middle-Aged","Senior")))</f>
        <v>Middle-Aged</v>
      </c>
    </row>
    <row r="488" spans="1:12" x14ac:dyDescent="0.3">
      <c r="A488" t="s">
        <v>3834</v>
      </c>
      <c r="B488" t="s">
        <v>1496</v>
      </c>
      <c r="C488" t="str">
        <f t="shared" si="21"/>
        <v>Eric Lee</v>
      </c>
      <c r="D488" t="str">
        <f t="shared" si="22"/>
        <v>Eric Lee</v>
      </c>
      <c r="E488" s="7">
        <v>22</v>
      </c>
      <c r="F488" t="s">
        <v>16</v>
      </c>
      <c r="G488" t="s">
        <v>1497</v>
      </c>
      <c r="H488" t="s">
        <v>171</v>
      </c>
      <c r="I488" t="s">
        <v>12</v>
      </c>
      <c r="J488" t="s">
        <v>26</v>
      </c>
      <c r="K488" t="str">
        <f t="shared" si="23"/>
        <v>Bronze</v>
      </c>
      <c r="L488" t="str">
        <f>IF(Customer_Dim[[#This Row],[Age]]&lt;25,"Youth",
   IF(Customer_Dim[[#This Row],[Age]]&lt;=40,"Adult",
   IF(Customer_Dim[[#This Row],[Age]]&lt;=60,"Middle-Aged","Senior")))</f>
        <v>Youth</v>
      </c>
    </row>
    <row r="489" spans="1:12" x14ac:dyDescent="0.3">
      <c r="A489" t="s">
        <v>1498</v>
      </c>
      <c r="B489" t="s">
        <v>1499</v>
      </c>
      <c r="C489" t="str">
        <f t="shared" si="21"/>
        <v>Amanda Medina</v>
      </c>
      <c r="D489" t="str">
        <f t="shared" si="22"/>
        <v>Amanda Medina</v>
      </c>
      <c r="E489" s="7">
        <v>36</v>
      </c>
      <c r="F489" t="s">
        <v>16</v>
      </c>
      <c r="G489" t="s">
        <v>1500</v>
      </c>
      <c r="H489" t="s">
        <v>117</v>
      </c>
      <c r="I489" t="s">
        <v>12</v>
      </c>
      <c r="J489" t="s">
        <v>19</v>
      </c>
      <c r="K489" t="str">
        <f t="shared" si="23"/>
        <v>Platinum</v>
      </c>
      <c r="L489" t="str">
        <f>IF(Customer_Dim[[#This Row],[Age]]&lt;25,"Youth",
   IF(Customer_Dim[[#This Row],[Age]]&lt;=40,"Adult",
   IF(Customer_Dim[[#This Row],[Age]]&lt;=60,"Middle-Aged","Senior")))</f>
        <v>Adult</v>
      </c>
    </row>
    <row r="490" spans="1:12" x14ac:dyDescent="0.3">
      <c r="A490" t="s">
        <v>1501</v>
      </c>
      <c r="B490" t="s">
        <v>1502</v>
      </c>
      <c r="C490" t="str">
        <f t="shared" si="21"/>
        <v>Zachary Andrade</v>
      </c>
      <c r="D490" t="str">
        <f t="shared" si="22"/>
        <v>Zachary Andrade</v>
      </c>
      <c r="E490" s="7">
        <v>23</v>
      </c>
      <c r="F490" t="s">
        <v>16</v>
      </c>
      <c r="G490" t="s">
        <v>1503</v>
      </c>
      <c r="H490" t="s">
        <v>30</v>
      </c>
      <c r="I490" t="s">
        <v>12</v>
      </c>
      <c r="J490" t="s">
        <v>19</v>
      </c>
      <c r="K490" t="str">
        <f t="shared" si="23"/>
        <v>Platinum</v>
      </c>
      <c r="L490" t="str">
        <f>IF(Customer_Dim[[#This Row],[Age]]&lt;25,"Youth",
   IF(Customer_Dim[[#This Row],[Age]]&lt;=40,"Adult",
   IF(Customer_Dim[[#This Row],[Age]]&lt;=60,"Middle-Aged","Senior")))</f>
        <v>Youth</v>
      </c>
    </row>
    <row r="491" spans="1:12" x14ac:dyDescent="0.3">
      <c r="A491" t="s">
        <v>1504</v>
      </c>
      <c r="B491" t="s">
        <v>1505</v>
      </c>
      <c r="C491" t="str">
        <f t="shared" si="21"/>
        <v>Melinda Thomas</v>
      </c>
      <c r="D491" t="str">
        <f t="shared" si="22"/>
        <v>Melinda Thomas</v>
      </c>
      <c r="E491" s="7">
        <v>42</v>
      </c>
      <c r="F491" t="s">
        <v>16</v>
      </c>
      <c r="G491" t="s">
        <v>1506</v>
      </c>
      <c r="H491" t="s">
        <v>254</v>
      </c>
      <c r="I491" t="s">
        <v>12</v>
      </c>
      <c r="J491" t="s">
        <v>31</v>
      </c>
      <c r="K491" t="str">
        <f t="shared" si="23"/>
        <v>Silver</v>
      </c>
      <c r="L491" t="str">
        <f>IF(Customer_Dim[[#This Row],[Age]]&lt;25,"Youth",
   IF(Customer_Dim[[#This Row],[Age]]&lt;=40,"Adult",
   IF(Customer_Dim[[#This Row],[Age]]&lt;=60,"Middle-Aged","Senior")))</f>
        <v>Middle-Aged</v>
      </c>
    </row>
    <row r="492" spans="1:12" x14ac:dyDescent="0.3">
      <c r="A492" t="s">
        <v>1507</v>
      </c>
      <c r="B492" t="s">
        <v>1508</v>
      </c>
      <c r="C492" t="str">
        <f t="shared" si="21"/>
        <v>Scott Harris</v>
      </c>
      <c r="D492" t="str">
        <f t="shared" si="22"/>
        <v>Scott Harris</v>
      </c>
      <c r="E492" s="7">
        <v>23</v>
      </c>
      <c r="F492" t="s">
        <v>9</v>
      </c>
      <c r="G492" t="s">
        <v>1509</v>
      </c>
      <c r="H492" t="s">
        <v>140</v>
      </c>
      <c r="I492" t="s">
        <v>12</v>
      </c>
      <c r="J492" t="s">
        <v>19</v>
      </c>
      <c r="K492" t="str">
        <f t="shared" si="23"/>
        <v>Platinum</v>
      </c>
      <c r="L492" t="str">
        <f>IF(Customer_Dim[[#This Row],[Age]]&lt;25,"Youth",
   IF(Customer_Dim[[#This Row],[Age]]&lt;=40,"Adult",
   IF(Customer_Dim[[#This Row],[Age]]&lt;=60,"Middle-Aged","Senior")))</f>
        <v>Youth</v>
      </c>
    </row>
    <row r="493" spans="1:12" x14ac:dyDescent="0.3">
      <c r="A493" t="s">
        <v>3833</v>
      </c>
      <c r="B493" t="s">
        <v>1511</v>
      </c>
      <c r="C493" t="str">
        <f t="shared" si="21"/>
        <v>Kaitlin Brown</v>
      </c>
      <c r="D493" t="str">
        <f t="shared" si="22"/>
        <v>Kaitlin Brown</v>
      </c>
      <c r="E493" s="7">
        <v>52</v>
      </c>
      <c r="F493" t="s">
        <v>16</v>
      </c>
      <c r="G493" t="s">
        <v>1512</v>
      </c>
      <c r="H493" t="s">
        <v>39</v>
      </c>
      <c r="I493" t="s">
        <v>12</v>
      </c>
      <c r="J493" t="s">
        <v>13</v>
      </c>
      <c r="K493" t="str">
        <f t="shared" si="23"/>
        <v>Gold</v>
      </c>
      <c r="L493" t="str">
        <f>IF(Customer_Dim[[#This Row],[Age]]&lt;25,"Youth",
   IF(Customer_Dim[[#This Row],[Age]]&lt;=40,"Adult",
   IF(Customer_Dim[[#This Row],[Age]]&lt;=60,"Middle-Aged","Senior")))</f>
        <v>Middle-Aged</v>
      </c>
    </row>
    <row r="494" spans="1:12" x14ac:dyDescent="0.3">
      <c r="A494" t="s">
        <v>1513</v>
      </c>
      <c r="B494" t="s">
        <v>1514</v>
      </c>
      <c r="C494" t="str">
        <f t="shared" si="21"/>
        <v>Darrell Miller</v>
      </c>
      <c r="D494" t="str">
        <f t="shared" si="22"/>
        <v>Darrell Miller</v>
      </c>
      <c r="E494" s="7">
        <v>59</v>
      </c>
      <c r="F494" t="s">
        <v>16</v>
      </c>
      <c r="G494" t="s">
        <v>1515</v>
      </c>
      <c r="H494" t="s">
        <v>250</v>
      </c>
      <c r="I494" t="s">
        <v>12</v>
      </c>
      <c r="J494" t="s">
        <v>19</v>
      </c>
      <c r="K494" t="str">
        <f t="shared" si="23"/>
        <v>Platinum</v>
      </c>
      <c r="L494" t="str">
        <f>IF(Customer_Dim[[#This Row],[Age]]&lt;25,"Youth",
   IF(Customer_Dim[[#This Row],[Age]]&lt;=40,"Adult",
   IF(Customer_Dim[[#This Row],[Age]]&lt;=60,"Middle-Aged","Senior")))</f>
        <v>Middle-Aged</v>
      </c>
    </row>
    <row r="495" spans="1:12" x14ac:dyDescent="0.3">
      <c r="A495" t="s">
        <v>1516</v>
      </c>
      <c r="B495" t="s">
        <v>1517</v>
      </c>
      <c r="C495" t="str">
        <f t="shared" si="21"/>
        <v>Amanda Powell</v>
      </c>
      <c r="D495" t="str">
        <f t="shared" si="22"/>
        <v>Amanda Powell</v>
      </c>
      <c r="E495" s="7">
        <v>28</v>
      </c>
      <c r="F495" t="s">
        <v>9</v>
      </c>
      <c r="G495" t="s">
        <v>84</v>
      </c>
      <c r="H495" t="s">
        <v>22</v>
      </c>
      <c r="I495" t="s">
        <v>12</v>
      </c>
      <c r="J495" t="s">
        <v>31</v>
      </c>
      <c r="K495" t="str">
        <f t="shared" si="23"/>
        <v>Silver</v>
      </c>
      <c r="L495" t="str">
        <f>IF(Customer_Dim[[#This Row],[Age]]&lt;25,"Youth",
   IF(Customer_Dim[[#This Row],[Age]]&lt;=40,"Adult",
   IF(Customer_Dim[[#This Row],[Age]]&lt;=60,"Middle-Aged","Senior")))</f>
        <v>Adult</v>
      </c>
    </row>
    <row r="496" spans="1:12" x14ac:dyDescent="0.3">
      <c r="A496" t="s">
        <v>1518</v>
      </c>
      <c r="B496" t="s">
        <v>1519</v>
      </c>
      <c r="C496" t="str">
        <f t="shared" si="21"/>
        <v>Justin Lopez</v>
      </c>
      <c r="D496" t="str">
        <f t="shared" si="22"/>
        <v>Justin Lopez</v>
      </c>
      <c r="E496" s="7">
        <v>21</v>
      </c>
      <c r="F496" t="s">
        <v>9</v>
      </c>
      <c r="G496" t="s">
        <v>1520</v>
      </c>
      <c r="H496" t="s">
        <v>359</v>
      </c>
      <c r="I496" t="s">
        <v>12</v>
      </c>
      <c r="J496" t="s">
        <v>13</v>
      </c>
      <c r="K496" t="str">
        <f t="shared" si="23"/>
        <v>Gold</v>
      </c>
      <c r="L496" t="str">
        <f>IF(Customer_Dim[[#This Row],[Age]]&lt;25,"Youth",
   IF(Customer_Dim[[#This Row],[Age]]&lt;=40,"Adult",
   IF(Customer_Dim[[#This Row],[Age]]&lt;=60,"Middle-Aged","Senior")))</f>
        <v>Youth</v>
      </c>
    </row>
    <row r="497" spans="1:12" x14ac:dyDescent="0.3">
      <c r="A497" t="s">
        <v>1521</v>
      </c>
      <c r="B497" t="s">
        <v>1522</v>
      </c>
      <c r="C497" t="str">
        <f t="shared" si="21"/>
        <v>James Berger</v>
      </c>
      <c r="D497" t="str">
        <f t="shared" si="22"/>
        <v>James Berger</v>
      </c>
      <c r="E497" s="7">
        <v>23</v>
      </c>
      <c r="F497" t="s">
        <v>16</v>
      </c>
      <c r="G497" t="s">
        <v>1523</v>
      </c>
      <c r="H497" t="s">
        <v>92</v>
      </c>
      <c r="I497" t="s">
        <v>12</v>
      </c>
      <c r="J497" t="s">
        <v>26</v>
      </c>
      <c r="K497" t="str">
        <f t="shared" si="23"/>
        <v>Bronze</v>
      </c>
      <c r="L497" t="str">
        <f>IF(Customer_Dim[[#This Row],[Age]]&lt;25,"Youth",
   IF(Customer_Dim[[#This Row],[Age]]&lt;=40,"Adult",
   IF(Customer_Dim[[#This Row],[Age]]&lt;=60,"Middle-Aged","Senior")))</f>
        <v>Youth</v>
      </c>
    </row>
    <row r="498" spans="1:12" x14ac:dyDescent="0.3">
      <c r="A498" t="s">
        <v>1524</v>
      </c>
      <c r="B498" t="s">
        <v>1525</v>
      </c>
      <c r="C498" t="str">
        <f t="shared" si="21"/>
        <v>Christopher Ford</v>
      </c>
      <c r="D498" t="str">
        <f t="shared" si="22"/>
        <v>Christopher Ford</v>
      </c>
      <c r="E498" s="7">
        <v>56</v>
      </c>
      <c r="F498" t="s">
        <v>9</v>
      </c>
      <c r="G498" t="s">
        <v>1526</v>
      </c>
      <c r="H498" t="s">
        <v>25</v>
      </c>
      <c r="I498" t="s">
        <v>12</v>
      </c>
      <c r="J498" t="s">
        <v>26</v>
      </c>
      <c r="K498" t="str">
        <f t="shared" si="23"/>
        <v>Bronze</v>
      </c>
      <c r="L498" t="str">
        <f>IF(Customer_Dim[[#This Row],[Age]]&lt;25,"Youth",
   IF(Customer_Dim[[#This Row],[Age]]&lt;=40,"Adult",
   IF(Customer_Dim[[#This Row],[Age]]&lt;=60,"Middle-Aged","Senior")))</f>
        <v>Middle-Aged</v>
      </c>
    </row>
    <row r="499" spans="1:12" x14ac:dyDescent="0.3">
      <c r="A499" t="s">
        <v>1527</v>
      </c>
      <c r="B499" t="s">
        <v>1528</v>
      </c>
      <c r="C499" t="str">
        <f t="shared" si="21"/>
        <v>Sarah Marsh</v>
      </c>
      <c r="D499" t="str">
        <f t="shared" si="22"/>
        <v>Sarah Marsh</v>
      </c>
      <c r="E499" s="7">
        <v>47</v>
      </c>
      <c r="F499" t="s">
        <v>16</v>
      </c>
      <c r="G499" t="s">
        <v>1529</v>
      </c>
      <c r="H499" t="s">
        <v>58</v>
      </c>
      <c r="I499" t="s">
        <v>12</v>
      </c>
      <c r="J499" t="s">
        <v>13</v>
      </c>
      <c r="K499" t="str">
        <f t="shared" si="23"/>
        <v>Gold</v>
      </c>
      <c r="L499" t="str">
        <f>IF(Customer_Dim[[#This Row],[Age]]&lt;25,"Youth",
   IF(Customer_Dim[[#This Row],[Age]]&lt;=40,"Adult",
   IF(Customer_Dim[[#This Row],[Age]]&lt;=60,"Middle-Aged","Senior")))</f>
        <v>Middle-Aged</v>
      </c>
    </row>
    <row r="500" spans="1:12" x14ac:dyDescent="0.3">
      <c r="A500" t="s">
        <v>1530</v>
      </c>
      <c r="B500" t="s">
        <v>1531</v>
      </c>
      <c r="C500" t="str">
        <f t="shared" si="21"/>
        <v>Traci Gonzalez</v>
      </c>
      <c r="D500" t="str">
        <f t="shared" si="22"/>
        <v>Traci Gonzalez</v>
      </c>
      <c r="E500" s="7">
        <v>35</v>
      </c>
      <c r="F500" t="s">
        <v>9</v>
      </c>
      <c r="G500" t="s">
        <v>1532</v>
      </c>
      <c r="H500" t="s">
        <v>233</v>
      </c>
      <c r="I500" t="s">
        <v>12</v>
      </c>
      <c r="J500" t="s">
        <v>31</v>
      </c>
      <c r="K500" t="str">
        <f t="shared" si="23"/>
        <v>Silver</v>
      </c>
      <c r="L500" t="str">
        <f>IF(Customer_Dim[[#This Row],[Age]]&lt;25,"Youth",
   IF(Customer_Dim[[#This Row],[Age]]&lt;=40,"Adult",
   IF(Customer_Dim[[#This Row],[Age]]&lt;=60,"Middle-Aged","Senior")))</f>
        <v>Adult</v>
      </c>
    </row>
    <row r="501" spans="1:12" x14ac:dyDescent="0.3">
      <c r="A501" t="s">
        <v>3832</v>
      </c>
      <c r="B501" t="s">
        <v>1534</v>
      </c>
      <c r="C501" t="str">
        <f t="shared" si="21"/>
        <v>Philip Pennington</v>
      </c>
      <c r="D501" t="str">
        <f t="shared" si="22"/>
        <v>Philip Pennington</v>
      </c>
      <c r="E501" s="7">
        <v>27</v>
      </c>
      <c r="F501" t="s">
        <v>16</v>
      </c>
      <c r="G501" t="s">
        <v>1535</v>
      </c>
      <c r="H501" t="s">
        <v>35</v>
      </c>
      <c r="I501" t="s">
        <v>12</v>
      </c>
      <c r="J501" t="s">
        <v>19</v>
      </c>
      <c r="K501" t="str">
        <f t="shared" si="23"/>
        <v>Platinum</v>
      </c>
      <c r="L501" t="str">
        <f>IF(Customer_Dim[[#This Row],[Age]]&lt;25,"Youth",
   IF(Customer_Dim[[#This Row],[Age]]&lt;=40,"Adult",
   IF(Customer_Dim[[#This Row],[Age]]&lt;=60,"Middle-Aged","Senior")))</f>
        <v>Adult</v>
      </c>
    </row>
  </sheetData>
  <phoneticPr fontId="4"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workbookViewId="0">
      <selection activeCell="D19" sqref="D19"/>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s>
  <sheetData>
    <row r="1" spans="1:9" x14ac:dyDescent="0.3">
      <c r="A1" s="1" t="s">
        <v>1536</v>
      </c>
      <c r="B1" s="1" t="s">
        <v>1537</v>
      </c>
      <c r="C1" s="1" t="s">
        <v>1538</v>
      </c>
      <c r="D1" s="1" t="s">
        <v>1539</v>
      </c>
      <c r="E1" s="1" t="s">
        <v>1540</v>
      </c>
      <c r="F1" s="1" t="s">
        <v>1541</v>
      </c>
      <c r="G1" s="4" t="s">
        <v>3986</v>
      </c>
      <c r="H1" s="1" t="s">
        <v>1542</v>
      </c>
      <c r="I1" s="5" t="s">
        <v>3987</v>
      </c>
    </row>
    <row r="2" spans="1:9" x14ac:dyDescent="0.3">
      <c r="A2" t="s">
        <v>1543</v>
      </c>
      <c r="B2" t="s">
        <v>3843</v>
      </c>
      <c r="C2" t="s">
        <v>1563</v>
      </c>
      <c r="D2" t="s">
        <v>3844</v>
      </c>
      <c r="E2" t="s">
        <v>1545</v>
      </c>
      <c r="F2">
        <v>112.42</v>
      </c>
      <c r="G2">
        <f>IF(ISBLANK(F2),AVERAGE($F$2:$F$101),F2)</f>
        <v>112.42</v>
      </c>
      <c r="H2">
        <v>416</v>
      </c>
      <c r="I2">
        <f>IF(ISBLANK(H2),MODE($H$2:$H$101),H2)</f>
        <v>416</v>
      </c>
    </row>
    <row r="3" spans="1:9" x14ac:dyDescent="0.3">
      <c r="A3" t="s">
        <v>1546</v>
      </c>
      <c r="B3" t="s">
        <v>3845</v>
      </c>
      <c r="C3" t="s">
        <v>1547</v>
      </c>
      <c r="D3" t="s">
        <v>3846</v>
      </c>
      <c r="E3" t="s">
        <v>1548</v>
      </c>
      <c r="F3">
        <v>342.56</v>
      </c>
      <c r="G3">
        <f t="shared" ref="G3:G66" si="0">IF(ISBLANK(F3),AVERAGE($F$2:$F$101),F3)</f>
        <v>342.56</v>
      </c>
      <c r="H3">
        <v>181</v>
      </c>
      <c r="I3">
        <f t="shared" ref="I3:I66" si="1">IF(ISBLANK(H3),MODE($H$2:$H$101),H3)</f>
        <v>181</v>
      </c>
    </row>
    <row r="4" spans="1:9" x14ac:dyDescent="0.3">
      <c r="A4" t="s">
        <v>1549</v>
      </c>
      <c r="B4" t="s">
        <v>3847</v>
      </c>
      <c r="C4" t="s">
        <v>1547</v>
      </c>
      <c r="D4" t="s">
        <v>3848</v>
      </c>
      <c r="E4" t="s">
        <v>1550</v>
      </c>
      <c r="G4">
        <f t="shared" si="0"/>
        <v>254.04361702127662</v>
      </c>
      <c r="H4">
        <v>352</v>
      </c>
      <c r="I4">
        <f t="shared" si="1"/>
        <v>352</v>
      </c>
    </row>
    <row r="5" spans="1:9" x14ac:dyDescent="0.3">
      <c r="A5" t="s">
        <v>3841</v>
      </c>
      <c r="B5" t="s">
        <v>3849</v>
      </c>
      <c r="C5" t="s">
        <v>1547</v>
      </c>
      <c r="D5" t="s">
        <v>3848</v>
      </c>
      <c r="E5" t="s">
        <v>1552</v>
      </c>
      <c r="F5">
        <v>364.67</v>
      </c>
      <c r="G5">
        <f t="shared" si="0"/>
        <v>364.67</v>
      </c>
      <c r="H5">
        <v>452</v>
      </c>
      <c r="I5">
        <f t="shared" si="1"/>
        <v>452</v>
      </c>
    </row>
    <row r="6" spans="1:9" x14ac:dyDescent="0.3">
      <c r="A6" t="s">
        <v>1553</v>
      </c>
      <c r="B6" t="s">
        <v>3850</v>
      </c>
      <c r="C6" t="s">
        <v>1547</v>
      </c>
      <c r="D6" t="s">
        <v>3851</v>
      </c>
      <c r="E6" t="s">
        <v>1554</v>
      </c>
      <c r="F6">
        <v>306.45999999999998</v>
      </c>
      <c r="G6">
        <f t="shared" si="0"/>
        <v>306.45999999999998</v>
      </c>
      <c r="H6">
        <v>487</v>
      </c>
      <c r="I6">
        <f t="shared" si="1"/>
        <v>487</v>
      </c>
    </row>
    <row r="7" spans="1:9" x14ac:dyDescent="0.3">
      <c r="A7" t="s">
        <v>1555</v>
      </c>
      <c r="B7" t="s">
        <v>3852</v>
      </c>
      <c r="C7" t="s">
        <v>1547</v>
      </c>
      <c r="D7" t="s">
        <v>3853</v>
      </c>
      <c r="E7" t="s">
        <v>1556</v>
      </c>
      <c r="F7">
        <v>261</v>
      </c>
      <c r="G7">
        <f t="shared" si="0"/>
        <v>261</v>
      </c>
      <c r="H7">
        <v>59</v>
      </c>
      <c r="I7">
        <f t="shared" si="1"/>
        <v>59</v>
      </c>
    </row>
    <row r="8" spans="1:9" x14ac:dyDescent="0.3">
      <c r="A8" t="s">
        <v>1557</v>
      </c>
      <c r="B8" t="s">
        <v>3854</v>
      </c>
      <c r="C8" t="s">
        <v>1558</v>
      </c>
      <c r="D8" t="s">
        <v>3855</v>
      </c>
      <c r="E8" t="s">
        <v>1559</v>
      </c>
      <c r="F8">
        <v>312.8</v>
      </c>
      <c r="G8">
        <f t="shared" si="0"/>
        <v>312.8</v>
      </c>
      <c r="H8">
        <v>350</v>
      </c>
      <c r="I8">
        <f t="shared" si="1"/>
        <v>350</v>
      </c>
    </row>
    <row r="9" spans="1:9" x14ac:dyDescent="0.3">
      <c r="A9" t="s">
        <v>1560</v>
      </c>
      <c r="B9" t="s">
        <v>3856</v>
      </c>
      <c r="C9" t="s">
        <v>1544</v>
      </c>
      <c r="D9" t="s">
        <v>3857</v>
      </c>
      <c r="E9" t="s">
        <v>1561</v>
      </c>
      <c r="F9">
        <v>218.86</v>
      </c>
      <c r="G9">
        <f t="shared" si="0"/>
        <v>218.86</v>
      </c>
      <c r="H9">
        <v>170</v>
      </c>
      <c r="I9">
        <f t="shared" si="1"/>
        <v>170</v>
      </c>
    </row>
    <row r="10" spans="1:9" x14ac:dyDescent="0.3">
      <c r="A10" t="s">
        <v>1562</v>
      </c>
      <c r="B10" t="s">
        <v>3858</v>
      </c>
      <c r="C10" t="s">
        <v>1563</v>
      </c>
      <c r="D10" t="s">
        <v>3859</v>
      </c>
      <c r="E10" t="s">
        <v>1564</v>
      </c>
      <c r="F10">
        <v>439.07</v>
      </c>
      <c r="G10">
        <f t="shared" si="0"/>
        <v>439.07</v>
      </c>
      <c r="H10">
        <v>142</v>
      </c>
      <c r="I10">
        <f t="shared" si="1"/>
        <v>142</v>
      </c>
    </row>
    <row r="11" spans="1:9" x14ac:dyDescent="0.3">
      <c r="A11" t="s">
        <v>1565</v>
      </c>
      <c r="B11" t="s">
        <v>3860</v>
      </c>
      <c r="C11" t="s">
        <v>1566</v>
      </c>
      <c r="D11" t="s">
        <v>3861</v>
      </c>
      <c r="E11" t="s">
        <v>1567</v>
      </c>
      <c r="F11">
        <v>495.72</v>
      </c>
      <c r="G11">
        <f t="shared" si="0"/>
        <v>495.72</v>
      </c>
      <c r="H11">
        <v>323</v>
      </c>
      <c r="I11">
        <f t="shared" si="1"/>
        <v>323</v>
      </c>
    </row>
    <row r="12" spans="1:9" x14ac:dyDescent="0.3">
      <c r="A12" t="s">
        <v>1568</v>
      </c>
      <c r="B12" t="s">
        <v>3862</v>
      </c>
      <c r="C12" t="s">
        <v>1544</v>
      </c>
      <c r="D12" t="s">
        <v>3863</v>
      </c>
      <c r="E12" t="s">
        <v>1569</v>
      </c>
      <c r="F12">
        <v>298.86</v>
      </c>
      <c r="G12">
        <f t="shared" si="0"/>
        <v>298.86</v>
      </c>
      <c r="H12">
        <v>308</v>
      </c>
      <c r="I12">
        <f t="shared" si="1"/>
        <v>308</v>
      </c>
    </row>
    <row r="13" spans="1:9" x14ac:dyDescent="0.3">
      <c r="A13" t="s">
        <v>1570</v>
      </c>
      <c r="B13" t="s">
        <v>3864</v>
      </c>
      <c r="C13" t="s">
        <v>1563</v>
      </c>
      <c r="D13" t="s">
        <v>3853</v>
      </c>
      <c r="E13" t="s">
        <v>1571</v>
      </c>
      <c r="F13">
        <v>449.4</v>
      </c>
      <c r="G13">
        <f t="shared" si="0"/>
        <v>449.4</v>
      </c>
      <c r="I13">
        <f t="shared" si="1"/>
        <v>82</v>
      </c>
    </row>
    <row r="14" spans="1:9" x14ac:dyDescent="0.3">
      <c r="A14" t="s">
        <v>1572</v>
      </c>
      <c r="B14" t="s">
        <v>3865</v>
      </c>
      <c r="C14" t="s">
        <v>1558</v>
      </c>
      <c r="D14" t="s">
        <v>3866</v>
      </c>
      <c r="E14" t="s">
        <v>1573</v>
      </c>
      <c r="F14">
        <v>115.82</v>
      </c>
      <c r="G14">
        <f t="shared" si="0"/>
        <v>115.82</v>
      </c>
      <c r="H14">
        <v>460</v>
      </c>
      <c r="I14">
        <f t="shared" si="1"/>
        <v>460</v>
      </c>
    </row>
    <row r="15" spans="1:9" x14ac:dyDescent="0.3">
      <c r="A15" t="s">
        <v>1574</v>
      </c>
      <c r="B15" t="s">
        <v>3867</v>
      </c>
      <c r="C15" t="s">
        <v>1563</v>
      </c>
      <c r="D15" t="s">
        <v>3853</v>
      </c>
      <c r="E15" t="s">
        <v>1575</v>
      </c>
      <c r="F15">
        <v>242.23</v>
      </c>
      <c r="G15">
        <f t="shared" si="0"/>
        <v>242.23</v>
      </c>
      <c r="H15">
        <v>453</v>
      </c>
      <c r="I15">
        <f t="shared" si="1"/>
        <v>453</v>
      </c>
    </row>
    <row r="16" spans="1:9" x14ac:dyDescent="0.3">
      <c r="A16" t="s">
        <v>1576</v>
      </c>
      <c r="B16" t="s">
        <v>3868</v>
      </c>
      <c r="C16" t="s">
        <v>1544</v>
      </c>
      <c r="D16" t="s">
        <v>3869</v>
      </c>
      <c r="E16" t="s">
        <v>1577</v>
      </c>
      <c r="F16">
        <v>48.01</v>
      </c>
      <c r="G16">
        <f t="shared" si="0"/>
        <v>48.01</v>
      </c>
      <c r="H16">
        <v>439</v>
      </c>
      <c r="I16">
        <f t="shared" si="1"/>
        <v>439</v>
      </c>
    </row>
    <row r="17" spans="1:9" x14ac:dyDescent="0.3">
      <c r="A17" t="s">
        <v>1578</v>
      </c>
      <c r="B17" t="s">
        <v>3870</v>
      </c>
      <c r="C17" t="s">
        <v>1563</v>
      </c>
      <c r="D17" t="s">
        <v>3871</v>
      </c>
      <c r="E17" t="s">
        <v>1579</v>
      </c>
      <c r="F17">
        <v>465.34</v>
      </c>
      <c r="G17">
        <f t="shared" si="0"/>
        <v>465.34</v>
      </c>
      <c r="H17">
        <v>301</v>
      </c>
      <c r="I17">
        <f t="shared" si="1"/>
        <v>301</v>
      </c>
    </row>
    <row r="18" spans="1:9" x14ac:dyDescent="0.3">
      <c r="A18" t="s">
        <v>3842</v>
      </c>
      <c r="B18" t="s">
        <v>3872</v>
      </c>
      <c r="C18" t="s">
        <v>1558</v>
      </c>
      <c r="D18" t="s">
        <v>3873</v>
      </c>
      <c r="E18" t="s">
        <v>1581</v>
      </c>
      <c r="F18">
        <v>337.42</v>
      </c>
      <c r="G18">
        <f t="shared" si="0"/>
        <v>337.42</v>
      </c>
      <c r="H18">
        <v>256</v>
      </c>
      <c r="I18">
        <f t="shared" si="1"/>
        <v>256</v>
      </c>
    </row>
    <row r="19" spans="1:9" x14ac:dyDescent="0.3">
      <c r="A19" t="s">
        <v>1582</v>
      </c>
      <c r="B19" t="s">
        <v>3874</v>
      </c>
      <c r="C19" t="s">
        <v>1566</v>
      </c>
      <c r="D19" t="s">
        <v>3853</v>
      </c>
      <c r="E19" t="s">
        <v>1583</v>
      </c>
      <c r="F19">
        <v>144.53</v>
      </c>
      <c r="G19">
        <f t="shared" si="0"/>
        <v>144.53</v>
      </c>
      <c r="H19">
        <v>367</v>
      </c>
      <c r="I19">
        <f t="shared" si="1"/>
        <v>367</v>
      </c>
    </row>
    <row r="20" spans="1:9" x14ac:dyDescent="0.3">
      <c r="A20" t="s">
        <v>1584</v>
      </c>
      <c r="B20" t="s">
        <v>3875</v>
      </c>
      <c r="C20" t="s">
        <v>1547</v>
      </c>
      <c r="D20" t="s">
        <v>3851</v>
      </c>
      <c r="E20" t="s">
        <v>1585</v>
      </c>
      <c r="G20">
        <f t="shared" si="0"/>
        <v>254.04361702127662</v>
      </c>
      <c r="H20">
        <v>343</v>
      </c>
      <c r="I20">
        <f t="shared" si="1"/>
        <v>343</v>
      </c>
    </row>
    <row r="21" spans="1:9" x14ac:dyDescent="0.3">
      <c r="A21" t="s">
        <v>1586</v>
      </c>
      <c r="B21" t="s">
        <v>3876</v>
      </c>
      <c r="C21" t="s">
        <v>1566</v>
      </c>
      <c r="D21" t="s">
        <v>3877</v>
      </c>
      <c r="E21" t="s">
        <v>1587</v>
      </c>
      <c r="F21">
        <v>21.34</v>
      </c>
      <c r="G21">
        <f t="shared" si="0"/>
        <v>21.34</v>
      </c>
      <c r="H21">
        <v>65</v>
      </c>
      <c r="I21">
        <f t="shared" si="1"/>
        <v>65</v>
      </c>
    </row>
    <row r="22" spans="1:9" x14ac:dyDescent="0.3">
      <c r="A22" t="s">
        <v>1588</v>
      </c>
      <c r="B22" t="s">
        <v>3878</v>
      </c>
      <c r="C22" t="s">
        <v>1566</v>
      </c>
      <c r="D22" t="s">
        <v>3853</v>
      </c>
      <c r="E22" t="s">
        <v>1589</v>
      </c>
      <c r="F22">
        <v>131.51</v>
      </c>
      <c r="G22">
        <f t="shared" si="0"/>
        <v>131.51</v>
      </c>
      <c r="I22">
        <f t="shared" si="1"/>
        <v>82</v>
      </c>
    </row>
    <row r="23" spans="1:9" x14ac:dyDescent="0.3">
      <c r="A23" t="s">
        <v>1590</v>
      </c>
      <c r="B23" t="s">
        <v>3879</v>
      </c>
      <c r="C23" t="s">
        <v>1544</v>
      </c>
      <c r="D23" t="s">
        <v>3880</v>
      </c>
      <c r="E23" t="s">
        <v>1591</v>
      </c>
      <c r="F23">
        <v>123.46</v>
      </c>
      <c r="G23">
        <f t="shared" si="0"/>
        <v>123.46</v>
      </c>
      <c r="H23">
        <v>76</v>
      </c>
      <c r="I23">
        <f t="shared" si="1"/>
        <v>76</v>
      </c>
    </row>
    <row r="24" spans="1:9" x14ac:dyDescent="0.3">
      <c r="A24" t="s">
        <v>1592</v>
      </c>
      <c r="B24" t="s">
        <v>3881</v>
      </c>
      <c r="C24" t="s">
        <v>1566</v>
      </c>
      <c r="D24" t="s">
        <v>3877</v>
      </c>
      <c r="E24" t="s">
        <v>1593</v>
      </c>
      <c r="F24">
        <v>484.62</v>
      </c>
      <c r="G24">
        <f t="shared" si="0"/>
        <v>484.62</v>
      </c>
      <c r="H24">
        <v>432</v>
      </c>
      <c r="I24">
        <f t="shared" si="1"/>
        <v>432</v>
      </c>
    </row>
    <row r="25" spans="1:9" x14ac:dyDescent="0.3">
      <c r="A25" t="s">
        <v>1594</v>
      </c>
      <c r="B25" t="s">
        <v>3882</v>
      </c>
      <c r="C25" t="s">
        <v>1547</v>
      </c>
      <c r="D25" t="s">
        <v>3846</v>
      </c>
      <c r="E25" t="s">
        <v>1595</v>
      </c>
      <c r="G25">
        <f t="shared" si="0"/>
        <v>254.04361702127662</v>
      </c>
      <c r="H25">
        <v>360</v>
      </c>
      <c r="I25">
        <f t="shared" si="1"/>
        <v>360</v>
      </c>
    </row>
    <row r="26" spans="1:9" x14ac:dyDescent="0.3">
      <c r="A26" t="s">
        <v>1596</v>
      </c>
      <c r="B26" t="s">
        <v>3883</v>
      </c>
      <c r="C26" t="s">
        <v>1566</v>
      </c>
      <c r="D26" t="s">
        <v>3884</v>
      </c>
      <c r="E26" t="s">
        <v>1597</v>
      </c>
      <c r="F26">
        <v>166.06</v>
      </c>
      <c r="G26">
        <f t="shared" si="0"/>
        <v>166.06</v>
      </c>
      <c r="H26">
        <v>340</v>
      </c>
      <c r="I26">
        <f t="shared" si="1"/>
        <v>340</v>
      </c>
    </row>
    <row r="27" spans="1:9" x14ac:dyDescent="0.3">
      <c r="A27" t="s">
        <v>1598</v>
      </c>
      <c r="B27" t="s">
        <v>3885</v>
      </c>
      <c r="C27" t="s">
        <v>1547</v>
      </c>
      <c r="D27" t="s">
        <v>3853</v>
      </c>
      <c r="E27" t="s">
        <v>1599</v>
      </c>
      <c r="F27">
        <v>174.02</v>
      </c>
      <c r="G27">
        <f t="shared" si="0"/>
        <v>174.02</v>
      </c>
      <c r="H27">
        <v>268</v>
      </c>
      <c r="I27">
        <f t="shared" si="1"/>
        <v>268</v>
      </c>
    </row>
    <row r="28" spans="1:9" x14ac:dyDescent="0.3">
      <c r="A28" t="s">
        <v>1600</v>
      </c>
      <c r="B28" t="s">
        <v>3886</v>
      </c>
      <c r="C28" t="s">
        <v>1563</v>
      </c>
      <c r="D28" t="s">
        <v>3859</v>
      </c>
      <c r="E28" t="s">
        <v>1601</v>
      </c>
      <c r="F28">
        <v>322.41000000000003</v>
      </c>
      <c r="G28">
        <f t="shared" si="0"/>
        <v>322.41000000000003</v>
      </c>
      <c r="H28">
        <v>213</v>
      </c>
      <c r="I28">
        <f t="shared" si="1"/>
        <v>213</v>
      </c>
    </row>
    <row r="29" spans="1:9" x14ac:dyDescent="0.3">
      <c r="A29" t="s">
        <v>1602</v>
      </c>
      <c r="B29" t="s">
        <v>3887</v>
      </c>
      <c r="C29" t="s">
        <v>1544</v>
      </c>
      <c r="D29" t="s">
        <v>3869</v>
      </c>
      <c r="E29" t="s">
        <v>1603</v>
      </c>
      <c r="G29">
        <f t="shared" si="0"/>
        <v>254.04361702127662</v>
      </c>
      <c r="H29">
        <v>378</v>
      </c>
      <c r="I29">
        <f t="shared" si="1"/>
        <v>378</v>
      </c>
    </row>
    <row r="30" spans="1:9" x14ac:dyDescent="0.3">
      <c r="A30" t="s">
        <v>1604</v>
      </c>
      <c r="B30" t="s">
        <v>3888</v>
      </c>
      <c r="C30" t="s">
        <v>1566</v>
      </c>
      <c r="D30" t="s">
        <v>3853</v>
      </c>
      <c r="E30" t="s">
        <v>1605</v>
      </c>
      <c r="F30">
        <v>38.76</v>
      </c>
      <c r="G30">
        <f t="shared" si="0"/>
        <v>38.76</v>
      </c>
      <c r="H30">
        <v>137</v>
      </c>
      <c r="I30">
        <f t="shared" si="1"/>
        <v>137</v>
      </c>
    </row>
    <row r="31" spans="1:9" x14ac:dyDescent="0.3">
      <c r="A31" t="s">
        <v>1606</v>
      </c>
      <c r="B31" t="s">
        <v>3889</v>
      </c>
      <c r="C31" t="s">
        <v>1544</v>
      </c>
      <c r="D31" t="s">
        <v>3869</v>
      </c>
      <c r="E31" t="s">
        <v>1607</v>
      </c>
      <c r="F31">
        <v>218.48</v>
      </c>
      <c r="G31">
        <f t="shared" si="0"/>
        <v>218.48</v>
      </c>
      <c r="H31">
        <v>276</v>
      </c>
      <c r="I31">
        <f t="shared" si="1"/>
        <v>276</v>
      </c>
    </row>
    <row r="32" spans="1:9" x14ac:dyDescent="0.3">
      <c r="A32" t="s">
        <v>1608</v>
      </c>
      <c r="B32" t="s">
        <v>3890</v>
      </c>
      <c r="C32" t="s">
        <v>1544</v>
      </c>
      <c r="D32" t="s">
        <v>3863</v>
      </c>
      <c r="E32" t="s">
        <v>1609</v>
      </c>
      <c r="F32">
        <v>19.52</v>
      </c>
      <c r="G32">
        <f t="shared" si="0"/>
        <v>19.52</v>
      </c>
      <c r="H32">
        <v>57</v>
      </c>
      <c r="I32">
        <f t="shared" si="1"/>
        <v>57</v>
      </c>
    </row>
    <row r="33" spans="1:9" x14ac:dyDescent="0.3">
      <c r="A33" t="s">
        <v>1610</v>
      </c>
      <c r="B33" t="s">
        <v>3891</v>
      </c>
      <c r="C33" t="s">
        <v>1566</v>
      </c>
      <c r="D33" t="s">
        <v>3892</v>
      </c>
      <c r="E33" t="s">
        <v>1611</v>
      </c>
      <c r="F33">
        <v>204.39</v>
      </c>
      <c r="G33">
        <f t="shared" si="0"/>
        <v>204.39</v>
      </c>
      <c r="H33">
        <v>281</v>
      </c>
      <c r="I33">
        <f t="shared" si="1"/>
        <v>281</v>
      </c>
    </row>
    <row r="34" spans="1:9" x14ac:dyDescent="0.3">
      <c r="A34" t="s">
        <v>1612</v>
      </c>
      <c r="B34" t="s">
        <v>3893</v>
      </c>
      <c r="C34" t="s">
        <v>1558</v>
      </c>
      <c r="D34" t="s">
        <v>3855</v>
      </c>
      <c r="E34" t="s">
        <v>1613</v>
      </c>
      <c r="F34">
        <v>283.83</v>
      </c>
      <c r="G34">
        <f t="shared" si="0"/>
        <v>283.83</v>
      </c>
      <c r="H34">
        <v>244</v>
      </c>
      <c r="I34">
        <f t="shared" si="1"/>
        <v>244</v>
      </c>
    </row>
    <row r="35" spans="1:9" x14ac:dyDescent="0.3">
      <c r="A35" t="s">
        <v>1614</v>
      </c>
      <c r="B35" t="s">
        <v>3894</v>
      </c>
      <c r="C35" t="s">
        <v>1544</v>
      </c>
      <c r="D35" t="s">
        <v>3869</v>
      </c>
      <c r="E35" t="s">
        <v>1615</v>
      </c>
      <c r="F35">
        <v>179.77</v>
      </c>
      <c r="G35">
        <f t="shared" si="0"/>
        <v>179.77</v>
      </c>
      <c r="H35">
        <v>305</v>
      </c>
      <c r="I35">
        <f t="shared" si="1"/>
        <v>305</v>
      </c>
    </row>
    <row r="36" spans="1:9" x14ac:dyDescent="0.3">
      <c r="A36" t="s">
        <v>1616</v>
      </c>
      <c r="B36" t="s">
        <v>3895</v>
      </c>
      <c r="C36" t="s">
        <v>1563</v>
      </c>
      <c r="D36" t="s">
        <v>3844</v>
      </c>
      <c r="E36" t="s">
        <v>1617</v>
      </c>
      <c r="F36">
        <v>419.28</v>
      </c>
      <c r="G36">
        <f t="shared" si="0"/>
        <v>419.28</v>
      </c>
      <c r="H36">
        <v>86</v>
      </c>
      <c r="I36">
        <f t="shared" si="1"/>
        <v>86</v>
      </c>
    </row>
    <row r="37" spans="1:9" x14ac:dyDescent="0.3">
      <c r="A37" t="s">
        <v>1618</v>
      </c>
      <c r="B37" t="s">
        <v>3896</v>
      </c>
      <c r="C37" t="s">
        <v>1544</v>
      </c>
      <c r="D37" t="s">
        <v>3857</v>
      </c>
      <c r="E37" t="s">
        <v>1619</v>
      </c>
      <c r="F37">
        <v>382.22</v>
      </c>
      <c r="G37">
        <f t="shared" si="0"/>
        <v>382.22</v>
      </c>
      <c r="H37">
        <v>329</v>
      </c>
      <c r="I37">
        <f t="shared" si="1"/>
        <v>329</v>
      </c>
    </row>
    <row r="38" spans="1:9" x14ac:dyDescent="0.3">
      <c r="A38" t="s">
        <v>1620</v>
      </c>
      <c r="B38" t="s">
        <v>3897</v>
      </c>
      <c r="C38" t="s">
        <v>1547</v>
      </c>
      <c r="D38" t="s">
        <v>3846</v>
      </c>
      <c r="E38" t="s">
        <v>1621</v>
      </c>
      <c r="F38">
        <v>223.43</v>
      </c>
      <c r="G38">
        <f t="shared" si="0"/>
        <v>223.43</v>
      </c>
      <c r="H38">
        <v>154</v>
      </c>
      <c r="I38">
        <f t="shared" si="1"/>
        <v>154</v>
      </c>
    </row>
    <row r="39" spans="1:9" x14ac:dyDescent="0.3">
      <c r="A39" t="s">
        <v>1622</v>
      </c>
      <c r="B39" t="s">
        <v>3898</v>
      </c>
      <c r="C39" t="s">
        <v>1547</v>
      </c>
      <c r="D39" t="s">
        <v>3899</v>
      </c>
      <c r="E39" t="s">
        <v>1623</v>
      </c>
      <c r="F39">
        <v>353.47</v>
      </c>
      <c r="G39">
        <f t="shared" si="0"/>
        <v>353.47</v>
      </c>
      <c r="H39">
        <v>214</v>
      </c>
      <c r="I39">
        <f t="shared" si="1"/>
        <v>214</v>
      </c>
    </row>
    <row r="40" spans="1:9" x14ac:dyDescent="0.3">
      <c r="A40" t="s">
        <v>1624</v>
      </c>
      <c r="B40" t="s">
        <v>3900</v>
      </c>
      <c r="C40" t="s">
        <v>1566</v>
      </c>
      <c r="D40" t="s">
        <v>3884</v>
      </c>
      <c r="E40" t="s">
        <v>1625</v>
      </c>
      <c r="F40">
        <v>135.61000000000001</v>
      </c>
      <c r="G40">
        <f t="shared" si="0"/>
        <v>135.61000000000001</v>
      </c>
      <c r="H40">
        <v>394</v>
      </c>
      <c r="I40">
        <f t="shared" si="1"/>
        <v>394</v>
      </c>
    </row>
    <row r="41" spans="1:9" x14ac:dyDescent="0.3">
      <c r="A41" t="s">
        <v>1626</v>
      </c>
      <c r="B41" t="s">
        <v>3901</v>
      </c>
      <c r="C41" t="s">
        <v>1563</v>
      </c>
      <c r="D41" t="s">
        <v>3902</v>
      </c>
      <c r="E41" t="s">
        <v>1627</v>
      </c>
      <c r="F41">
        <v>326.06</v>
      </c>
      <c r="G41">
        <f t="shared" si="0"/>
        <v>326.06</v>
      </c>
      <c r="H41">
        <v>301</v>
      </c>
      <c r="I41">
        <f t="shared" si="1"/>
        <v>301</v>
      </c>
    </row>
    <row r="42" spans="1:9" x14ac:dyDescent="0.3">
      <c r="A42" t="s">
        <v>1628</v>
      </c>
      <c r="B42" t="s">
        <v>3903</v>
      </c>
      <c r="C42" t="s">
        <v>1563</v>
      </c>
      <c r="D42" t="s">
        <v>3859</v>
      </c>
      <c r="E42" t="s">
        <v>1629</v>
      </c>
      <c r="F42">
        <v>38.520000000000003</v>
      </c>
      <c r="G42">
        <f t="shared" si="0"/>
        <v>38.520000000000003</v>
      </c>
      <c r="H42">
        <v>378</v>
      </c>
      <c r="I42">
        <f t="shared" si="1"/>
        <v>378</v>
      </c>
    </row>
    <row r="43" spans="1:9" x14ac:dyDescent="0.3">
      <c r="A43" t="s">
        <v>1630</v>
      </c>
      <c r="B43" t="s">
        <v>3904</v>
      </c>
      <c r="C43" t="s">
        <v>1566</v>
      </c>
      <c r="D43" t="s">
        <v>3861</v>
      </c>
      <c r="E43" t="s">
        <v>1631</v>
      </c>
      <c r="F43">
        <v>313.26</v>
      </c>
      <c r="G43">
        <f t="shared" si="0"/>
        <v>313.26</v>
      </c>
      <c r="H43">
        <v>369</v>
      </c>
      <c r="I43">
        <f t="shared" si="1"/>
        <v>369</v>
      </c>
    </row>
    <row r="44" spans="1:9" x14ac:dyDescent="0.3">
      <c r="A44" t="s">
        <v>1632</v>
      </c>
      <c r="B44" t="s">
        <v>3905</v>
      </c>
      <c r="C44" t="s">
        <v>1563</v>
      </c>
      <c r="D44" t="s">
        <v>3853</v>
      </c>
      <c r="E44" t="s">
        <v>1633</v>
      </c>
      <c r="F44">
        <v>450.71</v>
      </c>
      <c r="G44">
        <f t="shared" si="0"/>
        <v>450.71</v>
      </c>
      <c r="H44">
        <v>389</v>
      </c>
      <c r="I44">
        <f t="shared" si="1"/>
        <v>389</v>
      </c>
    </row>
    <row r="45" spans="1:9" x14ac:dyDescent="0.3">
      <c r="A45" t="s">
        <v>1634</v>
      </c>
      <c r="B45" t="s">
        <v>3906</v>
      </c>
      <c r="C45" t="s">
        <v>1563</v>
      </c>
      <c r="D45" t="s">
        <v>3844</v>
      </c>
      <c r="E45" t="s">
        <v>1635</v>
      </c>
      <c r="F45">
        <v>253.33</v>
      </c>
      <c r="G45">
        <f t="shared" si="0"/>
        <v>253.33</v>
      </c>
      <c r="H45">
        <v>266</v>
      </c>
      <c r="I45">
        <f t="shared" si="1"/>
        <v>266</v>
      </c>
    </row>
    <row r="46" spans="1:9" x14ac:dyDescent="0.3">
      <c r="A46" t="s">
        <v>1636</v>
      </c>
      <c r="B46" t="s">
        <v>3907</v>
      </c>
      <c r="C46" t="s">
        <v>1566</v>
      </c>
      <c r="D46" t="s">
        <v>3861</v>
      </c>
      <c r="E46" t="s">
        <v>1637</v>
      </c>
      <c r="F46">
        <v>167.12</v>
      </c>
      <c r="G46">
        <f t="shared" si="0"/>
        <v>167.12</v>
      </c>
      <c r="H46">
        <v>316</v>
      </c>
      <c r="I46">
        <f t="shared" si="1"/>
        <v>316</v>
      </c>
    </row>
    <row r="47" spans="1:9" x14ac:dyDescent="0.3">
      <c r="A47" t="s">
        <v>1638</v>
      </c>
      <c r="B47" t="s">
        <v>3908</v>
      </c>
      <c r="C47" t="s">
        <v>1566</v>
      </c>
      <c r="D47" t="s">
        <v>3892</v>
      </c>
      <c r="E47" t="s">
        <v>1639</v>
      </c>
      <c r="F47">
        <v>318.91000000000003</v>
      </c>
      <c r="G47">
        <f t="shared" si="0"/>
        <v>318.91000000000003</v>
      </c>
      <c r="H47">
        <v>114</v>
      </c>
      <c r="I47">
        <f t="shared" si="1"/>
        <v>114</v>
      </c>
    </row>
    <row r="48" spans="1:9" x14ac:dyDescent="0.3">
      <c r="A48" t="s">
        <v>1640</v>
      </c>
      <c r="B48" t="s">
        <v>3909</v>
      </c>
      <c r="C48" t="s">
        <v>1547</v>
      </c>
      <c r="D48" t="s">
        <v>3848</v>
      </c>
      <c r="E48" t="s">
        <v>1641</v>
      </c>
      <c r="F48">
        <v>167.34</v>
      </c>
      <c r="G48">
        <f t="shared" si="0"/>
        <v>167.34</v>
      </c>
      <c r="H48">
        <v>296</v>
      </c>
      <c r="I48">
        <f t="shared" si="1"/>
        <v>296</v>
      </c>
    </row>
    <row r="49" spans="1:9" x14ac:dyDescent="0.3">
      <c r="A49" t="s">
        <v>1642</v>
      </c>
      <c r="B49" t="s">
        <v>3910</v>
      </c>
      <c r="C49" t="s">
        <v>1558</v>
      </c>
      <c r="D49" t="s">
        <v>3911</v>
      </c>
      <c r="E49" t="s">
        <v>1643</v>
      </c>
      <c r="G49">
        <f t="shared" si="0"/>
        <v>254.04361702127662</v>
      </c>
      <c r="H49">
        <v>431</v>
      </c>
      <c r="I49">
        <f t="shared" si="1"/>
        <v>431</v>
      </c>
    </row>
    <row r="50" spans="1:9" x14ac:dyDescent="0.3">
      <c r="A50" t="s">
        <v>1644</v>
      </c>
      <c r="B50" t="s">
        <v>3912</v>
      </c>
      <c r="C50" t="s">
        <v>1563</v>
      </c>
      <c r="D50" t="s">
        <v>3853</v>
      </c>
      <c r="E50" t="s">
        <v>1645</v>
      </c>
      <c r="F50">
        <v>177.98</v>
      </c>
      <c r="G50">
        <f t="shared" si="0"/>
        <v>177.98</v>
      </c>
      <c r="H50">
        <v>103</v>
      </c>
      <c r="I50">
        <f t="shared" si="1"/>
        <v>103</v>
      </c>
    </row>
    <row r="51" spans="1:9" x14ac:dyDescent="0.3">
      <c r="A51" t="s">
        <v>1646</v>
      </c>
      <c r="B51" t="s">
        <v>3913</v>
      </c>
      <c r="C51" t="s">
        <v>1558</v>
      </c>
      <c r="D51" t="s">
        <v>3914</v>
      </c>
      <c r="E51" t="s">
        <v>1647</v>
      </c>
      <c r="F51">
        <v>43.29</v>
      </c>
      <c r="G51">
        <f t="shared" si="0"/>
        <v>43.29</v>
      </c>
      <c r="H51">
        <v>267</v>
      </c>
      <c r="I51">
        <f t="shared" si="1"/>
        <v>267</v>
      </c>
    </row>
    <row r="52" spans="1:9" x14ac:dyDescent="0.3">
      <c r="A52" t="s">
        <v>1648</v>
      </c>
      <c r="B52" t="s">
        <v>3915</v>
      </c>
      <c r="C52" t="s">
        <v>1566</v>
      </c>
      <c r="D52" t="s">
        <v>3861</v>
      </c>
      <c r="E52" t="s">
        <v>1649</v>
      </c>
      <c r="F52">
        <v>190.29</v>
      </c>
      <c r="G52">
        <f t="shared" si="0"/>
        <v>190.29</v>
      </c>
      <c r="H52">
        <v>260</v>
      </c>
      <c r="I52">
        <f t="shared" si="1"/>
        <v>260</v>
      </c>
    </row>
    <row r="53" spans="1:9" x14ac:dyDescent="0.3">
      <c r="A53" t="s">
        <v>1650</v>
      </c>
      <c r="B53" t="s">
        <v>3916</v>
      </c>
      <c r="C53" t="s">
        <v>1563</v>
      </c>
      <c r="D53" t="s">
        <v>3853</v>
      </c>
      <c r="E53" t="s">
        <v>1651</v>
      </c>
      <c r="F53">
        <v>88.49</v>
      </c>
      <c r="G53">
        <f t="shared" si="0"/>
        <v>88.49</v>
      </c>
      <c r="H53">
        <v>246</v>
      </c>
      <c r="I53">
        <f t="shared" si="1"/>
        <v>246</v>
      </c>
    </row>
    <row r="54" spans="1:9" x14ac:dyDescent="0.3">
      <c r="A54" t="s">
        <v>1652</v>
      </c>
      <c r="B54" t="s">
        <v>3917</v>
      </c>
      <c r="C54" t="s">
        <v>1566</v>
      </c>
      <c r="D54" t="s">
        <v>3892</v>
      </c>
      <c r="E54" t="s">
        <v>1653</v>
      </c>
      <c r="F54">
        <v>212.26</v>
      </c>
      <c r="G54">
        <f t="shared" si="0"/>
        <v>212.26</v>
      </c>
      <c r="H54">
        <v>82</v>
      </c>
      <c r="I54">
        <f t="shared" si="1"/>
        <v>82</v>
      </c>
    </row>
    <row r="55" spans="1:9" x14ac:dyDescent="0.3">
      <c r="A55" t="s">
        <v>1654</v>
      </c>
      <c r="B55" t="s">
        <v>3918</v>
      </c>
      <c r="C55" t="s">
        <v>1547</v>
      </c>
      <c r="D55" t="s">
        <v>3851</v>
      </c>
      <c r="E55" t="s">
        <v>1655</v>
      </c>
      <c r="F55">
        <v>386.56</v>
      </c>
      <c r="G55">
        <f t="shared" si="0"/>
        <v>386.56</v>
      </c>
      <c r="H55">
        <v>125</v>
      </c>
      <c r="I55">
        <f t="shared" si="1"/>
        <v>125</v>
      </c>
    </row>
    <row r="56" spans="1:9" x14ac:dyDescent="0.3">
      <c r="A56" t="s">
        <v>1656</v>
      </c>
      <c r="B56" t="s">
        <v>3919</v>
      </c>
      <c r="C56" t="s">
        <v>1566</v>
      </c>
      <c r="D56" t="s">
        <v>3853</v>
      </c>
      <c r="E56" t="s">
        <v>1657</v>
      </c>
      <c r="F56">
        <v>434.84</v>
      </c>
      <c r="G56">
        <f t="shared" si="0"/>
        <v>434.84</v>
      </c>
      <c r="H56">
        <v>185</v>
      </c>
      <c r="I56">
        <f t="shared" si="1"/>
        <v>185</v>
      </c>
    </row>
    <row r="57" spans="1:9" x14ac:dyDescent="0.3">
      <c r="A57" t="s">
        <v>1658</v>
      </c>
      <c r="B57" t="s">
        <v>3920</v>
      </c>
      <c r="C57" t="s">
        <v>1544</v>
      </c>
      <c r="D57" t="s">
        <v>3869</v>
      </c>
      <c r="E57" t="s">
        <v>1659</v>
      </c>
      <c r="F57">
        <v>81.75</v>
      </c>
      <c r="G57">
        <f t="shared" si="0"/>
        <v>81.75</v>
      </c>
      <c r="I57">
        <f t="shared" si="1"/>
        <v>82</v>
      </c>
    </row>
    <row r="58" spans="1:9" x14ac:dyDescent="0.3">
      <c r="A58" t="s">
        <v>1660</v>
      </c>
      <c r="B58" t="s">
        <v>3921</v>
      </c>
      <c r="C58" t="s">
        <v>1544</v>
      </c>
      <c r="D58" t="s">
        <v>3869</v>
      </c>
      <c r="E58" t="s">
        <v>1661</v>
      </c>
      <c r="F58">
        <v>461.47</v>
      </c>
      <c r="G58">
        <f t="shared" si="0"/>
        <v>461.47</v>
      </c>
      <c r="H58">
        <v>190</v>
      </c>
      <c r="I58">
        <f t="shared" si="1"/>
        <v>190</v>
      </c>
    </row>
    <row r="59" spans="1:9" x14ac:dyDescent="0.3">
      <c r="A59" t="s">
        <v>1662</v>
      </c>
      <c r="B59" t="s">
        <v>3922</v>
      </c>
      <c r="C59" t="s">
        <v>1566</v>
      </c>
      <c r="D59" t="s">
        <v>3861</v>
      </c>
      <c r="E59" t="s">
        <v>1663</v>
      </c>
      <c r="F59">
        <v>30.62</v>
      </c>
      <c r="G59">
        <f t="shared" si="0"/>
        <v>30.62</v>
      </c>
      <c r="H59">
        <v>138</v>
      </c>
      <c r="I59">
        <f t="shared" si="1"/>
        <v>138</v>
      </c>
    </row>
    <row r="60" spans="1:9" x14ac:dyDescent="0.3">
      <c r="A60" t="s">
        <v>1664</v>
      </c>
      <c r="B60" t="s">
        <v>3923</v>
      </c>
      <c r="C60" t="s">
        <v>1547</v>
      </c>
      <c r="D60" t="s">
        <v>3853</v>
      </c>
      <c r="E60" t="s">
        <v>1665</v>
      </c>
      <c r="F60">
        <v>113.83</v>
      </c>
      <c r="G60">
        <f t="shared" si="0"/>
        <v>113.83</v>
      </c>
      <c r="H60">
        <v>485</v>
      </c>
      <c r="I60">
        <f t="shared" si="1"/>
        <v>485</v>
      </c>
    </row>
    <row r="61" spans="1:9" x14ac:dyDescent="0.3">
      <c r="A61" t="s">
        <v>1666</v>
      </c>
      <c r="B61" t="s">
        <v>3924</v>
      </c>
      <c r="C61" t="s">
        <v>1558</v>
      </c>
      <c r="D61" t="s">
        <v>3866</v>
      </c>
      <c r="E61" t="s">
        <v>1667</v>
      </c>
      <c r="F61">
        <v>17.309999999999999</v>
      </c>
      <c r="G61">
        <f t="shared" si="0"/>
        <v>17.309999999999999</v>
      </c>
      <c r="H61">
        <v>399</v>
      </c>
      <c r="I61">
        <f t="shared" si="1"/>
        <v>399</v>
      </c>
    </row>
    <row r="62" spans="1:9" x14ac:dyDescent="0.3">
      <c r="A62" t="s">
        <v>1668</v>
      </c>
      <c r="B62" t="s">
        <v>3925</v>
      </c>
      <c r="C62" t="s">
        <v>1558</v>
      </c>
      <c r="D62" t="s">
        <v>3914</v>
      </c>
      <c r="E62" t="s">
        <v>1669</v>
      </c>
      <c r="F62">
        <v>482.75</v>
      </c>
      <c r="G62">
        <f t="shared" si="0"/>
        <v>482.75</v>
      </c>
      <c r="H62">
        <v>444</v>
      </c>
      <c r="I62">
        <f t="shared" si="1"/>
        <v>444</v>
      </c>
    </row>
    <row r="63" spans="1:9" x14ac:dyDescent="0.3">
      <c r="A63" t="s">
        <v>1670</v>
      </c>
      <c r="B63" t="s">
        <v>3926</v>
      </c>
      <c r="C63" t="s">
        <v>1566</v>
      </c>
      <c r="D63" t="s">
        <v>3877</v>
      </c>
      <c r="E63" t="s">
        <v>1671</v>
      </c>
      <c r="F63">
        <v>103.45</v>
      </c>
      <c r="G63">
        <f t="shared" si="0"/>
        <v>103.45</v>
      </c>
      <c r="H63">
        <v>465</v>
      </c>
      <c r="I63">
        <f t="shared" si="1"/>
        <v>465</v>
      </c>
    </row>
    <row r="64" spans="1:9" x14ac:dyDescent="0.3">
      <c r="A64" t="s">
        <v>1672</v>
      </c>
      <c r="B64" t="s">
        <v>3927</v>
      </c>
      <c r="C64" t="s">
        <v>1563</v>
      </c>
      <c r="D64" t="s">
        <v>3844</v>
      </c>
      <c r="E64" t="s">
        <v>1673</v>
      </c>
      <c r="F64">
        <v>86.42</v>
      </c>
      <c r="G64">
        <f t="shared" si="0"/>
        <v>86.42</v>
      </c>
      <c r="H64">
        <v>222</v>
      </c>
      <c r="I64">
        <f t="shared" si="1"/>
        <v>222</v>
      </c>
    </row>
    <row r="65" spans="1:9" x14ac:dyDescent="0.3">
      <c r="A65" t="s">
        <v>1674</v>
      </c>
      <c r="B65" t="s">
        <v>3928</v>
      </c>
      <c r="C65" t="s">
        <v>1558</v>
      </c>
      <c r="D65" t="s">
        <v>3855</v>
      </c>
      <c r="E65" t="s">
        <v>1675</v>
      </c>
      <c r="F65">
        <v>266.86</v>
      </c>
      <c r="G65">
        <f t="shared" si="0"/>
        <v>266.86</v>
      </c>
      <c r="H65">
        <v>458</v>
      </c>
      <c r="I65">
        <f t="shared" si="1"/>
        <v>458</v>
      </c>
    </row>
    <row r="66" spans="1:9" x14ac:dyDescent="0.3">
      <c r="A66" t="s">
        <v>1676</v>
      </c>
      <c r="B66" t="s">
        <v>3929</v>
      </c>
      <c r="C66" t="s">
        <v>1558</v>
      </c>
      <c r="D66" t="s">
        <v>3911</v>
      </c>
      <c r="E66" t="s">
        <v>1677</v>
      </c>
      <c r="F66">
        <v>299.11</v>
      </c>
      <c r="G66">
        <f t="shared" si="0"/>
        <v>299.11</v>
      </c>
      <c r="H66">
        <v>118</v>
      </c>
      <c r="I66">
        <f t="shared" si="1"/>
        <v>118</v>
      </c>
    </row>
    <row r="67" spans="1:9" x14ac:dyDescent="0.3">
      <c r="A67" t="s">
        <v>1678</v>
      </c>
      <c r="B67" t="s">
        <v>3930</v>
      </c>
      <c r="C67" t="s">
        <v>1566</v>
      </c>
      <c r="D67" t="s">
        <v>3861</v>
      </c>
      <c r="E67" t="s">
        <v>1679</v>
      </c>
      <c r="F67">
        <v>240.63</v>
      </c>
      <c r="G67">
        <f t="shared" ref="G67:G101" si="2">IF(ISBLANK(F67),AVERAGE($F$2:$F$101),F67)</f>
        <v>240.63</v>
      </c>
      <c r="H67">
        <v>423</v>
      </c>
      <c r="I67">
        <f t="shared" ref="I67:I101" si="3">IF(ISBLANK(H67),MODE($H$2:$H$101),H67)</f>
        <v>423</v>
      </c>
    </row>
    <row r="68" spans="1:9" x14ac:dyDescent="0.3">
      <c r="A68" t="s">
        <v>1680</v>
      </c>
      <c r="B68" t="s">
        <v>3931</v>
      </c>
      <c r="C68" t="s">
        <v>1558</v>
      </c>
      <c r="D68" t="s">
        <v>3866</v>
      </c>
      <c r="E68" t="s">
        <v>1681</v>
      </c>
      <c r="F68">
        <v>340.39</v>
      </c>
      <c r="G68">
        <f t="shared" si="2"/>
        <v>340.39</v>
      </c>
      <c r="H68">
        <v>177</v>
      </c>
      <c r="I68">
        <f t="shared" si="3"/>
        <v>177</v>
      </c>
    </row>
    <row r="69" spans="1:9" x14ac:dyDescent="0.3">
      <c r="A69" t="s">
        <v>1682</v>
      </c>
      <c r="B69" t="s">
        <v>3932</v>
      </c>
      <c r="C69" t="s">
        <v>1563</v>
      </c>
      <c r="D69" t="s">
        <v>3853</v>
      </c>
      <c r="E69" t="s">
        <v>1683</v>
      </c>
      <c r="F69">
        <v>349.17</v>
      </c>
      <c r="G69">
        <f t="shared" si="2"/>
        <v>349.17</v>
      </c>
      <c r="H69">
        <v>476</v>
      </c>
      <c r="I69">
        <f t="shared" si="3"/>
        <v>476</v>
      </c>
    </row>
    <row r="70" spans="1:9" x14ac:dyDescent="0.3">
      <c r="A70" t="s">
        <v>1684</v>
      </c>
      <c r="B70" t="s">
        <v>3933</v>
      </c>
      <c r="C70" t="s">
        <v>1544</v>
      </c>
      <c r="D70" t="s">
        <v>3934</v>
      </c>
      <c r="E70" t="s">
        <v>1685</v>
      </c>
      <c r="F70">
        <v>243.7</v>
      </c>
      <c r="G70">
        <f t="shared" si="2"/>
        <v>243.7</v>
      </c>
      <c r="H70">
        <v>130</v>
      </c>
      <c r="I70">
        <f t="shared" si="3"/>
        <v>130</v>
      </c>
    </row>
    <row r="71" spans="1:9" x14ac:dyDescent="0.3">
      <c r="A71" t="s">
        <v>1686</v>
      </c>
      <c r="B71" t="s">
        <v>3935</v>
      </c>
      <c r="C71" t="s">
        <v>1547</v>
      </c>
      <c r="D71" t="s">
        <v>3851</v>
      </c>
      <c r="E71" t="s">
        <v>1687</v>
      </c>
      <c r="F71">
        <v>218.22</v>
      </c>
      <c r="G71">
        <f t="shared" si="2"/>
        <v>218.22</v>
      </c>
      <c r="H71">
        <v>224</v>
      </c>
      <c r="I71">
        <f t="shared" si="3"/>
        <v>224</v>
      </c>
    </row>
    <row r="72" spans="1:9" x14ac:dyDescent="0.3">
      <c r="A72" t="s">
        <v>1688</v>
      </c>
      <c r="B72" t="s">
        <v>3936</v>
      </c>
      <c r="C72" t="s">
        <v>1544</v>
      </c>
      <c r="D72" t="s">
        <v>3880</v>
      </c>
      <c r="E72" t="s">
        <v>1689</v>
      </c>
      <c r="F72">
        <v>138.05000000000001</v>
      </c>
      <c r="G72">
        <f t="shared" si="2"/>
        <v>138.05000000000001</v>
      </c>
      <c r="H72">
        <v>89</v>
      </c>
      <c r="I72">
        <f t="shared" si="3"/>
        <v>89</v>
      </c>
    </row>
    <row r="73" spans="1:9" x14ac:dyDescent="0.3">
      <c r="A73" t="s">
        <v>1690</v>
      </c>
      <c r="B73" t="s">
        <v>3937</v>
      </c>
      <c r="C73" t="s">
        <v>1558</v>
      </c>
      <c r="D73" t="s">
        <v>3866</v>
      </c>
      <c r="E73" t="s">
        <v>1691</v>
      </c>
      <c r="F73">
        <v>214.32</v>
      </c>
      <c r="G73">
        <f t="shared" si="2"/>
        <v>214.32</v>
      </c>
      <c r="H73">
        <v>383</v>
      </c>
      <c r="I73">
        <f t="shared" si="3"/>
        <v>383</v>
      </c>
    </row>
    <row r="74" spans="1:9" x14ac:dyDescent="0.3">
      <c r="A74" t="s">
        <v>1692</v>
      </c>
      <c r="B74" t="s">
        <v>3938</v>
      </c>
      <c r="C74" t="s">
        <v>1566</v>
      </c>
      <c r="D74" t="s">
        <v>3861</v>
      </c>
      <c r="E74" t="s">
        <v>1693</v>
      </c>
      <c r="F74">
        <v>477.61</v>
      </c>
      <c r="G74">
        <f t="shared" si="2"/>
        <v>477.61</v>
      </c>
      <c r="H74">
        <v>300</v>
      </c>
      <c r="I74">
        <f t="shared" si="3"/>
        <v>300</v>
      </c>
    </row>
    <row r="75" spans="1:9" x14ac:dyDescent="0.3">
      <c r="A75" t="s">
        <v>1694</v>
      </c>
      <c r="B75" t="s">
        <v>3939</v>
      </c>
      <c r="C75" t="s">
        <v>1566</v>
      </c>
      <c r="D75" t="s">
        <v>3892</v>
      </c>
      <c r="E75" t="s">
        <v>1695</v>
      </c>
      <c r="F75">
        <v>107.06</v>
      </c>
      <c r="G75">
        <f t="shared" si="2"/>
        <v>107.06</v>
      </c>
      <c r="H75">
        <v>359</v>
      </c>
      <c r="I75">
        <f t="shared" si="3"/>
        <v>359</v>
      </c>
    </row>
    <row r="76" spans="1:9" x14ac:dyDescent="0.3">
      <c r="A76" t="s">
        <v>1696</v>
      </c>
      <c r="B76" t="s">
        <v>3940</v>
      </c>
      <c r="C76" t="s">
        <v>1563</v>
      </c>
      <c r="D76" t="s">
        <v>3859</v>
      </c>
      <c r="E76" t="s">
        <v>1697</v>
      </c>
      <c r="F76">
        <v>403.71</v>
      </c>
      <c r="G76">
        <f t="shared" si="2"/>
        <v>403.71</v>
      </c>
      <c r="H76">
        <v>159</v>
      </c>
      <c r="I76">
        <f t="shared" si="3"/>
        <v>159</v>
      </c>
    </row>
    <row r="77" spans="1:9" x14ac:dyDescent="0.3">
      <c r="A77" t="s">
        <v>1698</v>
      </c>
      <c r="B77" t="s">
        <v>3941</v>
      </c>
      <c r="C77" t="s">
        <v>1547</v>
      </c>
      <c r="D77" t="s">
        <v>3899</v>
      </c>
      <c r="E77" t="s">
        <v>1699</v>
      </c>
      <c r="F77">
        <v>158.13999999999999</v>
      </c>
      <c r="G77">
        <f t="shared" si="2"/>
        <v>158.13999999999999</v>
      </c>
      <c r="H77">
        <v>82</v>
      </c>
      <c r="I77">
        <f t="shared" si="3"/>
        <v>82</v>
      </c>
    </row>
    <row r="78" spans="1:9" x14ac:dyDescent="0.3">
      <c r="A78" t="s">
        <v>1700</v>
      </c>
      <c r="B78" t="s">
        <v>3942</v>
      </c>
      <c r="C78" t="s">
        <v>1563</v>
      </c>
      <c r="D78" t="s">
        <v>3844</v>
      </c>
      <c r="E78" t="s">
        <v>1701</v>
      </c>
      <c r="F78">
        <v>392.89</v>
      </c>
      <c r="G78">
        <f t="shared" si="2"/>
        <v>392.89</v>
      </c>
      <c r="H78">
        <v>320</v>
      </c>
      <c r="I78">
        <f t="shared" si="3"/>
        <v>320</v>
      </c>
    </row>
    <row r="79" spans="1:9" x14ac:dyDescent="0.3">
      <c r="A79" t="s">
        <v>1702</v>
      </c>
      <c r="B79" t="s">
        <v>3943</v>
      </c>
      <c r="C79" t="s">
        <v>1563</v>
      </c>
      <c r="D79" t="s">
        <v>3871</v>
      </c>
      <c r="E79" t="s">
        <v>1703</v>
      </c>
      <c r="F79">
        <v>480.9</v>
      </c>
      <c r="G79">
        <f t="shared" si="2"/>
        <v>480.9</v>
      </c>
      <c r="H79">
        <v>104</v>
      </c>
      <c r="I79">
        <f t="shared" si="3"/>
        <v>104</v>
      </c>
    </row>
    <row r="80" spans="1:9" x14ac:dyDescent="0.3">
      <c r="A80" t="s">
        <v>1704</v>
      </c>
      <c r="B80" t="s">
        <v>3944</v>
      </c>
      <c r="C80" t="s">
        <v>1544</v>
      </c>
      <c r="D80" t="s">
        <v>3869</v>
      </c>
      <c r="E80" t="s">
        <v>1705</v>
      </c>
      <c r="F80">
        <v>325.26</v>
      </c>
      <c r="G80">
        <f t="shared" si="2"/>
        <v>325.26</v>
      </c>
      <c r="H80">
        <v>400</v>
      </c>
      <c r="I80">
        <f t="shared" si="3"/>
        <v>400</v>
      </c>
    </row>
    <row r="81" spans="1:9" x14ac:dyDescent="0.3">
      <c r="A81" t="s">
        <v>1706</v>
      </c>
      <c r="B81" t="s">
        <v>3945</v>
      </c>
      <c r="C81" t="s">
        <v>1544</v>
      </c>
      <c r="D81" t="s">
        <v>3857</v>
      </c>
      <c r="E81" t="s">
        <v>1707</v>
      </c>
      <c r="F81">
        <v>228.53</v>
      </c>
      <c r="G81">
        <f t="shared" si="2"/>
        <v>228.53</v>
      </c>
      <c r="H81">
        <v>469</v>
      </c>
      <c r="I81">
        <f t="shared" si="3"/>
        <v>469</v>
      </c>
    </row>
    <row r="82" spans="1:9" x14ac:dyDescent="0.3">
      <c r="A82" t="s">
        <v>1708</v>
      </c>
      <c r="B82" t="s">
        <v>3946</v>
      </c>
      <c r="C82" t="s">
        <v>1544</v>
      </c>
      <c r="D82" t="s">
        <v>3863</v>
      </c>
      <c r="E82" t="s">
        <v>1709</v>
      </c>
      <c r="F82">
        <v>143.43</v>
      </c>
      <c r="G82">
        <f t="shared" si="2"/>
        <v>143.43</v>
      </c>
      <c r="H82">
        <v>58</v>
      </c>
      <c r="I82">
        <f t="shared" si="3"/>
        <v>58</v>
      </c>
    </row>
    <row r="83" spans="1:9" x14ac:dyDescent="0.3">
      <c r="A83" t="s">
        <v>1710</v>
      </c>
      <c r="B83" t="s">
        <v>3947</v>
      </c>
      <c r="C83" t="s">
        <v>1566</v>
      </c>
      <c r="D83" t="s">
        <v>3877</v>
      </c>
      <c r="E83" t="s">
        <v>1711</v>
      </c>
      <c r="F83">
        <v>285.54000000000002</v>
      </c>
      <c r="G83">
        <f t="shared" si="2"/>
        <v>285.54000000000002</v>
      </c>
      <c r="H83">
        <v>358</v>
      </c>
      <c r="I83">
        <f t="shared" si="3"/>
        <v>358</v>
      </c>
    </row>
    <row r="84" spans="1:9" x14ac:dyDescent="0.3">
      <c r="A84" t="s">
        <v>1712</v>
      </c>
      <c r="B84" t="s">
        <v>3948</v>
      </c>
      <c r="C84" t="s">
        <v>1566</v>
      </c>
      <c r="D84" t="s">
        <v>3861</v>
      </c>
      <c r="E84" t="s">
        <v>1713</v>
      </c>
      <c r="F84">
        <v>152.91999999999999</v>
      </c>
      <c r="G84">
        <f t="shared" si="2"/>
        <v>152.91999999999999</v>
      </c>
      <c r="H84">
        <v>281</v>
      </c>
      <c r="I84">
        <f t="shared" si="3"/>
        <v>281</v>
      </c>
    </row>
    <row r="85" spans="1:9" x14ac:dyDescent="0.3">
      <c r="A85" t="s">
        <v>1714</v>
      </c>
      <c r="B85" t="s">
        <v>3949</v>
      </c>
      <c r="C85" t="s">
        <v>1558</v>
      </c>
      <c r="D85" t="s">
        <v>3855</v>
      </c>
      <c r="E85" t="s">
        <v>1715</v>
      </c>
      <c r="G85">
        <f t="shared" si="2"/>
        <v>254.04361702127662</v>
      </c>
      <c r="H85">
        <v>159</v>
      </c>
      <c r="I85">
        <f t="shared" si="3"/>
        <v>159</v>
      </c>
    </row>
    <row r="86" spans="1:9" x14ac:dyDescent="0.3">
      <c r="A86" t="s">
        <v>1716</v>
      </c>
      <c r="B86" t="s">
        <v>3950</v>
      </c>
      <c r="C86" t="s">
        <v>1544</v>
      </c>
      <c r="D86" t="s">
        <v>3934</v>
      </c>
      <c r="E86" t="s">
        <v>1717</v>
      </c>
      <c r="F86">
        <v>388.46</v>
      </c>
      <c r="G86">
        <f t="shared" si="2"/>
        <v>388.46</v>
      </c>
      <c r="H86">
        <v>208</v>
      </c>
      <c r="I86">
        <f t="shared" si="3"/>
        <v>208</v>
      </c>
    </row>
    <row r="87" spans="1:9" x14ac:dyDescent="0.3">
      <c r="A87" t="s">
        <v>1718</v>
      </c>
      <c r="B87" t="s">
        <v>3951</v>
      </c>
      <c r="C87" t="s">
        <v>1547</v>
      </c>
      <c r="D87" t="s">
        <v>3853</v>
      </c>
      <c r="E87" t="s">
        <v>1719</v>
      </c>
      <c r="F87">
        <v>119.57</v>
      </c>
      <c r="G87">
        <f t="shared" si="2"/>
        <v>119.57</v>
      </c>
      <c r="H87">
        <v>210</v>
      </c>
      <c r="I87">
        <f t="shared" si="3"/>
        <v>210</v>
      </c>
    </row>
    <row r="88" spans="1:9" x14ac:dyDescent="0.3">
      <c r="A88" t="s">
        <v>1720</v>
      </c>
      <c r="B88" t="s">
        <v>3952</v>
      </c>
      <c r="C88" t="s">
        <v>1544</v>
      </c>
      <c r="D88" t="s">
        <v>3863</v>
      </c>
      <c r="E88" t="s">
        <v>1721</v>
      </c>
      <c r="F88">
        <v>176.07</v>
      </c>
      <c r="G88">
        <f t="shared" si="2"/>
        <v>176.07</v>
      </c>
      <c r="H88">
        <v>82</v>
      </c>
      <c r="I88">
        <f t="shared" si="3"/>
        <v>82</v>
      </c>
    </row>
    <row r="89" spans="1:9" x14ac:dyDescent="0.3">
      <c r="A89" t="s">
        <v>1722</v>
      </c>
      <c r="B89" t="s">
        <v>3953</v>
      </c>
      <c r="C89" t="s">
        <v>1544</v>
      </c>
      <c r="D89" t="s">
        <v>3857</v>
      </c>
      <c r="E89" t="s">
        <v>1723</v>
      </c>
      <c r="F89">
        <v>371.38</v>
      </c>
      <c r="G89">
        <f t="shared" si="2"/>
        <v>371.38</v>
      </c>
      <c r="H89">
        <v>220</v>
      </c>
      <c r="I89">
        <f t="shared" si="3"/>
        <v>220</v>
      </c>
    </row>
    <row r="90" spans="1:9" x14ac:dyDescent="0.3">
      <c r="A90" t="s">
        <v>1724</v>
      </c>
      <c r="B90" t="s">
        <v>3954</v>
      </c>
      <c r="C90" t="s">
        <v>1566</v>
      </c>
      <c r="D90" t="s">
        <v>3853</v>
      </c>
      <c r="E90" t="s">
        <v>1725</v>
      </c>
      <c r="F90">
        <v>131.24</v>
      </c>
      <c r="G90">
        <f t="shared" si="2"/>
        <v>131.24</v>
      </c>
      <c r="H90">
        <v>232</v>
      </c>
      <c r="I90">
        <f t="shared" si="3"/>
        <v>232</v>
      </c>
    </row>
    <row r="91" spans="1:9" x14ac:dyDescent="0.3">
      <c r="A91" t="s">
        <v>1726</v>
      </c>
      <c r="B91" t="s">
        <v>3955</v>
      </c>
      <c r="C91" t="s">
        <v>1558</v>
      </c>
      <c r="D91" t="s">
        <v>3911</v>
      </c>
      <c r="E91" t="s">
        <v>1727</v>
      </c>
      <c r="F91">
        <v>183.04</v>
      </c>
      <c r="G91">
        <f t="shared" si="2"/>
        <v>183.04</v>
      </c>
      <c r="H91">
        <v>457</v>
      </c>
      <c r="I91">
        <f t="shared" si="3"/>
        <v>457</v>
      </c>
    </row>
    <row r="92" spans="1:9" x14ac:dyDescent="0.3">
      <c r="A92" t="s">
        <v>1728</v>
      </c>
      <c r="B92" t="s">
        <v>3956</v>
      </c>
      <c r="C92" t="s">
        <v>1563</v>
      </c>
      <c r="D92" t="s">
        <v>3853</v>
      </c>
      <c r="E92" t="s">
        <v>1729</v>
      </c>
      <c r="F92">
        <v>340.14</v>
      </c>
      <c r="G92">
        <f t="shared" si="2"/>
        <v>340.14</v>
      </c>
      <c r="H92">
        <v>361</v>
      </c>
      <c r="I92">
        <f t="shared" si="3"/>
        <v>361</v>
      </c>
    </row>
    <row r="93" spans="1:9" x14ac:dyDescent="0.3">
      <c r="A93" t="s">
        <v>1730</v>
      </c>
      <c r="B93" t="s">
        <v>3957</v>
      </c>
      <c r="C93" t="s">
        <v>1547</v>
      </c>
      <c r="D93" t="s">
        <v>3899</v>
      </c>
      <c r="E93" t="s">
        <v>1731</v>
      </c>
      <c r="F93">
        <v>438.25</v>
      </c>
      <c r="G93">
        <f t="shared" si="2"/>
        <v>438.25</v>
      </c>
      <c r="H93">
        <v>496</v>
      </c>
      <c r="I93">
        <f t="shared" si="3"/>
        <v>496</v>
      </c>
    </row>
    <row r="94" spans="1:9" x14ac:dyDescent="0.3">
      <c r="A94" t="s">
        <v>1732</v>
      </c>
      <c r="B94" t="s">
        <v>3958</v>
      </c>
      <c r="C94" t="s">
        <v>1544</v>
      </c>
      <c r="D94" t="s">
        <v>3871</v>
      </c>
      <c r="E94" t="s">
        <v>1733</v>
      </c>
      <c r="F94">
        <v>447.43</v>
      </c>
      <c r="G94">
        <f t="shared" si="2"/>
        <v>447.43</v>
      </c>
      <c r="H94">
        <v>191</v>
      </c>
      <c r="I94">
        <f t="shared" si="3"/>
        <v>191</v>
      </c>
    </row>
    <row r="95" spans="1:9" x14ac:dyDescent="0.3">
      <c r="A95" t="s">
        <v>1734</v>
      </c>
      <c r="B95" t="s">
        <v>3959</v>
      </c>
      <c r="C95" t="s">
        <v>1563</v>
      </c>
      <c r="D95" t="s">
        <v>3844</v>
      </c>
      <c r="E95" t="s">
        <v>1735</v>
      </c>
      <c r="F95">
        <v>377.52</v>
      </c>
      <c r="G95">
        <f t="shared" si="2"/>
        <v>377.52</v>
      </c>
      <c r="H95">
        <v>485</v>
      </c>
      <c r="I95">
        <f t="shared" si="3"/>
        <v>485</v>
      </c>
    </row>
    <row r="96" spans="1:9" x14ac:dyDescent="0.3">
      <c r="A96" t="s">
        <v>1736</v>
      </c>
      <c r="B96" t="s">
        <v>3960</v>
      </c>
      <c r="C96" t="s">
        <v>1558</v>
      </c>
      <c r="D96" t="s">
        <v>3855</v>
      </c>
      <c r="E96" t="s">
        <v>1737</v>
      </c>
      <c r="F96">
        <v>358.47</v>
      </c>
      <c r="G96">
        <f t="shared" si="2"/>
        <v>358.47</v>
      </c>
      <c r="H96">
        <v>213</v>
      </c>
      <c r="I96">
        <f t="shared" si="3"/>
        <v>213</v>
      </c>
    </row>
    <row r="97" spans="1:9" x14ac:dyDescent="0.3">
      <c r="A97" t="s">
        <v>1738</v>
      </c>
      <c r="B97" t="s">
        <v>3961</v>
      </c>
      <c r="C97" t="s">
        <v>1566</v>
      </c>
      <c r="D97" t="s">
        <v>3853</v>
      </c>
      <c r="E97" t="s">
        <v>1739</v>
      </c>
      <c r="F97">
        <v>60.65</v>
      </c>
      <c r="G97">
        <f t="shared" si="2"/>
        <v>60.65</v>
      </c>
      <c r="H97">
        <v>75</v>
      </c>
      <c r="I97">
        <f t="shared" si="3"/>
        <v>75</v>
      </c>
    </row>
    <row r="98" spans="1:9" x14ac:dyDescent="0.3">
      <c r="A98" t="s">
        <v>1740</v>
      </c>
      <c r="B98" t="s">
        <v>3962</v>
      </c>
      <c r="C98" t="s">
        <v>1547</v>
      </c>
      <c r="D98" t="s">
        <v>3848</v>
      </c>
      <c r="E98" t="s">
        <v>1741</v>
      </c>
      <c r="F98">
        <v>358.47</v>
      </c>
      <c r="G98">
        <f t="shared" si="2"/>
        <v>358.47</v>
      </c>
      <c r="H98">
        <v>143</v>
      </c>
      <c r="I98">
        <f t="shared" si="3"/>
        <v>143</v>
      </c>
    </row>
    <row r="99" spans="1:9" x14ac:dyDescent="0.3">
      <c r="A99" t="s">
        <v>1742</v>
      </c>
      <c r="B99" t="s">
        <v>3963</v>
      </c>
      <c r="C99" t="s">
        <v>1566</v>
      </c>
      <c r="D99" t="s">
        <v>3892</v>
      </c>
      <c r="E99" t="s">
        <v>1743</v>
      </c>
      <c r="F99">
        <v>245.98</v>
      </c>
      <c r="G99">
        <f t="shared" si="2"/>
        <v>245.98</v>
      </c>
      <c r="H99">
        <v>471</v>
      </c>
      <c r="I99">
        <f t="shared" si="3"/>
        <v>471</v>
      </c>
    </row>
    <row r="100" spans="1:9" x14ac:dyDescent="0.3">
      <c r="A100" t="s">
        <v>1744</v>
      </c>
      <c r="B100" t="s">
        <v>3964</v>
      </c>
      <c r="C100" t="s">
        <v>1563</v>
      </c>
      <c r="D100" t="s">
        <v>3859</v>
      </c>
      <c r="E100" t="s">
        <v>1745</v>
      </c>
      <c r="F100">
        <v>431.67</v>
      </c>
      <c r="G100">
        <f t="shared" si="2"/>
        <v>431.67</v>
      </c>
      <c r="H100">
        <v>73</v>
      </c>
      <c r="I100">
        <f t="shared" si="3"/>
        <v>73</v>
      </c>
    </row>
    <row r="101" spans="1:9" x14ac:dyDescent="0.3">
      <c r="A101" t="s">
        <v>1746</v>
      </c>
      <c r="B101" t="s">
        <v>3965</v>
      </c>
      <c r="C101" t="s">
        <v>1544</v>
      </c>
      <c r="D101" t="s">
        <v>3863</v>
      </c>
      <c r="E101" t="s">
        <v>1747</v>
      </c>
      <c r="F101">
        <v>201.41</v>
      </c>
      <c r="G101">
        <f t="shared" si="2"/>
        <v>201.41</v>
      </c>
      <c r="H101">
        <v>146</v>
      </c>
      <c r="I101">
        <f t="shared" si="3"/>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C24" sqref="C24"/>
    </sheetView>
  </sheetViews>
  <sheetFormatPr defaultRowHeight="14.4" x14ac:dyDescent="0.3"/>
  <cols>
    <col min="1" max="1" width="10.109375" customWidth="1"/>
    <col min="2" max="2" width="23.33203125" customWidth="1"/>
    <col min="3" max="3" width="17.5546875" customWidth="1"/>
    <col min="4" max="4" width="19.77734375" customWidth="1"/>
    <col min="5" max="5" width="12.44140625" customWidth="1"/>
  </cols>
  <sheetData>
    <row r="1" spans="1:5" x14ac:dyDescent="0.3">
      <c r="A1" s="11" t="s">
        <v>1748</v>
      </c>
      <c r="B1" s="11" t="s">
        <v>1749</v>
      </c>
      <c r="C1" s="11" t="s">
        <v>1750</v>
      </c>
      <c r="D1" s="11" t="s">
        <v>4</v>
      </c>
      <c r="E1" s="11"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B3DA1-DCEF-4A35-A281-AB9ECD3E2574}">
  <dimension ref="A3:B24"/>
  <sheetViews>
    <sheetView workbookViewId="0">
      <selection activeCell="F22" sqref="F22"/>
    </sheetView>
  </sheetViews>
  <sheetFormatPr defaultRowHeight="14.4" x14ac:dyDescent="0.3"/>
  <cols>
    <col min="1" max="1" width="12.5546875" bestFit="1" customWidth="1"/>
    <col min="2" max="2" width="19.21875" bestFit="1" customWidth="1"/>
  </cols>
  <sheetData>
    <row r="3" spans="1:2" x14ac:dyDescent="0.3">
      <c r="A3" s="14" t="s">
        <v>3991</v>
      </c>
      <c r="B3" t="s">
        <v>3993</v>
      </c>
    </row>
    <row r="4" spans="1:2" x14ac:dyDescent="0.3">
      <c r="A4" s="15" t="s">
        <v>1752</v>
      </c>
      <c r="B4" s="13">
        <v>85138.555199999973</v>
      </c>
    </row>
    <row r="5" spans="1:2" x14ac:dyDescent="0.3">
      <c r="A5" s="15" t="s">
        <v>1757</v>
      </c>
      <c r="B5" s="13">
        <v>100344.56880000002</v>
      </c>
    </row>
    <row r="6" spans="1:2" x14ac:dyDescent="0.3">
      <c r="A6" s="15" t="s">
        <v>1789</v>
      </c>
      <c r="B6" s="13">
        <v>109791.71519999996</v>
      </c>
    </row>
    <row r="7" spans="1:2" x14ac:dyDescent="0.3">
      <c r="A7" s="15" t="s">
        <v>1792</v>
      </c>
      <c r="B7" s="13">
        <v>93048.140500000009</v>
      </c>
    </row>
    <row r="8" spans="1:2" x14ac:dyDescent="0.3">
      <c r="A8" s="15" t="s">
        <v>1794</v>
      </c>
      <c r="B8" s="13">
        <v>116829.22059999997</v>
      </c>
    </row>
    <row r="9" spans="1:2" x14ac:dyDescent="0.3">
      <c r="A9" s="15" t="s">
        <v>1797</v>
      </c>
      <c r="B9" s="13">
        <v>114592.72182508763</v>
      </c>
    </row>
    <row r="10" spans="1:2" x14ac:dyDescent="0.3">
      <c r="A10" s="15" t="s">
        <v>1799</v>
      </c>
      <c r="B10" s="13">
        <v>106248.28329999997</v>
      </c>
    </row>
    <row r="11" spans="1:2" x14ac:dyDescent="0.3">
      <c r="A11" s="15" t="s">
        <v>1801</v>
      </c>
      <c r="B11" s="13">
        <v>99679.086000000025</v>
      </c>
    </row>
    <row r="12" spans="1:2" x14ac:dyDescent="0.3">
      <c r="A12" s="15" t="s">
        <v>1804</v>
      </c>
      <c r="B12" s="13">
        <v>111704.94359999998</v>
      </c>
    </row>
    <row r="13" spans="1:2" x14ac:dyDescent="0.3">
      <c r="A13" s="15" t="s">
        <v>1807</v>
      </c>
      <c r="B13" s="13">
        <v>121555.10789999997</v>
      </c>
    </row>
    <row r="14" spans="1:2" x14ac:dyDescent="0.3">
      <c r="A14" s="15" t="s">
        <v>1810</v>
      </c>
      <c r="B14" s="13">
        <v>105447.24375748624</v>
      </c>
    </row>
    <row r="15" spans="1:2" x14ac:dyDescent="0.3">
      <c r="A15" s="15" t="s">
        <v>1813</v>
      </c>
      <c r="B15" s="13">
        <v>94225.72329999994</v>
      </c>
    </row>
    <row r="16" spans="1:2" x14ac:dyDescent="0.3">
      <c r="A16" s="15" t="s">
        <v>1761</v>
      </c>
      <c r="B16" s="13">
        <v>99010.549799999993</v>
      </c>
    </row>
    <row r="17" spans="1:2" x14ac:dyDescent="0.3">
      <c r="A17" s="15" t="s">
        <v>1766</v>
      </c>
      <c r="B17" s="13">
        <v>124243.9895</v>
      </c>
    </row>
    <row r="18" spans="1:2" x14ac:dyDescent="0.3">
      <c r="A18" s="15" t="s">
        <v>1769</v>
      </c>
      <c r="B18" s="13">
        <v>118814.11569999999</v>
      </c>
    </row>
    <row r="19" spans="1:2" x14ac:dyDescent="0.3">
      <c r="A19" s="15" t="s">
        <v>1773</v>
      </c>
      <c r="B19" s="13">
        <v>80926.71639999999</v>
      </c>
    </row>
    <row r="20" spans="1:2" x14ac:dyDescent="0.3">
      <c r="A20" s="15" t="s">
        <v>1776</v>
      </c>
      <c r="B20" s="13">
        <v>115435.49218482725</v>
      </c>
    </row>
    <row r="21" spans="1:2" x14ac:dyDescent="0.3">
      <c r="A21" s="15" t="s">
        <v>1779</v>
      </c>
      <c r="B21" s="13">
        <v>108127.35980000001</v>
      </c>
    </row>
    <row r="22" spans="1:2" x14ac:dyDescent="0.3">
      <c r="A22" s="15" t="s">
        <v>1782</v>
      </c>
      <c r="B22" s="13">
        <v>158933.984</v>
      </c>
    </row>
    <row r="23" spans="1:2" x14ac:dyDescent="0.3">
      <c r="A23" s="15" t="s">
        <v>1786</v>
      </c>
      <c r="B23" s="13">
        <v>109265.9126</v>
      </c>
    </row>
    <row r="24" spans="1:2" x14ac:dyDescent="0.3">
      <c r="A24" s="15" t="s">
        <v>3992</v>
      </c>
      <c r="B24" s="13">
        <v>2173363.4299674011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001"/>
  <sheetViews>
    <sheetView workbookViewId="0">
      <selection sqref="A1:R2001"/>
    </sheetView>
  </sheetViews>
  <sheetFormatPr defaultRowHeight="14.4" x14ac:dyDescent="0.3"/>
  <cols>
    <col min="1" max="1" width="9.88671875" customWidth="1"/>
    <col min="2" max="2" width="12.5546875" customWidth="1"/>
    <col min="3" max="3" width="13.77734375" customWidth="1"/>
    <col min="4" max="4" width="12.33203125" customWidth="1"/>
    <col min="5" max="5" width="10.109375" customWidth="1"/>
    <col min="6" max="6" width="10.21875" customWidth="1"/>
    <col min="7" max="7" width="11.21875" customWidth="1"/>
    <col min="8" max="8" width="11.5546875" customWidth="1"/>
    <col min="9" max="9" width="11.6640625" customWidth="1"/>
    <col min="10" max="10" width="10.21875" customWidth="1"/>
    <col min="11" max="11" width="11.21875" customWidth="1"/>
    <col min="12" max="12" width="15.5546875" customWidth="1"/>
    <col min="13" max="13" width="15" customWidth="1"/>
    <col min="14" max="18" width="14.44140625" customWidth="1"/>
    <col min="20" max="20" width="16.5546875" bestFit="1" customWidth="1"/>
    <col min="21" max="21" width="12" bestFit="1" customWidth="1"/>
  </cols>
  <sheetData>
    <row r="1" spans="1:21" ht="15" thickBot="1" x14ac:dyDescent="0.35">
      <c r="A1" s="1" t="s">
        <v>1816</v>
      </c>
      <c r="B1" s="1" t="s">
        <v>1817</v>
      </c>
      <c r="C1" s="1" t="s">
        <v>0</v>
      </c>
      <c r="D1" s="1" t="s">
        <v>1536</v>
      </c>
      <c r="E1" s="1" t="s">
        <v>1748</v>
      </c>
      <c r="F1" s="1" t="s">
        <v>1818</v>
      </c>
      <c r="G1" s="4" t="s">
        <v>3967</v>
      </c>
      <c r="H1" s="1" t="s">
        <v>1819</v>
      </c>
      <c r="I1" s="4" t="s">
        <v>3968</v>
      </c>
      <c r="J1" s="1" t="s">
        <v>1820</v>
      </c>
      <c r="K1" s="4" t="s">
        <v>3988</v>
      </c>
      <c r="L1" s="1" t="s">
        <v>1821</v>
      </c>
      <c r="M1" s="1" t="s">
        <v>1822</v>
      </c>
      <c r="N1" s="5" t="s">
        <v>3969</v>
      </c>
      <c r="O1" s="12" t="s">
        <v>3989</v>
      </c>
      <c r="P1" s="12" t="s">
        <v>2</v>
      </c>
      <c r="Q1" s="5" t="s">
        <v>3</v>
      </c>
      <c r="R1" s="12" t="s">
        <v>3998</v>
      </c>
    </row>
    <row r="2" spans="1:21" x14ac:dyDescent="0.3">
      <c r="A2" t="s">
        <v>1823</v>
      </c>
      <c r="B2" s="2">
        <v>45480</v>
      </c>
      <c r="C2" t="s">
        <v>1272</v>
      </c>
      <c r="D2" t="s">
        <v>1742</v>
      </c>
      <c r="E2" t="str">
        <f ca="1">TRIM(Sales_fact[[#This Row],[Store_ID]])</f>
        <v>STORE3</v>
      </c>
      <c r="F2">
        <v>1</v>
      </c>
      <c r="G2">
        <f>IF(ISBLANK(F2),MODE($F$2:$F$2001),F2)</f>
        <v>1</v>
      </c>
      <c r="H2">
        <v>218.04</v>
      </c>
      <c r="I2">
        <f>IF(ISBLANK(H2),AVERAGE($H$2:$H$2001),H2)</f>
        <v>218.04</v>
      </c>
      <c r="J2">
        <v>0.09</v>
      </c>
      <c r="K2">
        <f>IF(ISBLANK(J2),MODE($J$2:$J$2001),J2)</f>
        <v>0.09</v>
      </c>
      <c r="L2" t="s">
        <v>1824</v>
      </c>
      <c r="M2">
        <v>198.41640000000001</v>
      </c>
      <c r="N2">
        <f>G2*I2*(1-K2)</f>
        <v>198.41640000000001</v>
      </c>
      <c r="O2" t="str">
        <f>_xlfn.XLOOKUP(Sales_fact[[#This Row],[Customer_ID]],'Customer_Dim'!A:A,'Customer_Dim'!K:K,"Not Found")</f>
        <v>Gold</v>
      </c>
      <c r="P2">
        <f>_xlfn.XLOOKUP(Sales_fact[[#This Row],[Customer_ID]],'Customer_Dim'!A:A, 'Customer_Dim'!E:E, "Not Found")</f>
        <v>55</v>
      </c>
      <c r="Q2" t="str">
        <f>VLOOKUP(Sales_fact[[#This Row],[Customer_ID]], 'Customer_Dim'!A:F, 6, FALSE)</f>
        <v>Male</v>
      </c>
      <c r="R2" s="13" t="str">
        <f>_xlfn.XLOOKUP(Sales_fact[[#This Row],[Product_ID]],Product_Dim!A:A,Product_Dim!C:C,"OTHERS")</f>
        <v>Sports</v>
      </c>
      <c r="T2" s="10" t="s">
        <v>3970</v>
      </c>
      <c r="U2" s="10"/>
    </row>
    <row r="3" spans="1:21" x14ac:dyDescent="0.3">
      <c r="A3" t="s">
        <v>1825</v>
      </c>
      <c r="B3" s="2">
        <v>45285</v>
      </c>
      <c r="C3" t="s">
        <v>1440</v>
      </c>
      <c r="D3" t="s">
        <v>1696</v>
      </c>
      <c r="E3" t="str">
        <f ca="1">TRIM(Sales_fact[[#This Row],[Store_ID]])</f>
        <v>STORE17</v>
      </c>
      <c r="F3">
        <v>3</v>
      </c>
      <c r="G3">
        <f>IF(ISBLANK(F3),MODE($F$2:$F$2001),F3)</f>
        <v>3</v>
      </c>
      <c r="H3">
        <v>104.47</v>
      </c>
      <c r="I3">
        <f>IF(ISBLANK(H3),AVERAGE($H$2:$H$2001),H3)</f>
        <v>104.47</v>
      </c>
      <c r="J3">
        <v>0.27</v>
      </c>
      <c r="K3">
        <f>IF(ISBLANK(J3),MODE($J$2:$J$2001),J3)</f>
        <v>0.27</v>
      </c>
      <c r="L3" t="s">
        <v>1826</v>
      </c>
      <c r="M3">
        <v>228.7893</v>
      </c>
      <c r="N3">
        <f t="shared" ref="N3:N66" si="0">G3*I3*(1-K3)</f>
        <v>228.78929999999997</v>
      </c>
      <c r="O3" t="str">
        <f>_xlfn.XLOOKUP(Sales_fact[[#This Row],[Customer_ID]],'Customer_Dim'!A:A,'Customer_Dim'!K:K,"Not Found")</f>
        <v>Gold</v>
      </c>
      <c r="P3">
        <f>_xlfn.XLOOKUP(Sales_fact[[#This Row],[Customer_ID]],'Customer_Dim'!A:A, 'Customer_Dim'!E:E, "Not Found")</f>
        <v>63</v>
      </c>
      <c r="Q3" t="str">
        <f>VLOOKUP(Sales_fact[[#This Row],[Customer_ID]], 'Customer_Dim'!A:F, 6, FALSE)</f>
        <v>Female</v>
      </c>
      <c r="R3" s="13" t="str">
        <f>_xlfn.XLOOKUP(Sales_fact[[#This Row],[Product_ID]],Product_Dim!A:A,Product_Dim!C:C,"OTHERS")</f>
        <v>Electronics</v>
      </c>
      <c r="T3" s="8"/>
      <c r="U3" s="8"/>
    </row>
    <row r="4" spans="1:21" x14ac:dyDescent="0.3">
      <c r="A4" t="s">
        <v>1827</v>
      </c>
      <c r="B4" s="2">
        <v>45446</v>
      </c>
      <c r="C4" t="s">
        <v>211</v>
      </c>
      <c r="D4" t="s">
        <v>1646</v>
      </c>
      <c r="E4" t="str">
        <f ca="1">TRIM(Sales_fact[[#This Row],[Store_ID]])</f>
        <v>STORE8</v>
      </c>
      <c r="F4">
        <v>4</v>
      </c>
      <c r="G4">
        <f>IF(ISBLANK(F4),MODE($F$2:$F$2001),F4)</f>
        <v>4</v>
      </c>
      <c r="H4">
        <v>914.05</v>
      </c>
      <c r="I4">
        <f>IF(ISBLANK(H4),AVERAGE($H$2:$H$2001),H4)</f>
        <v>914.05</v>
      </c>
      <c r="J4">
        <v>0.25</v>
      </c>
      <c r="K4">
        <f>IF(ISBLANK(J4),MODE($J$2:$J$2001),J4)</f>
        <v>0.25</v>
      </c>
      <c r="L4" t="s">
        <v>1824</v>
      </c>
      <c r="M4">
        <v>2742.15</v>
      </c>
      <c r="N4">
        <f t="shared" si="0"/>
        <v>2742.1499999999996</v>
      </c>
      <c r="O4" t="str">
        <f>_xlfn.XLOOKUP(Sales_fact[[#This Row],[Customer_ID]],'Customer_Dim'!A:A,'Customer_Dim'!K:K,"Not Found")</f>
        <v>Gold</v>
      </c>
      <c r="P4">
        <f>_xlfn.XLOOKUP(Sales_fact[[#This Row],[Customer_ID]],'Customer_Dim'!A:A, 'Customer_Dim'!E:E, "Not Found")</f>
        <v>49</v>
      </c>
      <c r="Q4" t="str">
        <f>VLOOKUP(Sales_fact[[#This Row],[Customer_ID]], 'Customer_Dim'!A:F, 6, FALSE)</f>
        <v>Female</v>
      </c>
      <c r="R4" s="13" t="str">
        <f>_xlfn.XLOOKUP(Sales_fact[[#This Row],[Product_ID]],Product_Dim!A:A,Product_Dim!C:C,"OTHERS")</f>
        <v>Beauty</v>
      </c>
      <c r="T4" s="8" t="s">
        <v>3971</v>
      </c>
      <c r="U4" s="8">
        <v>1086.6817149837009</v>
      </c>
    </row>
    <row r="5" spans="1:21" x14ac:dyDescent="0.3">
      <c r="A5" t="s">
        <v>1828</v>
      </c>
      <c r="B5" s="2">
        <v>45259</v>
      </c>
      <c r="C5" t="s">
        <v>1086</v>
      </c>
      <c r="D5" t="s">
        <v>1700</v>
      </c>
      <c r="E5" t="str">
        <f ca="1">TRIM(Sales_fact[[#This Row],[Store_ID]])</f>
        <v>STORE8</v>
      </c>
      <c r="F5">
        <v>1</v>
      </c>
      <c r="G5">
        <f>IF(ISBLANK(F5),MODE($F$2:$F$2001),F5)</f>
        <v>1</v>
      </c>
      <c r="H5">
        <v>921.51</v>
      </c>
      <c r="I5">
        <f>IF(ISBLANK(H5),AVERAGE($H$2:$H$2001),H5)</f>
        <v>921.51</v>
      </c>
      <c r="J5">
        <v>0.16</v>
      </c>
      <c r="K5">
        <f>IF(ISBLANK(J5),MODE($J$2:$J$2001),J5)</f>
        <v>0.16</v>
      </c>
      <c r="L5" t="s">
        <v>1829</v>
      </c>
      <c r="M5">
        <v>774.0684</v>
      </c>
      <c r="N5">
        <f t="shared" si="0"/>
        <v>774.0684</v>
      </c>
      <c r="O5" t="str">
        <f>_xlfn.XLOOKUP(Sales_fact[[#This Row],[Customer_ID]],'Customer_Dim'!A:A,'Customer_Dim'!K:K,"Not Found")</f>
        <v>Platinum</v>
      </c>
      <c r="P5">
        <f>_xlfn.XLOOKUP(Sales_fact[[#This Row],[Customer_ID]],'Customer_Dim'!A:A, 'Customer_Dim'!E:E, "Not Found")</f>
        <v>58</v>
      </c>
      <c r="Q5" t="str">
        <f>VLOOKUP(Sales_fact[[#This Row],[Customer_ID]], 'Customer_Dim'!A:F, 6, FALSE)</f>
        <v>Female</v>
      </c>
      <c r="R5" s="13" t="str">
        <f>_xlfn.XLOOKUP(Sales_fact[[#This Row],[Product_ID]],Product_Dim!A:A,Product_Dim!C:C,"OTHERS")</f>
        <v>Electronics</v>
      </c>
      <c r="T5" s="8" t="s">
        <v>3972</v>
      </c>
      <c r="U5" s="8">
        <v>18.30330556165427</v>
      </c>
    </row>
    <row r="6" spans="1:21" x14ac:dyDescent="0.3">
      <c r="A6" t="s">
        <v>1830</v>
      </c>
      <c r="B6" s="2">
        <v>45297</v>
      </c>
      <c r="C6" t="s">
        <v>1516</v>
      </c>
      <c r="D6" t="s">
        <v>1666</v>
      </c>
      <c r="E6" t="str">
        <f ca="1">TRIM(Sales_fact[[#This Row],[Store_ID]])</f>
        <v>STORE5</v>
      </c>
      <c r="F6">
        <v>3</v>
      </c>
      <c r="G6">
        <f>IF(ISBLANK(F6),MODE($F$2:$F$2001),F6)</f>
        <v>3</v>
      </c>
      <c r="H6">
        <v>745.3</v>
      </c>
      <c r="I6">
        <f>IF(ISBLANK(H6),AVERAGE($H$2:$H$2001),H6)</f>
        <v>745.3</v>
      </c>
      <c r="J6">
        <v>0.18</v>
      </c>
      <c r="K6">
        <f>IF(ISBLANK(J6),MODE($J$2:$J$2001),J6)</f>
        <v>0.18</v>
      </c>
      <c r="L6" t="s">
        <v>1824</v>
      </c>
      <c r="M6">
        <v>1833.4380000000001</v>
      </c>
      <c r="N6">
        <f t="shared" si="0"/>
        <v>1833.4379999999999</v>
      </c>
      <c r="O6" t="str">
        <f>_xlfn.XLOOKUP(Sales_fact[[#This Row],[Customer_ID]],'Customer_Dim'!A:A,'Customer_Dim'!K:K,"Not Found")</f>
        <v>Silver</v>
      </c>
      <c r="P6">
        <f>_xlfn.XLOOKUP(Sales_fact[[#This Row],[Customer_ID]],'Customer_Dim'!A:A, 'Customer_Dim'!E:E, "Not Found")</f>
        <v>28</v>
      </c>
      <c r="Q6" t="str">
        <f>VLOOKUP(Sales_fact[[#This Row],[Customer_ID]], 'Customer_Dim'!A:F, 6, FALSE)</f>
        <v>Male</v>
      </c>
      <c r="R6" s="13" t="str">
        <f>_xlfn.XLOOKUP(Sales_fact[[#This Row],[Product_ID]],Product_Dim!A:A,Product_Dim!C:C,"OTHERS")</f>
        <v>Beauty</v>
      </c>
      <c r="T6" s="8" t="s">
        <v>3973</v>
      </c>
      <c r="U6" s="8">
        <v>868.71820000000002</v>
      </c>
    </row>
    <row r="7" spans="1:21" x14ac:dyDescent="0.3">
      <c r="A7" t="s">
        <v>1831</v>
      </c>
      <c r="B7" s="2">
        <v>45499</v>
      </c>
      <c r="C7" t="s">
        <v>405</v>
      </c>
      <c r="D7" t="s">
        <v>1578</v>
      </c>
      <c r="E7" t="str">
        <f ca="1">TRIM(Sales_fact[[#This Row],[Store_ID]])</f>
        <v>STORE7</v>
      </c>
      <c r="F7">
        <v>3</v>
      </c>
      <c r="G7">
        <f>IF(ISBLANK(F7),MODE($F$2:$F$2001),F7)</f>
        <v>3</v>
      </c>
      <c r="H7">
        <v>147.01</v>
      </c>
      <c r="I7">
        <f>IF(ISBLANK(H7),AVERAGE($H$2:$H$2001),H7)</f>
        <v>147.01</v>
      </c>
      <c r="J7">
        <v>0.19</v>
      </c>
      <c r="K7">
        <f>IF(ISBLANK(J7),MODE($J$2:$J$2001),J7)</f>
        <v>0.19</v>
      </c>
      <c r="L7" t="s">
        <v>1829</v>
      </c>
      <c r="M7">
        <v>357.23430000000002</v>
      </c>
      <c r="N7">
        <f t="shared" si="0"/>
        <v>357.23430000000002</v>
      </c>
      <c r="O7" t="str">
        <f>_xlfn.XLOOKUP(Sales_fact[[#This Row],[Customer_ID]],'Customer_Dim'!A:A,'Customer_Dim'!K:K,"Not Found")</f>
        <v>Platinum</v>
      </c>
      <c r="P7">
        <f>_xlfn.XLOOKUP(Sales_fact[[#This Row],[Customer_ID]],'Customer_Dim'!A:A, 'Customer_Dim'!E:E, "Not Found")</f>
        <v>18</v>
      </c>
      <c r="Q7" t="str">
        <f>VLOOKUP(Sales_fact[[#This Row],[Customer_ID]], 'Customer_Dim'!A:F, 6, FALSE)</f>
        <v>Female</v>
      </c>
      <c r="R7" s="13" t="str">
        <f>_xlfn.XLOOKUP(Sales_fact[[#This Row],[Product_ID]],Product_Dim!A:A,Product_Dim!C:C,"OTHERS")</f>
        <v>Electronics</v>
      </c>
      <c r="T7" s="8" t="s">
        <v>3974</v>
      </c>
      <c r="U7" s="8" t="e">
        <v>#N/A</v>
      </c>
    </row>
    <row r="8" spans="1:21" x14ac:dyDescent="0.3">
      <c r="A8" t="s">
        <v>1832</v>
      </c>
      <c r="B8" s="2">
        <v>45850</v>
      </c>
      <c r="C8" t="s">
        <v>75</v>
      </c>
      <c r="D8" t="s">
        <v>1660</v>
      </c>
      <c r="E8" t="str">
        <f ca="1">TRIM(Sales_fact[[#This Row],[Store_ID]])</f>
        <v>STORE4</v>
      </c>
      <c r="F8">
        <v>2</v>
      </c>
      <c r="G8">
        <f>IF(ISBLANK(F8),MODE($F$2:$F$2001),F8)</f>
        <v>2</v>
      </c>
      <c r="H8">
        <v>785.31</v>
      </c>
      <c r="I8">
        <f>IF(ISBLANK(H8),AVERAGE($H$2:$H$2001),H8)</f>
        <v>785.31</v>
      </c>
      <c r="J8">
        <v>0.15</v>
      </c>
      <c r="K8">
        <f>IF(ISBLANK(J8),MODE($J$2:$J$2001),J8)</f>
        <v>0.15</v>
      </c>
      <c r="L8" t="s">
        <v>1826</v>
      </c>
      <c r="M8">
        <v>1335.027</v>
      </c>
      <c r="N8">
        <f t="shared" si="0"/>
        <v>1335.0269999999998</v>
      </c>
      <c r="O8" t="str">
        <f>_xlfn.XLOOKUP(Sales_fact[[#This Row],[Customer_ID]],'Customer_Dim'!A:A,'Customer_Dim'!K:K,"Not Found")</f>
        <v>Bronze</v>
      </c>
      <c r="P8">
        <f>_xlfn.XLOOKUP(Sales_fact[[#This Row],[Customer_ID]],'Customer_Dim'!A:A, 'Customer_Dim'!E:E, "Not Found")</f>
        <v>24</v>
      </c>
      <c r="Q8" t="str">
        <f>VLOOKUP(Sales_fact[[#This Row],[Customer_ID]], 'Customer_Dim'!A:F, 6, FALSE)</f>
        <v>Female</v>
      </c>
      <c r="R8" s="13" t="str">
        <f>_xlfn.XLOOKUP(Sales_fact[[#This Row],[Product_ID]],Product_Dim!A:A,Product_Dim!C:C,"OTHERS")</f>
        <v>Home</v>
      </c>
      <c r="T8" s="8" t="s">
        <v>3975</v>
      </c>
      <c r="U8" s="8">
        <v>818.54870897617832</v>
      </c>
    </row>
    <row r="9" spans="1:21" x14ac:dyDescent="0.3">
      <c r="A9" t="s">
        <v>1833</v>
      </c>
      <c r="B9" s="2">
        <v>45248</v>
      </c>
      <c r="C9" t="s">
        <v>511</v>
      </c>
      <c r="D9" t="s">
        <v>1688</v>
      </c>
      <c r="E9" t="str">
        <f ca="1">TRIM(Sales_fact[[#This Row],[Store_ID]])</f>
        <v>STORE8</v>
      </c>
      <c r="F9">
        <v>4</v>
      </c>
      <c r="G9">
        <f>IF(ISBLANK(F9),MODE($F$2:$F$2001),F9)</f>
        <v>4</v>
      </c>
      <c r="H9">
        <v>342.39</v>
      </c>
      <c r="I9">
        <f>IF(ISBLANK(H9),AVERAGE($H$2:$H$2001),H9)</f>
        <v>342.39</v>
      </c>
      <c r="J9">
        <v>0.23</v>
      </c>
      <c r="K9">
        <f>IF(ISBLANK(J9),MODE($J$2:$J$2001),J9)</f>
        <v>0.23</v>
      </c>
      <c r="L9" t="s">
        <v>1826</v>
      </c>
      <c r="M9">
        <v>1054.5612000000001</v>
      </c>
      <c r="N9">
        <f t="shared" si="0"/>
        <v>1054.5611999999999</v>
      </c>
      <c r="O9" t="str">
        <f>_xlfn.XLOOKUP(Sales_fact[[#This Row],[Customer_ID]],'Customer_Dim'!A:A,'Customer_Dim'!K:K,"Not Found")</f>
        <v>Platinum</v>
      </c>
      <c r="P9">
        <f>_xlfn.XLOOKUP(Sales_fact[[#This Row],[Customer_ID]],'Customer_Dim'!A:A, 'Customer_Dim'!E:E, "Not Found")</f>
        <v>41</v>
      </c>
      <c r="Q9" t="str">
        <f>VLOOKUP(Sales_fact[[#This Row],[Customer_ID]], 'Customer_Dim'!A:F, 6, FALSE)</f>
        <v>Female</v>
      </c>
      <c r="R9" s="13" t="str">
        <f>_xlfn.XLOOKUP(Sales_fact[[#This Row],[Product_ID]],Product_Dim!A:A,Product_Dim!C:C,"OTHERS")</f>
        <v>Home</v>
      </c>
      <c r="T9" s="8" t="s">
        <v>3976</v>
      </c>
      <c r="U9" s="8">
        <v>670021.98896656826</v>
      </c>
    </row>
    <row r="10" spans="1:21" x14ac:dyDescent="0.3">
      <c r="A10" t="s">
        <v>1834</v>
      </c>
      <c r="B10" s="2">
        <v>45781</v>
      </c>
      <c r="C10" t="s">
        <v>616</v>
      </c>
      <c r="D10" t="s">
        <v>1746</v>
      </c>
      <c r="E10" t="str">
        <f ca="1">TRIM(Sales_fact[[#This Row],[Store_ID]])</f>
        <v>STORE5</v>
      </c>
      <c r="G10">
        <f>IF(ISBLANK(F10),MODE($F$2:$F$2001),F10)</f>
        <v>2</v>
      </c>
      <c r="H10">
        <v>448.25</v>
      </c>
      <c r="I10">
        <f>IF(ISBLANK(H10),AVERAGE($H$2:$H$2001),H10)</f>
        <v>448.25</v>
      </c>
      <c r="J10">
        <v>7.0000000000000007E-2</v>
      </c>
      <c r="K10">
        <f>IF(ISBLANK(J10),MODE($J$2:$J$2001),J10)</f>
        <v>7.0000000000000007E-2</v>
      </c>
      <c r="L10" t="s">
        <v>1826</v>
      </c>
      <c r="M10">
        <v>1250.6175000000001</v>
      </c>
      <c r="N10">
        <f t="shared" si="0"/>
        <v>833.74499999999989</v>
      </c>
      <c r="O10" t="str">
        <f>_xlfn.XLOOKUP(Sales_fact[[#This Row],[Customer_ID]],'Customer_Dim'!A:A,'Customer_Dim'!K:K,"Not Found")</f>
        <v>Platinum</v>
      </c>
      <c r="P10">
        <f>_xlfn.XLOOKUP(Sales_fact[[#This Row],[Customer_ID]],'Customer_Dim'!A:A, 'Customer_Dim'!E:E, "Not Found")</f>
        <v>60</v>
      </c>
      <c r="Q10" t="str">
        <f>VLOOKUP(Sales_fact[[#This Row],[Customer_ID]], 'Customer_Dim'!A:F, 6, FALSE)</f>
        <v>Female</v>
      </c>
      <c r="R10" s="13" t="str">
        <f>_xlfn.XLOOKUP(Sales_fact[[#This Row],[Product_ID]],Product_Dim!A:A,Product_Dim!C:C,"OTHERS")</f>
        <v>Home</v>
      </c>
      <c r="T10" s="8" t="s">
        <v>3977</v>
      </c>
      <c r="U10" s="8">
        <v>5.9022757208769594E-2</v>
      </c>
    </row>
    <row r="11" spans="1:21" x14ac:dyDescent="0.3">
      <c r="A11" t="s">
        <v>1835</v>
      </c>
      <c r="B11" s="2">
        <v>45869</v>
      </c>
      <c r="C11" t="s">
        <v>1431</v>
      </c>
      <c r="D11" t="s">
        <v>1614</v>
      </c>
      <c r="E11" t="str">
        <f ca="1">TRIM(Sales_fact[[#This Row],[Store_ID]])</f>
        <v>STORE0</v>
      </c>
      <c r="F11">
        <v>2</v>
      </c>
      <c r="G11">
        <f>IF(ISBLANK(F11),MODE($F$2:$F$2001),F11)</f>
        <v>2</v>
      </c>
      <c r="H11">
        <v>873.17</v>
      </c>
      <c r="I11">
        <f>IF(ISBLANK(H11),AVERAGE($H$2:$H$2001),H11)</f>
        <v>873.17</v>
      </c>
      <c r="J11">
        <v>0.23</v>
      </c>
      <c r="K11">
        <f>IF(ISBLANK(J11),MODE($J$2:$J$2001),J11)</f>
        <v>0.23</v>
      </c>
      <c r="L11" t="s">
        <v>1826</v>
      </c>
      <c r="M11">
        <v>1344.6818000000001</v>
      </c>
      <c r="N11">
        <f t="shared" si="0"/>
        <v>1344.6818000000001</v>
      </c>
      <c r="O11" t="str">
        <f>_xlfn.XLOOKUP(Sales_fact[[#This Row],[Customer_ID]],'Customer_Dim'!A:A,'Customer_Dim'!K:K,"Not Found")</f>
        <v>Not Found</v>
      </c>
      <c r="P11" t="str">
        <f>_xlfn.XLOOKUP(Sales_fact[[#This Row],[Customer_ID]],'Customer_Dim'!A:A, 'Customer_Dim'!E:E, "Not Found")</f>
        <v>Not Found</v>
      </c>
      <c r="Q11" t="e">
        <f>VLOOKUP(Sales_fact[[#This Row],[Customer_ID]], 'Customer_Dim'!A:F, 6, )</f>
        <v>#N/A</v>
      </c>
      <c r="R11" s="13" t="str">
        <f>_xlfn.XLOOKUP(Sales_fact[[#This Row],[Product_ID]],Product_Dim!A:A,Product_Dim!C:C,"OTHERS")</f>
        <v>Home</v>
      </c>
      <c r="T11" s="8" t="s">
        <v>3978</v>
      </c>
      <c r="U11" s="8">
        <v>0.88190829599555765</v>
      </c>
    </row>
    <row r="12" spans="1:21" x14ac:dyDescent="0.3">
      <c r="A12" t="s">
        <v>1836</v>
      </c>
      <c r="B12" s="2">
        <v>45335</v>
      </c>
      <c r="C12" t="s">
        <v>241</v>
      </c>
      <c r="D12" t="s">
        <v>1596</v>
      </c>
      <c r="E12" t="str">
        <f ca="1">TRIM(Sales_fact[[#This Row],[Store_ID]])</f>
        <v>STORE14</v>
      </c>
      <c r="F12">
        <v>1</v>
      </c>
      <c r="G12">
        <f>IF(ISBLANK(F12),MODE($F$2:$F$2001),F12)</f>
        <v>1</v>
      </c>
      <c r="H12">
        <v>278.63</v>
      </c>
      <c r="I12">
        <f>IF(ISBLANK(H12),AVERAGE($H$2:$H$2001),H12)</f>
        <v>278.63</v>
      </c>
      <c r="J12">
        <v>7.0000000000000007E-2</v>
      </c>
      <c r="K12">
        <f>IF(ISBLANK(J12),MODE($J$2:$J$2001),J12)</f>
        <v>7.0000000000000007E-2</v>
      </c>
      <c r="L12" t="s">
        <v>1824</v>
      </c>
      <c r="M12">
        <v>259.1259</v>
      </c>
      <c r="N12">
        <f t="shared" si="0"/>
        <v>259.1259</v>
      </c>
      <c r="O12" t="str">
        <f>_xlfn.XLOOKUP(Sales_fact[[#This Row],[Customer_ID]],'Customer_Dim'!A:A,'Customer_Dim'!K:K,"Not Found")</f>
        <v>Silver</v>
      </c>
      <c r="P12">
        <f>_xlfn.XLOOKUP(Sales_fact[[#This Row],[Customer_ID]],'Customer_Dim'!A:A, 'Customer_Dim'!E:E, "Not Found")</f>
        <v>21</v>
      </c>
      <c r="Q12" t="str">
        <f>VLOOKUP(Sales_fact[[#This Row],[Customer_ID]], 'Customer_Dim'!A:F, 6, FALSE)</f>
        <v>Female</v>
      </c>
      <c r="R12" s="13" t="str">
        <f>_xlfn.XLOOKUP(Sales_fact[[#This Row],[Product_ID]],Product_Dim!A:A,Product_Dim!C:C,"OTHERS")</f>
        <v>Sports</v>
      </c>
      <c r="T12" s="8" t="s">
        <v>3979</v>
      </c>
      <c r="U12" s="8">
        <v>3889.7838000000002</v>
      </c>
    </row>
    <row r="13" spans="1:21" x14ac:dyDescent="0.3">
      <c r="A13" t="s">
        <v>1837</v>
      </c>
      <c r="B13" s="2">
        <v>45801</v>
      </c>
      <c r="C13" t="s">
        <v>1008</v>
      </c>
      <c r="D13" t="s">
        <v>1626</v>
      </c>
      <c r="E13" t="str">
        <f ca="1">TRIM(Sales_fact[[#This Row],[Store_ID]])</f>
        <v>STORE1</v>
      </c>
      <c r="F13">
        <v>4</v>
      </c>
      <c r="G13">
        <f>IF(ISBLANK(F13),MODE($F$2:$F$2001),F13)</f>
        <v>4</v>
      </c>
      <c r="H13">
        <v>286.92</v>
      </c>
      <c r="I13">
        <f>IF(ISBLANK(H13),AVERAGE($H$2:$H$2001),H13)</f>
        <v>286.92</v>
      </c>
      <c r="J13">
        <v>0.17</v>
      </c>
      <c r="K13">
        <f>IF(ISBLANK(J13),MODE($J$2:$J$2001),J13)</f>
        <v>0.17</v>
      </c>
      <c r="L13" t="s">
        <v>1824</v>
      </c>
      <c r="M13">
        <v>952.57439999999997</v>
      </c>
      <c r="N13">
        <f t="shared" si="0"/>
        <v>952.57439999999997</v>
      </c>
      <c r="O13" t="str">
        <f>_xlfn.XLOOKUP(Sales_fact[[#This Row],[Customer_ID]],'Customer_Dim'!A:A,'Customer_Dim'!K:K,"Not Found")</f>
        <v>Bronze</v>
      </c>
      <c r="P13">
        <f>_xlfn.XLOOKUP(Sales_fact[[#This Row],[Customer_ID]],'Customer_Dim'!A:A, 'Customer_Dim'!E:E, "Not Found")</f>
        <v>34</v>
      </c>
      <c r="Q13" t="str">
        <f>VLOOKUP(Sales_fact[[#This Row],[Customer_ID]], 'Customer_Dim'!A:F, 6, FALSE)</f>
        <v>Female</v>
      </c>
      <c r="R13" s="13" t="str">
        <f>_xlfn.XLOOKUP(Sales_fact[[#This Row],[Product_ID]],Product_Dim!A:A,Product_Dim!C:C,"OTHERS")</f>
        <v>Electronics</v>
      </c>
      <c r="T13" s="8" t="s">
        <v>3980</v>
      </c>
      <c r="U13" s="8">
        <v>18.459</v>
      </c>
    </row>
    <row r="14" spans="1:21" x14ac:dyDescent="0.3">
      <c r="A14" t="s">
        <v>1838</v>
      </c>
      <c r="B14" s="2">
        <v>45528</v>
      </c>
      <c r="C14" t="s">
        <v>761</v>
      </c>
      <c r="D14" t="s">
        <v>1724</v>
      </c>
      <c r="E14" t="str">
        <f ca="1">TRIM(Sales_fact[[#This Row],[Store_ID]])</f>
        <v>STORE4</v>
      </c>
      <c r="F14">
        <v>4</v>
      </c>
      <c r="G14">
        <f>IF(ISBLANK(F14),MODE($F$2:$F$2001),F14)</f>
        <v>4</v>
      </c>
      <c r="H14">
        <v>644.58000000000004</v>
      </c>
      <c r="I14">
        <f>IF(ISBLANK(H14),AVERAGE($H$2:$H$2001),H14)</f>
        <v>644.58000000000004</v>
      </c>
      <c r="J14">
        <v>0.01</v>
      </c>
      <c r="K14">
        <f>IF(ISBLANK(J14),MODE($J$2:$J$2001),J14)</f>
        <v>0.01</v>
      </c>
      <c r="L14" t="s">
        <v>1824</v>
      </c>
      <c r="M14">
        <v>2552.5367999999999</v>
      </c>
      <c r="N14">
        <f t="shared" si="0"/>
        <v>2552.5368000000003</v>
      </c>
      <c r="O14" t="str">
        <f>_xlfn.XLOOKUP(Sales_fact[[#This Row],[Customer_ID]],'Customer_Dim'!A:A,'Customer_Dim'!K:K,"Not Found")</f>
        <v>Gold</v>
      </c>
      <c r="P14">
        <f>_xlfn.XLOOKUP(Sales_fact[[#This Row],[Customer_ID]],'Customer_Dim'!A:A, 'Customer_Dim'!E:E, "Not Found")</f>
        <v>41</v>
      </c>
      <c r="Q14" t="str">
        <f>VLOOKUP(Sales_fact[[#This Row],[Customer_ID]], 'Customer_Dim'!A:F, 6, FALSE)</f>
        <v>Female</v>
      </c>
      <c r="R14" s="13" t="str">
        <f>_xlfn.XLOOKUP(Sales_fact[[#This Row],[Product_ID]],Product_Dim!A:A,Product_Dim!C:C,"OTHERS")</f>
        <v>Sports</v>
      </c>
      <c r="T14" s="8" t="s">
        <v>3981</v>
      </c>
      <c r="U14" s="8">
        <v>3908.2428</v>
      </c>
    </row>
    <row r="15" spans="1:21" x14ac:dyDescent="0.3">
      <c r="A15" t="s">
        <v>1839</v>
      </c>
      <c r="B15" s="2">
        <v>45875</v>
      </c>
      <c r="C15" t="s">
        <v>1371</v>
      </c>
      <c r="D15" t="s">
        <v>1616</v>
      </c>
      <c r="E15" t="str">
        <f ca="1">TRIM(Sales_fact[[#This Row],[Store_ID]])</f>
        <v>STORE16</v>
      </c>
      <c r="F15">
        <v>2</v>
      </c>
      <c r="G15">
        <f>IF(ISBLANK(F15),MODE($F$2:$F$2001),F15)</f>
        <v>2</v>
      </c>
      <c r="H15">
        <v>316.89999999999998</v>
      </c>
      <c r="I15">
        <f>IF(ISBLANK(H15),AVERAGE($H$2:$H$2001),H15)</f>
        <v>316.89999999999998</v>
      </c>
      <c r="J15">
        <v>0.3</v>
      </c>
      <c r="K15">
        <f>IF(ISBLANK(J15),MODE($J$2:$J$2001),J15)</f>
        <v>0.3</v>
      </c>
      <c r="L15" t="s">
        <v>1826</v>
      </c>
      <c r="M15">
        <v>443.66</v>
      </c>
      <c r="N15">
        <f t="shared" si="0"/>
        <v>443.65999999999997</v>
      </c>
      <c r="O15" t="str">
        <f>_xlfn.XLOOKUP(Sales_fact[[#This Row],[Customer_ID]],'Customer_Dim'!A:A,'Customer_Dim'!K:K,"Not Found")</f>
        <v>Silver</v>
      </c>
      <c r="P15">
        <f>_xlfn.XLOOKUP(Sales_fact[[#This Row],[Customer_ID]],'Customer_Dim'!A:A, 'Customer_Dim'!E:E, "Not Found")</f>
        <v>51</v>
      </c>
      <c r="Q15" t="str">
        <f>VLOOKUP(Sales_fact[[#This Row],[Customer_ID]], 'Customer_Dim'!A:F, 6, FALSE)</f>
        <v>Male</v>
      </c>
      <c r="R15" s="13" t="str">
        <f>_xlfn.XLOOKUP(Sales_fact[[#This Row],[Product_ID]],Product_Dim!A:A,Product_Dim!C:C,"OTHERS")</f>
        <v>Electronics</v>
      </c>
      <c r="T15" s="8" t="s">
        <v>3982</v>
      </c>
      <c r="U15" s="8">
        <v>2173363.4299674015</v>
      </c>
    </row>
    <row r="16" spans="1:21" ht="15" thickBot="1" x14ac:dyDescent="0.35">
      <c r="A16" t="s">
        <v>1840</v>
      </c>
      <c r="B16" s="2">
        <v>45829</v>
      </c>
      <c r="C16" t="s">
        <v>1092</v>
      </c>
      <c r="D16" t="s">
        <v>1596</v>
      </c>
      <c r="E16" t="str">
        <f ca="1">TRIM(Sales_fact[[#This Row],[Store_ID]])</f>
        <v>STORE15</v>
      </c>
      <c r="F16">
        <v>4</v>
      </c>
      <c r="G16">
        <f>IF(ISBLANK(F16),MODE($F$2:$F$2001),F16)</f>
        <v>4</v>
      </c>
      <c r="H16">
        <v>403.47</v>
      </c>
      <c r="I16">
        <f>IF(ISBLANK(H16),AVERAGE($H$2:$H$2001),H16)</f>
        <v>403.47</v>
      </c>
      <c r="J16">
        <v>0.28999999999999998</v>
      </c>
      <c r="K16">
        <f>IF(ISBLANK(J16),MODE($J$2:$J$2001),J16)</f>
        <v>0.28999999999999998</v>
      </c>
      <c r="L16" t="s">
        <v>1826</v>
      </c>
      <c r="M16">
        <v>1145.8548000000001</v>
      </c>
      <c r="N16">
        <f t="shared" si="0"/>
        <v>1145.8548000000001</v>
      </c>
      <c r="O16" t="str">
        <f>_xlfn.XLOOKUP(Sales_fact[[#This Row],[Customer_ID]],'Customer_Dim'!A:A,'Customer_Dim'!K:K,"Not Found")</f>
        <v>Silver</v>
      </c>
      <c r="P16">
        <f>_xlfn.XLOOKUP(Sales_fact[[#This Row],[Customer_ID]],'Customer_Dim'!A:A, 'Customer_Dim'!E:E, "Not Found")</f>
        <v>55</v>
      </c>
      <c r="Q16" t="str">
        <f>VLOOKUP(Sales_fact[[#This Row],[Customer_ID]], 'Customer_Dim'!A:F, 6, FALSE)</f>
        <v>Male</v>
      </c>
      <c r="R16" s="13" t="str">
        <f>_xlfn.XLOOKUP(Sales_fact[[#This Row],[Product_ID]],Product_Dim!A:A,Product_Dim!C:C,"OTHERS")</f>
        <v>Sports</v>
      </c>
      <c r="T16" s="9" t="s">
        <v>3983</v>
      </c>
      <c r="U16" s="9">
        <v>2000</v>
      </c>
    </row>
    <row r="17" spans="1:18" x14ac:dyDescent="0.3">
      <c r="A17" t="s">
        <v>1841</v>
      </c>
      <c r="B17" s="2">
        <v>45636</v>
      </c>
      <c r="C17" t="s">
        <v>1349</v>
      </c>
      <c r="D17" t="s">
        <v>1620</v>
      </c>
      <c r="E17" t="str">
        <f ca="1">TRIM(Sales_fact[[#This Row],[Store_ID]])</f>
        <v>STORE9</v>
      </c>
      <c r="G17">
        <f>IF(ISBLANK(F17),MODE($F$2:$F$2001),F17)</f>
        <v>2</v>
      </c>
      <c r="H17">
        <v>871.34</v>
      </c>
      <c r="I17">
        <f>IF(ISBLANK(H17),AVERAGE($H$2:$H$2001),H17)</f>
        <v>871.34</v>
      </c>
      <c r="J17">
        <v>0.04</v>
      </c>
      <c r="K17">
        <f>IF(ISBLANK(J17),MODE($J$2:$J$2001),J17)</f>
        <v>0.04</v>
      </c>
      <c r="L17" t="s">
        <v>1829</v>
      </c>
      <c r="M17">
        <v>2509.4591999999998</v>
      </c>
      <c r="N17">
        <f t="shared" si="0"/>
        <v>1672.9728</v>
      </c>
      <c r="O17" t="str">
        <f>_xlfn.XLOOKUP(Sales_fact[[#This Row],[Customer_ID]],'Customer_Dim'!A:A,'Customer_Dim'!K:K,"Not Found")</f>
        <v>Silver</v>
      </c>
      <c r="P17">
        <f>_xlfn.XLOOKUP(Sales_fact[[#This Row],[Customer_ID]],'Customer_Dim'!A:A, 'Customer_Dim'!E:E, "Not Found")</f>
        <v>37</v>
      </c>
      <c r="Q17" t="str">
        <f>VLOOKUP(Sales_fact[[#This Row],[Customer_ID]], 'Customer_Dim'!A:F, 6, FALSE)</f>
        <v>Female</v>
      </c>
      <c r="R17" s="13" t="str">
        <f>_xlfn.XLOOKUP(Sales_fact[[#This Row],[Product_ID]],Product_Dim!A:A,Product_Dim!C:C,"OTHERS")</f>
        <v>Clothing</v>
      </c>
    </row>
    <row r="18" spans="1:18" x14ac:dyDescent="0.3">
      <c r="A18" t="s">
        <v>1842</v>
      </c>
      <c r="B18" s="2">
        <v>45913</v>
      </c>
      <c r="C18" t="s">
        <v>878</v>
      </c>
      <c r="D18" t="s">
        <v>1678</v>
      </c>
      <c r="E18" t="str">
        <f ca="1">TRIM(Sales_fact[[#This Row],[Store_ID]])</f>
        <v>STORE19</v>
      </c>
      <c r="F18">
        <v>2</v>
      </c>
      <c r="G18">
        <f>IF(ISBLANK(F18),MODE($F$2:$F$2001),F18)</f>
        <v>2</v>
      </c>
      <c r="H18">
        <v>451.98</v>
      </c>
      <c r="I18">
        <f>IF(ISBLANK(H18),AVERAGE($H$2:$H$2001),H18)</f>
        <v>451.98</v>
      </c>
      <c r="J18">
        <v>0.25</v>
      </c>
      <c r="K18">
        <f>IF(ISBLANK(J18),MODE($J$2:$J$2001),J18)</f>
        <v>0.25</v>
      </c>
      <c r="L18" t="s">
        <v>1824</v>
      </c>
      <c r="M18">
        <v>677.97</v>
      </c>
      <c r="N18">
        <f t="shared" si="0"/>
        <v>677.97</v>
      </c>
      <c r="O18" t="str">
        <f>_xlfn.XLOOKUP(Sales_fact[[#This Row],[Customer_ID]],'Customer_Dim'!A:A,'Customer_Dim'!K:K,"Not Found")</f>
        <v>Gold</v>
      </c>
      <c r="P18">
        <f>_xlfn.XLOOKUP(Sales_fact[[#This Row],[Customer_ID]],'Customer_Dim'!A:A, 'Customer_Dim'!E:E, "Not Found")</f>
        <v>38</v>
      </c>
      <c r="Q18" t="str">
        <f>VLOOKUP(Sales_fact[[#This Row],[Customer_ID]], 'Customer_Dim'!A:F, 6, FALSE)</f>
        <v>Male</v>
      </c>
      <c r="R18" s="13" t="str">
        <f>_xlfn.XLOOKUP(Sales_fact[[#This Row],[Product_ID]],Product_Dim!A:A,Product_Dim!C:C,"OTHERS")</f>
        <v>Sports</v>
      </c>
    </row>
    <row r="19" spans="1:18" x14ac:dyDescent="0.3">
      <c r="A19" t="s">
        <v>1843</v>
      </c>
      <c r="B19" s="2">
        <v>45637</v>
      </c>
      <c r="C19" t="s">
        <v>288</v>
      </c>
      <c r="D19" t="s">
        <v>1602</v>
      </c>
      <c r="E19" t="str">
        <f ca="1">TRIM(Sales_fact[[#This Row],[Store_ID]])</f>
        <v>STORE4</v>
      </c>
      <c r="F19">
        <v>2</v>
      </c>
      <c r="G19">
        <f>IF(ISBLANK(F19),MODE($F$2:$F$2001),F19)</f>
        <v>2</v>
      </c>
      <c r="H19">
        <v>502.69</v>
      </c>
      <c r="I19">
        <f>IF(ISBLANK(H19),AVERAGE($H$2:$H$2001),H19)</f>
        <v>502.69</v>
      </c>
      <c r="J19">
        <v>0.23</v>
      </c>
      <c r="K19">
        <f>IF(ISBLANK(J19),MODE($J$2:$J$2001),J19)</f>
        <v>0.23</v>
      </c>
      <c r="L19" t="s">
        <v>1824</v>
      </c>
      <c r="M19">
        <v>774.14260000000002</v>
      </c>
      <c r="N19">
        <f t="shared" si="0"/>
        <v>774.14260000000002</v>
      </c>
      <c r="O19" t="str">
        <f>_xlfn.XLOOKUP(Sales_fact[[#This Row],[Customer_ID]],'Customer_Dim'!A:A,'Customer_Dim'!K:K,"Not Found")</f>
        <v>Platinum</v>
      </c>
      <c r="P19">
        <f>_xlfn.XLOOKUP(Sales_fact[[#This Row],[Customer_ID]],'Customer_Dim'!A:A, 'Customer_Dim'!E:E, "Not Found")</f>
        <v>22</v>
      </c>
      <c r="Q19" t="str">
        <f>VLOOKUP(Sales_fact[[#This Row],[Customer_ID]], 'Customer_Dim'!A:F, 6, FALSE)</f>
        <v>Female</v>
      </c>
      <c r="R19" s="13" t="str">
        <f>_xlfn.XLOOKUP(Sales_fact[[#This Row],[Product_ID]],Product_Dim!A:A,Product_Dim!C:C,"OTHERS")</f>
        <v>Home</v>
      </c>
    </row>
    <row r="20" spans="1:18" x14ac:dyDescent="0.3">
      <c r="A20" t="s">
        <v>1844</v>
      </c>
      <c r="B20" s="2">
        <v>45517</v>
      </c>
      <c r="C20" t="s">
        <v>338</v>
      </c>
      <c r="D20" t="s">
        <v>1626</v>
      </c>
      <c r="E20" t="str">
        <f ca="1">TRIM(Sales_fact[[#This Row],[Store_ID]])</f>
        <v>STORE4</v>
      </c>
      <c r="F20">
        <v>2</v>
      </c>
      <c r="G20">
        <f>IF(ISBLANK(F20),MODE($F$2:$F$2001),F20)</f>
        <v>2</v>
      </c>
      <c r="H20">
        <v>559.23</v>
      </c>
      <c r="I20">
        <f>IF(ISBLANK(H20),AVERAGE($H$2:$H$2001),H20)</f>
        <v>559.23</v>
      </c>
      <c r="J20">
        <v>0.25</v>
      </c>
      <c r="K20">
        <f>IF(ISBLANK(J20),MODE($J$2:$J$2001),J20)</f>
        <v>0.25</v>
      </c>
      <c r="L20" t="s">
        <v>1829</v>
      </c>
      <c r="M20">
        <v>838.84500000000003</v>
      </c>
      <c r="N20">
        <f t="shared" si="0"/>
        <v>838.84500000000003</v>
      </c>
      <c r="O20" t="str">
        <f>_xlfn.XLOOKUP(Sales_fact[[#This Row],[Customer_ID]],'Customer_Dim'!A:A,'Customer_Dim'!K:K,"Not Found")</f>
        <v>Gold</v>
      </c>
      <c r="P20">
        <f>_xlfn.XLOOKUP(Sales_fact[[#This Row],[Customer_ID]],'Customer_Dim'!A:A, 'Customer_Dim'!E:E, "Not Found")</f>
        <v>43</v>
      </c>
      <c r="Q20" t="str">
        <f>VLOOKUP(Sales_fact[[#This Row],[Customer_ID]], 'Customer_Dim'!A:F, 6, FALSE)</f>
        <v>Female</v>
      </c>
      <c r="R20" s="13" t="str">
        <f>_xlfn.XLOOKUP(Sales_fact[[#This Row],[Product_ID]],Product_Dim!A:A,Product_Dim!C:C,"OTHERS")</f>
        <v>Electronics</v>
      </c>
    </row>
    <row r="21" spans="1:18" x14ac:dyDescent="0.3">
      <c r="A21" t="s">
        <v>1845</v>
      </c>
      <c r="B21" s="2">
        <v>45369</v>
      </c>
      <c r="C21" t="s">
        <v>767</v>
      </c>
      <c r="D21" t="s">
        <v>1668</v>
      </c>
      <c r="E21" t="str">
        <f ca="1">TRIM(Sales_fact[[#This Row],[Store_ID]])</f>
        <v>STORE13</v>
      </c>
      <c r="F21">
        <v>4</v>
      </c>
      <c r="G21">
        <f>IF(ISBLANK(F21),MODE($F$2:$F$2001),F21)</f>
        <v>4</v>
      </c>
      <c r="I21">
        <f>IF(ISBLANK(H21),AVERAGE($H$2:$H$2001),H21)</f>
        <v>513.98477215823721</v>
      </c>
      <c r="J21">
        <v>0.04</v>
      </c>
      <c r="K21">
        <f>IF(ISBLANK(J21),MODE($J$2:$J$2001),J21)</f>
        <v>0.04</v>
      </c>
      <c r="L21" t="s">
        <v>1829</v>
      </c>
      <c r="M21">
        <v>1782.4512</v>
      </c>
      <c r="N21">
        <f t="shared" si="0"/>
        <v>1973.7015250876309</v>
      </c>
      <c r="O21" t="str">
        <f>_xlfn.XLOOKUP(Sales_fact[[#This Row],[Customer_ID]],'Customer_Dim'!A:A,'Customer_Dim'!K:K,"Not Found")</f>
        <v>Platinum</v>
      </c>
      <c r="P21">
        <f>_xlfn.XLOOKUP(Sales_fact[[#This Row],[Customer_ID]],'Customer_Dim'!A:A, 'Customer_Dim'!E:E, "Not Found")</f>
        <v>58</v>
      </c>
      <c r="Q21" t="str">
        <f>VLOOKUP(Sales_fact[[#This Row],[Customer_ID]], 'Customer_Dim'!A:F, 6, FALSE)</f>
        <v>Female</v>
      </c>
      <c r="R21" s="13" t="str">
        <f>_xlfn.XLOOKUP(Sales_fact[[#This Row],[Product_ID]],Product_Dim!A:A,Product_Dim!C:C,"OTHERS")</f>
        <v>Beauty</v>
      </c>
    </row>
    <row r="22" spans="1:18" x14ac:dyDescent="0.3">
      <c r="A22" t="s">
        <v>1846</v>
      </c>
      <c r="B22" s="2">
        <v>45843</v>
      </c>
      <c r="C22" t="s">
        <v>487</v>
      </c>
      <c r="D22" t="s">
        <v>1692</v>
      </c>
      <c r="E22" t="str">
        <f ca="1">TRIM(Sales_fact[[#This Row],[Store_ID]])</f>
        <v>STORE17</v>
      </c>
      <c r="F22">
        <v>3</v>
      </c>
      <c r="G22">
        <f>IF(ISBLANK(F22),MODE($F$2:$F$2001),F22)</f>
        <v>3</v>
      </c>
      <c r="H22">
        <v>986.04</v>
      </c>
      <c r="I22">
        <f>IF(ISBLANK(H22),AVERAGE($H$2:$H$2001),H22)</f>
        <v>986.04</v>
      </c>
      <c r="J22">
        <v>0.27</v>
      </c>
      <c r="K22">
        <f>IF(ISBLANK(J22),MODE($J$2:$J$2001),J22)</f>
        <v>0.27</v>
      </c>
      <c r="L22" t="s">
        <v>1829</v>
      </c>
      <c r="M22">
        <v>2159.4276</v>
      </c>
      <c r="N22">
        <f t="shared" si="0"/>
        <v>2159.4276</v>
      </c>
      <c r="O22" t="str">
        <f>_xlfn.XLOOKUP(Sales_fact[[#This Row],[Customer_ID]],'Customer_Dim'!A:A,'Customer_Dim'!K:K,"Not Found")</f>
        <v>Bronze</v>
      </c>
      <c r="P22">
        <f>_xlfn.XLOOKUP(Sales_fact[[#This Row],[Customer_ID]],'Customer_Dim'!A:A, 'Customer_Dim'!E:E, "Not Found")</f>
        <v>62</v>
      </c>
      <c r="Q22" t="str">
        <f>VLOOKUP(Sales_fact[[#This Row],[Customer_ID]], 'Customer_Dim'!A:F, 6, FALSE)</f>
        <v>Female</v>
      </c>
      <c r="R22" s="13" t="str">
        <f>_xlfn.XLOOKUP(Sales_fact[[#This Row],[Product_ID]],Product_Dim!A:A,Product_Dim!C:C,"OTHERS")</f>
        <v>Sports</v>
      </c>
    </row>
    <row r="23" spans="1:18" x14ac:dyDescent="0.3">
      <c r="A23" t="s">
        <v>1847</v>
      </c>
      <c r="B23" s="2">
        <v>45447</v>
      </c>
      <c r="C23" t="s">
        <v>1235</v>
      </c>
      <c r="D23" t="s">
        <v>1634</v>
      </c>
      <c r="E23" t="str">
        <f ca="1">TRIM(Sales_fact[[#This Row],[Store_ID]])</f>
        <v>STORE18</v>
      </c>
      <c r="F23">
        <v>1</v>
      </c>
      <c r="G23">
        <f>IF(ISBLANK(F23),MODE($F$2:$F$2001),F23)</f>
        <v>1</v>
      </c>
      <c r="H23">
        <v>589.55999999999995</v>
      </c>
      <c r="I23">
        <f>IF(ISBLANK(H23),AVERAGE($H$2:$H$2001),H23)</f>
        <v>589.55999999999995</v>
      </c>
      <c r="J23">
        <v>0.22</v>
      </c>
      <c r="K23">
        <f>IF(ISBLANK(J23),MODE($J$2:$J$2001),J23)</f>
        <v>0.22</v>
      </c>
      <c r="L23" t="s">
        <v>1824</v>
      </c>
      <c r="M23">
        <v>459.85680000000002</v>
      </c>
      <c r="N23">
        <f t="shared" si="0"/>
        <v>459.85679999999996</v>
      </c>
      <c r="O23" t="str">
        <f>_xlfn.XLOOKUP(Sales_fact[[#This Row],[Customer_ID]],'Customer_Dim'!A:A,'Customer_Dim'!K:K,"Not Found")</f>
        <v>Silver</v>
      </c>
      <c r="P23">
        <f>_xlfn.XLOOKUP(Sales_fact[[#This Row],[Customer_ID]],'Customer_Dim'!A:A, 'Customer_Dim'!E:E, "Not Found")</f>
        <v>25</v>
      </c>
      <c r="Q23" t="str">
        <f>VLOOKUP(Sales_fact[[#This Row],[Customer_ID]], 'Customer_Dim'!A:F, 6, FALSE)</f>
        <v>Female</v>
      </c>
      <c r="R23" s="13" t="str">
        <f>_xlfn.XLOOKUP(Sales_fact[[#This Row],[Product_ID]],Product_Dim!A:A,Product_Dim!C:C,"OTHERS")</f>
        <v>Electronics</v>
      </c>
    </row>
    <row r="24" spans="1:18" x14ac:dyDescent="0.3">
      <c r="A24" t="s">
        <v>1848</v>
      </c>
      <c r="B24" s="2">
        <v>45394</v>
      </c>
      <c r="C24" t="s">
        <v>1466</v>
      </c>
      <c r="D24" t="s">
        <v>1686</v>
      </c>
      <c r="E24" t="str">
        <f ca="1">TRIM(Sales_fact[[#This Row],[Store_ID]])</f>
        <v>STORE10</v>
      </c>
      <c r="F24">
        <v>3</v>
      </c>
      <c r="G24">
        <f>IF(ISBLANK(F24),MODE($F$2:$F$2001),F24)</f>
        <v>3</v>
      </c>
      <c r="H24">
        <v>979.42</v>
      </c>
      <c r="I24">
        <f>IF(ISBLANK(H24),AVERAGE($H$2:$H$2001),H24)</f>
        <v>979.42</v>
      </c>
      <c r="J24">
        <v>0.03</v>
      </c>
      <c r="K24">
        <f>IF(ISBLANK(J24),MODE($J$2:$J$2001),J24)</f>
        <v>0.03</v>
      </c>
      <c r="L24" t="s">
        <v>1826</v>
      </c>
      <c r="M24">
        <v>2850.1122</v>
      </c>
      <c r="N24">
        <f t="shared" si="0"/>
        <v>2850.1121999999996</v>
      </c>
      <c r="O24" t="str">
        <f>_xlfn.XLOOKUP(Sales_fact[[#This Row],[Customer_ID]],'Customer_Dim'!A:A,'Customer_Dim'!K:K,"Not Found")</f>
        <v>Gold</v>
      </c>
      <c r="P24">
        <f>_xlfn.XLOOKUP(Sales_fact[[#This Row],[Customer_ID]],'Customer_Dim'!A:A, 'Customer_Dim'!E:E, "Not Found")</f>
        <v>33</v>
      </c>
      <c r="Q24" t="str">
        <f>VLOOKUP(Sales_fact[[#This Row],[Customer_ID]], 'Customer_Dim'!A:F, 6, FALSE)</f>
        <v>Female</v>
      </c>
      <c r="R24" s="13" t="str">
        <f>_xlfn.XLOOKUP(Sales_fact[[#This Row],[Product_ID]],Product_Dim!A:A,Product_Dim!C:C,"OTHERS")</f>
        <v>Clothing</v>
      </c>
    </row>
    <row r="25" spans="1:18" x14ac:dyDescent="0.3">
      <c r="A25" t="s">
        <v>1849</v>
      </c>
      <c r="B25" s="2">
        <v>45466</v>
      </c>
      <c r="C25" t="s">
        <v>1151</v>
      </c>
      <c r="D25" t="s">
        <v>1572</v>
      </c>
      <c r="E25" t="str">
        <f ca="1">TRIM(Sales_fact[[#This Row],[Store_ID]])</f>
        <v>STORE8</v>
      </c>
      <c r="F25">
        <v>1</v>
      </c>
      <c r="G25">
        <f>IF(ISBLANK(F25),MODE($F$2:$F$2001),F25)</f>
        <v>1</v>
      </c>
      <c r="H25">
        <v>719.28</v>
      </c>
      <c r="I25">
        <f>IF(ISBLANK(H25),AVERAGE($H$2:$H$2001),H25)</f>
        <v>719.28</v>
      </c>
      <c r="J25">
        <v>0.08</v>
      </c>
      <c r="K25">
        <f>IF(ISBLANK(J25),MODE($J$2:$J$2001),J25)</f>
        <v>0.08</v>
      </c>
      <c r="L25" t="s">
        <v>1824</v>
      </c>
      <c r="M25">
        <v>661.73760000000004</v>
      </c>
      <c r="N25">
        <f t="shared" si="0"/>
        <v>661.73760000000004</v>
      </c>
      <c r="O25" t="str">
        <f>_xlfn.XLOOKUP(Sales_fact[[#This Row],[Customer_ID]],'Customer_Dim'!A:A,'Customer_Dim'!K:K,"Not Found")</f>
        <v>Platinum</v>
      </c>
      <c r="P25">
        <f>_xlfn.XLOOKUP(Sales_fact[[#This Row],[Customer_ID]],'Customer_Dim'!A:A, 'Customer_Dim'!E:E, "Not Found")</f>
        <v>34</v>
      </c>
      <c r="Q25" t="str">
        <f>VLOOKUP(Sales_fact[[#This Row],[Customer_ID]], 'Customer_Dim'!A:F, 6, FALSE)</f>
        <v>Female</v>
      </c>
      <c r="R25" s="13" t="str">
        <f>_xlfn.XLOOKUP(Sales_fact[[#This Row],[Product_ID]],Product_Dim!A:A,Product_Dim!C:C,"OTHERS")</f>
        <v>Beauty</v>
      </c>
    </row>
    <row r="26" spans="1:18" x14ac:dyDescent="0.3">
      <c r="A26" t="s">
        <v>1850</v>
      </c>
      <c r="B26" s="2">
        <v>45908</v>
      </c>
      <c r="C26" t="s">
        <v>613</v>
      </c>
      <c r="D26" t="s">
        <v>1682</v>
      </c>
      <c r="E26" t="str">
        <f ca="1">TRIM(Sales_fact[[#This Row],[Store_ID]])</f>
        <v>STORE6</v>
      </c>
      <c r="F26">
        <v>3</v>
      </c>
      <c r="G26">
        <f>IF(ISBLANK(F26),MODE($F$2:$F$2001),F26)</f>
        <v>3</v>
      </c>
      <c r="H26">
        <v>77.599999999999994</v>
      </c>
      <c r="I26">
        <f>IF(ISBLANK(H26),AVERAGE($H$2:$H$2001),H26)</f>
        <v>77.599999999999994</v>
      </c>
      <c r="J26">
        <v>7.0000000000000007E-2</v>
      </c>
      <c r="K26">
        <f>IF(ISBLANK(J26),MODE($J$2:$J$2001),J26)</f>
        <v>7.0000000000000007E-2</v>
      </c>
      <c r="L26" t="s">
        <v>1824</v>
      </c>
      <c r="M26">
        <v>216.50399999999999</v>
      </c>
      <c r="N26">
        <f t="shared" si="0"/>
        <v>216.50399999999996</v>
      </c>
      <c r="O26" t="str">
        <f>_xlfn.XLOOKUP(Sales_fact[[#This Row],[Customer_ID]],'Customer_Dim'!A:A,'Customer_Dim'!K:K,"Not Found")</f>
        <v>Silver</v>
      </c>
      <c r="P26">
        <f>_xlfn.XLOOKUP(Sales_fact[[#This Row],[Customer_ID]],'Customer_Dim'!A:A, 'Customer_Dim'!E:E, "Not Found")</f>
        <v>53</v>
      </c>
      <c r="Q26" t="str">
        <f>VLOOKUP(Sales_fact[[#This Row],[Customer_ID]], 'Customer_Dim'!A:F, 6, FALSE)</f>
        <v>Male</v>
      </c>
      <c r="R26" s="13" t="str">
        <f>_xlfn.XLOOKUP(Sales_fact[[#This Row],[Product_ID]],Product_Dim!A:A,Product_Dim!C:C,"OTHERS")</f>
        <v>Electronics</v>
      </c>
    </row>
    <row r="27" spans="1:18" x14ac:dyDescent="0.3">
      <c r="A27" t="s">
        <v>1851</v>
      </c>
      <c r="B27" s="2">
        <v>45552</v>
      </c>
      <c r="C27" t="s">
        <v>1190</v>
      </c>
      <c r="D27" t="s">
        <v>1555</v>
      </c>
      <c r="E27" t="str">
        <f ca="1">TRIM(Sales_fact[[#This Row],[Store_ID]])</f>
        <v>STORE3</v>
      </c>
      <c r="F27">
        <v>4</v>
      </c>
      <c r="G27">
        <f>IF(ISBLANK(F27),MODE($F$2:$F$2001),F27)</f>
        <v>4</v>
      </c>
      <c r="H27">
        <v>852.71</v>
      </c>
      <c r="I27">
        <f>IF(ISBLANK(H27),AVERAGE($H$2:$H$2001),H27)</f>
        <v>852.71</v>
      </c>
      <c r="J27">
        <v>0.14000000000000001</v>
      </c>
      <c r="K27">
        <f>IF(ISBLANK(J27),MODE($J$2:$J$2001),J27)</f>
        <v>0.14000000000000001</v>
      </c>
      <c r="L27" t="s">
        <v>1826</v>
      </c>
      <c r="M27">
        <v>2933.3224</v>
      </c>
      <c r="N27">
        <f t="shared" si="0"/>
        <v>2933.3224</v>
      </c>
      <c r="O27" t="str">
        <f>_xlfn.XLOOKUP(Sales_fact[[#This Row],[Customer_ID]],'Customer_Dim'!A:A,'Customer_Dim'!K:K,"Not Found")</f>
        <v>Silver</v>
      </c>
      <c r="P27">
        <f>_xlfn.XLOOKUP(Sales_fact[[#This Row],[Customer_ID]],'Customer_Dim'!A:A, 'Customer_Dim'!E:E, "Not Found")</f>
        <v>50</v>
      </c>
      <c r="Q27" t="str">
        <f>VLOOKUP(Sales_fact[[#This Row],[Customer_ID]], 'Customer_Dim'!A:F, 6, FALSE)</f>
        <v>Male</v>
      </c>
      <c r="R27" s="13" t="str">
        <f>_xlfn.XLOOKUP(Sales_fact[[#This Row],[Product_ID]],Product_Dim!A:A,Product_Dim!C:C,"OTHERS")</f>
        <v>Clothing</v>
      </c>
    </row>
    <row r="28" spans="1:18" x14ac:dyDescent="0.3">
      <c r="A28" t="s">
        <v>1852</v>
      </c>
      <c r="B28" s="2">
        <v>45294</v>
      </c>
      <c r="C28" t="s">
        <v>693</v>
      </c>
      <c r="D28" t="s">
        <v>1744</v>
      </c>
      <c r="E28" t="str">
        <f ca="1">TRIM(Sales_fact[[#This Row],[Store_ID]])</f>
        <v>STORE8</v>
      </c>
      <c r="F28">
        <v>4</v>
      </c>
      <c r="G28">
        <f>IF(ISBLANK(F28),MODE($F$2:$F$2001),F28)</f>
        <v>4</v>
      </c>
      <c r="H28">
        <v>156.16</v>
      </c>
      <c r="I28">
        <f>IF(ISBLANK(H28),AVERAGE($H$2:$H$2001),H28)</f>
        <v>156.16</v>
      </c>
      <c r="K28">
        <f>IF(ISBLANK(J28),MODE($J$2:$J$2001),J28)</f>
        <v>0.1</v>
      </c>
      <c r="L28" t="s">
        <v>1824</v>
      </c>
      <c r="M28">
        <v>599.65440000000001</v>
      </c>
      <c r="N28">
        <f t="shared" si="0"/>
        <v>562.17600000000004</v>
      </c>
      <c r="O28" t="str">
        <f>_xlfn.XLOOKUP(Sales_fact[[#This Row],[Customer_ID]],'Customer_Dim'!A:A,'Customer_Dim'!K:K,"Not Found")</f>
        <v>Platinum</v>
      </c>
      <c r="P28">
        <f>_xlfn.XLOOKUP(Sales_fact[[#This Row],[Customer_ID]],'Customer_Dim'!A:A, 'Customer_Dim'!E:E, "Not Found")</f>
        <v>42</v>
      </c>
      <c r="Q28" t="str">
        <f>VLOOKUP(Sales_fact[[#This Row],[Customer_ID]], 'Customer_Dim'!A:F, 6, FALSE)</f>
        <v>Female</v>
      </c>
      <c r="R28" s="13" t="str">
        <f>_xlfn.XLOOKUP(Sales_fact[[#This Row],[Product_ID]],Product_Dim!A:A,Product_Dim!C:C,"OTHERS")</f>
        <v>Electronics</v>
      </c>
    </row>
    <row r="29" spans="1:18" x14ac:dyDescent="0.3">
      <c r="A29" t="s">
        <v>1853</v>
      </c>
      <c r="B29" s="2">
        <v>45710</v>
      </c>
      <c r="C29" t="s">
        <v>654</v>
      </c>
      <c r="D29" t="s">
        <v>1702</v>
      </c>
      <c r="E29" t="str">
        <f ca="1">TRIM(Sales_fact[[#This Row],[Store_ID]])</f>
        <v>STORE8</v>
      </c>
      <c r="F29">
        <v>3</v>
      </c>
      <c r="G29">
        <f>IF(ISBLANK(F29),MODE($F$2:$F$2001),F29)</f>
        <v>3</v>
      </c>
      <c r="H29">
        <v>815.49</v>
      </c>
      <c r="I29">
        <f>IF(ISBLANK(H29),AVERAGE($H$2:$H$2001),H29)</f>
        <v>815.49</v>
      </c>
      <c r="J29">
        <v>0.17</v>
      </c>
      <c r="K29">
        <f>IF(ISBLANK(J29),MODE($J$2:$J$2001),J29)</f>
        <v>0.17</v>
      </c>
      <c r="L29" t="s">
        <v>1824</v>
      </c>
      <c r="M29">
        <v>2030.5700999999999</v>
      </c>
      <c r="N29">
        <f t="shared" si="0"/>
        <v>2030.5701000000001</v>
      </c>
      <c r="O29" t="str">
        <f>_xlfn.XLOOKUP(Sales_fact[[#This Row],[Customer_ID]],'Customer_Dim'!A:A,'Customer_Dim'!K:K,"Not Found")</f>
        <v>Platinum</v>
      </c>
      <c r="P29">
        <f>_xlfn.XLOOKUP(Sales_fact[[#This Row],[Customer_ID]],'Customer_Dim'!A:A, 'Customer_Dim'!E:E, "Not Found")</f>
        <v>30</v>
      </c>
      <c r="Q29" t="str">
        <f>VLOOKUP(Sales_fact[[#This Row],[Customer_ID]], 'Customer_Dim'!A:F, 6, FALSE)</f>
        <v>Male</v>
      </c>
      <c r="R29" s="13" t="str">
        <f>_xlfn.XLOOKUP(Sales_fact[[#This Row],[Product_ID]],Product_Dim!A:A,Product_Dim!C:C,"OTHERS")</f>
        <v>Electronics</v>
      </c>
    </row>
    <row r="30" spans="1:18" x14ac:dyDescent="0.3">
      <c r="A30" t="s">
        <v>1854</v>
      </c>
      <c r="B30" s="2">
        <v>45923</v>
      </c>
      <c r="C30" t="s">
        <v>499</v>
      </c>
      <c r="D30" t="s">
        <v>1574</v>
      </c>
      <c r="E30" t="str">
        <f ca="1">TRIM(Sales_fact[[#This Row],[Store_ID]])</f>
        <v>STORE2</v>
      </c>
      <c r="F30">
        <v>2</v>
      </c>
      <c r="G30">
        <f>IF(ISBLANK(F30),MODE($F$2:$F$2001),F30)</f>
        <v>2</v>
      </c>
      <c r="H30">
        <v>74.209999999999994</v>
      </c>
      <c r="I30">
        <f>IF(ISBLANK(H30),AVERAGE($H$2:$H$2001),H30)</f>
        <v>74.209999999999994</v>
      </c>
      <c r="J30">
        <v>0.11</v>
      </c>
      <c r="K30">
        <f>IF(ISBLANK(J30),MODE($J$2:$J$2001),J30)</f>
        <v>0.11</v>
      </c>
      <c r="L30" t="s">
        <v>1826</v>
      </c>
      <c r="M30">
        <v>132.09379999999999</v>
      </c>
      <c r="N30">
        <f t="shared" si="0"/>
        <v>132.09379999999999</v>
      </c>
      <c r="O30" t="str">
        <f>_xlfn.XLOOKUP(Sales_fact[[#This Row],[Customer_ID]],'Customer_Dim'!A:A,'Customer_Dim'!K:K,"Not Found")</f>
        <v>Bronze</v>
      </c>
      <c r="P30">
        <f>_xlfn.XLOOKUP(Sales_fact[[#This Row],[Customer_ID]],'Customer_Dim'!A:A, 'Customer_Dim'!E:E, "Not Found")</f>
        <v>42</v>
      </c>
      <c r="Q30" t="str">
        <f>VLOOKUP(Sales_fact[[#This Row],[Customer_ID]], 'Customer_Dim'!A:F, 6, FALSE)</f>
        <v>Female</v>
      </c>
      <c r="R30" s="13" t="str">
        <f>_xlfn.XLOOKUP(Sales_fact[[#This Row],[Product_ID]],Product_Dim!A:A,Product_Dim!C:C,"OTHERS")</f>
        <v>Electronics</v>
      </c>
    </row>
    <row r="31" spans="1:18" x14ac:dyDescent="0.3">
      <c r="A31" t="s">
        <v>1855</v>
      </c>
      <c r="B31" s="2">
        <v>45302</v>
      </c>
      <c r="C31" t="s">
        <v>1092</v>
      </c>
      <c r="D31" t="s">
        <v>1746</v>
      </c>
      <c r="E31" t="str">
        <f ca="1">TRIM(Sales_fact[[#This Row],[Store_ID]])</f>
        <v>STORE3</v>
      </c>
      <c r="G31">
        <f>IF(ISBLANK(F31),MODE($F$2:$F$2001),F31)</f>
        <v>2</v>
      </c>
      <c r="H31">
        <v>451.67</v>
      </c>
      <c r="I31">
        <f>IF(ISBLANK(H31),AVERAGE($H$2:$H$2001),H31)</f>
        <v>451.67</v>
      </c>
      <c r="J31">
        <v>0.15</v>
      </c>
      <c r="K31">
        <f>IF(ISBLANK(J31),MODE($J$2:$J$2001),J31)</f>
        <v>0.15</v>
      </c>
      <c r="L31" t="s">
        <v>1824</v>
      </c>
      <c r="M31">
        <v>1535.6780000000001</v>
      </c>
      <c r="N31">
        <f t="shared" si="0"/>
        <v>767.83900000000006</v>
      </c>
      <c r="O31" t="str">
        <f>_xlfn.XLOOKUP(Sales_fact[[#This Row],[Customer_ID]],'Customer_Dim'!A:A,'Customer_Dim'!K:K,"Not Found")</f>
        <v>Silver</v>
      </c>
      <c r="P31">
        <f>_xlfn.XLOOKUP(Sales_fact[[#This Row],[Customer_ID]],'Customer_Dim'!A:A, 'Customer_Dim'!E:E, "Not Found")</f>
        <v>55</v>
      </c>
      <c r="Q31" t="str">
        <f>VLOOKUP(Sales_fact[[#This Row],[Customer_ID]], 'Customer_Dim'!A:F, 6, FALSE)</f>
        <v>Male</v>
      </c>
      <c r="R31" s="13" t="str">
        <f>_xlfn.XLOOKUP(Sales_fact[[#This Row],[Product_ID]],Product_Dim!A:A,Product_Dim!C:C,"OTHERS")</f>
        <v>Home</v>
      </c>
    </row>
    <row r="32" spans="1:18" x14ac:dyDescent="0.3">
      <c r="A32" t="s">
        <v>1856</v>
      </c>
      <c r="B32" s="2">
        <v>45217</v>
      </c>
      <c r="C32" t="s">
        <v>118</v>
      </c>
      <c r="D32" t="s">
        <v>1555</v>
      </c>
      <c r="E32" t="str">
        <f ca="1">TRIM(Sales_fact[[#This Row],[Store_ID]])</f>
        <v>STORE19</v>
      </c>
      <c r="F32">
        <v>1</v>
      </c>
      <c r="G32">
        <f>IF(ISBLANK(F32),MODE($F$2:$F$2001),F32)</f>
        <v>1</v>
      </c>
      <c r="H32">
        <v>429.38</v>
      </c>
      <c r="I32">
        <f>IF(ISBLANK(H32),AVERAGE($H$2:$H$2001),H32)</f>
        <v>429.38</v>
      </c>
      <c r="J32">
        <v>0.13</v>
      </c>
      <c r="K32">
        <f>IF(ISBLANK(J32),MODE($J$2:$J$2001),J32)</f>
        <v>0.13</v>
      </c>
      <c r="L32" t="s">
        <v>1826</v>
      </c>
      <c r="M32">
        <v>373.56060000000002</v>
      </c>
      <c r="N32">
        <f t="shared" si="0"/>
        <v>373.56060000000002</v>
      </c>
      <c r="O32" t="str">
        <f>_xlfn.XLOOKUP(Sales_fact[[#This Row],[Customer_ID]],'Customer_Dim'!A:A,'Customer_Dim'!K:K,"Not Found")</f>
        <v>Platinum</v>
      </c>
      <c r="P32">
        <f>_xlfn.XLOOKUP(Sales_fact[[#This Row],[Customer_ID]],'Customer_Dim'!A:A, 'Customer_Dim'!E:E, "Not Found")</f>
        <v>27</v>
      </c>
      <c r="Q32" t="str">
        <f>VLOOKUP(Sales_fact[[#This Row],[Customer_ID]], 'Customer_Dim'!A:F, 6, FALSE)</f>
        <v>Female</v>
      </c>
      <c r="R32" s="13" t="str">
        <f>_xlfn.XLOOKUP(Sales_fact[[#This Row],[Product_ID]],Product_Dim!A:A,Product_Dim!C:C,"OTHERS")</f>
        <v>Clothing</v>
      </c>
    </row>
    <row r="33" spans="1:18" x14ac:dyDescent="0.3">
      <c r="A33" t="s">
        <v>1857</v>
      </c>
      <c r="B33" s="2">
        <v>45593</v>
      </c>
      <c r="C33" t="s">
        <v>1281</v>
      </c>
      <c r="D33" t="s">
        <v>1654</v>
      </c>
      <c r="E33" t="str">
        <f ca="1">TRIM(Sales_fact[[#This Row],[Store_ID]])</f>
        <v>STORE12</v>
      </c>
      <c r="F33">
        <v>2</v>
      </c>
      <c r="G33">
        <f>IF(ISBLANK(F33),MODE($F$2:$F$2001),F33)</f>
        <v>2</v>
      </c>
      <c r="H33">
        <v>148.96</v>
      </c>
      <c r="I33">
        <f>IF(ISBLANK(H33),AVERAGE($H$2:$H$2001),H33)</f>
        <v>148.96</v>
      </c>
      <c r="J33">
        <v>0.03</v>
      </c>
      <c r="K33">
        <f>IF(ISBLANK(J33),MODE($J$2:$J$2001),J33)</f>
        <v>0.03</v>
      </c>
      <c r="L33" t="s">
        <v>1829</v>
      </c>
      <c r="M33">
        <v>288.98239999999998</v>
      </c>
      <c r="N33">
        <f t="shared" si="0"/>
        <v>288.98239999999998</v>
      </c>
      <c r="O33" t="str">
        <f>_xlfn.XLOOKUP(Sales_fact[[#This Row],[Customer_ID]],'Customer_Dim'!A:A,'Customer_Dim'!K:K,"Not Found")</f>
        <v>Gold</v>
      </c>
      <c r="P33">
        <f>_xlfn.XLOOKUP(Sales_fact[[#This Row],[Customer_ID]],'Customer_Dim'!A:A, 'Customer_Dim'!E:E, "Not Found")</f>
        <v>23</v>
      </c>
      <c r="Q33" t="str">
        <f>VLOOKUP(Sales_fact[[#This Row],[Customer_ID]], 'Customer_Dim'!A:F, 6, FALSE)</f>
        <v>Female</v>
      </c>
      <c r="R33" s="13" t="str">
        <f>_xlfn.XLOOKUP(Sales_fact[[#This Row],[Product_ID]],Product_Dim!A:A,Product_Dim!C:C,"OTHERS")</f>
        <v>Clothing</v>
      </c>
    </row>
    <row r="34" spans="1:18" x14ac:dyDescent="0.3">
      <c r="A34" t="s">
        <v>1858</v>
      </c>
      <c r="B34" s="2">
        <v>45597</v>
      </c>
      <c r="C34" t="s">
        <v>1240</v>
      </c>
      <c r="D34" t="s">
        <v>1698</v>
      </c>
      <c r="E34" t="str">
        <f ca="1">TRIM(Sales_fact[[#This Row],[Store_ID]])</f>
        <v>STORE8</v>
      </c>
      <c r="F34">
        <v>4</v>
      </c>
      <c r="G34">
        <f>IF(ISBLANK(F34),MODE($F$2:$F$2001),F34)</f>
        <v>4</v>
      </c>
      <c r="H34">
        <v>313.83</v>
      </c>
      <c r="I34">
        <f>IF(ISBLANK(H34),AVERAGE($H$2:$H$2001),H34)</f>
        <v>313.83</v>
      </c>
      <c r="J34">
        <v>0.08</v>
      </c>
      <c r="K34">
        <f>IF(ISBLANK(J34),MODE($J$2:$J$2001),J34)</f>
        <v>0.08</v>
      </c>
      <c r="L34" t="s">
        <v>1824</v>
      </c>
      <c r="M34">
        <v>1154.8943999999999</v>
      </c>
      <c r="N34">
        <f t="shared" si="0"/>
        <v>1154.8943999999999</v>
      </c>
      <c r="O34" t="str">
        <f>_xlfn.XLOOKUP(Sales_fact[[#This Row],[Customer_ID]],'Customer_Dim'!A:A,'Customer_Dim'!K:K,"Not Found")</f>
        <v>Bronze</v>
      </c>
      <c r="P34">
        <f>_xlfn.XLOOKUP(Sales_fact[[#This Row],[Customer_ID]],'Customer_Dim'!A:A, 'Customer_Dim'!E:E, "Not Found")</f>
        <v>54</v>
      </c>
      <c r="Q34" t="str">
        <f>VLOOKUP(Sales_fact[[#This Row],[Customer_ID]], 'Customer_Dim'!A:F, 6, FALSE)</f>
        <v>Male</v>
      </c>
      <c r="R34" s="13" t="str">
        <f>_xlfn.XLOOKUP(Sales_fact[[#This Row],[Product_ID]],Product_Dim!A:A,Product_Dim!C:C,"OTHERS")</f>
        <v>Clothing</v>
      </c>
    </row>
    <row r="35" spans="1:18" x14ac:dyDescent="0.3">
      <c r="A35" t="s">
        <v>1859</v>
      </c>
      <c r="B35" s="2">
        <v>45620</v>
      </c>
      <c r="C35" t="s">
        <v>1400</v>
      </c>
      <c r="D35" t="s">
        <v>1572</v>
      </c>
      <c r="E35" t="str">
        <f ca="1">TRIM(Sales_fact[[#This Row],[Store_ID]])</f>
        <v>STORE6</v>
      </c>
      <c r="F35">
        <v>2</v>
      </c>
      <c r="G35">
        <f>IF(ISBLANK(F35),MODE($F$2:$F$2001),F35)</f>
        <v>2</v>
      </c>
      <c r="H35">
        <v>717.31</v>
      </c>
      <c r="I35">
        <f>IF(ISBLANK(H35),AVERAGE($H$2:$H$2001),H35)</f>
        <v>717.31</v>
      </c>
      <c r="J35">
        <v>0.15</v>
      </c>
      <c r="K35">
        <f>IF(ISBLANK(J35),MODE($J$2:$J$2001),J35)</f>
        <v>0.15</v>
      </c>
      <c r="L35" t="s">
        <v>1824</v>
      </c>
      <c r="M35">
        <v>1219.4269999999999</v>
      </c>
      <c r="N35">
        <f t="shared" si="0"/>
        <v>1219.4269999999999</v>
      </c>
      <c r="O35" t="str">
        <f>_xlfn.XLOOKUP(Sales_fact[[#This Row],[Customer_ID]],'Customer_Dim'!A:A,'Customer_Dim'!K:K,"Not Found")</f>
        <v>Platinum</v>
      </c>
      <c r="P35">
        <f>_xlfn.XLOOKUP(Sales_fact[[#This Row],[Customer_ID]],'Customer_Dim'!A:A, 'Customer_Dim'!E:E, "Not Found")</f>
        <v>62</v>
      </c>
      <c r="Q35" t="str">
        <f>VLOOKUP(Sales_fact[[#This Row],[Customer_ID]], 'Customer_Dim'!A:F, 6, FALSE)</f>
        <v>Female</v>
      </c>
      <c r="R35" s="13" t="str">
        <f>_xlfn.XLOOKUP(Sales_fact[[#This Row],[Product_ID]],Product_Dim!A:A,Product_Dim!C:C,"OTHERS")</f>
        <v>Beauty</v>
      </c>
    </row>
    <row r="36" spans="1:18" x14ac:dyDescent="0.3">
      <c r="A36" t="s">
        <v>1860</v>
      </c>
      <c r="B36" s="2">
        <v>45215</v>
      </c>
      <c r="C36" t="s">
        <v>1080</v>
      </c>
      <c r="D36" t="s">
        <v>1706</v>
      </c>
      <c r="E36" t="str">
        <f ca="1">TRIM(Sales_fact[[#This Row],[Store_ID]])</f>
        <v>STORE1</v>
      </c>
      <c r="G36">
        <f>IF(ISBLANK(F36),MODE($F$2:$F$2001),F36)</f>
        <v>2</v>
      </c>
      <c r="H36">
        <v>873.22</v>
      </c>
      <c r="I36">
        <f>IF(ISBLANK(H36),AVERAGE($H$2:$H$2001),H36)</f>
        <v>873.22</v>
      </c>
      <c r="J36">
        <v>0.18</v>
      </c>
      <c r="K36">
        <f>IF(ISBLANK(J36),MODE($J$2:$J$2001),J36)</f>
        <v>0.18</v>
      </c>
      <c r="L36" t="s">
        <v>1824</v>
      </c>
      <c r="M36">
        <v>2148.1212</v>
      </c>
      <c r="N36">
        <f t="shared" si="0"/>
        <v>1432.0808000000002</v>
      </c>
      <c r="O36" t="str">
        <f>_xlfn.XLOOKUP(Sales_fact[[#This Row],[Customer_ID]],'Customer_Dim'!A:A,'Customer_Dim'!K:K,"Not Found")</f>
        <v>Gold</v>
      </c>
      <c r="P36">
        <f>_xlfn.XLOOKUP(Sales_fact[[#This Row],[Customer_ID]],'Customer_Dim'!A:A, 'Customer_Dim'!E:E, "Not Found")</f>
        <v>39</v>
      </c>
      <c r="Q36" t="str">
        <f>VLOOKUP(Sales_fact[[#This Row],[Customer_ID]], 'Customer_Dim'!A:F, 6, FALSE)</f>
        <v>Male</v>
      </c>
      <c r="R36" s="13" t="str">
        <f>_xlfn.XLOOKUP(Sales_fact[[#This Row],[Product_ID]],Product_Dim!A:A,Product_Dim!C:C,"OTHERS")</f>
        <v>Home</v>
      </c>
    </row>
    <row r="37" spans="1:18" x14ac:dyDescent="0.3">
      <c r="A37" t="s">
        <v>1861</v>
      </c>
      <c r="B37" s="2">
        <v>45878</v>
      </c>
      <c r="C37" t="s">
        <v>708</v>
      </c>
      <c r="D37" t="s">
        <v>1580</v>
      </c>
      <c r="E37" t="str">
        <f ca="1">TRIM(Sales_fact[[#This Row],[Store_ID]])</f>
        <v>STORE3</v>
      </c>
      <c r="F37">
        <v>4</v>
      </c>
      <c r="G37">
        <f>IF(ISBLANK(F37),MODE($F$2:$F$2001),F37)</f>
        <v>4</v>
      </c>
      <c r="H37">
        <v>109.36</v>
      </c>
      <c r="I37">
        <f>IF(ISBLANK(H37),AVERAGE($H$2:$H$2001),H37)</f>
        <v>109.36</v>
      </c>
      <c r="J37">
        <v>0.19</v>
      </c>
      <c r="K37">
        <f>IF(ISBLANK(J37),MODE($J$2:$J$2001),J37)</f>
        <v>0.19</v>
      </c>
      <c r="L37" t="s">
        <v>1829</v>
      </c>
      <c r="M37">
        <v>354.32639999999998</v>
      </c>
      <c r="N37">
        <f t="shared" si="0"/>
        <v>354.32640000000004</v>
      </c>
      <c r="O37" t="str">
        <f>_xlfn.XLOOKUP(Sales_fact[[#This Row],[Customer_ID]],'Customer_Dim'!A:A,'Customer_Dim'!K:K,"Not Found")</f>
        <v>Platinum</v>
      </c>
      <c r="P37">
        <f>_xlfn.XLOOKUP(Sales_fact[[#This Row],[Customer_ID]],'Customer_Dim'!A:A, 'Customer_Dim'!E:E, "Not Found")</f>
        <v>46</v>
      </c>
      <c r="Q37" t="str">
        <f>VLOOKUP(Sales_fact[[#This Row],[Customer_ID]], 'Customer_Dim'!A:F, 6, FALSE)</f>
        <v>Male</v>
      </c>
      <c r="R37" s="13" t="str">
        <f>_xlfn.XLOOKUP(Sales_fact[[#This Row],[Product_ID]],Product_Dim!A:A,Product_Dim!C:C,"OTHERS")</f>
        <v>OTHERS</v>
      </c>
    </row>
    <row r="38" spans="1:18" x14ac:dyDescent="0.3">
      <c r="A38" t="s">
        <v>1862</v>
      </c>
      <c r="B38" s="2">
        <v>45635</v>
      </c>
      <c r="C38" t="s">
        <v>310</v>
      </c>
      <c r="D38" t="s">
        <v>1555</v>
      </c>
      <c r="E38" t="str">
        <f ca="1">TRIM(Sales_fact[[#This Row],[Store_ID]])</f>
        <v>STORE7</v>
      </c>
      <c r="F38">
        <v>3</v>
      </c>
      <c r="G38">
        <f>IF(ISBLANK(F38),MODE($F$2:$F$2001),F38)</f>
        <v>3</v>
      </c>
      <c r="H38">
        <v>559.52</v>
      </c>
      <c r="I38">
        <f>IF(ISBLANK(H38),AVERAGE($H$2:$H$2001),H38)</f>
        <v>559.52</v>
      </c>
      <c r="J38">
        <v>0.16</v>
      </c>
      <c r="K38">
        <f>IF(ISBLANK(J38),MODE($J$2:$J$2001),J38)</f>
        <v>0.16</v>
      </c>
      <c r="L38" t="s">
        <v>1826</v>
      </c>
      <c r="M38">
        <v>1409.9903999999999</v>
      </c>
      <c r="N38">
        <f t="shared" si="0"/>
        <v>1409.9903999999999</v>
      </c>
      <c r="O38" t="str">
        <f>_xlfn.XLOOKUP(Sales_fact[[#This Row],[Customer_ID]],'Customer_Dim'!A:A,'Customer_Dim'!K:K,"Not Found")</f>
        <v>Gold</v>
      </c>
      <c r="P38">
        <f>_xlfn.XLOOKUP(Sales_fact[[#This Row],[Customer_ID]],'Customer_Dim'!A:A, 'Customer_Dim'!E:E, "Not Found")</f>
        <v>19</v>
      </c>
      <c r="Q38" t="str">
        <f>VLOOKUP(Sales_fact[[#This Row],[Customer_ID]], 'Customer_Dim'!A:F, 6, FALSE)</f>
        <v>Female</v>
      </c>
      <c r="R38" s="13" t="str">
        <f>_xlfn.XLOOKUP(Sales_fact[[#This Row],[Product_ID]],Product_Dim!A:A,Product_Dim!C:C,"OTHERS")</f>
        <v>Clothing</v>
      </c>
    </row>
    <row r="39" spans="1:18" x14ac:dyDescent="0.3">
      <c r="A39" t="s">
        <v>1863</v>
      </c>
      <c r="B39" s="2">
        <v>45329</v>
      </c>
      <c r="C39" t="s">
        <v>1513</v>
      </c>
      <c r="D39" t="s">
        <v>1568</v>
      </c>
      <c r="E39" t="str">
        <f ca="1">TRIM(Sales_fact[[#This Row],[Store_ID]])</f>
        <v>STORE17</v>
      </c>
      <c r="F39">
        <v>3</v>
      </c>
      <c r="G39">
        <f>IF(ISBLANK(F39),MODE($F$2:$F$2001),F39)</f>
        <v>3</v>
      </c>
      <c r="H39">
        <v>121.76</v>
      </c>
      <c r="I39">
        <f>IF(ISBLANK(H39),AVERAGE($H$2:$H$2001),H39)</f>
        <v>121.76</v>
      </c>
      <c r="J39">
        <v>0.27</v>
      </c>
      <c r="K39">
        <f>IF(ISBLANK(J39),MODE($J$2:$J$2001),J39)</f>
        <v>0.27</v>
      </c>
      <c r="L39" t="s">
        <v>1826</v>
      </c>
      <c r="M39">
        <v>266.65440000000001</v>
      </c>
      <c r="N39">
        <f t="shared" si="0"/>
        <v>266.65440000000001</v>
      </c>
      <c r="O39" t="str">
        <f>_xlfn.XLOOKUP(Sales_fact[[#This Row],[Customer_ID]],'Customer_Dim'!A:A,'Customer_Dim'!K:K,"Not Found")</f>
        <v>Platinum</v>
      </c>
      <c r="P39">
        <f>_xlfn.XLOOKUP(Sales_fact[[#This Row],[Customer_ID]],'Customer_Dim'!A:A, 'Customer_Dim'!E:E, "Not Found")</f>
        <v>59</v>
      </c>
      <c r="Q39" t="str">
        <f>VLOOKUP(Sales_fact[[#This Row],[Customer_ID]], 'Customer_Dim'!A:F, 6, FALSE)</f>
        <v>Female</v>
      </c>
      <c r="R39" s="13" t="str">
        <f>_xlfn.XLOOKUP(Sales_fact[[#This Row],[Product_ID]],Product_Dim!A:A,Product_Dim!C:C,"OTHERS")</f>
        <v>Home</v>
      </c>
    </row>
    <row r="40" spans="1:18" x14ac:dyDescent="0.3">
      <c r="A40" t="s">
        <v>1864</v>
      </c>
      <c r="B40" s="2">
        <v>45378</v>
      </c>
      <c r="C40" t="s">
        <v>622</v>
      </c>
      <c r="D40" t="s">
        <v>1614</v>
      </c>
      <c r="E40" t="str">
        <f ca="1">TRIM(Sales_fact[[#This Row],[Store_ID]])</f>
        <v>STORE13</v>
      </c>
      <c r="F40">
        <v>4</v>
      </c>
      <c r="G40">
        <f>IF(ISBLANK(F40),MODE($F$2:$F$2001),F40)</f>
        <v>4</v>
      </c>
      <c r="H40">
        <v>735.32</v>
      </c>
      <c r="I40">
        <f>IF(ISBLANK(H40),AVERAGE($H$2:$H$2001),H40)</f>
        <v>735.32</v>
      </c>
      <c r="J40">
        <v>0.06</v>
      </c>
      <c r="K40">
        <f>IF(ISBLANK(J40),MODE($J$2:$J$2001),J40)</f>
        <v>0.06</v>
      </c>
      <c r="L40" t="s">
        <v>1829</v>
      </c>
      <c r="M40">
        <v>2764.8031999999998</v>
      </c>
      <c r="N40">
        <f t="shared" si="0"/>
        <v>2764.8031999999998</v>
      </c>
      <c r="O40" t="str">
        <f>_xlfn.XLOOKUP(Sales_fact[[#This Row],[Customer_ID]],'Customer_Dim'!A:A,'Customer_Dim'!K:K,"Not Found")</f>
        <v>Gold</v>
      </c>
      <c r="P40">
        <f>_xlfn.XLOOKUP(Sales_fact[[#This Row],[Customer_ID]],'Customer_Dim'!A:A, 'Customer_Dim'!E:E, "Not Found")</f>
        <v>29</v>
      </c>
      <c r="Q40" t="str">
        <f>VLOOKUP(Sales_fact[[#This Row],[Customer_ID]], 'Customer_Dim'!A:F, 6, FALSE)</f>
        <v>Male</v>
      </c>
      <c r="R40" s="13" t="str">
        <f>_xlfn.XLOOKUP(Sales_fact[[#This Row],[Product_ID]],Product_Dim!A:A,Product_Dim!C:C,"OTHERS")</f>
        <v>Home</v>
      </c>
    </row>
    <row r="41" spans="1:18" x14ac:dyDescent="0.3">
      <c r="A41" t="s">
        <v>1865</v>
      </c>
      <c r="B41" s="2">
        <v>45264</v>
      </c>
      <c r="C41" t="s">
        <v>1337</v>
      </c>
      <c r="D41" t="s">
        <v>1736</v>
      </c>
      <c r="E41" t="str">
        <f ca="1">TRIM(Sales_fact[[#This Row],[Store_ID]])</f>
        <v>STORE3</v>
      </c>
      <c r="F41">
        <v>2</v>
      </c>
      <c r="G41">
        <f>IF(ISBLANK(F41),MODE($F$2:$F$2001),F41)</f>
        <v>2</v>
      </c>
      <c r="H41">
        <v>600.73</v>
      </c>
      <c r="I41">
        <f>IF(ISBLANK(H41),AVERAGE($H$2:$H$2001),H41)</f>
        <v>600.73</v>
      </c>
      <c r="J41">
        <v>0.08</v>
      </c>
      <c r="K41">
        <f>IF(ISBLANK(J41),MODE($J$2:$J$2001),J41)</f>
        <v>0.08</v>
      </c>
      <c r="L41" t="s">
        <v>1824</v>
      </c>
      <c r="M41">
        <v>1105.3432</v>
      </c>
      <c r="N41">
        <f t="shared" si="0"/>
        <v>1105.3432</v>
      </c>
      <c r="O41" t="str">
        <f>_xlfn.XLOOKUP(Sales_fact[[#This Row],[Customer_ID]],'Customer_Dim'!A:A,'Customer_Dim'!K:K,"Not Found")</f>
        <v>Platinum</v>
      </c>
      <c r="P41">
        <f>_xlfn.XLOOKUP(Sales_fact[[#This Row],[Customer_ID]],'Customer_Dim'!A:A, 'Customer_Dim'!E:E, "Not Found")</f>
        <v>27</v>
      </c>
      <c r="Q41" t="str">
        <f>VLOOKUP(Sales_fact[[#This Row],[Customer_ID]], 'Customer_Dim'!A:F, 6, FALSE)</f>
        <v>Male</v>
      </c>
      <c r="R41" s="13" t="str">
        <f>_xlfn.XLOOKUP(Sales_fact[[#This Row],[Product_ID]],Product_Dim!A:A,Product_Dim!C:C,"OTHERS")</f>
        <v>Beauty</v>
      </c>
    </row>
    <row r="42" spans="1:18" x14ac:dyDescent="0.3">
      <c r="A42" t="s">
        <v>1866</v>
      </c>
      <c r="B42" s="2">
        <v>45486</v>
      </c>
      <c r="C42" t="s">
        <v>264</v>
      </c>
      <c r="D42" t="s">
        <v>1600</v>
      </c>
      <c r="E42" t="str">
        <f ca="1">TRIM(Sales_fact[[#This Row],[Store_ID]])</f>
        <v>STORE19</v>
      </c>
      <c r="F42">
        <v>2</v>
      </c>
      <c r="G42">
        <f>IF(ISBLANK(F42),MODE($F$2:$F$2001),F42)</f>
        <v>2</v>
      </c>
      <c r="H42">
        <v>873.86</v>
      </c>
      <c r="I42">
        <f>IF(ISBLANK(H42),AVERAGE($H$2:$H$2001),H42)</f>
        <v>873.86</v>
      </c>
      <c r="J42">
        <v>7.0000000000000007E-2</v>
      </c>
      <c r="K42">
        <f>IF(ISBLANK(J42),MODE($J$2:$J$2001),J42)</f>
        <v>7.0000000000000007E-2</v>
      </c>
      <c r="L42" t="s">
        <v>1829</v>
      </c>
      <c r="M42">
        <v>1625.3796</v>
      </c>
      <c r="N42">
        <f t="shared" si="0"/>
        <v>1625.3796</v>
      </c>
      <c r="O42" t="str">
        <f>_xlfn.XLOOKUP(Sales_fact[[#This Row],[Customer_ID]],'Customer_Dim'!A:A,'Customer_Dim'!K:K,"Not Found")</f>
        <v>Gold</v>
      </c>
      <c r="P42">
        <f>_xlfn.XLOOKUP(Sales_fact[[#This Row],[Customer_ID]],'Customer_Dim'!A:A, 'Customer_Dim'!E:E, "Not Found")</f>
        <v>39</v>
      </c>
      <c r="Q42" t="str">
        <f>VLOOKUP(Sales_fact[[#This Row],[Customer_ID]], 'Customer_Dim'!A:F, 6, FALSE)</f>
        <v>Female</v>
      </c>
      <c r="R42" s="13" t="str">
        <f>_xlfn.XLOOKUP(Sales_fact[[#This Row],[Product_ID]],Product_Dim!A:A,Product_Dim!C:C,"OTHERS")</f>
        <v>Electronics</v>
      </c>
    </row>
    <row r="43" spans="1:18" x14ac:dyDescent="0.3">
      <c r="A43" t="s">
        <v>1867</v>
      </c>
      <c r="B43" s="2">
        <v>45241</v>
      </c>
      <c r="C43" t="s">
        <v>954</v>
      </c>
      <c r="D43" t="s">
        <v>1594</v>
      </c>
      <c r="E43" t="str">
        <f ca="1">TRIM(Sales_fact[[#This Row],[Store_ID]])</f>
        <v>STORE8</v>
      </c>
      <c r="F43">
        <v>3</v>
      </c>
      <c r="G43">
        <f>IF(ISBLANK(F43),MODE($F$2:$F$2001),F43)</f>
        <v>3</v>
      </c>
      <c r="H43">
        <v>342.47</v>
      </c>
      <c r="I43">
        <f>IF(ISBLANK(H43),AVERAGE($H$2:$H$2001),H43)</f>
        <v>342.47</v>
      </c>
      <c r="J43">
        <v>0.08</v>
      </c>
      <c r="K43">
        <f>IF(ISBLANK(J43),MODE($J$2:$J$2001),J43)</f>
        <v>0.08</v>
      </c>
      <c r="L43" t="s">
        <v>1826</v>
      </c>
      <c r="M43">
        <v>945.21720000000016</v>
      </c>
      <c r="N43">
        <f t="shared" si="0"/>
        <v>945.21720000000016</v>
      </c>
      <c r="O43" t="str">
        <f>_xlfn.XLOOKUP(Sales_fact[[#This Row],[Customer_ID]],'Customer_Dim'!A:A,'Customer_Dim'!K:K,"Not Found")</f>
        <v>Gold</v>
      </c>
      <c r="P43">
        <f>_xlfn.XLOOKUP(Sales_fact[[#This Row],[Customer_ID]],'Customer_Dim'!A:A, 'Customer_Dim'!E:E, "Not Found")</f>
        <v>36</v>
      </c>
      <c r="Q43" t="str">
        <f>VLOOKUP(Sales_fact[[#This Row],[Customer_ID]], 'Customer_Dim'!A:F, 6, FALSE)</f>
        <v>Male</v>
      </c>
      <c r="R43" s="13" t="str">
        <f>_xlfn.XLOOKUP(Sales_fact[[#This Row],[Product_ID]],Product_Dim!A:A,Product_Dim!C:C,"OTHERS")</f>
        <v>Clothing</v>
      </c>
    </row>
    <row r="44" spans="1:18" x14ac:dyDescent="0.3">
      <c r="A44" t="s">
        <v>1868</v>
      </c>
      <c r="B44" s="2">
        <v>45649</v>
      </c>
      <c r="C44" t="s">
        <v>1053</v>
      </c>
      <c r="D44" t="s">
        <v>1606</v>
      </c>
      <c r="E44" t="str">
        <f ca="1">TRIM(Sales_fact[[#This Row],[Store_ID]])</f>
        <v>STORE9</v>
      </c>
      <c r="F44">
        <v>2</v>
      </c>
      <c r="G44">
        <f>IF(ISBLANK(F44),MODE($F$2:$F$2001),F44)</f>
        <v>2</v>
      </c>
      <c r="H44">
        <v>915.15</v>
      </c>
      <c r="I44">
        <f>IF(ISBLANK(H44),AVERAGE($H$2:$H$2001),H44)</f>
        <v>915.15</v>
      </c>
      <c r="J44">
        <v>0.16</v>
      </c>
      <c r="K44">
        <f>IF(ISBLANK(J44),MODE($J$2:$J$2001),J44)</f>
        <v>0.16</v>
      </c>
      <c r="L44" t="s">
        <v>1826</v>
      </c>
      <c r="M44">
        <v>1537.452</v>
      </c>
      <c r="N44">
        <f t="shared" si="0"/>
        <v>1537.452</v>
      </c>
      <c r="O44" t="str">
        <f>_xlfn.XLOOKUP(Sales_fact[[#This Row],[Customer_ID]],'Customer_Dim'!A:A,'Customer_Dim'!K:K,"Not Found")</f>
        <v>Platinum</v>
      </c>
      <c r="P44">
        <f>_xlfn.XLOOKUP(Sales_fact[[#This Row],[Customer_ID]],'Customer_Dim'!A:A, 'Customer_Dim'!E:E, "Not Found")</f>
        <v>37</v>
      </c>
      <c r="Q44" t="str">
        <f>VLOOKUP(Sales_fact[[#This Row],[Customer_ID]], 'Customer_Dim'!A:F, 6, FALSE)</f>
        <v>Male</v>
      </c>
      <c r="R44" s="13" t="str">
        <f>_xlfn.XLOOKUP(Sales_fact[[#This Row],[Product_ID]],Product_Dim!A:A,Product_Dim!C:C,"OTHERS")</f>
        <v>Home</v>
      </c>
    </row>
    <row r="45" spans="1:18" x14ac:dyDescent="0.3">
      <c r="A45" t="s">
        <v>1869</v>
      </c>
      <c r="B45" s="2">
        <v>45677</v>
      </c>
      <c r="C45" t="s">
        <v>304</v>
      </c>
      <c r="D45" t="s">
        <v>1614</v>
      </c>
      <c r="E45" t="str">
        <f ca="1">TRIM(Sales_fact[[#This Row],[Store_ID]])</f>
        <v>STORE17</v>
      </c>
      <c r="G45">
        <f>IF(ISBLANK(F45),MODE($F$2:$F$2001),F45)</f>
        <v>2</v>
      </c>
      <c r="H45">
        <v>863.11</v>
      </c>
      <c r="I45">
        <f>IF(ISBLANK(H45),AVERAGE($H$2:$H$2001),H45)</f>
        <v>863.11</v>
      </c>
      <c r="J45">
        <v>0.28000000000000003</v>
      </c>
      <c r="K45">
        <f>IF(ISBLANK(J45),MODE($J$2:$J$2001),J45)</f>
        <v>0.28000000000000003</v>
      </c>
      <c r="L45" t="s">
        <v>1826</v>
      </c>
      <c r="M45">
        <v>1864.3176000000001</v>
      </c>
      <c r="N45">
        <f t="shared" si="0"/>
        <v>1242.8784000000001</v>
      </c>
      <c r="O45" t="str">
        <f>_xlfn.XLOOKUP(Sales_fact[[#This Row],[Customer_ID]],'Customer_Dim'!A:A,'Customer_Dim'!K:K,"Not Found")</f>
        <v>Platinum</v>
      </c>
      <c r="P45">
        <f>_xlfn.XLOOKUP(Sales_fact[[#This Row],[Customer_ID]],'Customer_Dim'!A:A, 'Customer_Dim'!E:E, "Not Found")</f>
        <v>26</v>
      </c>
      <c r="Q45" t="str">
        <f>VLOOKUP(Sales_fact[[#This Row],[Customer_ID]], 'Customer_Dim'!A:F, 6, FALSE)</f>
        <v>Female</v>
      </c>
      <c r="R45" s="13" t="str">
        <f>_xlfn.XLOOKUP(Sales_fact[[#This Row],[Product_ID]],Product_Dim!A:A,Product_Dim!C:C,"OTHERS")</f>
        <v>Home</v>
      </c>
    </row>
    <row r="46" spans="1:18" x14ac:dyDescent="0.3">
      <c r="A46" t="s">
        <v>1870</v>
      </c>
      <c r="B46" s="2">
        <v>45538</v>
      </c>
      <c r="C46" t="s">
        <v>663</v>
      </c>
      <c r="D46" t="s">
        <v>1634</v>
      </c>
      <c r="E46" t="str">
        <f ca="1">TRIM(Sales_fact[[#This Row],[Store_ID]])</f>
        <v>STORE12</v>
      </c>
      <c r="F46">
        <v>2</v>
      </c>
      <c r="G46">
        <f>IF(ISBLANK(F46),MODE($F$2:$F$2001),F46)</f>
        <v>2</v>
      </c>
      <c r="H46">
        <v>209.32</v>
      </c>
      <c r="I46">
        <f>IF(ISBLANK(H46),AVERAGE($H$2:$H$2001),H46)</f>
        <v>209.32</v>
      </c>
      <c r="J46">
        <v>0.23</v>
      </c>
      <c r="K46">
        <f>IF(ISBLANK(J46),MODE($J$2:$J$2001),J46)</f>
        <v>0.23</v>
      </c>
      <c r="L46" t="s">
        <v>1829</v>
      </c>
      <c r="M46">
        <v>322.3528</v>
      </c>
      <c r="N46">
        <f t="shared" si="0"/>
        <v>322.3528</v>
      </c>
      <c r="O46" t="str">
        <f>_xlfn.XLOOKUP(Sales_fact[[#This Row],[Customer_ID]],'Customer_Dim'!A:A,'Customer_Dim'!K:K,"Not Found")</f>
        <v>Platinum</v>
      </c>
      <c r="P46">
        <f>_xlfn.XLOOKUP(Sales_fact[[#This Row],[Customer_ID]],'Customer_Dim'!A:A, 'Customer_Dim'!E:E, "Not Found")</f>
        <v>47</v>
      </c>
      <c r="Q46" t="str">
        <f>VLOOKUP(Sales_fact[[#This Row],[Customer_ID]], 'Customer_Dim'!A:F, 6, FALSE)</f>
        <v>Male</v>
      </c>
      <c r="R46" s="13" t="str">
        <f>_xlfn.XLOOKUP(Sales_fact[[#This Row],[Product_ID]],Product_Dim!A:A,Product_Dim!C:C,"OTHERS")</f>
        <v>Electronics</v>
      </c>
    </row>
    <row r="47" spans="1:18" x14ac:dyDescent="0.3">
      <c r="A47" t="s">
        <v>1871</v>
      </c>
      <c r="B47" s="2">
        <v>45606</v>
      </c>
      <c r="C47" t="s">
        <v>1449</v>
      </c>
      <c r="D47" t="s">
        <v>1666</v>
      </c>
      <c r="E47" t="str">
        <f ca="1">TRIM(Sales_fact[[#This Row],[Store_ID]])</f>
        <v>STORE8</v>
      </c>
      <c r="F47">
        <v>4</v>
      </c>
      <c r="G47">
        <f>IF(ISBLANK(F47),MODE($F$2:$F$2001),F47)</f>
        <v>4</v>
      </c>
      <c r="H47">
        <v>288.60000000000002</v>
      </c>
      <c r="I47">
        <f>IF(ISBLANK(H47),AVERAGE($H$2:$H$2001),H47)</f>
        <v>288.60000000000002</v>
      </c>
      <c r="J47">
        <v>0.09</v>
      </c>
      <c r="K47">
        <f>IF(ISBLANK(J47),MODE($J$2:$J$2001),J47)</f>
        <v>0.09</v>
      </c>
      <c r="L47" t="s">
        <v>1826</v>
      </c>
      <c r="M47">
        <v>1050.5039999999999</v>
      </c>
      <c r="N47">
        <f t="shared" si="0"/>
        <v>1050.5040000000001</v>
      </c>
      <c r="O47" t="str">
        <f>_xlfn.XLOOKUP(Sales_fact[[#This Row],[Customer_ID]],'Customer_Dim'!A:A,'Customer_Dim'!K:K,"Not Found")</f>
        <v>Gold</v>
      </c>
      <c r="P47">
        <f>_xlfn.XLOOKUP(Sales_fact[[#This Row],[Customer_ID]],'Customer_Dim'!A:A, 'Customer_Dim'!E:E, "Not Found")</f>
        <v>21</v>
      </c>
      <c r="Q47" t="str">
        <f>VLOOKUP(Sales_fact[[#This Row],[Customer_ID]], 'Customer_Dim'!A:F, 6, FALSE)</f>
        <v>Female</v>
      </c>
      <c r="R47" s="13" t="str">
        <f>_xlfn.XLOOKUP(Sales_fact[[#This Row],[Product_ID]],Product_Dim!A:A,Product_Dim!C:C,"OTHERS")</f>
        <v>Beauty</v>
      </c>
    </row>
    <row r="48" spans="1:18" x14ac:dyDescent="0.3">
      <c r="A48" t="s">
        <v>1872</v>
      </c>
      <c r="B48" s="2">
        <v>45570</v>
      </c>
      <c r="C48" t="s">
        <v>258</v>
      </c>
      <c r="D48" t="s">
        <v>1704</v>
      </c>
      <c r="E48" t="str">
        <f ca="1">TRIM(Sales_fact[[#This Row],[Store_ID]])</f>
        <v>STORE16</v>
      </c>
      <c r="F48">
        <v>1</v>
      </c>
      <c r="G48">
        <f>IF(ISBLANK(F48),MODE($F$2:$F$2001),F48)</f>
        <v>1</v>
      </c>
      <c r="H48">
        <v>418.69</v>
      </c>
      <c r="I48">
        <f>IF(ISBLANK(H48),AVERAGE($H$2:$H$2001),H48)</f>
        <v>418.69</v>
      </c>
      <c r="J48">
        <v>0.06</v>
      </c>
      <c r="K48">
        <f>IF(ISBLANK(J48),MODE($J$2:$J$2001),J48)</f>
        <v>0.06</v>
      </c>
      <c r="L48" t="s">
        <v>1826</v>
      </c>
      <c r="M48">
        <v>393.5686</v>
      </c>
      <c r="N48">
        <f t="shared" si="0"/>
        <v>393.5686</v>
      </c>
      <c r="O48" t="str">
        <f>_xlfn.XLOOKUP(Sales_fact[[#This Row],[Customer_ID]],'Customer_Dim'!A:A,'Customer_Dim'!K:K,"Not Found")</f>
        <v>Gold</v>
      </c>
      <c r="P48">
        <f>_xlfn.XLOOKUP(Sales_fact[[#This Row],[Customer_ID]],'Customer_Dim'!A:A, 'Customer_Dim'!E:E, "Not Found")</f>
        <v>29</v>
      </c>
      <c r="Q48" t="str">
        <f>VLOOKUP(Sales_fact[[#This Row],[Customer_ID]], 'Customer_Dim'!A:F, 6, FALSE)</f>
        <v>Female</v>
      </c>
      <c r="R48" s="13" t="str">
        <f>_xlfn.XLOOKUP(Sales_fact[[#This Row],[Product_ID]],Product_Dim!A:A,Product_Dim!C:C,"OTHERS")</f>
        <v>Home</v>
      </c>
    </row>
    <row r="49" spans="1:18" x14ac:dyDescent="0.3">
      <c r="A49" t="s">
        <v>1873</v>
      </c>
      <c r="B49" s="2">
        <v>45466</v>
      </c>
      <c r="C49" t="s">
        <v>44</v>
      </c>
      <c r="D49" t="s">
        <v>1608</v>
      </c>
      <c r="E49" t="str">
        <f ca="1">TRIM(Sales_fact[[#This Row],[Store_ID]])</f>
        <v>STORE11</v>
      </c>
      <c r="F49">
        <v>1</v>
      </c>
      <c r="G49">
        <f>IF(ISBLANK(F49),MODE($F$2:$F$2001),F49)</f>
        <v>1</v>
      </c>
      <c r="H49">
        <v>135.78</v>
      </c>
      <c r="I49">
        <f>IF(ISBLANK(H49),AVERAGE($H$2:$H$2001),H49)</f>
        <v>135.78</v>
      </c>
      <c r="J49">
        <v>0.14000000000000001</v>
      </c>
      <c r="K49">
        <f>IF(ISBLANK(J49),MODE($J$2:$J$2001),J49)</f>
        <v>0.14000000000000001</v>
      </c>
      <c r="L49" t="s">
        <v>1826</v>
      </c>
      <c r="M49">
        <v>116.77079999999999</v>
      </c>
      <c r="N49">
        <f t="shared" si="0"/>
        <v>116.77079999999999</v>
      </c>
      <c r="O49" t="str">
        <f>_xlfn.XLOOKUP(Sales_fact[[#This Row],[Customer_ID]],'Customer_Dim'!A:A,'Customer_Dim'!K:K,"Not Found")</f>
        <v>Gold</v>
      </c>
      <c r="P49">
        <f>_xlfn.XLOOKUP(Sales_fact[[#This Row],[Customer_ID]],'Customer_Dim'!A:A, 'Customer_Dim'!E:E, "Not Found")</f>
        <v>53</v>
      </c>
      <c r="Q49" t="str">
        <f>VLOOKUP(Sales_fact[[#This Row],[Customer_ID]], 'Customer_Dim'!A:F, 6, FALSE)</f>
        <v>Female</v>
      </c>
      <c r="R49" s="13" t="str">
        <f>_xlfn.XLOOKUP(Sales_fact[[#This Row],[Product_ID]],Product_Dim!A:A,Product_Dim!C:C,"OTHERS")</f>
        <v>Home</v>
      </c>
    </row>
    <row r="50" spans="1:18" x14ac:dyDescent="0.3">
      <c r="A50" t="s">
        <v>1874</v>
      </c>
      <c r="B50" s="2">
        <v>45218</v>
      </c>
      <c r="C50" t="s">
        <v>663</v>
      </c>
      <c r="D50" t="s">
        <v>1636</v>
      </c>
      <c r="E50" t="str">
        <f ca="1">TRIM(Sales_fact[[#This Row],[Store_ID]])</f>
        <v>STORE17</v>
      </c>
      <c r="F50">
        <v>1</v>
      </c>
      <c r="G50">
        <f>IF(ISBLANK(F50),MODE($F$2:$F$2001),F50)</f>
        <v>1</v>
      </c>
      <c r="H50">
        <v>517.13</v>
      </c>
      <c r="I50">
        <f>IF(ISBLANK(H50),AVERAGE($H$2:$H$2001),H50)</f>
        <v>517.13</v>
      </c>
      <c r="J50">
        <v>0.28000000000000003</v>
      </c>
      <c r="K50">
        <f>IF(ISBLANK(J50),MODE($J$2:$J$2001),J50)</f>
        <v>0.28000000000000003</v>
      </c>
      <c r="L50" t="s">
        <v>1824</v>
      </c>
      <c r="M50">
        <v>372.33359999999999</v>
      </c>
      <c r="N50">
        <f t="shared" si="0"/>
        <v>372.33359999999999</v>
      </c>
      <c r="O50" t="str">
        <f>_xlfn.XLOOKUP(Sales_fact[[#This Row],[Customer_ID]],'Customer_Dim'!A:A,'Customer_Dim'!K:K,"Not Found")</f>
        <v>Platinum</v>
      </c>
      <c r="P50">
        <f>_xlfn.XLOOKUP(Sales_fact[[#This Row],[Customer_ID]],'Customer_Dim'!A:A, 'Customer_Dim'!E:E, "Not Found")</f>
        <v>47</v>
      </c>
      <c r="Q50" t="str">
        <f>VLOOKUP(Sales_fact[[#This Row],[Customer_ID]], 'Customer_Dim'!A:F, 6, FALSE)</f>
        <v>Male</v>
      </c>
      <c r="R50" s="13" t="str">
        <f>_xlfn.XLOOKUP(Sales_fact[[#This Row],[Product_ID]],Product_Dim!A:A,Product_Dim!C:C,"OTHERS")</f>
        <v>Sports</v>
      </c>
    </row>
    <row r="51" spans="1:18" x14ac:dyDescent="0.3">
      <c r="A51" t="s">
        <v>1875</v>
      </c>
      <c r="B51" s="2">
        <v>45607</v>
      </c>
      <c r="C51" t="s">
        <v>1304</v>
      </c>
      <c r="D51" t="s">
        <v>1590</v>
      </c>
      <c r="E51" t="str">
        <f ca="1">TRIM(Sales_fact[[#This Row],[Store_ID]])</f>
        <v>STORE16</v>
      </c>
      <c r="F51">
        <v>2</v>
      </c>
      <c r="G51">
        <f>IF(ISBLANK(F51),MODE($F$2:$F$2001),F51)</f>
        <v>2</v>
      </c>
      <c r="H51">
        <v>384.66</v>
      </c>
      <c r="I51">
        <f>IF(ISBLANK(H51),AVERAGE($H$2:$H$2001),H51)</f>
        <v>384.66</v>
      </c>
      <c r="J51">
        <v>0.08</v>
      </c>
      <c r="K51">
        <f>IF(ISBLANK(J51),MODE($J$2:$J$2001),J51)</f>
        <v>0.08</v>
      </c>
      <c r="L51" t="s">
        <v>1829</v>
      </c>
      <c r="M51">
        <v>707.77440000000013</v>
      </c>
      <c r="N51">
        <f t="shared" si="0"/>
        <v>707.77440000000013</v>
      </c>
      <c r="O51" t="str">
        <f>_xlfn.XLOOKUP(Sales_fact[[#This Row],[Customer_ID]],'Customer_Dim'!A:A,'Customer_Dim'!K:K,"Not Found")</f>
        <v>Bronze</v>
      </c>
      <c r="P51">
        <f>_xlfn.XLOOKUP(Sales_fact[[#This Row],[Customer_ID]],'Customer_Dim'!A:A, 'Customer_Dim'!E:E, "Not Found")</f>
        <v>60</v>
      </c>
      <c r="Q51" t="str">
        <f>VLOOKUP(Sales_fact[[#This Row],[Customer_ID]], 'Customer_Dim'!A:F, 6, FALSE)</f>
        <v>Male</v>
      </c>
      <c r="R51" s="13" t="str">
        <f>_xlfn.XLOOKUP(Sales_fact[[#This Row],[Product_ID]],Product_Dim!A:A,Product_Dim!C:C,"OTHERS")</f>
        <v>Home</v>
      </c>
    </row>
    <row r="52" spans="1:18" x14ac:dyDescent="0.3">
      <c r="A52" t="s">
        <v>1876</v>
      </c>
      <c r="B52" s="2">
        <v>45291</v>
      </c>
      <c r="C52" t="s">
        <v>258</v>
      </c>
      <c r="D52" t="s">
        <v>1652</v>
      </c>
      <c r="E52" t="str">
        <f ca="1">TRIM(Sales_fact[[#This Row],[Store_ID]])</f>
        <v>STORE9</v>
      </c>
      <c r="F52">
        <v>3</v>
      </c>
      <c r="G52">
        <f>IF(ISBLANK(F52),MODE($F$2:$F$2001),F52)</f>
        <v>3</v>
      </c>
      <c r="H52">
        <v>83.7</v>
      </c>
      <c r="I52">
        <f>IF(ISBLANK(H52),AVERAGE($H$2:$H$2001),H52)</f>
        <v>83.7</v>
      </c>
      <c r="J52">
        <v>0.24</v>
      </c>
      <c r="K52">
        <f>IF(ISBLANK(J52),MODE($J$2:$J$2001),J52)</f>
        <v>0.24</v>
      </c>
      <c r="L52" t="s">
        <v>1826</v>
      </c>
      <c r="M52">
        <v>190.83600000000001</v>
      </c>
      <c r="N52">
        <f t="shared" si="0"/>
        <v>190.83600000000001</v>
      </c>
      <c r="O52" t="str">
        <f>_xlfn.XLOOKUP(Sales_fact[[#This Row],[Customer_ID]],'Customer_Dim'!A:A,'Customer_Dim'!K:K,"Not Found")</f>
        <v>Gold</v>
      </c>
      <c r="P52">
        <f>_xlfn.XLOOKUP(Sales_fact[[#This Row],[Customer_ID]],'Customer_Dim'!A:A, 'Customer_Dim'!E:E, "Not Found")</f>
        <v>29</v>
      </c>
      <c r="Q52" t="str">
        <f>VLOOKUP(Sales_fact[[#This Row],[Customer_ID]], 'Customer_Dim'!A:F, 6, FALSE)</f>
        <v>Female</v>
      </c>
      <c r="R52" s="13" t="str">
        <f>_xlfn.XLOOKUP(Sales_fact[[#This Row],[Product_ID]],Product_Dim!A:A,Product_Dim!C:C,"OTHERS")</f>
        <v>Sports</v>
      </c>
    </row>
    <row r="53" spans="1:18" x14ac:dyDescent="0.3">
      <c r="A53" t="s">
        <v>1877</v>
      </c>
      <c r="B53" s="2">
        <v>45689</v>
      </c>
      <c r="C53" t="s">
        <v>481</v>
      </c>
      <c r="D53" t="s">
        <v>1686</v>
      </c>
      <c r="E53" t="str">
        <f ca="1">TRIM(Sales_fact[[#This Row],[Store_ID]])</f>
        <v>STORE7</v>
      </c>
      <c r="F53">
        <v>3</v>
      </c>
      <c r="G53">
        <f>IF(ISBLANK(F53),MODE($F$2:$F$2001),F53)</f>
        <v>3</v>
      </c>
      <c r="H53">
        <v>76.569999999999993</v>
      </c>
      <c r="I53">
        <f>IF(ISBLANK(H53),AVERAGE($H$2:$H$2001),H53)</f>
        <v>76.569999999999993</v>
      </c>
      <c r="J53">
        <v>0.26</v>
      </c>
      <c r="K53">
        <f>IF(ISBLANK(J53),MODE($J$2:$J$2001),J53)</f>
        <v>0.26</v>
      </c>
      <c r="L53" t="s">
        <v>1824</v>
      </c>
      <c r="M53">
        <v>169.9854</v>
      </c>
      <c r="N53">
        <f t="shared" si="0"/>
        <v>169.98539999999997</v>
      </c>
      <c r="O53" t="str">
        <f>_xlfn.XLOOKUP(Sales_fact[[#This Row],[Customer_ID]],'Customer_Dim'!A:A,'Customer_Dim'!K:K,"Not Found")</f>
        <v>Bronze</v>
      </c>
      <c r="P53">
        <f>_xlfn.XLOOKUP(Sales_fact[[#This Row],[Customer_ID]],'Customer_Dim'!A:A, 'Customer_Dim'!E:E, "Not Found")</f>
        <v>37</v>
      </c>
      <c r="Q53" t="str">
        <f>VLOOKUP(Sales_fact[[#This Row],[Customer_ID]], 'Customer_Dim'!A:F, 6, FALSE)</f>
        <v>Male</v>
      </c>
      <c r="R53" s="13" t="str">
        <f>_xlfn.XLOOKUP(Sales_fact[[#This Row],[Product_ID]],Product_Dim!A:A,Product_Dim!C:C,"OTHERS")</f>
        <v>Clothing</v>
      </c>
    </row>
    <row r="54" spans="1:18" x14ac:dyDescent="0.3">
      <c r="A54" t="s">
        <v>1878</v>
      </c>
      <c r="B54" s="2">
        <v>45894</v>
      </c>
      <c r="C54" t="s">
        <v>499</v>
      </c>
      <c r="D54" t="s">
        <v>1726</v>
      </c>
      <c r="E54" t="str">
        <f ca="1">TRIM(Sales_fact[[#This Row],[Store_ID]])</f>
        <v>STORE6</v>
      </c>
      <c r="F54">
        <v>3</v>
      </c>
      <c r="G54">
        <f>IF(ISBLANK(F54),MODE($F$2:$F$2001),F54)</f>
        <v>3</v>
      </c>
      <c r="I54">
        <f>IF(ISBLANK(H54),AVERAGE($H$2:$H$2001),H54)</f>
        <v>513.98477215823721</v>
      </c>
      <c r="K54">
        <f>IF(ISBLANK(J54),MODE($J$2:$J$2001),J54)</f>
        <v>0.1</v>
      </c>
      <c r="L54" t="s">
        <v>1824</v>
      </c>
      <c r="M54">
        <v>486.06330000000003</v>
      </c>
      <c r="N54">
        <f t="shared" si="0"/>
        <v>1387.7588848272403</v>
      </c>
      <c r="O54" t="str">
        <f>_xlfn.XLOOKUP(Sales_fact[[#This Row],[Customer_ID]],'Customer_Dim'!A:A,'Customer_Dim'!K:K,"Not Found")</f>
        <v>Bronze</v>
      </c>
      <c r="P54">
        <f>_xlfn.XLOOKUP(Sales_fact[[#This Row],[Customer_ID]],'Customer_Dim'!A:A, 'Customer_Dim'!E:E, "Not Found")</f>
        <v>42</v>
      </c>
      <c r="Q54" t="str">
        <f>VLOOKUP(Sales_fact[[#This Row],[Customer_ID]], 'Customer_Dim'!A:F, 6, FALSE)</f>
        <v>Female</v>
      </c>
      <c r="R54" s="13" t="str">
        <f>_xlfn.XLOOKUP(Sales_fact[[#This Row],[Product_ID]],Product_Dim!A:A,Product_Dim!C:C,"OTHERS")</f>
        <v>Beauty</v>
      </c>
    </row>
    <row r="55" spans="1:18" x14ac:dyDescent="0.3">
      <c r="A55" t="s">
        <v>1879</v>
      </c>
      <c r="B55" s="2">
        <v>45677</v>
      </c>
      <c r="C55" t="s">
        <v>1020</v>
      </c>
      <c r="D55" t="s">
        <v>1588</v>
      </c>
      <c r="E55" t="str">
        <f ca="1">TRIM(Sales_fact[[#This Row],[Store_ID]])</f>
        <v>STORE8</v>
      </c>
      <c r="F55">
        <v>1</v>
      </c>
      <c r="G55">
        <f>IF(ISBLANK(F55),MODE($F$2:$F$2001),F55)</f>
        <v>1</v>
      </c>
      <c r="H55">
        <v>900.35</v>
      </c>
      <c r="I55">
        <f>IF(ISBLANK(H55),AVERAGE($H$2:$H$2001),H55)</f>
        <v>900.35</v>
      </c>
      <c r="J55">
        <v>0.13</v>
      </c>
      <c r="K55">
        <f>IF(ISBLANK(J55),MODE($J$2:$J$2001),J55)</f>
        <v>0.13</v>
      </c>
      <c r="L55" t="s">
        <v>1829</v>
      </c>
      <c r="M55">
        <v>783.30449999999996</v>
      </c>
      <c r="N55">
        <f t="shared" si="0"/>
        <v>783.30449999999996</v>
      </c>
      <c r="O55" t="str">
        <f>_xlfn.XLOOKUP(Sales_fact[[#This Row],[Customer_ID]],'Customer_Dim'!A:A,'Customer_Dim'!K:K,"Not Found")</f>
        <v>Bronze</v>
      </c>
      <c r="P55">
        <f>_xlfn.XLOOKUP(Sales_fact[[#This Row],[Customer_ID]],'Customer_Dim'!A:A, 'Customer_Dim'!E:E, "Not Found")</f>
        <v>58</v>
      </c>
      <c r="Q55" t="str">
        <f>VLOOKUP(Sales_fact[[#This Row],[Customer_ID]], 'Customer_Dim'!A:F, 6, FALSE)</f>
        <v>Male</v>
      </c>
      <c r="R55" s="13" t="str">
        <f>_xlfn.XLOOKUP(Sales_fact[[#This Row],[Product_ID]],Product_Dim!A:A,Product_Dim!C:C,"OTHERS")</f>
        <v>Sports</v>
      </c>
    </row>
    <row r="56" spans="1:18" x14ac:dyDescent="0.3">
      <c r="A56" t="s">
        <v>1880</v>
      </c>
      <c r="B56" s="2">
        <v>45706</v>
      </c>
      <c r="C56" t="s">
        <v>341</v>
      </c>
      <c r="D56" t="s">
        <v>1628</v>
      </c>
      <c r="E56" t="str">
        <f ca="1">TRIM(Sales_fact[[#This Row],[Store_ID]])</f>
        <v>STORE10</v>
      </c>
      <c r="F56">
        <v>4</v>
      </c>
      <c r="G56">
        <f>IF(ISBLANK(F56),MODE($F$2:$F$2001),F56)</f>
        <v>4</v>
      </c>
      <c r="H56">
        <v>428.09</v>
      </c>
      <c r="I56">
        <f>IF(ISBLANK(H56),AVERAGE($H$2:$H$2001),H56)</f>
        <v>428.09</v>
      </c>
      <c r="J56">
        <v>7.0000000000000007E-2</v>
      </c>
      <c r="K56">
        <f>IF(ISBLANK(J56),MODE($J$2:$J$2001),J56)</f>
        <v>7.0000000000000007E-2</v>
      </c>
      <c r="L56" t="s">
        <v>1824</v>
      </c>
      <c r="M56">
        <v>1592.4947999999999</v>
      </c>
      <c r="N56">
        <f t="shared" si="0"/>
        <v>1592.4947999999997</v>
      </c>
      <c r="O56" t="str">
        <f>_xlfn.XLOOKUP(Sales_fact[[#This Row],[Customer_ID]],'Customer_Dim'!A:A,'Customer_Dim'!K:K,"Not Found")</f>
        <v>Platinum</v>
      </c>
      <c r="P56">
        <f>_xlfn.XLOOKUP(Sales_fact[[#This Row],[Customer_ID]],'Customer_Dim'!A:A, 'Customer_Dim'!E:E, "Not Found")</f>
        <v>62</v>
      </c>
      <c r="Q56" t="str">
        <f>VLOOKUP(Sales_fact[[#This Row],[Customer_ID]], 'Customer_Dim'!A:F, 6, FALSE)</f>
        <v>Female</v>
      </c>
      <c r="R56" s="13" t="str">
        <f>_xlfn.XLOOKUP(Sales_fact[[#This Row],[Product_ID]],Product_Dim!A:A,Product_Dim!C:C,"OTHERS")</f>
        <v>Electronics</v>
      </c>
    </row>
    <row r="57" spans="1:18" x14ac:dyDescent="0.3">
      <c r="A57" t="s">
        <v>1881</v>
      </c>
      <c r="B57" s="2">
        <v>45589</v>
      </c>
      <c r="C57" t="s">
        <v>1292</v>
      </c>
      <c r="D57" t="s">
        <v>1646</v>
      </c>
      <c r="E57" t="str">
        <f ca="1">TRIM(Sales_fact[[#This Row],[Store_ID]])</f>
        <v>STORE11</v>
      </c>
      <c r="F57">
        <v>2</v>
      </c>
      <c r="G57">
        <f>IF(ISBLANK(F57),MODE($F$2:$F$2001),F57)</f>
        <v>2</v>
      </c>
      <c r="H57">
        <v>559.71</v>
      </c>
      <c r="I57">
        <f>IF(ISBLANK(H57),AVERAGE($H$2:$H$2001),H57)</f>
        <v>559.71</v>
      </c>
      <c r="J57">
        <v>0.3</v>
      </c>
      <c r="K57">
        <f>IF(ISBLANK(J57),MODE($J$2:$J$2001),J57)</f>
        <v>0.3</v>
      </c>
      <c r="L57" t="s">
        <v>1829</v>
      </c>
      <c r="M57">
        <v>783.59400000000005</v>
      </c>
      <c r="N57">
        <f t="shared" si="0"/>
        <v>783.59400000000005</v>
      </c>
      <c r="O57" t="str">
        <f>_xlfn.XLOOKUP(Sales_fact[[#This Row],[Customer_ID]],'Customer_Dim'!A:A,'Customer_Dim'!K:K,"Not Found")</f>
        <v>Platinum</v>
      </c>
      <c r="P57">
        <f>_xlfn.XLOOKUP(Sales_fact[[#This Row],[Customer_ID]],'Customer_Dim'!A:A, 'Customer_Dim'!E:E, "Not Found")</f>
        <v>46</v>
      </c>
      <c r="Q57" t="str">
        <f>VLOOKUP(Sales_fact[[#This Row],[Customer_ID]], 'Customer_Dim'!A:F, 6, FALSE)</f>
        <v>Male</v>
      </c>
      <c r="R57" s="13" t="str">
        <f>_xlfn.XLOOKUP(Sales_fact[[#This Row],[Product_ID]],Product_Dim!A:A,Product_Dim!C:C,"OTHERS")</f>
        <v>Beauty</v>
      </c>
    </row>
    <row r="58" spans="1:18" x14ac:dyDescent="0.3">
      <c r="A58" t="s">
        <v>1882</v>
      </c>
      <c r="B58" s="2">
        <v>45282</v>
      </c>
      <c r="C58" t="s">
        <v>292</v>
      </c>
      <c r="D58" t="s">
        <v>1616</v>
      </c>
      <c r="E58" t="str">
        <f ca="1">TRIM(Sales_fact[[#This Row],[Store_ID]])</f>
        <v>STORE6</v>
      </c>
      <c r="F58">
        <v>2</v>
      </c>
      <c r="G58">
        <f>IF(ISBLANK(F58),MODE($F$2:$F$2001),F58)</f>
        <v>2</v>
      </c>
      <c r="H58">
        <v>833.7</v>
      </c>
      <c r="I58">
        <f>IF(ISBLANK(H58),AVERAGE($H$2:$H$2001),H58)</f>
        <v>833.7</v>
      </c>
      <c r="J58">
        <v>0.06</v>
      </c>
      <c r="K58">
        <f>IF(ISBLANK(J58),MODE($J$2:$J$2001),J58)</f>
        <v>0.06</v>
      </c>
      <c r="L58" t="s">
        <v>1826</v>
      </c>
      <c r="M58">
        <v>1567.356</v>
      </c>
      <c r="N58">
        <f t="shared" si="0"/>
        <v>1567.356</v>
      </c>
      <c r="O58" t="str">
        <f>_xlfn.XLOOKUP(Sales_fact[[#This Row],[Customer_ID]],'Customer_Dim'!A:A,'Customer_Dim'!K:K,"Not Found")</f>
        <v>Bronze</v>
      </c>
      <c r="P58">
        <f>_xlfn.XLOOKUP(Sales_fact[[#This Row],[Customer_ID]],'Customer_Dim'!A:A, 'Customer_Dim'!E:E, "Not Found")</f>
        <v>61</v>
      </c>
      <c r="Q58" t="str">
        <f>VLOOKUP(Sales_fact[[#This Row],[Customer_ID]], 'Customer_Dim'!A:F, 6, FALSE)</f>
        <v>Female</v>
      </c>
      <c r="R58" s="13" t="str">
        <f>_xlfn.XLOOKUP(Sales_fact[[#This Row],[Product_ID]],Product_Dim!A:A,Product_Dim!C:C,"OTHERS")</f>
        <v>Electronics</v>
      </c>
    </row>
    <row r="59" spans="1:18" x14ac:dyDescent="0.3">
      <c r="A59" t="s">
        <v>1883</v>
      </c>
      <c r="B59" s="2">
        <v>45462</v>
      </c>
      <c r="C59" t="s">
        <v>1440</v>
      </c>
      <c r="D59" t="s">
        <v>1642</v>
      </c>
      <c r="E59" t="str">
        <f ca="1">TRIM(Sales_fact[[#This Row],[Store_ID]])</f>
        <v>STORE14</v>
      </c>
      <c r="F59">
        <v>2</v>
      </c>
      <c r="G59">
        <f>IF(ISBLANK(F59),MODE($F$2:$F$2001),F59)</f>
        <v>2</v>
      </c>
      <c r="H59">
        <v>680.16</v>
      </c>
      <c r="I59">
        <f>IF(ISBLANK(H59),AVERAGE($H$2:$H$2001),H59)</f>
        <v>680.16</v>
      </c>
      <c r="J59">
        <v>0.28000000000000003</v>
      </c>
      <c r="K59">
        <f>IF(ISBLANK(J59),MODE($J$2:$J$2001),J59)</f>
        <v>0.28000000000000003</v>
      </c>
      <c r="L59" t="s">
        <v>1824</v>
      </c>
      <c r="M59">
        <v>979.43039999999996</v>
      </c>
      <c r="N59">
        <f t="shared" si="0"/>
        <v>979.43039999999996</v>
      </c>
      <c r="O59" t="str">
        <f>_xlfn.XLOOKUP(Sales_fact[[#This Row],[Customer_ID]],'Customer_Dim'!A:A,'Customer_Dim'!K:K,"Not Found")</f>
        <v>Gold</v>
      </c>
      <c r="P59">
        <f>_xlfn.XLOOKUP(Sales_fact[[#This Row],[Customer_ID]],'Customer_Dim'!A:A, 'Customer_Dim'!E:E, "Not Found")</f>
        <v>63</v>
      </c>
      <c r="Q59" t="str">
        <f>VLOOKUP(Sales_fact[[#This Row],[Customer_ID]], 'Customer_Dim'!A:F, 6, FALSE)</f>
        <v>Female</v>
      </c>
      <c r="R59" s="13" t="str">
        <f>_xlfn.XLOOKUP(Sales_fact[[#This Row],[Product_ID]],Product_Dim!A:A,Product_Dim!C:C,"OTHERS")</f>
        <v>Beauty</v>
      </c>
    </row>
    <row r="60" spans="1:18" x14ac:dyDescent="0.3">
      <c r="A60" t="s">
        <v>1884</v>
      </c>
      <c r="B60" s="2">
        <v>45633</v>
      </c>
      <c r="C60" t="s">
        <v>1257</v>
      </c>
      <c r="D60" t="s">
        <v>1578</v>
      </c>
      <c r="E60" t="str">
        <f ca="1">TRIM(Sales_fact[[#This Row],[Store_ID]])</f>
        <v>STORE7</v>
      </c>
      <c r="F60">
        <v>4</v>
      </c>
      <c r="G60">
        <f>IF(ISBLANK(F60),MODE($F$2:$F$2001),F60)</f>
        <v>4</v>
      </c>
      <c r="H60">
        <v>733.42</v>
      </c>
      <c r="I60">
        <f>IF(ISBLANK(H60),AVERAGE($H$2:$H$2001),H60)</f>
        <v>733.42</v>
      </c>
      <c r="K60">
        <f>IF(ISBLANK(J60),MODE($J$2:$J$2001),J60)</f>
        <v>0.1</v>
      </c>
      <c r="L60" t="s">
        <v>1826</v>
      </c>
      <c r="M60">
        <v>2552.3015999999998</v>
      </c>
      <c r="N60">
        <f t="shared" si="0"/>
        <v>2640.3119999999999</v>
      </c>
      <c r="O60" t="str">
        <f>_xlfn.XLOOKUP(Sales_fact[[#This Row],[Customer_ID]],'Customer_Dim'!A:A,'Customer_Dim'!K:K,"Not Found")</f>
        <v>Silver</v>
      </c>
      <c r="P60">
        <f>_xlfn.XLOOKUP(Sales_fact[[#This Row],[Customer_ID]],'Customer_Dim'!A:A, 'Customer_Dim'!E:E, "Not Found")</f>
        <v>22</v>
      </c>
      <c r="Q60" t="str">
        <f>VLOOKUP(Sales_fact[[#This Row],[Customer_ID]], 'Customer_Dim'!A:F, 6, FALSE)</f>
        <v>Female</v>
      </c>
      <c r="R60" s="13" t="str">
        <f>_xlfn.XLOOKUP(Sales_fact[[#This Row],[Product_ID]],Product_Dim!A:A,Product_Dim!C:C,"OTHERS")</f>
        <v>Electronics</v>
      </c>
    </row>
    <row r="61" spans="1:18" x14ac:dyDescent="0.3">
      <c r="A61" t="s">
        <v>1885</v>
      </c>
      <c r="B61" s="2">
        <v>45257</v>
      </c>
      <c r="C61" t="s">
        <v>1148</v>
      </c>
      <c r="D61" t="s">
        <v>1726</v>
      </c>
      <c r="E61" t="str">
        <f ca="1">TRIM(Sales_fact[[#This Row],[Store_ID]])</f>
        <v>STORE11</v>
      </c>
      <c r="F61">
        <v>1</v>
      </c>
      <c r="G61">
        <f>IF(ISBLANK(F61),MODE($F$2:$F$2001),F61)</f>
        <v>1</v>
      </c>
      <c r="H61">
        <v>996.33</v>
      </c>
      <c r="I61">
        <f>IF(ISBLANK(H61),AVERAGE($H$2:$H$2001),H61)</f>
        <v>996.33</v>
      </c>
      <c r="J61">
        <v>0.23</v>
      </c>
      <c r="K61">
        <f>IF(ISBLANK(J61),MODE($J$2:$J$2001),J61)</f>
        <v>0.23</v>
      </c>
      <c r="L61" t="s">
        <v>1826</v>
      </c>
      <c r="M61">
        <v>767.17410000000007</v>
      </c>
      <c r="N61">
        <f t="shared" si="0"/>
        <v>767.17410000000007</v>
      </c>
      <c r="O61" t="str">
        <f>_xlfn.XLOOKUP(Sales_fact[[#This Row],[Customer_ID]],'Customer_Dim'!A:A,'Customer_Dim'!K:K,"Not Found")</f>
        <v>Bronze</v>
      </c>
      <c r="P61">
        <f>_xlfn.XLOOKUP(Sales_fact[[#This Row],[Customer_ID]],'Customer_Dim'!A:A, 'Customer_Dim'!E:E, "Not Found")</f>
        <v>51</v>
      </c>
      <c r="Q61" t="str">
        <f>VLOOKUP(Sales_fact[[#This Row],[Customer_ID]], 'Customer_Dim'!A:F, 6, FALSE)</f>
        <v>Male</v>
      </c>
      <c r="R61" s="13" t="str">
        <f>_xlfn.XLOOKUP(Sales_fact[[#This Row],[Product_ID]],Product_Dim!A:A,Product_Dim!C:C,"OTHERS")</f>
        <v>Beauty</v>
      </c>
    </row>
    <row r="62" spans="1:18" x14ac:dyDescent="0.3">
      <c r="A62" t="s">
        <v>1886</v>
      </c>
      <c r="B62" s="2">
        <v>45854</v>
      </c>
      <c r="C62" t="s">
        <v>1269</v>
      </c>
      <c r="D62" t="s">
        <v>1610</v>
      </c>
      <c r="E62" t="str">
        <f ca="1">TRIM(Sales_fact[[#This Row],[Store_ID]])</f>
        <v>STORE10</v>
      </c>
      <c r="F62">
        <v>1</v>
      </c>
      <c r="G62">
        <f>IF(ISBLANK(F62),MODE($F$2:$F$2001),F62)</f>
        <v>1</v>
      </c>
      <c r="H62">
        <v>198.83</v>
      </c>
      <c r="I62">
        <f>IF(ISBLANK(H62),AVERAGE($H$2:$H$2001),H62)</f>
        <v>198.83</v>
      </c>
      <c r="J62">
        <v>0.09</v>
      </c>
      <c r="K62">
        <f>IF(ISBLANK(J62),MODE($J$2:$J$2001),J62)</f>
        <v>0.09</v>
      </c>
      <c r="L62" t="s">
        <v>1829</v>
      </c>
      <c r="M62">
        <v>180.93530000000001</v>
      </c>
      <c r="N62">
        <f t="shared" si="0"/>
        <v>180.93530000000001</v>
      </c>
      <c r="O62" t="str">
        <f>_xlfn.XLOOKUP(Sales_fact[[#This Row],[Customer_ID]],'Customer_Dim'!A:A,'Customer_Dim'!K:K,"Not Found")</f>
        <v>Gold</v>
      </c>
      <c r="P62">
        <f>_xlfn.XLOOKUP(Sales_fact[[#This Row],[Customer_ID]],'Customer_Dim'!A:A, 'Customer_Dim'!E:E, "Not Found")</f>
        <v>36</v>
      </c>
      <c r="Q62" t="str">
        <f>VLOOKUP(Sales_fact[[#This Row],[Customer_ID]], 'Customer_Dim'!A:F, 6, FALSE)</f>
        <v>Male</v>
      </c>
      <c r="R62" s="13" t="str">
        <f>_xlfn.XLOOKUP(Sales_fact[[#This Row],[Product_ID]],Product_Dim!A:A,Product_Dim!C:C,"OTHERS")</f>
        <v>Sports</v>
      </c>
    </row>
    <row r="63" spans="1:18" x14ac:dyDescent="0.3">
      <c r="A63" t="s">
        <v>1887</v>
      </c>
      <c r="B63" s="2">
        <v>45716</v>
      </c>
      <c r="C63" t="s">
        <v>767</v>
      </c>
      <c r="D63" t="s">
        <v>1586</v>
      </c>
      <c r="E63" t="str">
        <f ca="1">TRIM(Sales_fact[[#This Row],[Store_ID]])</f>
        <v>STORE7</v>
      </c>
      <c r="F63">
        <v>1</v>
      </c>
      <c r="G63">
        <f>IF(ISBLANK(F63),MODE($F$2:$F$2001),F63)</f>
        <v>1</v>
      </c>
      <c r="H63">
        <v>374.92</v>
      </c>
      <c r="I63">
        <f>IF(ISBLANK(H63),AVERAGE($H$2:$H$2001),H63)</f>
        <v>374.92</v>
      </c>
      <c r="J63">
        <v>0.18</v>
      </c>
      <c r="K63">
        <f>IF(ISBLANK(J63),MODE($J$2:$J$2001),J63)</f>
        <v>0.18</v>
      </c>
      <c r="L63" t="s">
        <v>1826</v>
      </c>
      <c r="M63">
        <v>307.43439999999998</v>
      </c>
      <c r="N63">
        <f t="shared" si="0"/>
        <v>307.43440000000004</v>
      </c>
      <c r="O63" t="str">
        <f>_xlfn.XLOOKUP(Sales_fact[[#This Row],[Customer_ID]],'Customer_Dim'!A:A,'Customer_Dim'!K:K,"Not Found")</f>
        <v>Platinum</v>
      </c>
      <c r="P63">
        <f>_xlfn.XLOOKUP(Sales_fact[[#This Row],[Customer_ID]],'Customer_Dim'!A:A, 'Customer_Dim'!E:E, "Not Found")</f>
        <v>58</v>
      </c>
      <c r="Q63" t="str">
        <f>VLOOKUP(Sales_fact[[#This Row],[Customer_ID]], 'Customer_Dim'!A:F, 6, FALSE)</f>
        <v>Female</v>
      </c>
      <c r="R63" s="13" t="str">
        <f>_xlfn.XLOOKUP(Sales_fact[[#This Row],[Product_ID]],Product_Dim!A:A,Product_Dim!C:C,"OTHERS")</f>
        <v>Sports</v>
      </c>
    </row>
    <row r="64" spans="1:18" x14ac:dyDescent="0.3">
      <c r="A64" t="s">
        <v>1888</v>
      </c>
      <c r="B64" s="2">
        <v>45515</v>
      </c>
      <c r="C64" t="s">
        <v>1431</v>
      </c>
      <c r="D64" t="s">
        <v>1734</v>
      </c>
      <c r="E64" t="str">
        <f ca="1">TRIM(Sales_fact[[#This Row],[Store_ID]])</f>
        <v>STORE16</v>
      </c>
      <c r="F64">
        <v>1</v>
      </c>
      <c r="G64">
        <f>IF(ISBLANK(F64),MODE($F$2:$F$2001),F64)</f>
        <v>1</v>
      </c>
      <c r="H64">
        <v>468.94</v>
      </c>
      <c r="I64">
        <f>IF(ISBLANK(H64),AVERAGE($H$2:$H$2001),H64)</f>
        <v>468.94</v>
      </c>
      <c r="J64">
        <v>0.12</v>
      </c>
      <c r="K64">
        <f>IF(ISBLANK(J64),MODE($J$2:$J$2001),J64)</f>
        <v>0.12</v>
      </c>
      <c r="L64" t="s">
        <v>1824</v>
      </c>
      <c r="M64">
        <v>412.66719999999998</v>
      </c>
      <c r="N64">
        <f t="shared" si="0"/>
        <v>412.66719999999998</v>
      </c>
      <c r="O64" t="str">
        <f>_xlfn.XLOOKUP(Sales_fact[[#This Row],[Customer_ID]],'Customer_Dim'!A:A,'Customer_Dim'!K:K,"Not Found")</f>
        <v>Not Found</v>
      </c>
      <c r="P64" t="str">
        <f>_xlfn.XLOOKUP(Sales_fact[[#This Row],[Customer_ID]],'Customer_Dim'!A:A, 'Customer_Dim'!E:E, "Not Found")</f>
        <v>Not Found</v>
      </c>
      <c r="Q64" t="e">
        <f>VLOOKUP(Sales_fact[[#This Row],[Customer_ID]], 'Customer_Dim'!A:F, 6, FALSE)</f>
        <v>#N/A</v>
      </c>
      <c r="R64" s="13" t="str">
        <f>_xlfn.XLOOKUP(Sales_fact[[#This Row],[Product_ID]],Product_Dim!A:A,Product_Dim!C:C,"OTHERS")</f>
        <v>Electronics</v>
      </c>
    </row>
    <row r="65" spans="1:18" x14ac:dyDescent="0.3">
      <c r="A65" t="s">
        <v>1889</v>
      </c>
      <c r="B65" s="2">
        <v>45927</v>
      </c>
      <c r="C65" t="s">
        <v>435</v>
      </c>
      <c r="D65" t="s">
        <v>1726</v>
      </c>
      <c r="E65" t="str">
        <f ca="1">TRIM(Sales_fact[[#This Row],[Store_ID]])</f>
        <v>STORE12</v>
      </c>
      <c r="F65">
        <v>2</v>
      </c>
      <c r="G65">
        <f>IF(ISBLANK(F65),MODE($F$2:$F$2001),F65)</f>
        <v>2</v>
      </c>
      <c r="H65">
        <v>121.37</v>
      </c>
      <c r="I65">
        <f>IF(ISBLANK(H65),AVERAGE($H$2:$H$2001),H65)</f>
        <v>121.37</v>
      </c>
      <c r="J65">
        <v>0.05</v>
      </c>
      <c r="K65">
        <f>IF(ISBLANK(J65),MODE($J$2:$J$2001),J65)</f>
        <v>0.05</v>
      </c>
      <c r="L65" t="s">
        <v>1824</v>
      </c>
      <c r="M65">
        <v>230.60300000000001</v>
      </c>
      <c r="N65">
        <f t="shared" si="0"/>
        <v>230.60300000000001</v>
      </c>
      <c r="O65" t="str">
        <f>_xlfn.XLOOKUP(Sales_fact[[#This Row],[Customer_ID]],'Customer_Dim'!A:A,'Customer_Dim'!K:K,"Not Found")</f>
        <v>Gold</v>
      </c>
      <c r="P65">
        <f>_xlfn.XLOOKUP(Sales_fact[[#This Row],[Customer_ID]],'Customer_Dim'!A:A, 'Customer_Dim'!E:E, "Not Found")</f>
        <v>62</v>
      </c>
      <c r="Q65" t="str">
        <f>VLOOKUP(Sales_fact[[#This Row],[Customer_ID]], 'Customer_Dim'!A:F, 6, FALSE)</f>
        <v>Female</v>
      </c>
      <c r="R65" s="13" t="str">
        <f>_xlfn.XLOOKUP(Sales_fact[[#This Row],[Product_ID]],Product_Dim!A:A,Product_Dim!C:C,"OTHERS")</f>
        <v>Beauty</v>
      </c>
    </row>
    <row r="66" spans="1:18" x14ac:dyDescent="0.3">
      <c r="A66" t="s">
        <v>1890</v>
      </c>
      <c r="B66" s="2">
        <v>45914</v>
      </c>
      <c r="C66" t="s">
        <v>815</v>
      </c>
      <c r="D66" t="s">
        <v>1654</v>
      </c>
      <c r="E66" t="str">
        <f ca="1">TRIM(Sales_fact[[#This Row],[Store_ID]])</f>
        <v>STORE10</v>
      </c>
      <c r="F66">
        <v>3</v>
      </c>
      <c r="G66">
        <f>IF(ISBLANK(F66),MODE($F$2:$F$2001),F66)</f>
        <v>3</v>
      </c>
      <c r="H66">
        <v>480.06</v>
      </c>
      <c r="I66">
        <f>IF(ISBLANK(H66),AVERAGE($H$2:$H$2001),H66)</f>
        <v>480.06</v>
      </c>
      <c r="J66">
        <v>0.01</v>
      </c>
      <c r="K66">
        <f>IF(ISBLANK(J66),MODE($J$2:$J$2001),J66)</f>
        <v>0.01</v>
      </c>
      <c r="L66" t="s">
        <v>1824</v>
      </c>
      <c r="N66">
        <f t="shared" si="0"/>
        <v>1425.7782</v>
      </c>
      <c r="O66" t="str">
        <f>_xlfn.XLOOKUP(Sales_fact[[#This Row],[Customer_ID]],'Customer_Dim'!A:A,'Customer_Dim'!K:K,"Not Found")</f>
        <v>Gold</v>
      </c>
      <c r="P66">
        <f>_xlfn.XLOOKUP(Sales_fact[[#This Row],[Customer_ID]],'Customer_Dim'!A:A, 'Customer_Dim'!E:E, "Not Found")</f>
        <v>21</v>
      </c>
      <c r="Q66" t="str">
        <f>VLOOKUP(Sales_fact[[#This Row],[Customer_ID]], 'Customer_Dim'!A:F, 6, FALSE)</f>
        <v>Male</v>
      </c>
      <c r="R66" s="13" t="str">
        <f>_xlfn.XLOOKUP(Sales_fact[[#This Row],[Product_ID]],Product_Dim!A:A,Product_Dim!C:C,"OTHERS")</f>
        <v>Clothing</v>
      </c>
    </row>
    <row r="67" spans="1:18" x14ac:dyDescent="0.3">
      <c r="A67" t="s">
        <v>1891</v>
      </c>
      <c r="B67" s="2">
        <v>45290</v>
      </c>
      <c r="C67" t="s">
        <v>541</v>
      </c>
      <c r="D67" t="s">
        <v>1746</v>
      </c>
      <c r="E67" t="str">
        <f ca="1">TRIM(Sales_fact[[#This Row],[Store_ID]])</f>
        <v>STORE17</v>
      </c>
      <c r="F67">
        <v>2</v>
      </c>
      <c r="G67">
        <f>IF(ISBLANK(F67),MODE($F$2:$F$2001),F67)</f>
        <v>2</v>
      </c>
      <c r="H67">
        <v>856.57</v>
      </c>
      <c r="I67">
        <f>IF(ISBLANK(H67),AVERAGE($H$2:$H$2001),H67)</f>
        <v>856.57</v>
      </c>
      <c r="J67">
        <v>0.24</v>
      </c>
      <c r="K67">
        <f>IF(ISBLANK(J67),MODE($J$2:$J$2001),J67)</f>
        <v>0.24</v>
      </c>
      <c r="L67" t="s">
        <v>1824</v>
      </c>
      <c r="M67">
        <v>1301.9864</v>
      </c>
      <c r="N67">
        <f t="shared" ref="N67:N130" si="1">G67*I67*(1-K67)</f>
        <v>1301.9864</v>
      </c>
      <c r="O67" t="str">
        <f>_xlfn.XLOOKUP(Sales_fact[[#This Row],[Customer_ID]],'Customer_Dim'!A:A,'Customer_Dim'!K:K,"Not Found")</f>
        <v>Silver</v>
      </c>
      <c r="P67">
        <f>_xlfn.XLOOKUP(Sales_fact[[#This Row],[Customer_ID]],'Customer_Dim'!A:A, 'Customer_Dim'!E:E, "Not Found")</f>
        <v>37</v>
      </c>
      <c r="Q67" t="str">
        <f>VLOOKUP(Sales_fact[[#This Row],[Customer_ID]], 'Customer_Dim'!A:F, 6, FALSE)</f>
        <v>Male</v>
      </c>
      <c r="R67" s="13" t="str">
        <f>_xlfn.XLOOKUP(Sales_fact[[#This Row],[Product_ID]],Product_Dim!A:A,Product_Dim!C:C,"OTHERS")</f>
        <v>Home</v>
      </c>
    </row>
    <row r="68" spans="1:18" x14ac:dyDescent="0.3">
      <c r="A68" t="s">
        <v>1892</v>
      </c>
      <c r="B68" s="2">
        <v>45213</v>
      </c>
      <c r="C68" t="s">
        <v>857</v>
      </c>
      <c r="D68" t="s">
        <v>1702</v>
      </c>
      <c r="E68" t="str">
        <f ca="1">TRIM(Sales_fact[[#This Row],[Store_ID]])</f>
        <v>STORE2</v>
      </c>
      <c r="F68">
        <v>4</v>
      </c>
      <c r="G68">
        <f>IF(ISBLANK(F68),MODE($F$2:$F$2001),F68)</f>
        <v>4</v>
      </c>
      <c r="H68">
        <v>814.25</v>
      </c>
      <c r="I68">
        <f>IF(ISBLANK(H68),AVERAGE($H$2:$H$2001),H68)</f>
        <v>814.25</v>
      </c>
      <c r="J68">
        <v>0.18</v>
      </c>
      <c r="K68">
        <f>IF(ISBLANK(J68),MODE($J$2:$J$2001),J68)</f>
        <v>0.18</v>
      </c>
      <c r="L68" t="s">
        <v>1824</v>
      </c>
      <c r="M68">
        <v>2670.74</v>
      </c>
      <c r="N68">
        <f t="shared" si="1"/>
        <v>2670.7400000000002</v>
      </c>
      <c r="O68" t="str">
        <f>_xlfn.XLOOKUP(Sales_fact[[#This Row],[Customer_ID]],'Customer_Dim'!A:A,'Customer_Dim'!K:K,"Not Found")</f>
        <v>Silver</v>
      </c>
      <c r="P68">
        <f>_xlfn.XLOOKUP(Sales_fact[[#This Row],[Customer_ID]],'Customer_Dim'!A:A, 'Customer_Dim'!E:E, "Not Found")</f>
        <v>45</v>
      </c>
      <c r="Q68" t="str">
        <f>VLOOKUP(Sales_fact[[#This Row],[Customer_ID]], 'Customer_Dim'!A:F, 6, FALSE)</f>
        <v>Female</v>
      </c>
      <c r="R68" s="13" t="str">
        <f>_xlfn.XLOOKUP(Sales_fact[[#This Row],[Product_ID]],Product_Dim!A:A,Product_Dim!C:C,"OTHERS")</f>
        <v>Electronics</v>
      </c>
    </row>
    <row r="69" spans="1:18" x14ac:dyDescent="0.3">
      <c r="A69" t="s">
        <v>1893</v>
      </c>
      <c r="B69" s="2">
        <v>45255</v>
      </c>
      <c r="C69" t="s">
        <v>1487</v>
      </c>
      <c r="D69" t="s">
        <v>1572</v>
      </c>
      <c r="E69" t="str">
        <f ca="1">TRIM(Sales_fact[[#This Row],[Store_ID]])</f>
        <v>STORE2</v>
      </c>
      <c r="F69">
        <v>1</v>
      </c>
      <c r="G69">
        <f>IF(ISBLANK(F69),MODE($F$2:$F$2001),F69)</f>
        <v>1</v>
      </c>
      <c r="H69">
        <v>989.17</v>
      </c>
      <c r="I69">
        <f>IF(ISBLANK(H69),AVERAGE($H$2:$H$2001),H69)</f>
        <v>989.17</v>
      </c>
      <c r="J69">
        <v>0.2</v>
      </c>
      <c r="K69">
        <f>IF(ISBLANK(J69),MODE($J$2:$J$2001),J69)</f>
        <v>0.2</v>
      </c>
      <c r="L69" t="s">
        <v>1826</v>
      </c>
      <c r="M69">
        <v>791.33600000000001</v>
      </c>
      <c r="N69">
        <f t="shared" si="1"/>
        <v>791.33600000000001</v>
      </c>
      <c r="O69" t="str">
        <f>_xlfn.XLOOKUP(Sales_fact[[#This Row],[Customer_ID]],'Customer_Dim'!A:A,'Customer_Dim'!K:K,"Not Found")</f>
        <v>Gold</v>
      </c>
      <c r="P69">
        <f>_xlfn.XLOOKUP(Sales_fact[[#This Row],[Customer_ID]],'Customer_Dim'!A:A, 'Customer_Dim'!E:E, "Not Found")</f>
        <v>48</v>
      </c>
      <c r="Q69" t="str">
        <f>VLOOKUP(Sales_fact[[#This Row],[Customer_ID]], 'Customer_Dim'!A:F, 6, FALSE)</f>
        <v>Male</v>
      </c>
      <c r="R69" s="13" t="str">
        <f>_xlfn.XLOOKUP(Sales_fact[[#This Row],[Product_ID]],Product_Dim!A:A,Product_Dim!C:C,"OTHERS")</f>
        <v>Beauty</v>
      </c>
    </row>
    <row r="70" spans="1:18" x14ac:dyDescent="0.3">
      <c r="A70" t="s">
        <v>1894</v>
      </c>
      <c r="B70" s="2">
        <v>45270</v>
      </c>
      <c r="C70" t="s">
        <v>1163</v>
      </c>
      <c r="D70" t="s">
        <v>1692</v>
      </c>
      <c r="E70" t="str">
        <f ca="1">TRIM(Sales_fact[[#This Row],[Store_ID]])</f>
        <v>STORE10</v>
      </c>
      <c r="F70">
        <v>4</v>
      </c>
      <c r="G70">
        <f>IF(ISBLANK(F70),MODE($F$2:$F$2001),F70)</f>
        <v>4</v>
      </c>
      <c r="H70">
        <v>62.48</v>
      </c>
      <c r="I70">
        <f>IF(ISBLANK(H70),AVERAGE($H$2:$H$2001),H70)</f>
        <v>62.48</v>
      </c>
      <c r="J70">
        <v>0.18</v>
      </c>
      <c r="K70">
        <f>IF(ISBLANK(J70),MODE($J$2:$J$2001),J70)</f>
        <v>0.18</v>
      </c>
      <c r="L70" t="s">
        <v>1824</v>
      </c>
      <c r="M70">
        <v>204.93440000000001</v>
      </c>
      <c r="N70">
        <f t="shared" si="1"/>
        <v>204.93440000000001</v>
      </c>
      <c r="O70" t="str">
        <f>_xlfn.XLOOKUP(Sales_fact[[#This Row],[Customer_ID]],'Customer_Dim'!A:A,'Customer_Dim'!K:K,"Not Found")</f>
        <v>Bronze</v>
      </c>
      <c r="P70">
        <f>_xlfn.XLOOKUP(Sales_fact[[#This Row],[Customer_ID]],'Customer_Dim'!A:A, 'Customer_Dim'!E:E, "Not Found")</f>
        <v>28</v>
      </c>
      <c r="Q70" t="str">
        <f>VLOOKUP(Sales_fact[[#This Row],[Customer_ID]], 'Customer_Dim'!A:F, 6, FALSE)</f>
        <v>Male</v>
      </c>
      <c r="R70" s="13" t="str">
        <f>_xlfn.XLOOKUP(Sales_fact[[#This Row],[Product_ID]],Product_Dim!A:A,Product_Dim!C:C,"OTHERS")</f>
        <v>Sports</v>
      </c>
    </row>
    <row r="71" spans="1:18" x14ac:dyDescent="0.3">
      <c r="A71" t="s">
        <v>1895</v>
      </c>
      <c r="B71" s="2">
        <v>45897</v>
      </c>
      <c r="C71" t="s">
        <v>1313</v>
      </c>
      <c r="D71" t="s">
        <v>1574</v>
      </c>
      <c r="E71" t="str">
        <f ca="1">TRIM(Sales_fact[[#This Row],[Store_ID]])</f>
        <v>STORE16</v>
      </c>
      <c r="F71">
        <v>4</v>
      </c>
      <c r="G71">
        <f>IF(ISBLANK(F71),MODE($F$2:$F$2001),F71)</f>
        <v>4</v>
      </c>
      <c r="H71">
        <v>561.24</v>
      </c>
      <c r="I71">
        <f>IF(ISBLANK(H71),AVERAGE($H$2:$H$2001),H71)</f>
        <v>561.24</v>
      </c>
      <c r="J71">
        <v>0.24</v>
      </c>
      <c r="K71">
        <f>IF(ISBLANK(J71),MODE($J$2:$J$2001),J71)</f>
        <v>0.24</v>
      </c>
      <c r="L71" t="s">
        <v>1824</v>
      </c>
      <c r="M71">
        <v>1706.1695999999999</v>
      </c>
      <c r="N71">
        <f t="shared" si="1"/>
        <v>1706.1695999999999</v>
      </c>
      <c r="O71" t="str">
        <f>_xlfn.XLOOKUP(Sales_fact[[#This Row],[Customer_ID]],'Customer_Dim'!A:A,'Customer_Dim'!K:K,"Not Found")</f>
        <v>Silver</v>
      </c>
      <c r="P71">
        <f>_xlfn.XLOOKUP(Sales_fact[[#This Row],[Customer_ID]],'Customer_Dim'!A:A, 'Customer_Dim'!E:E, "Not Found")</f>
        <v>35</v>
      </c>
      <c r="Q71" t="str">
        <f>VLOOKUP(Sales_fact[[#This Row],[Customer_ID]], 'Customer_Dim'!A:F, 6, FALSE)</f>
        <v>Male</v>
      </c>
      <c r="R71" s="13" t="str">
        <f>_xlfn.XLOOKUP(Sales_fact[[#This Row],[Product_ID]],Product_Dim!A:A,Product_Dim!C:C,"OTHERS")</f>
        <v>Electronics</v>
      </c>
    </row>
    <row r="72" spans="1:18" x14ac:dyDescent="0.3">
      <c r="A72" t="s">
        <v>1896</v>
      </c>
      <c r="B72" s="2">
        <v>45849</v>
      </c>
      <c r="C72" t="s">
        <v>218</v>
      </c>
      <c r="D72" t="s">
        <v>1668</v>
      </c>
      <c r="E72" t="str">
        <f ca="1">TRIM(Sales_fact[[#This Row],[Store_ID]])</f>
        <v>STORE5</v>
      </c>
      <c r="F72">
        <v>3</v>
      </c>
      <c r="G72">
        <f>IF(ISBLANK(F72),MODE($F$2:$F$2001),F72)</f>
        <v>3</v>
      </c>
      <c r="H72">
        <v>92.24</v>
      </c>
      <c r="I72">
        <f>IF(ISBLANK(H72),AVERAGE($H$2:$H$2001),H72)</f>
        <v>92.24</v>
      </c>
      <c r="J72">
        <v>0.28000000000000003</v>
      </c>
      <c r="K72">
        <f>IF(ISBLANK(J72),MODE($J$2:$J$2001),J72)</f>
        <v>0.28000000000000003</v>
      </c>
      <c r="L72" t="s">
        <v>1829</v>
      </c>
      <c r="N72">
        <f t="shared" si="1"/>
        <v>199.23839999999998</v>
      </c>
      <c r="O72" t="str">
        <f>_xlfn.XLOOKUP(Sales_fact[[#This Row],[Customer_ID]],'Customer_Dim'!A:A,'Customer_Dim'!K:K,"Not Found")</f>
        <v>Platinum</v>
      </c>
      <c r="P72">
        <f>_xlfn.XLOOKUP(Sales_fact[[#This Row],[Customer_ID]],'Customer_Dim'!A:A, 'Customer_Dim'!E:E, "Not Found")</f>
        <v>51</v>
      </c>
      <c r="Q72" t="str">
        <f>VLOOKUP(Sales_fact[[#This Row],[Customer_ID]], 'Customer_Dim'!A:F, 6, FALSE)</f>
        <v>Male</v>
      </c>
      <c r="R72" s="13" t="str">
        <f>_xlfn.XLOOKUP(Sales_fact[[#This Row],[Product_ID]],Product_Dim!A:A,Product_Dim!C:C,"OTHERS")</f>
        <v>Beauty</v>
      </c>
    </row>
    <row r="73" spans="1:18" x14ac:dyDescent="0.3">
      <c r="A73" t="s">
        <v>1897</v>
      </c>
      <c r="B73" s="2">
        <v>45889</v>
      </c>
      <c r="C73" t="s">
        <v>559</v>
      </c>
      <c r="D73" t="s">
        <v>1692</v>
      </c>
      <c r="E73" t="str">
        <f ca="1">TRIM(Sales_fact[[#This Row],[Store_ID]])</f>
        <v>STORE1</v>
      </c>
      <c r="F73">
        <v>2</v>
      </c>
      <c r="G73">
        <f>IF(ISBLANK(F73),MODE($F$2:$F$2001),F73)</f>
        <v>2</v>
      </c>
      <c r="H73">
        <v>668.3</v>
      </c>
      <c r="I73">
        <f>IF(ISBLANK(H73),AVERAGE($H$2:$H$2001),H73)</f>
        <v>668.3</v>
      </c>
      <c r="J73">
        <v>7.0000000000000007E-2</v>
      </c>
      <c r="K73">
        <f>IF(ISBLANK(J73),MODE($J$2:$J$2001),J73)</f>
        <v>7.0000000000000007E-2</v>
      </c>
      <c r="L73" t="s">
        <v>1824</v>
      </c>
      <c r="M73">
        <v>1243.038</v>
      </c>
      <c r="N73">
        <f t="shared" si="1"/>
        <v>1243.0379999999998</v>
      </c>
      <c r="O73" t="str">
        <f>_xlfn.XLOOKUP(Sales_fact[[#This Row],[Customer_ID]],'Customer_Dim'!A:A,'Customer_Dim'!K:K,"Not Found")</f>
        <v>Platinum</v>
      </c>
      <c r="P73">
        <f>_xlfn.XLOOKUP(Sales_fact[[#This Row],[Customer_ID]],'Customer_Dim'!A:A, 'Customer_Dim'!E:E, "Not Found")</f>
        <v>36</v>
      </c>
      <c r="Q73" t="str">
        <f>VLOOKUP(Sales_fact[[#This Row],[Customer_ID]], 'Customer_Dim'!A:F, 6, FALSE)</f>
        <v>Female</v>
      </c>
      <c r="R73" s="13" t="str">
        <f>_xlfn.XLOOKUP(Sales_fact[[#This Row],[Product_ID]],Product_Dim!A:A,Product_Dim!C:C,"OTHERS")</f>
        <v>Sports</v>
      </c>
    </row>
    <row r="74" spans="1:18" x14ac:dyDescent="0.3">
      <c r="A74" t="s">
        <v>1898</v>
      </c>
      <c r="B74" s="2">
        <v>45533</v>
      </c>
      <c r="C74" t="s">
        <v>1272</v>
      </c>
      <c r="D74" t="s">
        <v>1624</v>
      </c>
      <c r="E74" t="str">
        <f ca="1">TRIM(Sales_fact[[#This Row],[Store_ID]])</f>
        <v>STORE5</v>
      </c>
      <c r="F74">
        <v>1</v>
      </c>
      <c r="G74">
        <f>IF(ISBLANK(F74),MODE($F$2:$F$2001),F74)</f>
        <v>1</v>
      </c>
      <c r="H74">
        <v>553.82000000000005</v>
      </c>
      <c r="I74">
        <f>IF(ISBLANK(H74),AVERAGE($H$2:$H$2001),H74)</f>
        <v>553.82000000000005</v>
      </c>
      <c r="J74">
        <v>0.09</v>
      </c>
      <c r="K74">
        <f>IF(ISBLANK(J74),MODE($J$2:$J$2001),J74)</f>
        <v>0.09</v>
      </c>
      <c r="L74" t="s">
        <v>1824</v>
      </c>
      <c r="M74">
        <v>503.97620000000012</v>
      </c>
      <c r="N74">
        <f t="shared" si="1"/>
        <v>503.97620000000006</v>
      </c>
      <c r="O74" t="str">
        <f>_xlfn.XLOOKUP(Sales_fact[[#This Row],[Customer_ID]],'Customer_Dim'!A:A,'Customer_Dim'!K:K,"Not Found")</f>
        <v>Gold</v>
      </c>
      <c r="P74">
        <f>_xlfn.XLOOKUP(Sales_fact[[#This Row],[Customer_ID]],'Customer_Dim'!A:A, 'Customer_Dim'!E:E, "Not Found")</f>
        <v>55</v>
      </c>
      <c r="Q74" t="str">
        <f>VLOOKUP(Sales_fact[[#This Row],[Customer_ID]], 'Customer_Dim'!A:F, 6, FALSE)</f>
        <v>Male</v>
      </c>
      <c r="R74" s="13" t="str">
        <f>_xlfn.XLOOKUP(Sales_fact[[#This Row],[Product_ID]],Product_Dim!A:A,Product_Dim!C:C,"OTHERS")</f>
        <v>Sports</v>
      </c>
    </row>
    <row r="75" spans="1:18" x14ac:dyDescent="0.3">
      <c r="A75" t="s">
        <v>1899</v>
      </c>
      <c r="B75" s="2">
        <v>45626</v>
      </c>
      <c r="C75" t="s">
        <v>147</v>
      </c>
      <c r="D75" t="s">
        <v>1638</v>
      </c>
      <c r="E75" t="str">
        <f ca="1">TRIM(Sales_fact[[#This Row],[Store_ID]])</f>
        <v>STORE11</v>
      </c>
      <c r="F75">
        <v>2</v>
      </c>
      <c r="G75">
        <f>IF(ISBLANK(F75),MODE($F$2:$F$2001),F75)</f>
        <v>2</v>
      </c>
      <c r="H75">
        <v>556.42999999999995</v>
      </c>
      <c r="I75">
        <f>IF(ISBLANK(H75),AVERAGE($H$2:$H$2001),H75)</f>
        <v>556.42999999999995</v>
      </c>
      <c r="J75">
        <v>0.13</v>
      </c>
      <c r="K75">
        <f>IF(ISBLANK(J75),MODE($J$2:$J$2001),J75)</f>
        <v>0.13</v>
      </c>
      <c r="L75" t="s">
        <v>1824</v>
      </c>
      <c r="M75">
        <v>968.18819999999994</v>
      </c>
      <c r="N75">
        <f t="shared" si="1"/>
        <v>968.18819999999994</v>
      </c>
      <c r="O75" t="str">
        <f>_xlfn.XLOOKUP(Sales_fact[[#This Row],[Customer_ID]],'Customer_Dim'!A:A,'Customer_Dim'!K:K,"Not Found")</f>
        <v>UNKNOWN</v>
      </c>
      <c r="P75">
        <f>_xlfn.XLOOKUP(Sales_fact[[#This Row],[Customer_ID]],'Customer_Dim'!A:A, 'Customer_Dim'!E:E, "Not Found")</f>
        <v>27</v>
      </c>
      <c r="Q75" t="str">
        <f>VLOOKUP(Sales_fact[[#This Row],[Customer_ID]], 'Customer_Dim'!A:F, 6, FALSE)</f>
        <v>Female</v>
      </c>
      <c r="R75" s="13" t="str">
        <f>_xlfn.XLOOKUP(Sales_fact[[#This Row],[Product_ID]],Product_Dim!A:A,Product_Dim!C:C,"OTHERS")</f>
        <v>Sports</v>
      </c>
    </row>
    <row r="76" spans="1:18" x14ac:dyDescent="0.3">
      <c r="A76" t="s">
        <v>1900</v>
      </c>
      <c r="B76" s="2">
        <v>45942</v>
      </c>
      <c r="C76" t="s">
        <v>869</v>
      </c>
      <c r="D76" t="s">
        <v>1588</v>
      </c>
      <c r="E76" t="str">
        <f ca="1">TRIM(Sales_fact[[#This Row],[Store_ID]])</f>
        <v>STORE8</v>
      </c>
      <c r="F76">
        <v>1</v>
      </c>
      <c r="G76">
        <f>IF(ISBLANK(F76),MODE($F$2:$F$2001),F76)</f>
        <v>1</v>
      </c>
      <c r="H76">
        <v>184.98</v>
      </c>
      <c r="I76">
        <f>IF(ISBLANK(H76),AVERAGE($H$2:$H$2001),H76)</f>
        <v>184.98</v>
      </c>
      <c r="J76">
        <v>0.1</v>
      </c>
      <c r="K76">
        <f>IF(ISBLANK(J76),MODE($J$2:$J$2001),J76)</f>
        <v>0.1</v>
      </c>
      <c r="L76" t="s">
        <v>1829</v>
      </c>
      <c r="M76">
        <v>166.482</v>
      </c>
      <c r="N76">
        <f t="shared" si="1"/>
        <v>166.482</v>
      </c>
      <c r="O76" t="str">
        <f>_xlfn.XLOOKUP(Sales_fact[[#This Row],[Customer_ID]],'Customer_Dim'!A:A,'Customer_Dim'!K:K,"Not Found")</f>
        <v>Bronze</v>
      </c>
      <c r="P76">
        <f>_xlfn.XLOOKUP(Sales_fact[[#This Row],[Customer_ID]],'Customer_Dim'!A:A, 'Customer_Dim'!E:E, "Not Found")</f>
        <v>23</v>
      </c>
      <c r="Q76" t="str">
        <f>VLOOKUP(Sales_fact[[#This Row],[Customer_ID]], 'Customer_Dim'!A:F, 6, FALSE)</f>
        <v>Male</v>
      </c>
      <c r="R76" s="13" t="str">
        <f>_xlfn.XLOOKUP(Sales_fact[[#This Row],[Product_ID]],Product_Dim!A:A,Product_Dim!C:C,"OTHERS")</f>
        <v>Sports</v>
      </c>
    </row>
    <row r="77" spans="1:18" x14ac:dyDescent="0.3">
      <c r="A77" t="s">
        <v>1901</v>
      </c>
      <c r="B77" s="2">
        <v>45500</v>
      </c>
      <c r="C77" t="s">
        <v>141</v>
      </c>
      <c r="D77" t="s">
        <v>1742</v>
      </c>
      <c r="E77" t="str">
        <f ca="1">TRIM(Sales_fact[[#This Row],[Store_ID]])</f>
        <v>STORE12</v>
      </c>
      <c r="F77">
        <v>4</v>
      </c>
      <c r="G77">
        <f>IF(ISBLANK(F77),MODE($F$2:$F$2001),F77)</f>
        <v>4</v>
      </c>
      <c r="H77">
        <v>700.18</v>
      </c>
      <c r="I77">
        <f>IF(ISBLANK(H77),AVERAGE($H$2:$H$2001),H77)</f>
        <v>700.18</v>
      </c>
      <c r="J77">
        <v>0.23</v>
      </c>
      <c r="K77">
        <f>IF(ISBLANK(J77),MODE($J$2:$J$2001),J77)</f>
        <v>0.23</v>
      </c>
      <c r="L77" t="s">
        <v>1824</v>
      </c>
      <c r="M77">
        <v>2156.5544</v>
      </c>
      <c r="N77">
        <f t="shared" si="1"/>
        <v>2156.5544</v>
      </c>
      <c r="O77" t="str">
        <f>_xlfn.XLOOKUP(Sales_fact[[#This Row],[Customer_ID]],'Customer_Dim'!A:A,'Customer_Dim'!K:K,"Not Found")</f>
        <v>Silver</v>
      </c>
      <c r="P77">
        <f>_xlfn.XLOOKUP(Sales_fact[[#This Row],[Customer_ID]],'Customer_Dim'!A:A, 'Customer_Dim'!E:E, "Not Found")</f>
        <v>52</v>
      </c>
      <c r="Q77" t="str">
        <f>VLOOKUP(Sales_fact[[#This Row],[Customer_ID]], 'Customer_Dim'!A:F, 6, FALSE)</f>
        <v>Male</v>
      </c>
      <c r="R77" s="13" t="str">
        <f>_xlfn.XLOOKUP(Sales_fact[[#This Row],[Product_ID]],Product_Dim!A:A,Product_Dim!C:C,"OTHERS")</f>
        <v>Sports</v>
      </c>
    </row>
    <row r="78" spans="1:18" x14ac:dyDescent="0.3">
      <c r="A78" t="s">
        <v>1902</v>
      </c>
      <c r="B78" s="2">
        <v>45285</v>
      </c>
      <c r="C78" t="s">
        <v>85</v>
      </c>
      <c r="D78" t="s">
        <v>1700</v>
      </c>
      <c r="E78" t="str">
        <f ca="1">TRIM(Sales_fact[[#This Row],[Store_ID]])</f>
        <v>STORE10</v>
      </c>
      <c r="F78">
        <v>2</v>
      </c>
      <c r="G78">
        <f>IF(ISBLANK(F78),MODE($F$2:$F$2001),F78)</f>
        <v>2</v>
      </c>
      <c r="H78">
        <v>686.31</v>
      </c>
      <c r="I78">
        <f>IF(ISBLANK(H78),AVERAGE($H$2:$H$2001),H78)</f>
        <v>686.31</v>
      </c>
      <c r="J78">
        <v>0.25</v>
      </c>
      <c r="K78">
        <f>IF(ISBLANK(J78),MODE($J$2:$J$2001),J78)</f>
        <v>0.25</v>
      </c>
      <c r="L78" t="s">
        <v>1824</v>
      </c>
      <c r="M78">
        <v>1029.4649999999999</v>
      </c>
      <c r="N78">
        <f t="shared" si="1"/>
        <v>1029.4649999999999</v>
      </c>
      <c r="O78" t="str">
        <f>_xlfn.XLOOKUP(Sales_fact[[#This Row],[Customer_ID]],'Customer_Dim'!A:A,'Customer_Dim'!K:K,"Not Found")</f>
        <v>Platinum</v>
      </c>
      <c r="P78">
        <f>_xlfn.XLOOKUP(Sales_fact[[#This Row],[Customer_ID]],'Customer_Dim'!A:A, 'Customer_Dim'!E:E, "Not Found")</f>
        <v>46</v>
      </c>
      <c r="Q78" t="str">
        <f>VLOOKUP(Sales_fact[[#This Row],[Customer_ID]], 'Customer_Dim'!A:F, 6, FALSE)</f>
        <v>Female</v>
      </c>
      <c r="R78" s="13" t="str">
        <f>_xlfn.XLOOKUP(Sales_fact[[#This Row],[Product_ID]],Product_Dim!A:A,Product_Dim!C:C,"OTHERS")</f>
        <v>Electronics</v>
      </c>
    </row>
    <row r="79" spans="1:18" x14ac:dyDescent="0.3">
      <c r="A79" t="s">
        <v>1903</v>
      </c>
      <c r="B79" s="2">
        <v>45800</v>
      </c>
      <c r="C79" t="s">
        <v>40</v>
      </c>
      <c r="D79" t="s">
        <v>1682</v>
      </c>
      <c r="E79" t="str">
        <f ca="1">TRIM(Sales_fact[[#This Row],[Store_ID]])</f>
        <v>STORE15</v>
      </c>
      <c r="F79">
        <v>1</v>
      </c>
      <c r="G79">
        <f>IF(ISBLANK(F79),MODE($F$2:$F$2001),F79)</f>
        <v>1</v>
      </c>
      <c r="H79">
        <v>687.82</v>
      </c>
      <c r="I79">
        <f>IF(ISBLANK(H79),AVERAGE($H$2:$H$2001),H79)</f>
        <v>687.82</v>
      </c>
      <c r="J79">
        <v>0.27</v>
      </c>
      <c r="K79">
        <f>IF(ISBLANK(J79),MODE($J$2:$J$2001),J79)</f>
        <v>0.27</v>
      </c>
      <c r="L79" t="s">
        <v>1829</v>
      </c>
      <c r="M79">
        <v>502.10860000000002</v>
      </c>
      <c r="N79">
        <f t="shared" si="1"/>
        <v>502.10860000000002</v>
      </c>
      <c r="O79" t="str">
        <f>_xlfn.XLOOKUP(Sales_fact[[#This Row],[Customer_ID]],'Customer_Dim'!A:A,'Customer_Dim'!K:K,"Not Found")</f>
        <v>Bronze</v>
      </c>
      <c r="P79">
        <f>_xlfn.XLOOKUP(Sales_fact[[#This Row],[Customer_ID]],'Customer_Dim'!A:A, 'Customer_Dim'!E:E, "Not Found")</f>
        <v>29</v>
      </c>
      <c r="Q79" t="str">
        <f>VLOOKUP(Sales_fact[[#This Row],[Customer_ID]], 'Customer_Dim'!A:F, 6, FALSE)</f>
        <v>Female</v>
      </c>
      <c r="R79" s="13" t="str">
        <f>_xlfn.XLOOKUP(Sales_fact[[#This Row],[Product_ID]],Product_Dim!A:A,Product_Dim!C:C,"OTHERS")</f>
        <v>Electronics</v>
      </c>
    </row>
    <row r="80" spans="1:18" x14ac:dyDescent="0.3">
      <c r="A80" t="s">
        <v>1904</v>
      </c>
      <c r="B80" s="2">
        <v>45609</v>
      </c>
      <c r="C80" t="s">
        <v>716</v>
      </c>
      <c r="D80" t="s">
        <v>1714</v>
      </c>
      <c r="E80" t="str">
        <f ca="1">TRIM(Sales_fact[[#This Row],[Store_ID]])</f>
        <v>STORE8</v>
      </c>
      <c r="F80">
        <v>2</v>
      </c>
      <c r="G80">
        <f>IF(ISBLANK(F80),MODE($F$2:$F$2001),F80)</f>
        <v>2</v>
      </c>
      <c r="H80">
        <v>900.55</v>
      </c>
      <c r="I80">
        <f>IF(ISBLANK(H80),AVERAGE($H$2:$H$2001),H80)</f>
        <v>900.55</v>
      </c>
      <c r="J80">
        <v>0.16</v>
      </c>
      <c r="K80">
        <f>IF(ISBLANK(J80),MODE($J$2:$J$2001),J80)</f>
        <v>0.16</v>
      </c>
      <c r="L80" t="s">
        <v>1824</v>
      </c>
      <c r="M80">
        <v>1512.924</v>
      </c>
      <c r="N80">
        <f t="shared" si="1"/>
        <v>1512.924</v>
      </c>
      <c r="O80" t="str">
        <f>_xlfn.XLOOKUP(Sales_fact[[#This Row],[Customer_ID]],'Customer_Dim'!A:A,'Customer_Dim'!K:K,"Not Found")</f>
        <v>Platinum</v>
      </c>
      <c r="P80">
        <f>_xlfn.XLOOKUP(Sales_fact[[#This Row],[Customer_ID]],'Customer_Dim'!A:A, 'Customer_Dim'!E:E, "Not Found")</f>
        <v>38</v>
      </c>
      <c r="Q80" t="str">
        <f>VLOOKUP(Sales_fact[[#This Row],[Customer_ID]], 'Customer_Dim'!A:F, 6, FALSE)</f>
        <v>Male</v>
      </c>
      <c r="R80" s="13" t="str">
        <f>_xlfn.XLOOKUP(Sales_fact[[#This Row],[Product_ID]],Product_Dim!A:A,Product_Dim!C:C,"OTHERS")</f>
        <v>Beauty</v>
      </c>
    </row>
    <row r="81" spans="1:18" x14ac:dyDescent="0.3">
      <c r="A81" t="s">
        <v>1905</v>
      </c>
      <c r="B81" s="2">
        <v>45268</v>
      </c>
      <c r="C81" t="s">
        <v>402</v>
      </c>
      <c r="D81" t="s">
        <v>1590</v>
      </c>
      <c r="E81" t="str">
        <f ca="1">TRIM(Sales_fact[[#This Row],[Store_ID]])</f>
        <v>STORE2</v>
      </c>
      <c r="F81">
        <v>1</v>
      </c>
      <c r="G81">
        <f>IF(ISBLANK(F81),MODE($F$2:$F$2001),F81)</f>
        <v>1</v>
      </c>
      <c r="H81">
        <v>341.17</v>
      </c>
      <c r="I81">
        <f>IF(ISBLANK(H81),AVERAGE($H$2:$H$2001),H81)</f>
        <v>341.17</v>
      </c>
      <c r="J81">
        <v>0.15</v>
      </c>
      <c r="K81">
        <f>IF(ISBLANK(J81),MODE($J$2:$J$2001),J81)</f>
        <v>0.15</v>
      </c>
      <c r="L81" t="s">
        <v>1824</v>
      </c>
      <c r="M81">
        <v>289.99450000000002</v>
      </c>
      <c r="N81">
        <f t="shared" si="1"/>
        <v>289.99450000000002</v>
      </c>
      <c r="O81" t="str">
        <f>_xlfn.XLOOKUP(Sales_fact[[#This Row],[Customer_ID]],'Customer_Dim'!A:A,'Customer_Dim'!K:K,"Not Found")</f>
        <v>Platinum</v>
      </c>
      <c r="P81">
        <f>_xlfn.XLOOKUP(Sales_fact[[#This Row],[Customer_ID]],'Customer_Dim'!A:A, 'Customer_Dim'!E:E, "Not Found")</f>
        <v>53</v>
      </c>
      <c r="Q81" t="str">
        <f>VLOOKUP(Sales_fact[[#This Row],[Customer_ID]], 'Customer_Dim'!A:F, 6, FALSE)</f>
        <v>Female</v>
      </c>
      <c r="R81" s="13" t="str">
        <f>_xlfn.XLOOKUP(Sales_fact[[#This Row],[Product_ID]],Product_Dim!A:A,Product_Dim!C:C,"OTHERS")</f>
        <v>Home</v>
      </c>
    </row>
    <row r="82" spans="1:18" x14ac:dyDescent="0.3">
      <c r="A82" t="s">
        <v>1906</v>
      </c>
      <c r="B82" s="2">
        <v>45885</v>
      </c>
      <c r="C82" t="s">
        <v>582</v>
      </c>
      <c r="D82" t="s">
        <v>1652</v>
      </c>
      <c r="E82" t="str">
        <f ca="1">TRIM(Sales_fact[[#This Row],[Store_ID]])</f>
        <v>STORE8</v>
      </c>
      <c r="F82">
        <v>1</v>
      </c>
      <c r="G82">
        <f>IF(ISBLANK(F82),MODE($F$2:$F$2001),F82)</f>
        <v>1</v>
      </c>
      <c r="H82">
        <v>442.27</v>
      </c>
      <c r="I82">
        <f>IF(ISBLANK(H82),AVERAGE($H$2:$H$2001),H82)</f>
        <v>442.27</v>
      </c>
      <c r="J82">
        <v>0.06</v>
      </c>
      <c r="K82">
        <f>IF(ISBLANK(J82),MODE($J$2:$J$2001),J82)</f>
        <v>0.06</v>
      </c>
      <c r="L82" t="s">
        <v>1829</v>
      </c>
      <c r="M82">
        <v>415.73379999999997</v>
      </c>
      <c r="N82">
        <f t="shared" si="1"/>
        <v>415.73379999999997</v>
      </c>
      <c r="O82" t="str">
        <f>_xlfn.XLOOKUP(Sales_fact[[#This Row],[Customer_ID]],'Customer_Dim'!A:A,'Customer_Dim'!K:K,"Not Found")</f>
        <v>Silver</v>
      </c>
      <c r="P82">
        <f>_xlfn.XLOOKUP(Sales_fact[[#This Row],[Customer_ID]],'Customer_Dim'!A:A, 'Customer_Dim'!E:E, "Not Found")</f>
        <v>48</v>
      </c>
      <c r="Q82" t="str">
        <f>VLOOKUP(Sales_fact[[#This Row],[Customer_ID]], 'Customer_Dim'!A:F, 6, FALSE)</f>
        <v>Male</v>
      </c>
      <c r="R82" s="13" t="str">
        <f>_xlfn.XLOOKUP(Sales_fact[[#This Row],[Product_ID]],Product_Dim!A:A,Product_Dim!C:C,"OTHERS")</f>
        <v>Sports</v>
      </c>
    </row>
    <row r="83" spans="1:18" x14ac:dyDescent="0.3">
      <c r="A83" t="s">
        <v>1907</v>
      </c>
      <c r="B83" s="2">
        <v>45616</v>
      </c>
      <c r="C83" t="s">
        <v>809</v>
      </c>
      <c r="D83" t="s">
        <v>1690</v>
      </c>
      <c r="E83" t="str">
        <f ca="1">TRIM(Sales_fact[[#This Row],[Store_ID]])</f>
        <v>STORE9</v>
      </c>
      <c r="F83">
        <v>1</v>
      </c>
      <c r="G83">
        <f>IF(ISBLANK(F83),MODE($F$2:$F$2001),F83)</f>
        <v>1</v>
      </c>
      <c r="H83">
        <v>363.73</v>
      </c>
      <c r="I83">
        <f>IF(ISBLANK(H83),AVERAGE($H$2:$H$2001),H83)</f>
        <v>363.73</v>
      </c>
      <c r="J83">
        <v>0.25</v>
      </c>
      <c r="K83">
        <f>IF(ISBLANK(J83),MODE($J$2:$J$2001),J83)</f>
        <v>0.25</v>
      </c>
      <c r="L83" t="s">
        <v>1826</v>
      </c>
      <c r="M83">
        <v>272.79750000000001</v>
      </c>
      <c r="N83">
        <f t="shared" si="1"/>
        <v>272.79750000000001</v>
      </c>
      <c r="O83" t="str">
        <f>_xlfn.XLOOKUP(Sales_fact[[#This Row],[Customer_ID]],'Customer_Dim'!A:A,'Customer_Dim'!K:K,"Not Found")</f>
        <v>Bronze</v>
      </c>
      <c r="P83">
        <f>_xlfn.XLOOKUP(Sales_fact[[#This Row],[Customer_ID]],'Customer_Dim'!A:A, 'Customer_Dim'!E:E, "Not Found")</f>
        <v>32</v>
      </c>
      <c r="Q83" t="str">
        <f>VLOOKUP(Sales_fact[[#This Row],[Customer_ID]], 'Customer_Dim'!A:F, 6, FALSE)</f>
        <v>Male</v>
      </c>
      <c r="R83" s="13" t="str">
        <f>_xlfn.XLOOKUP(Sales_fact[[#This Row],[Product_ID]],Product_Dim!A:A,Product_Dim!C:C,"OTHERS")</f>
        <v>Beauty</v>
      </c>
    </row>
    <row r="84" spans="1:18" x14ac:dyDescent="0.3">
      <c r="A84" t="s">
        <v>1908</v>
      </c>
      <c r="B84" s="2">
        <v>45518</v>
      </c>
      <c r="C84" t="s">
        <v>1181</v>
      </c>
      <c r="D84" t="s">
        <v>1730</v>
      </c>
      <c r="E84" t="str">
        <f ca="1">TRIM(Sales_fact[[#This Row],[Store_ID]])</f>
        <v>STORE17</v>
      </c>
      <c r="F84">
        <v>2</v>
      </c>
      <c r="G84">
        <f>IF(ISBLANK(F84),MODE($F$2:$F$2001),F84)</f>
        <v>2</v>
      </c>
      <c r="H84">
        <v>601.33000000000004</v>
      </c>
      <c r="I84">
        <f>IF(ISBLANK(H84),AVERAGE($H$2:$H$2001),H84)</f>
        <v>601.33000000000004</v>
      </c>
      <c r="J84">
        <v>0.16</v>
      </c>
      <c r="K84">
        <f>IF(ISBLANK(J84),MODE($J$2:$J$2001),J84)</f>
        <v>0.16</v>
      </c>
      <c r="L84" t="s">
        <v>1826</v>
      </c>
      <c r="M84">
        <v>1010.2344000000001</v>
      </c>
      <c r="N84">
        <f t="shared" si="1"/>
        <v>1010.2344000000001</v>
      </c>
      <c r="O84" t="str">
        <f>_xlfn.XLOOKUP(Sales_fact[[#This Row],[Customer_ID]],'Customer_Dim'!A:A,'Customer_Dim'!K:K,"Not Found")</f>
        <v>Bronze</v>
      </c>
      <c r="P84">
        <f>_xlfn.XLOOKUP(Sales_fact[[#This Row],[Customer_ID]],'Customer_Dim'!A:A, 'Customer_Dim'!E:E, "Not Found")</f>
        <v>44</v>
      </c>
      <c r="Q84" t="str">
        <f>VLOOKUP(Sales_fact[[#This Row],[Customer_ID]], 'Customer_Dim'!A:F, 6, FALSE)</f>
        <v>Female</v>
      </c>
      <c r="R84" s="13" t="str">
        <f>_xlfn.XLOOKUP(Sales_fact[[#This Row],[Product_ID]],Product_Dim!A:A,Product_Dim!C:C,"OTHERS")</f>
        <v>Clothing</v>
      </c>
    </row>
    <row r="85" spans="1:18" x14ac:dyDescent="0.3">
      <c r="A85" t="s">
        <v>1909</v>
      </c>
      <c r="B85" s="2">
        <v>45427</v>
      </c>
      <c r="C85" t="s">
        <v>1254</v>
      </c>
      <c r="D85" t="s">
        <v>1582</v>
      </c>
      <c r="E85" t="str">
        <f ca="1">TRIM(Sales_fact[[#This Row],[Store_ID]])</f>
        <v>STORE18</v>
      </c>
      <c r="F85">
        <v>4</v>
      </c>
      <c r="G85">
        <f>IF(ISBLANK(F85),MODE($F$2:$F$2001),F85)</f>
        <v>4</v>
      </c>
      <c r="H85">
        <v>34.39</v>
      </c>
      <c r="I85">
        <f>IF(ISBLANK(H85),AVERAGE($H$2:$H$2001),H85)</f>
        <v>34.39</v>
      </c>
      <c r="J85">
        <v>0.03</v>
      </c>
      <c r="K85">
        <f>IF(ISBLANK(J85),MODE($J$2:$J$2001),J85)</f>
        <v>0.03</v>
      </c>
      <c r="L85" t="s">
        <v>1826</v>
      </c>
      <c r="M85">
        <v>133.4332</v>
      </c>
      <c r="N85">
        <f t="shared" si="1"/>
        <v>133.4332</v>
      </c>
      <c r="O85" t="str">
        <f>_xlfn.XLOOKUP(Sales_fact[[#This Row],[Customer_ID]],'Customer_Dim'!A:A,'Customer_Dim'!K:K,"Not Found")</f>
        <v>Bronze</v>
      </c>
      <c r="P85">
        <f>_xlfn.XLOOKUP(Sales_fact[[#This Row],[Customer_ID]],'Customer_Dim'!A:A, 'Customer_Dim'!E:E, "Not Found")</f>
        <v>34</v>
      </c>
      <c r="Q85" t="str">
        <f>VLOOKUP(Sales_fact[[#This Row],[Customer_ID]], 'Customer_Dim'!A:F, 6, FALSE)</f>
        <v>Male</v>
      </c>
      <c r="R85" s="13" t="str">
        <f>_xlfn.XLOOKUP(Sales_fact[[#This Row],[Product_ID]],Product_Dim!A:A,Product_Dim!C:C,"OTHERS")</f>
        <v>Sports</v>
      </c>
    </row>
    <row r="86" spans="1:18" x14ac:dyDescent="0.3">
      <c r="A86" t="s">
        <v>1910</v>
      </c>
      <c r="B86" s="2">
        <v>45268</v>
      </c>
      <c r="C86" t="s">
        <v>1313</v>
      </c>
      <c r="D86" t="s">
        <v>1640</v>
      </c>
      <c r="E86" t="str">
        <f ca="1">TRIM(Sales_fact[[#This Row],[Store_ID]])</f>
        <v>STORE17</v>
      </c>
      <c r="F86">
        <v>1</v>
      </c>
      <c r="G86">
        <f>IF(ISBLANK(F86),MODE($F$2:$F$2001),F86)</f>
        <v>1</v>
      </c>
      <c r="H86">
        <v>773.57</v>
      </c>
      <c r="I86">
        <f>IF(ISBLANK(H86),AVERAGE($H$2:$H$2001),H86)</f>
        <v>773.57</v>
      </c>
      <c r="J86">
        <v>0.05</v>
      </c>
      <c r="K86">
        <f>IF(ISBLANK(J86),MODE($J$2:$J$2001),J86)</f>
        <v>0.05</v>
      </c>
      <c r="L86" t="s">
        <v>1829</v>
      </c>
      <c r="N86">
        <f t="shared" si="1"/>
        <v>734.89150000000006</v>
      </c>
      <c r="O86" t="str">
        <f>_xlfn.XLOOKUP(Sales_fact[[#This Row],[Customer_ID]],'Customer_Dim'!A:A,'Customer_Dim'!K:K,"Not Found")</f>
        <v>Silver</v>
      </c>
      <c r="P86">
        <f>_xlfn.XLOOKUP(Sales_fact[[#This Row],[Customer_ID]],'Customer_Dim'!A:A, 'Customer_Dim'!E:E, "Not Found")</f>
        <v>35</v>
      </c>
      <c r="Q86" t="str">
        <f>VLOOKUP(Sales_fact[[#This Row],[Customer_ID]], 'Customer_Dim'!A:F, 6, FALSE)</f>
        <v>Male</v>
      </c>
      <c r="R86" s="13" t="str">
        <f>_xlfn.XLOOKUP(Sales_fact[[#This Row],[Product_ID]],Product_Dim!A:A,Product_Dim!C:C,"OTHERS")</f>
        <v>Clothing</v>
      </c>
    </row>
    <row r="87" spans="1:18" x14ac:dyDescent="0.3">
      <c r="A87" t="s">
        <v>1911</v>
      </c>
      <c r="B87" s="2">
        <v>45282</v>
      </c>
      <c r="C87" t="s">
        <v>205</v>
      </c>
      <c r="D87" t="s">
        <v>1724</v>
      </c>
      <c r="E87" t="str">
        <f ca="1">TRIM(Sales_fact[[#This Row],[Store_ID]])</f>
        <v>STORE7</v>
      </c>
      <c r="F87">
        <v>4</v>
      </c>
      <c r="G87">
        <f>IF(ISBLANK(F87),MODE($F$2:$F$2001),F87)</f>
        <v>4</v>
      </c>
      <c r="H87">
        <v>127.1</v>
      </c>
      <c r="I87">
        <f>IF(ISBLANK(H87),AVERAGE($H$2:$H$2001),H87)</f>
        <v>127.1</v>
      </c>
      <c r="J87">
        <v>0.24</v>
      </c>
      <c r="K87">
        <f>IF(ISBLANK(J87),MODE($J$2:$J$2001),J87)</f>
        <v>0.24</v>
      </c>
      <c r="L87" t="s">
        <v>1829</v>
      </c>
      <c r="M87">
        <v>386.38400000000001</v>
      </c>
      <c r="N87">
        <f t="shared" si="1"/>
        <v>386.38400000000001</v>
      </c>
      <c r="O87" t="str">
        <f>_xlfn.XLOOKUP(Sales_fact[[#This Row],[Customer_ID]],'Customer_Dim'!A:A,'Customer_Dim'!K:K,"Not Found")</f>
        <v>Platinum</v>
      </c>
      <c r="P87">
        <f>_xlfn.XLOOKUP(Sales_fact[[#This Row],[Customer_ID]],'Customer_Dim'!A:A, 'Customer_Dim'!E:E, "Not Found")</f>
        <v>24</v>
      </c>
      <c r="Q87" t="str">
        <f>VLOOKUP(Sales_fact[[#This Row],[Customer_ID]], 'Customer_Dim'!A:F, 6, FALSE)</f>
        <v>Male</v>
      </c>
      <c r="R87" s="13" t="str">
        <f>_xlfn.XLOOKUP(Sales_fact[[#This Row],[Product_ID]],Product_Dim!A:A,Product_Dim!C:C,"OTHERS")</f>
        <v>Sports</v>
      </c>
    </row>
    <row r="88" spans="1:18" x14ac:dyDescent="0.3">
      <c r="A88" t="s">
        <v>1912</v>
      </c>
      <c r="B88" s="2">
        <v>45545</v>
      </c>
      <c r="C88" t="s">
        <v>957</v>
      </c>
      <c r="D88" t="s">
        <v>1588</v>
      </c>
      <c r="E88" t="str">
        <f ca="1">TRIM(Sales_fact[[#This Row],[Store_ID]])</f>
        <v>STORE3</v>
      </c>
      <c r="F88">
        <v>3</v>
      </c>
      <c r="G88">
        <f>IF(ISBLANK(F88),MODE($F$2:$F$2001),F88)</f>
        <v>3</v>
      </c>
      <c r="H88">
        <v>899.58</v>
      </c>
      <c r="I88">
        <f>IF(ISBLANK(H88),AVERAGE($H$2:$H$2001),H88)</f>
        <v>899.58</v>
      </c>
      <c r="J88">
        <v>0.28000000000000003</v>
      </c>
      <c r="K88">
        <f>IF(ISBLANK(J88),MODE($J$2:$J$2001),J88)</f>
        <v>0.28000000000000003</v>
      </c>
      <c r="L88" t="s">
        <v>1826</v>
      </c>
      <c r="M88">
        <v>1943.0927999999999</v>
      </c>
      <c r="N88">
        <f t="shared" si="1"/>
        <v>1943.0928000000001</v>
      </c>
      <c r="O88" t="str">
        <f>_xlfn.XLOOKUP(Sales_fact[[#This Row],[Customer_ID]],'Customer_Dim'!A:A,'Customer_Dim'!K:K,"Not Found")</f>
        <v>Platinum</v>
      </c>
      <c r="P88">
        <f>_xlfn.XLOOKUP(Sales_fact[[#This Row],[Customer_ID]],'Customer_Dim'!A:A, 'Customer_Dim'!E:E, "Not Found")</f>
        <v>23</v>
      </c>
      <c r="Q88" t="str">
        <f>VLOOKUP(Sales_fact[[#This Row],[Customer_ID]], 'Customer_Dim'!A:F, 6, FALSE)</f>
        <v>Female</v>
      </c>
      <c r="R88" s="13" t="str">
        <f>_xlfn.XLOOKUP(Sales_fact[[#This Row],[Product_ID]],Product_Dim!A:A,Product_Dim!C:C,"OTHERS")</f>
        <v>Sports</v>
      </c>
    </row>
    <row r="89" spans="1:18" x14ac:dyDescent="0.3">
      <c r="A89" t="s">
        <v>1913</v>
      </c>
      <c r="B89" s="2">
        <v>45755</v>
      </c>
      <c r="C89" t="s">
        <v>1029</v>
      </c>
      <c r="D89" t="s">
        <v>1546</v>
      </c>
      <c r="E89" t="str">
        <f ca="1">TRIM(Sales_fact[[#This Row],[Store_ID]])</f>
        <v>STORE10</v>
      </c>
      <c r="F89">
        <v>3</v>
      </c>
      <c r="G89">
        <f>IF(ISBLANK(F89),MODE($F$2:$F$2001),F89)</f>
        <v>3</v>
      </c>
      <c r="H89">
        <v>964.39</v>
      </c>
      <c r="I89">
        <f>IF(ISBLANK(H89),AVERAGE($H$2:$H$2001),H89)</f>
        <v>964.39</v>
      </c>
      <c r="J89">
        <v>0.04</v>
      </c>
      <c r="K89">
        <f>IF(ISBLANK(J89),MODE($J$2:$J$2001),J89)</f>
        <v>0.04</v>
      </c>
      <c r="L89" t="s">
        <v>1824</v>
      </c>
      <c r="M89">
        <v>2777.4432000000002</v>
      </c>
      <c r="N89">
        <f t="shared" si="1"/>
        <v>2777.4432000000002</v>
      </c>
      <c r="O89" t="str">
        <f>_xlfn.XLOOKUP(Sales_fact[[#This Row],[Customer_ID]],'Customer_Dim'!A:A,'Customer_Dim'!K:K,"Not Found")</f>
        <v>Bronze</v>
      </c>
      <c r="P89">
        <f>_xlfn.XLOOKUP(Sales_fact[[#This Row],[Customer_ID]],'Customer_Dim'!A:A, 'Customer_Dim'!E:E, "Not Found")</f>
        <v>62</v>
      </c>
      <c r="Q89" t="str">
        <f>VLOOKUP(Sales_fact[[#This Row],[Customer_ID]], 'Customer_Dim'!A:F, 6, FALSE)</f>
        <v>Female</v>
      </c>
      <c r="R89" s="13" t="str">
        <f>_xlfn.XLOOKUP(Sales_fact[[#This Row],[Product_ID]],Product_Dim!A:A,Product_Dim!C:C,"OTHERS")</f>
        <v>Clothing</v>
      </c>
    </row>
    <row r="90" spans="1:18" x14ac:dyDescent="0.3">
      <c r="A90" t="s">
        <v>1914</v>
      </c>
      <c r="B90" s="2">
        <v>45588</v>
      </c>
      <c r="C90" t="s">
        <v>604</v>
      </c>
      <c r="D90" t="s">
        <v>1624</v>
      </c>
      <c r="E90" t="str">
        <f ca="1">TRIM(Sales_fact[[#This Row],[Store_ID]])</f>
        <v>STORE0</v>
      </c>
      <c r="F90">
        <v>2</v>
      </c>
      <c r="G90">
        <f>IF(ISBLANK(F90),MODE($F$2:$F$2001),F90)</f>
        <v>2</v>
      </c>
      <c r="H90">
        <v>217.83</v>
      </c>
      <c r="I90">
        <f>IF(ISBLANK(H90),AVERAGE($H$2:$H$2001),H90)</f>
        <v>217.83</v>
      </c>
      <c r="J90">
        <v>0.14000000000000001</v>
      </c>
      <c r="K90">
        <f>IF(ISBLANK(J90),MODE($J$2:$J$2001),J90)</f>
        <v>0.14000000000000001</v>
      </c>
      <c r="L90" t="s">
        <v>1826</v>
      </c>
      <c r="M90">
        <v>374.66759999999999</v>
      </c>
      <c r="N90">
        <f t="shared" si="1"/>
        <v>374.66759999999999</v>
      </c>
      <c r="O90" t="str">
        <f>_xlfn.XLOOKUP(Sales_fact[[#This Row],[Customer_ID]],'Customer_Dim'!A:A,'Customer_Dim'!K:K,"Not Found")</f>
        <v>Platinum</v>
      </c>
      <c r="P90">
        <f>_xlfn.XLOOKUP(Sales_fact[[#This Row],[Customer_ID]],'Customer_Dim'!A:A, 'Customer_Dim'!E:E, "Not Found")</f>
        <v>18</v>
      </c>
      <c r="Q90" t="str">
        <f>VLOOKUP(Sales_fact[[#This Row],[Customer_ID]], 'Customer_Dim'!A:F, 6, FALSE)</f>
        <v>Male</v>
      </c>
      <c r="R90" s="13" t="str">
        <f>_xlfn.XLOOKUP(Sales_fact[[#This Row],[Product_ID]],Product_Dim!A:A,Product_Dim!C:C,"OTHERS")</f>
        <v>Sports</v>
      </c>
    </row>
    <row r="91" spans="1:18" x14ac:dyDescent="0.3">
      <c r="A91" t="s">
        <v>1915</v>
      </c>
      <c r="B91" s="2">
        <v>45848</v>
      </c>
      <c r="C91" t="s">
        <v>484</v>
      </c>
      <c r="D91" t="s">
        <v>1582</v>
      </c>
      <c r="E91" t="str">
        <f ca="1">TRIM(Sales_fact[[#This Row],[Store_ID]])</f>
        <v>STORE1</v>
      </c>
      <c r="F91">
        <v>4</v>
      </c>
      <c r="G91">
        <f>IF(ISBLANK(F91),MODE($F$2:$F$2001),F91)</f>
        <v>4</v>
      </c>
      <c r="H91">
        <v>187.71</v>
      </c>
      <c r="I91">
        <f>IF(ISBLANK(H91),AVERAGE($H$2:$H$2001),H91)</f>
        <v>187.71</v>
      </c>
      <c r="J91">
        <v>0.06</v>
      </c>
      <c r="K91">
        <f>IF(ISBLANK(J91),MODE($J$2:$J$2001),J91)</f>
        <v>0.06</v>
      </c>
      <c r="L91" t="s">
        <v>1829</v>
      </c>
      <c r="M91">
        <v>705.78959999999995</v>
      </c>
      <c r="N91">
        <f t="shared" si="1"/>
        <v>705.78959999999995</v>
      </c>
      <c r="O91" t="str">
        <f>_xlfn.XLOOKUP(Sales_fact[[#This Row],[Customer_ID]],'Customer_Dim'!A:A,'Customer_Dim'!K:K,"Not Found")</f>
        <v>Bronze</v>
      </c>
      <c r="P91">
        <f>_xlfn.XLOOKUP(Sales_fact[[#This Row],[Customer_ID]],'Customer_Dim'!A:A, 'Customer_Dim'!E:E, "Not Found")</f>
        <v>46</v>
      </c>
      <c r="Q91" t="str">
        <f>VLOOKUP(Sales_fact[[#This Row],[Customer_ID]], 'Customer_Dim'!A:F, 6, FALSE)</f>
        <v>Male</v>
      </c>
      <c r="R91" s="13" t="str">
        <f>_xlfn.XLOOKUP(Sales_fact[[#This Row],[Product_ID]],Product_Dim!A:A,Product_Dim!C:C,"OTHERS")</f>
        <v>Sports</v>
      </c>
    </row>
    <row r="92" spans="1:18" x14ac:dyDescent="0.3">
      <c r="A92" t="s">
        <v>1916</v>
      </c>
      <c r="B92" s="2">
        <v>45577</v>
      </c>
      <c r="C92" t="s">
        <v>52</v>
      </c>
      <c r="D92" t="s">
        <v>1614</v>
      </c>
      <c r="E92" t="str">
        <f ca="1">TRIM(Sales_fact[[#This Row],[Store_ID]])</f>
        <v>STORE18</v>
      </c>
      <c r="F92">
        <v>2</v>
      </c>
      <c r="G92">
        <f>IF(ISBLANK(F92),MODE($F$2:$F$2001),F92)</f>
        <v>2</v>
      </c>
      <c r="H92">
        <v>350.12</v>
      </c>
      <c r="I92">
        <f>IF(ISBLANK(H92),AVERAGE($H$2:$H$2001),H92)</f>
        <v>350.12</v>
      </c>
      <c r="J92">
        <v>0.12</v>
      </c>
      <c r="K92">
        <f>IF(ISBLANK(J92),MODE($J$2:$J$2001),J92)</f>
        <v>0.12</v>
      </c>
      <c r="L92" t="s">
        <v>1829</v>
      </c>
      <c r="M92">
        <v>616.21119999999996</v>
      </c>
      <c r="N92">
        <f t="shared" si="1"/>
        <v>616.21119999999996</v>
      </c>
      <c r="O92" t="str">
        <f>_xlfn.XLOOKUP(Sales_fact[[#This Row],[Customer_ID]],'Customer_Dim'!A:A,'Customer_Dim'!K:K,"Not Found")</f>
        <v>Bronze</v>
      </c>
      <c r="P92">
        <f>_xlfn.XLOOKUP(Sales_fact[[#This Row],[Customer_ID]],'Customer_Dim'!A:A, 'Customer_Dim'!E:E, "Not Found")</f>
        <v>53</v>
      </c>
      <c r="Q92" t="str">
        <f>VLOOKUP(Sales_fact[[#This Row],[Customer_ID]], 'Customer_Dim'!A:F, 6, FALSE)</f>
        <v>Male</v>
      </c>
      <c r="R92" s="13" t="str">
        <f>_xlfn.XLOOKUP(Sales_fact[[#This Row],[Product_ID]],Product_Dim!A:A,Product_Dim!C:C,"OTHERS")</f>
        <v>Home</v>
      </c>
    </row>
    <row r="93" spans="1:18" x14ac:dyDescent="0.3">
      <c r="A93" t="s">
        <v>1917</v>
      </c>
      <c r="B93" s="2">
        <v>45312</v>
      </c>
      <c r="C93" t="s">
        <v>1263</v>
      </c>
      <c r="D93" t="s">
        <v>1580</v>
      </c>
      <c r="E93" t="str">
        <f ca="1">TRIM(Sales_fact[[#This Row],[Store_ID]])</f>
        <v>STORE1</v>
      </c>
      <c r="F93">
        <v>4</v>
      </c>
      <c r="G93">
        <f>IF(ISBLANK(F93),MODE($F$2:$F$2001),F93)</f>
        <v>4</v>
      </c>
      <c r="H93">
        <v>102.19</v>
      </c>
      <c r="I93">
        <f>IF(ISBLANK(H93),AVERAGE($H$2:$H$2001),H93)</f>
        <v>102.19</v>
      </c>
      <c r="J93">
        <v>0.17</v>
      </c>
      <c r="K93">
        <f>IF(ISBLANK(J93),MODE($J$2:$J$2001),J93)</f>
        <v>0.17</v>
      </c>
      <c r="L93" t="s">
        <v>1826</v>
      </c>
      <c r="M93">
        <v>339.27080000000001</v>
      </c>
      <c r="N93">
        <f t="shared" si="1"/>
        <v>339.27079999999995</v>
      </c>
      <c r="O93" t="str">
        <f>_xlfn.XLOOKUP(Sales_fact[[#This Row],[Customer_ID]],'Customer_Dim'!A:A,'Customer_Dim'!K:K,"Not Found")</f>
        <v>Gold</v>
      </c>
      <c r="P93">
        <f>_xlfn.XLOOKUP(Sales_fact[[#This Row],[Customer_ID]],'Customer_Dim'!A:A, 'Customer_Dim'!E:E, "Not Found")</f>
        <v>23</v>
      </c>
      <c r="Q93" t="str">
        <f>VLOOKUP(Sales_fact[[#This Row],[Customer_ID]], 'Customer_Dim'!A:F, 6, FALSE)</f>
        <v>Female</v>
      </c>
      <c r="R93" s="13" t="str">
        <f>_xlfn.XLOOKUP(Sales_fact[[#This Row],[Product_ID]],Product_Dim!A:A,Product_Dim!C:C,"OTHERS")</f>
        <v>OTHERS</v>
      </c>
    </row>
    <row r="94" spans="1:18" x14ac:dyDescent="0.3">
      <c r="A94" t="s">
        <v>1918</v>
      </c>
      <c r="B94" s="2">
        <v>45350</v>
      </c>
      <c r="C94" t="s">
        <v>40</v>
      </c>
      <c r="D94" t="s">
        <v>1720</v>
      </c>
      <c r="E94" t="str">
        <f ca="1">TRIM(Sales_fact[[#This Row],[Store_ID]])</f>
        <v>STORE4</v>
      </c>
      <c r="F94">
        <v>1</v>
      </c>
      <c r="G94">
        <f>IF(ISBLANK(F94),MODE($F$2:$F$2001),F94)</f>
        <v>1</v>
      </c>
      <c r="H94">
        <v>696.53</v>
      </c>
      <c r="I94">
        <f>IF(ISBLANK(H94),AVERAGE($H$2:$H$2001),H94)</f>
        <v>696.53</v>
      </c>
      <c r="J94">
        <v>0.17</v>
      </c>
      <c r="K94">
        <f>IF(ISBLANK(J94),MODE($J$2:$J$2001),J94)</f>
        <v>0.17</v>
      </c>
      <c r="L94" t="s">
        <v>1824</v>
      </c>
      <c r="M94">
        <v>578.11989999999992</v>
      </c>
      <c r="N94">
        <f t="shared" si="1"/>
        <v>578.11989999999992</v>
      </c>
      <c r="O94" t="str">
        <f>_xlfn.XLOOKUP(Sales_fact[[#This Row],[Customer_ID]],'Customer_Dim'!A:A,'Customer_Dim'!K:K,"Not Found")</f>
        <v>Bronze</v>
      </c>
      <c r="P94">
        <f>_xlfn.XLOOKUP(Sales_fact[[#This Row],[Customer_ID]],'Customer_Dim'!A:A, 'Customer_Dim'!E:E, "Not Found")</f>
        <v>29</v>
      </c>
      <c r="Q94" t="str">
        <f>VLOOKUP(Sales_fact[[#This Row],[Customer_ID]], 'Customer_Dim'!A:F, 6, FALSE)</f>
        <v>Female</v>
      </c>
      <c r="R94" s="13" t="str">
        <f>_xlfn.XLOOKUP(Sales_fact[[#This Row],[Product_ID]],Product_Dim!A:A,Product_Dim!C:C,"OTHERS")</f>
        <v>Home</v>
      </c>
    </row>
    <row r="95" spans="1:18" x14ac:dyDescent="0.3">
      <c r="A95" t="s">
        <v>1919</v>
      </c>
      <c r="B95" s="2">
        <v>45657</v>
      </c>
      <c r="C95" t="s">
        <v>241</v>
      </c>
      <c r="D95" t="s">
        <v>1586</v>
      </c>
      <c r="E95" t="str">
        <f ca="1">TRIM(Sales_fact[[#This Row],[Store_ID]])</f>
        <v>STORE4</v>
      </c>
      <c r="F95">
        <v>2</v>
      </c>
      <c r="G95">
        <f>IF(ISBLANK(F95),MODE($F$2:$F$2001),F95)</f>
        <v>2</v>
      </c>
      <c r="H95">
        <v>327.52</v>
      </c>
      <c r="I95">
        <f>IF(ISBLANK(H95),AVERAGE($H$2:$H$2001),H95)</f>
        <v>327.52</v>
      </c>
      <c r="J95">
        <v>0.15</v>
      </c>
      <c r="K95">
        <f>IF(ISBLANK(J95),MODE($J$2:$J$2001),J95)</f>
        <v>0.15</v>
      </c>
      <c r="L95" t="s">
        <v>1826</v>
      </c>
      <c r="M95">
        <v>556.78399999999999</v>
      </c>
      <c r="N95">
        <f t="shared" si="1"/>
        <v>556.78399999999999</v>
      </c>
      <c r="O95" t="str">
        <f>_xlfn.XLOOKUP(Sales_fact[[#This Row],[Customer_ID]],'Customer_Dim'!A:A,'Customer_Dim'!K:K,"Not Found")</f>
        <v>Silver</v>
      </c>
      <c r="P95">
        <f>_xlfn.XLOOKUP(Sales_fact[[#This Row],[Customer_ID]],'Customer_Dim'!A:A, 'Customer_Dim'!E:E, "Not Found")</f>
        <v>21</v>
      </c>
      <c r="Q95" t="str">
        <f>VLOOKUP(Sales_fact[[#This Row],[Customer_ID]], 'Customer_Dim'!A:F, 6, FALSE)</f>
        <v>Female</v>
      </c>
      <c r="R95" s="13" t="str">
        <f>_xlfn.XLOOKUP(Sales_fact[[#This Row],[Product_ID]],Product_Dim!A:A,Product_Dim!C:C,"OTHERS")</f>
        <v>Sports</v>
      </c>
    </row>
    <row r="96" spans="1:18" x14ac:dyDescent="0.3">
      <c r="A96" t="s">
        <v>1920</v>
      </c>
      <c r="B96" s="2">
        <v>45530</v>
      </c>
      <c r="C96" t="s">
        <v>942</v>
      </c>
      <c r="D96" t="s">
        <v>1742</v>
      </c>
      <c r="E96" t="str">
        <f ca="1">TRIM(Sales_fact[[#This Row],[Store_ID]])</f>
        <v>STORE19</v>
      </c>
      <c r="F96">
        <v>2</v>
      </c>
      <c r="G96">
        <f>IF(ISBLANK(F96),MODE($F$2:$F$2001),F96)</f>
        <v>2</v>
      </c>
      <c r="H96">
        <v>569.36</v>
      </c>
      <c r="I96">
        <f>IF(ISBLANK(H96),AVERAGE($H$2:$H$2001),H96)</f>
        <v>569.36</v>
      </c>
      <c r="J96">
        <v>0.01</v>
      </c>
      <c r="K96">
        <f>IF(ISBLANK(J96),MODE($J$2:$J$2001),J96)</f>
        <v>0.01</v>
      </c>
      <c r="L96" t="s">
        <v>1826</v>
      </c>
      <c r="N96">
        <f t="shared" si="1"/>
        <v>1127.3327999999999</v>
      </c>
      <c r="O96" t="str">
        <f>_xlfn.XLOOKUP(Sales_fact[[#This Row],[Customer_ID]],'Customer_Dim'!A:A,'Customer_Dim'!K:K,"Not Found")</f>
        <v>Platinum</v>
      </c>
      <c r="P96">
        <f>_xlfn.XLOOKUP(Sales_fact[[#This Row],[Customer_ID]],'Customer_Dim'!A:A, 'Customer_Dim'!E:E, "Not Found")</f>
        <v>64</v>
      </c>
      <c r="Q96" t="str">
        <f>VLOOKUP(Sales_fact[[#This Row],[Customer_ID]], 'Customer_Dim'!A:F, 6, FALSE)</f>
        <v>Male</v>
      </c>
      <c r="R96" s="13" t="str">
        <f>_xlfn.XLOOKUP(Sales_fact[[#This Row],[Product_ID]],Product_Dim!A:A,Product_Dim!C:C,"OTHERS")</f>
        <v>Sports</v>
      </c>
    </row>
    <row r="97" spans="1:18" x14ac:dyDescent="0.3">
      <c r="A97" t="s">
        <v>1921</v>
      </c>
      <c r="B97" s="2">
        <v>45556</v>
      </c>
      <c r="C97" t="s">
        <v>1011</v>
      </c>
      <c r="D97" t="s">
        <v>1746</v>
      </c>
      <c r="E97" t="str">
        <f ca="1">TRIM(Sales_fact[[#This Row],[Store_ID]])</f>
        <v>STORE6</v>
      </c>
      <c r="F97">
        <v>2</v>
      </c>
      <c r="G97">
        <f>IF(ISBLANK(F97),MODE($F$2:$F$2001),F97)</f>
        <v>2</v>
      </c>
      <c r="H97">
        <v>68.290000000000006</v>
      </c>
      <c r="I97">
        <f>IF(ISBLANK(H97),AVERAGE($H$2:$H$2001),H97)</f>
        <v>68.290000000000006</v>
      </c>
      <c r="J97">
        <v>0.14000000000000001</v>
      </c>
      <c r="K97">
        <f>IF(ISBLANK(J97),MODE($J$2:$J$2001),J97)</f>
        <v>0.14000000000000001</v>
      </c>
      <c r="L97" t="s">
        <v>1829</v>
      </c>
      <c r="M97">
        <v>117.4588</v>
      </c>
      <c r="N97">
        <f t="shared" si="1"/>
        <v>117.45880000000001</v>
      </c>
      <c r="O97" t="str">
        <f>_xlfn.XLOOKUP(Sales_fact[[#This Row],[Customer_ID]],'Customer_Dim'!A:A,'Customer_Dim'!K:K,"Not Found")</f>
        <v>Bronze</v>
      </c>
      <c r="P97">
        <f>_xlfn.XLOOKUP(Sales_fact[[#This Row],[Customer_ID]],'Customer_Dim'!A:A, 'Customer_Dim'!E:E, "Not Found")</f>
        <v>21</v>
      </c>
      <c r="Q97" t="str">
        <f>VLOOKUP(Sales_fact[[#This Row],[Customer_ID]], 'Customer_Dim'!A:F, 6, FALSE)</f>
        <v>Female</v>
      </c>
      <c r="R97" s="13" t="str">
        <f>_xlfn.XLOOKUP(Sales_fact[[#This Row],[Product_ID]],Product_Dim!A:A,Product_Dim!C:C,"OTHERS")</f>
        <v>Home</v>
      </c>
    </row>
    <row r="98" spans="1:18" x14ac:dyDescent="0.3">
      <c r="A98" t="s">
        <v>1922</v>
      </c>
      <c r="B98" s="2">
        <v>45523</v>
      </c>
      <c r="C98" t="s">
        <v>782</v>
      </c>
      <c r="D98" t="s">
        <v>1648</v>
      </c>
      <c r="E98" t="str">
        <f ca="1">TRIM(Sales_fact[[#This Row],[Store_ID]])</f>
        <v>STORE10</v>
      </c>
      <c r="F98">
        <v>1</v>
      </c>
      <c r="G98">
        <f>IF(ISBLANK(F98),MODE($F$2:$F$2001),F98)</f>
        <v>1</v>
      </c>
      <c r="H98">
        <v>842.9</v>
      </c>
      <c r="I98">
        <f>IF(ISBLANK(H98),AVERAGE($H$2:$H$2001),H98)</f>
        <v>842.9</v>
      </c>
      <c r="J98">
        <v>0.06</v>
      </c>
      <c r="K98">
        <f>IF(ISBLANK(J98),MODE($J$2:$J$2001),J98)</f>
        <v>0.06</v>
      </c>
      <c r="L98" t="s">
        <v>1829</v>
      </c>
      <c r="M98">
        <v>792.32599999999991</v>
      </c>
      <c r="N98">
        <f t="shared" si="1"/>
        <v>792.32599999999991</v>
      </c>
      <c r="O98" t="str">
        <f>_xlfn.XLOOKUP(Sales_fact[[#This Row],[Customer_ID]],'Customer_Dim'!A:A,'Customer_Dim'!K:K,"Not Found")</f>
        <v>Bronze</v>
      </c>
      <c r="P98">
        <f>_xlfn.XLOOKUP(Sales_fact[[#This Row],[Customer_ID]],'Customer_Dim'!A:A, 'Customer_Dim'!E:E, "Not Found")</f>
        <v>19</v>
      </c>
      <c r="Q98" t="str">
        <f>VLOOKUP(Sales_fact[[#This Row],[Customer_ID]], 'Customer_Dim'!A:F, 6, FALSE)</f>
        <v>Male</v>
      </c>
      <c r="R98" s="13" t="str">
        <f>_xlfn.XLOOKUP(Sales_fact[[#This Row],[Product_ID]],Product_Dim!A:A,Product_Dim!C:C,"OTHERS")</f>
        <v>Sports</v>
      </c>
    </row>
    <row r="99" spans="1:18" x14ac:dyDescent="0.3">
      <c r="A99" t="s">
        <v>1923</v>
      </c>
      <c r="B99" s="2">
        <v>45587</v>
      </c>
      <c r="C99" t="s">
        <v>911</v>
      </c>
      <c r="D99" t="s">
        <v>1551</v>
      </c>
      <c r="E99" t="str">
        <f ca="1">TRIM(Sales_fact[[#This Row],[Store_ID]])</f>
        <v>STORE3</v>
      </c>
      <c r="F99">
        <v>3</v>
      </c>
      <c r="G99">
        <f>IF(ISBLANK(F99),MODE($F$2:$F$2001),F99)</f>
        <v>3</v>
      </c>
      <c r="H99">
        <v>751.94</v>
      </c>
      <c r="I99">
        <f>IF(ISBLANK(H99),AVERAGE($H$2:$H$2001),H99)</f>
        <v>751.94</v>
      </c>
      <c r="J99">
        <v>0.26</v>
      </c>
      <c r="K99">
        <f>IF(ISBLANK(J99),MODE($J$2:$J$2001),J99)</f>
        <v>0.26</v>
      </c>
      <c r="L99" t="s">
        <v>1826</v>
      </c>
      <c r="M99">
        <v>1669.3068000000001</v>
      </c>
      <c r="N99">
        <f t="shared" si="1"/>
        <v>1669.3068000000001</v>
      </c>
      <c r="O99" t="str">
        <f>_xlfn.XLOOKUP(Sales_fact[[#This Row],[Customer_ID]],'Customer_Dim'!A:A,'Customer_Dim'!K:K,"Not Found")</f>
        <v>Gold</v>
      </c>
      <c r="P99">
        <f>_xlfn.XLOOKUP(Sales_fact[[#This Row],[Customer_ID]],'Customer_Dim'!A:A, 'Customer_Dim'!E:E, "Not Found")</f>
        <v>22</v>
      </c>
      <c r="Q99" t="str">
        <f>VLOOKUP(Sales_fact[[#This Row],[Customer_ID]], 'Customer_Dim'!A:F, 6, FALSE)</f>
        <v>Female</v>
      </c>
      <c r="R99" s="13" t="str">
        <f>_xlfn.XLOOKUP(Sales_fact[[#This Row],[Product_ID]],Product_Dim!A:A,Product_Dim!C:C,"OTHERS")</f>
        <v>OTHERS</v>
      </c>
    </row>
    <row r="100" spans="1:18" x14ac:dyDescent="0.3">
      <c r="A100" t="s">
        <v>1924</v>
      </c>
      <c r="B100" s="2">
        <v>45580</v>
      </c>
      <c r="C100" t="s">
        <v>449</v>
      </c>
      <c r="D100" t="s">
        <v>1660</v>
      </c>
      <c r="E100" t="str">
        <f ca="1">TRIM(Sales_fact[[#This Row],[Store_ID]])</f>
        <v>STORE7</v>
      </c>
      <c r="F100">
        <v>4</v>
      </c>
      <c r="G100">
        <f>IF(ISBLANK(F100),MODE($F$2:$F$2001),F100)</f>
        <v>4</v>
      </c>
      <c r="H100">
        <v>476.28</v>
      </c>
      <c r="I100">
        <f>IF(ISBLANK(H100),AVERAGE($H$2:$H$2001),H100)</f>
        <v>476.28</v>
      </c>
      <c r="J100">
        <v>0.17</v>
      </c>
      <c r="K100">
        <f>IF(ISBLANK(J100),MODE($J$2:$J$2001),J100)</f>
        <v>0.17</v>
      </c>
      <c r="L100" t="s">
        <v>1824</v>
      </c>
      <c r="M100">
        <v>1581.2496000000001</v>
      </c>
      <c r="N100">
        <f t="shared" si="1"/>
        <v>1581.2495999999999</v>
      </c>
      <c r="O100" t="str">
        <f>_xlfn.XLOOKUP(Sales_fact[[#This Row],[Customer_ID]],'Customer_Dim'!A:A,'Customer_Dim'!K:K,"Not Found")</f>
        <v>Bronze</v>
      </c>
      <c r="P100">
        <f>_xlfn.XLOOKUP(Sales_fact[[#This Row],[Customer_ID]],'Customer_Dim'!A:A, 'Customer_Dim'!E:E, "Not Found")</f>
        <v>34</v>
      </c>
      <c r="Q100" t="str">
        <f>VLOOKUP(Sales_fact[[#This Row],[Customer_ID]], 'Customer_Dim'!A:F, 6, FALSE)</f>
        <v>Female</v>
      </c>
      <c r="R100" s="13" t="str">
        <f>_xlfn.XLOOKUP(Sales_fact[[#This Row],[Product_ID]],Product_Dim!A:A,Product_Dim!C:C,"OTHERS")</f>
        <v>Home</v>
      </c>
    </row>
    <row r="101" spans="1:18" x14ac:dyDescent="0.3">
      <c r="A101" t="s">
        <v>1925</v>
      </c>
      <c r="B101" s="2">
        <v>45479</v>
      </c>
      <c r="C101" t="s">
        <v>1023</v>
      </c>
      <c r="D101" t="s">
        <v>1656</v>
      </c>
      <c r="E101" t="str">
        <f ca="1">TRIM(Sales_fact[[#This Row],[Store_ID]])</f>
        <v>STORE3</v>
      </c>
      <c r="F101">
        <v>3</v>
      </c>
      <c r="G101">
        <f>IF(ISBLANK(F101),MODE($F$2:$F$2001),F101)</f>
        <v>3</v>
      </c>
      <c r="H101">
        <v>541.99</v>
      </c>
      <c r="I101">
        <f>IF(ISBLANK(H101),AVERAGE($H$2:$H$2001),H101)</f>
        <v>541.99</v>
      </c>
      <c r="J101">
        <v>0.24</v>
      </c>
      <c r="K101">
        <f>IF(ISBLANK(J101),MODE($J$2:$J$2001),J101)</f>
        <v>0.24</v>
      </c>
      <c r="L101" t="s">
        <v>1829</v>
      </c>
      <c r="M101">
        <v>1235.7372</v>
      </c>
      <c r="N101">
        <f t="shared" si="1"/>
        <v>1235.7372</v>
      </c>
      <c r="O101" t="str">
        <f>_xlfn.XLOOKUP(Sales_fact[[#This Row],[Customer_ID]],'Customer_Dim'!A:A,'Customer_Dim'!K:K,"Not Found")</f>
        <v>Bronze</v>
      </c>
      <c r="P101">
        <f>_xlfn.XLOOKUP(Sales_fact[[#This Row],[Customer_ID]],'Customer_Dim'!A:A, 'Customer_Dim'!E:E, "Not Found")</f>
        <v>60</v>
      </c>
      <c r="Q101" t="str">
        <f>VLOOKUP(Sales_fact[[#This Row],[Customer_ID]], 'Customer_Dim'!A:F, 6, FALSE)</f>
        <v>Male</v>
      </c>
      <c r="R101" s="13" t="str">
        <f>_xlfn.XLOOKUP(Sales_fact[[#This Row],[Product_ID]],Product_Dim!A:A,Product_Dim!C:C,"OTHERS")</f>
        <v>Sports</v>
      </c>
    </row>
    <row r="102" spans="1:18" x14ac:dyDescent="0.3">
      <c r="A102" t="s">
        <v>1926</v>
      </c>
      <c r="B102" s="2">
        <v>45677</v>
      </c>
      <c r="C102" t="s">
        <v>1154</v>
      </c>
      <c r="D102" t="s">
        <v>1614</v>
      </c>
      <c r="E102" t="str">
        <f ca="1">TRIM(Sales_fact[[#This Row],[Store_ID]])</f>
        <v>STORE5</v>
      </c>
      <c r="F102">
        <v>2</v>
      </c>
      <c r="G102">
        <f>IF(ISBLANK(F102),MODE($F$2:$F$2001),F102)</f>
        <v>2</v>
      </c>
      <c r="H102">
        <v>401.5</v>
      </c>
      <c r="I102">
        <f>IF(ISBLANK(H102),AVERAGE($H$2:$H$2001),H102)</f>
        <v>401.5</v>
      </c>
      <c r="J102">
        <v>0.18</v>
      </c>
      <c r="K102">
        <f>IF(ISBLANK(J102),MODE($J$2:$J$2001),J102)</f>
        <v>0.18</v>
      </c>
      <c r="L102" t="s">
        <v>1824</v>
      </c>
      <c r="M102">
        <v>658.46</v>
      </c>
      <c r="N102">
        <f t="shared" si="1"/>
        <v>658.46</v>
      </c>
      <c r="O102" t="str">
        <f>_xlfn.XLOOKUP(Sales_fact[[#This Row],[Customer_ID]],'Customer_Dim'!A:A,'Customer_Dim'!K:K,"Not Found")</f>
        <v>Platinum</v>
      </c>
      <c r="P102">
        <f>_xlfn.XLOOKUP(Sales_fact[[#This Row],[Customer_ID]],'Customer_Dim'!A:A, 'Customer_Dim'!E:E, "Not Found")</f>
        <v>20</v>
      </c>
      <c r="Q102" t="str">
        <f>VLOOKUP(Sales_fact[[#This Row],[Customer_ID]], 'Customer_Dim'!A:F, 6, FALSE)</f>
        <v>Female</v>
      </c>
      <c r="R102" s="13" t="str">
        <f>_xlfn.XLOOKUP(Sales_fact[[#This Row],[Product_ID]],Product_Dim!A:A,Product_Dim!C:C,"OTHERS")</f>
        <v>Home</v>
      </c>
    </row>
    <row r="103" spans="1:18" x14ac:dyDescent="0.3">
      <c r="A103" t="s">
        <v>1927</v>
      </c>
      <c r="B103" s="2">
        <v>45453</v>
      </c>
      <c r="C103" t="s">
        <v>304</v>
      </c>
      <c r="D103" t="s">
        <v>1598</v>
      </c>
      <c r="E103" t="str">
        <f ca="1">TRIM(Sales_fact[[#This Row],[Store_ID]])</f>
        <v>STORE13</v>
      </c>
      <c r="F103">
        <v>3</v>
      </c>
      <c r="G103">
        <f>IF(ISBLANK(F103),MODE($F$2:$F$2001),F103)</f>
        <v>3</v>
      </c>
      <c r="H103">
        <v>359.56</v>
      </c>
      <c r="I103">
        <f>IF(ISBLANK(H103),AVERAGE($H$2:$H$2001),H103)</f>
        <v>359.56</v>
      </c>
      <c r="J103">
        <v>0.17</v>
      </c>
      <c r="K103">
        <f>IF(ISBLANK(J103),MODE($J$2:$J$2001),J103)</f>
        <v>0.17</v>
      </c>
      <c r="L103" t="s">
        <v>1826</v>
      </c>
      <c r="M103">
        <v>895.30439999999999</v>
      </c>
      <c r="N103">
        <f t="shared" si="1"/>
        <v>895.30439999999999</v>
      </c>
      <c r="O103" t="str">
        <f>_xlfn.XLOOKUP(Sales_fact[[#This Row],[Customer_ID]],'Customer_Dim'!A:A,'Customer_Dim'!K:K,"Not Found")</f>
        <v>Platinum</v>
      </c>
      <c r="P103">
        <f>_xlfn.XLOOKUP(Sales_fact[[#This Row],[Customer_ID]],'Customer_Dim'!A:A, 'Customer_Dim'!E:E, "Not Found")</f>
        <v>26</v>
      </c>
      <c r="Q103" t="str">
        <f>VLOOKUP(Sales_fact[[#This Row],[Customer_ID]], 'Customer_Dim'!A:F, 6, FALSE)</f>
        <v>Female</v>
      </c>
      <c r="R103" s="13" t="str">
        <f>_xlfn.XLOOKUP(Sales_fact[[#This Row],[Product_ID]],Product_Dim!A:A,Product_Dim!C:C,"OTHERS")</f>
        <v>Clothing</v>
      </c>
    </row>
    <row r="104" spans="1:18" x14ac:dyDescent="0.3">
      <c r="A104" t="s">
        <v>1928</v>
      </c>
      <c r="B104" s="2">
        <v>45552</v>
      </c>
      <c r="C104" t="s">
        <v>347</v>
      </c>
      <c r="D104" t="s">
        <v>1708</v>
      </c>
      <c r="E104" t="str">
        <f ca="1">TRIM(Sales_fact[[#This Row],[Store_ID]])</f>
        <v>STORE12</v>
      </c>
      <c r="F104">
        <v>2</v>
      </c>
      <c r="G104">
        <f>IF(ISBLANK(F104),MODE($F$2:$F$2001),F104)</f>
        <v>2</v>
      </c>
      <c r="H104">
        <v>471.88</v>
      </c>
      <c r="I104">
        <f>IF(ISBLANK(H104),AVERAGE($H$2:$H$2001),H104)</f>
        <v>471.88</v>
      </c>
      <c r="J104">
        <v>0.24</v>
      </c>
      <c r="K104">
        <f>IF(ISBLANK(J104),MODE($J$2:$J$2001),J104)</f>
        <v>0.24</v>
      </c>
      <c r="L104" t="s">
        <v>1826</v>
      </c>
      <c r="M104">
        <v>717.25760000000002</v>
      </c>
      <c r="N104">
        <f t="shared" si="1"/>
        <v>717.25760000000002</v>
      </c>
      <c r="O104" t="str">
        <f>_xlfn.XLOOKUP(Sales_fact[[#This Row],[Customer_ID]],'Customer_Dim'!A:A,'Customer_Dim'!K:K,"Not Found")</f>
        <v>Silver</v>
      </c>
      <c r="P104">
        <f>_xlfn.XLOOKUP(Sales_fact[[#This Row],[Customer_ID]],'Customer_Dim'!A:A, 'Customer_Dim'!E:E, "Not Found")</f>
        <v>36</v>
      </c>
      <c r="Q104" t="str">
        <f>VLOOKUP(Sales_fact[[#This Row],[Customer_ID]], 'Customer_Dim'!A:F, 6, FALSE)</f>
        <v>Male</v>
      </c>
      <c r="R104" s="13" t="str">
        <f>_xlfn.XLOOKUP(Sales_fact[[#This Row],[Product_ID]],Product_Dim!A:A,Product_Dim!C:C,"OTHERS")</f>
        <v>Home</v>
      </c>
    </row>
    <row r="105" spans="1:18" x14ac:dyDescent="0.3">
      <c r="A105" t="s">
        <v>1929</v>
      </c>
      <c r="B105" s="2">
        <v>45907</v>
      </c>
      <c r="C105" t="s">
        <v>601</v>
      </c>
      <c r="D105" t="s">
        <v>1616</v>
      </c>
      <c r="E105" t="str">
        <f ca="1">TRIM(Sales_fact[[#This Row],[Store_ID]])</f>
        <v>STORE4</v>
      </c>
      <c r="F105">
        <v>4</v>
      </c>
      <c r="G105">
        <f>IF(ISBLANK(F105),MODE($F$2:$F$2001),F105)</f>
        <v>4</v>
      </c>
      <c r="H105">
        <v>925.19</v>
      </c>
      <c r="I105">
        <f>IF(ISBLANK(H105),AVERAGE($H$2:$H$2001),H105)</f>
        <v>925.19</v>
      </c>
      <c r="J105">
        <v>0.19</v>
      </c>
      <c r="K105">
        <f>IF(ISBLANK(J105),MODE($J$2:$J$2001),J105)</f>
        <v>0.19</v>
      </c>
      <c r="L105" t="s">
        <v>1826</v>
      </c>
      <c r="M105">
        <v>2997.615600000001</v>
      </c>
      <c r="N105">
        <f t="shared" si="1"/>
        <v>2997.6156000000005</v>
      </c>
      <c r="O105" t="str">
        <f>_xlfn.XLOOKUP(Sales_fact[[#This Row],[Customer_ID]],'Customer_Dim'!A:A,'Customer_Dim'!K:K,"Not Found")</f>
        <v>Silver</v>
      </c>
      <c r="P105">
        <f>_xlfn.XLOOKUP(Sales_fact[[#This Row],[Customer_ID]],'Customer_Dim'!A:A, 'Customer_Dim'!E:E, "Not Found")</f>
        <v>23</v>
      </c>
      <c r="Q105" t="str">
        <f>VLOOKUP(Sales_fact[[#This Row],[Customer_ID]], 'Customer_Dim'!A:F, 6, FALSE)</f>
        <v>Female</v>
      </c>
      <c r="R105" s="13" t="str">
        <f>_xlfn.XLOOKUP(Sales_fact[[#This Row],[Product_ID]],Product_Dim!A:A,Product_Dim!C:C,"OTHERS")</f>
        <v>Electronics</v>
      </c>
    </row>
    <row r="106" spans="1:18" x14ac:dyDescent="0.3">
      <c r="A106" t="s">
        <v>1930</v>
      </c>
      <c r="B106" s="2">
        <v>45330</v>
      </c>
      <c r="C106" t="s">
        <v>121</v>
      </c>
      <c r="D106" t="s">
        <v>1720</v>
      </c>
      <c r="E106" t="str">
        <f ca="1">TRIM(Sales_fact[[#This Row],[Store_ID]])</f>
        <v>STORE11</v>
      </c>
      <c r="F106">
        <v>2</v>
      </c>
      <c r="G106">
        <f>IF(ISBLANK(F106),MODE($F$2:$F$2001),F106)</f>
        <v>2</v>
      </c>
      <c r="H106">
        <v>879.63</v>
      </c>
      <c r="I106">
        <f>IF(ISBLANK(H106),AVERAGE($H$2:$H$2001),H106)</f>
        <v>879.63</v>
      </c>
      <c r="J106">
        <v>7.0000000000000007E-2</v>
      </c>
      <c r="K106">
        <f>IF(ISBLANK(J106),MODE($J$2:$J$2001),J106)</f>
        <v>7.0000000000000007E-2</v>
      </c>
      <c r="L106" t="s">
        <v>1829</v>
      </c>
      <c r="M106">
        <v>1636.1117999999999</v>
      </c>
      <c r="N106">
        <f t="shared" si="1"/>
        <v>1636.1117999999999</v>
      </c>
      <c r="O106" t="str">
        <f>_xlfn.XLOOKUP(Sales_fact[[#This Row],[Customer_ID]],'Customer_Dim'!A:A,'Customer_Dim'!K:K,"Not Found")</f>
        <v>Silver</v>
      </c>
      <c r="P106">
        <f>_xlfn.XLOOKUP(Sales_fact[[#This Row],[Customer_ID]],'Customer_Dim'!A:A, 'Customer_Dim'!E:E, "Not Found")</f>
        <v>54</v>
      </c>
      <c r="Q106" t="str">
        <f>VLOOKUP(Sales_fact[[#This Row],[Customer_ID]], 'Customer_Dim'!A:F, 6, FALSE)</f>
        <v>Female</v>
      </c>
      <c r="R106" s="13" t="str">
        <f>_xlfn.XLOOKUP(Sales_fact[[#This Row],[Product_ID]],Product_Dim!A:A,Product_Dim!C:C,"OTHERS")</f>
        <v>Home</v>
      </c>
    </row>
    <row r="107" spans="1:18" x14ac:dyDescent="0.3">
      <c r="A107" t="s">
        <v>1931</v>
      </c>
      <c r="B107" s="2">
        <v>45214</v>
      </c>
      <c r="C107" t="s">
        <v>20</v>
      </c>
      <c r="D107" t="s">
        <v>1706</v>
      </c>
      <c r="E107" t="str">
        <f ca="1">TRIM(Sales_fact[[#This Row],[Store_ID]])</f>
        <v>STORE17</v>
      </c>
      <c r="F107">
        <v>2</v>
      </c>
      <c r="G107">
        <f>IF(ISBLANK(F107),MODE($F$2:$F$2001),F107)</f>
        <v>2</v>
      </c>
      <c r="H107">
        <v>418.23</v>
      </c>
      <c r="I107">
        <f>IF(ISBLANK(H107),AVERAGE($H$2:$H$2001),H107)</f>
        <v>418.23</v>
      </c>
      <c r="J107">
        <v>0.28000000000000003</v>
      </c>
      <c r="K107">
        <f>IF(ISBLANK(J107),MODE($J$2:$J$2001),J107)</f>
        <v>0.28000000000000003</v>
      </c>
      <c r="L107" t="s">
        <v>1824</v>
      </c>
      <c r="M107">
        <v>602.25120000000004</v>
      </c>
      <c r="N107">
        <f t="shared" si="1"/>
        <v>602.25120000000004</v>
      </c>
      <c r="O107" t="str">
        <f>_xlfn.XLOOKUP(Sales_fact[[#This Row],[Customer_ID]],'Customer_Dim'!A:A,'Customer_Dim'!K:K,"Not Found")</f>
        <v>Platinum</v>
      </c>
      <c r="P107">
        <f>_xlfn.XLOOKUP(Sales_fact[[#This Row],[Customer_ID]],'Customer_Dim'!A:A, 'Customer_Dim'!E:E, "Not Found")</f>
        <v>29</v>
      </c>
      <c r="Q107" t="str">
        <f>VLOOKUP(Sales_fact[[#This Row],[Customer_ID]], 'Customer_Dim'!A:F, 6, FALSE)</f>
        <v>Female</v>
      </c>
      <c r="R107" s="13" t="str">
        <f>_xlfn.XLOOKUP(Sales_fact[[#This Row],[Product_ID]],Product_Dim!A:A,Product_Dim!C:C,"OTHERS")</f>
        <v>Home</v>
      </c>
    </row>
    <row r="108" spans="1:18" x14ac:dyDescent="0.3">
      <c r="A108" t="s">
        <v>1932</v>
      </c>
      <c r="B108" s="2">
        <v>45891</v>
      </c>
      <c r="C108" t="s">
        <v>857</v>
      </c>
      <c r="D108" t="s">
        <v>1586</v>
      </c>
      <c r="E108" t="str">
        <f ca="1">TRIM(Sales_fact[[#This Row],[Store_ID]])</f>
        <v>STORE18</v>
      </c>
      <c r="F108">
        <v>3</v>
      </c>
      <c r="G108">
        <f>IF(ISBLANK(F108),MODE($F$2:$F$2001),F108)</f>
        <v>3</v>
      </c>
      <c r="H108">
        <v>551.72</v>
      </c>
      <c r="I108">
        <f>IF(ISBLANK(H108),AVERAGE($H$2:$H$2001),H108)</f>
        <v>551.72</v>
      </c>
      <c r="J108">
        <v>0.03</v>
      </c>
      <c r="K108">
        <f>IF(ISBLANK(J108),MODE($J$2:$J$2001),J108)</f>
        <v>0.03</v>
      </c>
      <c r="L108" t="s">
        <v>1829</v>
      </c>
      <c r="M108">
        <v>1605.5052000000001</v>
      </c>
      <c r="N108">
        <f t="shared" si="1"/>
        <v>1605.5052000000001</v>
      </c>
      <c r="O108" t="str">
        <f>_xlfn.XLOOKUP(Sales_fact[[#This Row],[Customer_ID]],'Customer_Dim'!A:A,'Customer_Dim'!K:K,"Not Found")</f>
        <v>Silver</v>
      </c>
      <c r="P108">
        <f>_xlfn.XLOOKUP(Sales_fact[[#This Row],[Customer_ID]],'Customer_Dim'!A:A, 'Customer_Dim'!E:E, "Not Found")</f>
        <v>45</v>
      </c>
      <c r="Q108" t="str">
        <f>VLOOKUP(Sales_fact[[#This Row],[Customer_ID]], 'Customer_Dim'!A:F, 6, FALSE)</f>
        <v>Female</v>
      </c>
      <c r="R108" s="13" t="str">
        <f>_xlfn.XLOOKUP(Sales_fact[[#This Row],[Product_ID]],Product_Dim!A:A,Product_Dim!C:C,"OTHERS")</f>
        <v>Sports</v>
      </c>
    </row>
    <row r="109" spans="1:18" x14ac:dyDescent="0.3">
      <c r="A109" t="s">
        <v>1933</v>
      </c>
      <c r="B109" s="2">
        <v>45323</v>
      </c>
      <c r="C109" t="s">
        <v>1062</v>
      </c>
      <c r="D109" t="s">
        <v>1720</v>
      </c>
      <c r="E109" t="str">
        <f ca="1">TRIM(Sales_fact[[#This Row],[Store_ID]])</f>
        <v>STORE7</v>
      </c>
      <c r="F109">
        <v>4</v>
      </c>
      <c r="G109">
        <f>IF(ISBLANK(F109),MODE($F$2:$F$2001),F109)</f>
        <v>4</v>
      </c>
      <c r="H109">
        <v>525.61</v>
      </c>
      <c r="I109">
        <f>IF(ISBLANK(H109),AVERAGE($H$2:$H$2001),H109)</f>
        <v>525.61</v>
      </c>
      <c r="J109">
        <v>0.02</v>
      </c>
      <c r="K109">
        <f>IF(ISBLANK(J109),MODE($J$2:$J$2001),J109)</f>
        <v>0.02</v>
      </c>
      <c r="L109" t="s">
        <v>1826</v>
      </c>
      <c r="M109">
        <v>2060.3912</v>
      </c>
      <c r="N109">
        <f t="shared" si="1"/>
        <v>2060.3912</v>
      </c>
      <c r="O109" t="str">
        <f>_xlfn.XLOOKUP(Sales_fact[[#This Row],[Customer_ID]],'Customer_Dim'!A:A,'Customer_Dim'!K:K,"Not Found")</f>
        <v>Silver</v>
      </c>
      <c r="P109">
        <f>_xlfn.XLOOKUP(Sales_fact[[#This Row],[Customer_ID]],'Customer_Dim'!A:A, 'Customer_Dim'!E:E, "Not Found")</f>
        <v>46</v>
      </c>
      <c r="Q109" t="str">
        <f>VLOOKUP(Sales_fact[[#This Row],[Customer_ID]], 'Customer_Dim'!A:F, 6, FALSE)</f>
        <v>Female</v>
      </c>
      <c r="R109" s="13" t="str">
        <f>_xlfn.XLOOKUP(Sales_fact[[#This Row],[Product_ID]],Product_Dim!A:A,Product_Dim!C:C,"OTHERS")</f>
        <v>Home</v>
      </c>
    </row>
    <row r="110" spans="1:18" x14ac:dyDescent="0.3">
      <c r="A110" t="s">
        <v>1934</v>
      </c>
      <c r="B110" s="2">
        <v>45785</v>
      </c>
      <c r="C110" t="s">
        <v>160</v>
      </c>
      <c r="D110" t="s">
        <v>1592</v>
      </c>
      <c r="E110" t="str">
        <f ca="1">TRIM(Sales_fact[[#This Row],[Store_ID]])</f>
        <v>STORE13</v>
      </c>
      <c r="F110">
        <v>3</v>
      </c>
      <c r="G110">
        <f>IF(ISBLANK(F110),MODE($F$2:$F$2001),F110)</f>
        <v>3</v>
      </c>
      <c r="H110">
        <v>815.3</v>
      </c>
      <c r="I110">
        <f>IF(ISBLANK(H110),AVERAGE($H$2:$H$2001),H110)</f>
        <v>815.3</v>
      </c>
      <c r="J110">
        <v>0.03</v>
      </c>
      <c r="K110">
        <f>IF(ISBLANK(J110),MODE($J$2:$J$2001),J110)</f>
        <v>0.03</v>
      </c>
      <c r="L110" t="s">
        <v>1824</v>
      </c>
      <c r="M110">
        <v>2372.5230000000001</v>
      </c>
      <c r="N110">
        <f t="shared" si="1"/>
        <v>2372.5229999999997</v>
      </c>
      <c r="O110" t="str">
        <f>_xlfn.XLOOKUP(Sales_fact[[#This Row],[Customer_ID]],'Customer_Dim'!A:A,'Customer_Dim'!K:K,"Not Found")</f>
        <v>Platinum</v>
      </c>
      <c r="P110">
        <f>_xlfn.XLOOKUP(Sales_fact[[#This Row],[Customer_ID]],'Customer_Dim'!A:A, 'Customer_Dim'!E:E, "Not Found")</f>
        <v>21</v>
      </c>
      <c r="Q110" t="str">
        <f>VLOOKUP(Sales_fact[[#This Row],[Customer_ID]], 'Customer_Dim'!A:F, 6, FALSE)</f>
        <v>Male</v>
      </c>
      <c r="R110" s="13" t="str">
        <f>_xlfn.XLOOKUP(Sales_fact[[#This Row],[Product_ID]],Product_Dim!A:A,Product_Dim!C:C,"OTHERS")</f>
        <v>Sports</v>
      </c>
    </row>
    <row r="111" spans="1:18" x14ac:dyDescent="0.3">
      <c r="A111" t="s">
        <v>1935</v>
      </c>
      <c r="B111" s="2">
        <v>45738</v>
      </c>
      <c r="C111" t="s">
        <v>696</v>
      </c>
      <c r="D111" t="s">
        <v>1730</v>
      </c>
      <c r="E111" t="str">
        <f ca="1">TRIM(Sales_fact[[#This Row],[Store_ID]])</f>
        <v>STORE0</v>
      </c>
      <c r="F111">
        <v>3</v>
      </c>
      <c r="G111">
        <f>IF(ISBLANK(F111),MODE($F$2:$F$2001),F111)</f>
        <v>3</v>
      </c>
      <c r="H111">
        <v>376.46</v>
      </c>
      <c r="I111">
        <f>IF(ISBLANK(H111),AVERAGE($H$2:$H$2001),H111)</f>
        <v>376.46</v>
      </c>
      <c r="J111">
        <v>0.09</v>
      </c>
      <c r="K111">
        <f>IF(ISBLANK(J111),MODE($J$2:$J$2001),J111)</f>
        <v>0.09</v>
      </c>
      <c r="L111" t="s">
        <v>1829</v>
      </c>
      <c r="M111">
        <v>1027.7357999999999</v>
      </c>
      <c r="N111">
        <f t="shared" si="1"/>
        <v>1027.7357999999999</v>
      </c>
      <c r="O111" t="str">
        <f>_xlfn.XLOOKUP(Sales_fact[[#This Row],[Customer_ID]],'Customer_Dim'!A:A,'Customer_Dim'!K:K,"Not Found")</f>
        <v>Gold</v>
      </c>
      <c r="P111">
        <f>_xlfn.XLOOKUP(Sales_fact[[#This Row],[Customer_ID]],'Customer_Dim'!A:A, 'Customer_Dim'!E:E, "Not Found")</f>
        <v>61</v>
      </c>
      <c r="Q111" t="str">
        <f>VLOOKUP(Sales_fact[[#This Row],[Customer_ID]], 'Customer_Dim'!A:F, 6, FALSE)</f>
        <v>Male</v>
      </c>
      <c r="R111" s="13" t="str">
        <f>_xlfn.XLOOKUP(Sales_fact[[#This Row],[Product_ID]],Product_Dim!A:A,Product_Dim!C:C,"OTHERS")</f>
        <v>Clothing</v>
      </c>
    </row>
    <row r="112" spans="1:18" x14ac:dyDescent="0.3">
      <c r="A112" t="s">
        <v>1936</v>
      </c>
      <c r="B112" s="2">
        <v>45851</v>
      </c>
      <c r="C112" t="s">
        <v>40</v>
      </c>
      <c r="D112" t="s">
        <v>1632</v>
      </c>
      <c r="E112" t="str">
        <f ca="1">TRIM(Sales_fact[[#This Row],[Store_ID]])</f>
        <v>STORE8</v>
      </c>
      <c r="F112">
        <v>4</v>
      </c>
      <c r="G112">
        <f>IF(ISBLANK(F112),MODE($F$2:$F$2001),F112)</f>
        <v>4</v>
      </c>
      <c r="H112">
        <v>239.83</v>
      </c>
      <c r="I112">
        <f>IF(ISBLANK(H112),AVERAGE($H$2:$H$2001),H112)</f>
        <v>239.83</v>
      </c>
      <c r="J112">
        <v>0.08</v>
      </c>
      <c r="K112">
        <f>IF(ISBLANK(J112),MODE($J$2:$J$2001),J112)</f>
        <v>0.08</v>
      </c>
      <c r="L112" t="s">
        <v>1824</v>
      </c>
      <c r="M112">
        <v>882.57440000000008</v>
      </c>
      <c r="N112">
        <f t="shared" si="1"/>
        <v>882.57440000000008</v>
      </c>
      <c r="O112" t="str">
        <f>_xlfn.XLOOKUP(Sales_fact[[#This Row],[Customer_ID]],'Customer_Dim'!A:A,'Customer_Dim'!K:K,"Not Found")</f>
        <v>Bronze</v>
      </c>
      <c r="P112">
        <f>_xlfn.XLOOKUP(Sales_fact[[#This Row],[Customer_ID]],'Customer_Dim'!A:A, 'Customer_Dim'!E:E, "Not Found")</f>
        <v>29</v>
      </c>
      <c r="Q112" t="str">
        <f>VLOOKUP(Sales_fact[[#This Row],[Customer_ID]], 'Customer_Dim'!A:F, 6, FALSE)</f>
        <v>Female</v>
      </c>
      <c r="R112" s="13" t="str">
        <f>_xlfn.XLOOKUP(Sales_fact[[#This Row],[Product_ID]],Product_Dim!A:A,Product_Dim!C:C,"OTHERS")</f>
        <v>Electronics</v>
      </c>
    </row>
    <row r="113" spans="1:18" x14ac:dyDescent="0.3">
      <c r="A113" t="s">
        <v>1937</v>
      </c>
      <c r="B113" s="2">
        <v>45798</v>
      </c>
      <c r="C113" t="s">
        <v>414</v>
      </c>
      <c r="D113" t="s">
        <v>1728</v>
      </c>
      <c r="E113" t="str">
        <f ca="1">TRIM(Sales_fact[[#This Row],[Store_ID]])</f>
        <v>STORE3</v>
      </c>
      <c r="F113">
        <v>2</v>
      </c>
      <c r="G113">
        <f>IF(ISBLANK(F113),MODE($F$2:$F$2001),F113)</f>
        <v>2</v>
      </c>
      <c r="H113">
        <v>845.71</v>
      </c>
      <c r="I113">
        <f>IF(ISBLANK(H113),AVERAGE($H$2:$H$2001),H113)</f>
        <v>845.71</v>
      </c>
      <c r="J113">
        <v>0.01</v>
      </c>
      <c r="K113">
        <f>IF(ISBLANK(J113),MODE($J$2:$J$2001),J113)</f>
        <v>0.01</v>
      </c>
      <c r="L113" t="s">
        <v>1826</v>
      </c>
      <c r="M113">
        <v>1674.5057999999999</v>
      </c>
      <c r="N113">
        <f t="shared" si="1"/>
        <v>1674.5058000000001</v>
      </c>
      <c r="O113" t="str">
        <f>_xlfn.XLOOKUP(Sales_fact[[#This Row],[Customer_ID]],'Customer_Dim'!A:A,'Customer_Dim'!K:K,"Not Found")</f>
        <v>Bronze</v>
      </c>
      <c r="P113">
        <f>_xlfn.XLOOKUP(Sales_fact[[#This Row],[Customer_ID]],'Customer_Dim'!A:A, 'Customer_Dim'!E:E, "Not Found")</f>
        <v>40</v>
      </c>
      <c r="Q113" t="str">
        <f>VLOOKUP(Sales_fact[[#This Row],[Customer_ID]], 'Customer_Dim'!A:F, 6, FALSE)</f>
        <v>Male</v>
      </c>
      <c r="R113" s="13" t="str">
        <f>_xlfn.XLOOKUP(Sales_fact[[#This Row],[Product_ID]],Product_Dim!A:A,Product_Dim!C:C,"OTHERS")</f>
        <v>Electronics</v>
      </c>
    </row>
    <row r="114" spans="1:18" x14ac:dyDescent="0.3">
      <c r="A114" t="s">
        <v>1938</v>
      </c>
      <c r="B114" s="2">
        <v>45705</v>
      </c>
      <c r="C114" t="s">
        <v>314</v>
      </c>
      <c r="D114" t="s">
        <v>1700</v>
      </c>
      <c r="E114" t="str">
        <f ca="1">TRIM(Sales_fact[[#This Row],[Store_ID]])</f>
        <v>STORE13</v>
      </c>
      <c r="F114">
        <v>3</v>
      </c>
      <c r="G114">
        <f>IF(ISBLANK(F114),MODE($F$2:$F$2001),F114)</f>
        <v>3</v>
      </c>
      <c r="H114">
        <v>948.69</v>
      </c>
      <c r="I114">
        <f>IF(ISBLANK(H114),AVERAGE($H$2:$H$2001),H114)</f>
        <v>948.69</v>
      </c>
      <c r="J114">
        <v>0.28999999999999998</v>
      </c>
      <c r="K114">
        <f>IF(ISBLANK(J114),MODE($J$2:$J$2001),J114)</f>
        <v>0.28999999999999998</v>
      </c>
      <c r="L114" t="s">
        <v>1824</v>
      </c>
      <c r="M114">
        <v>2020.7097000000001</v>
      </c>
      <c r="N114">
        <f t="shared" si="1"/>
        <v>2020.7097000000001</v>
      </c>
      <c r="O114" t="str">
        <f>_xlfn.XLOOKUP(Sales_fact[[#This Row],[Customer_ID]],'Customer_Dim'!A:A,'Customer_Dim'!K:K,"Not Found")</f>
        <v>Bronze</v>
      </c>
      <c r="P114">
        <f>_xlfn.XLOOKUP(Sales_fact[[#This Row],[Customer_ID]],'Customer_Dim'!A:A, 'Customer_Dim'!E:E, "Not Found")</f>
        <v>58</v>
      </c>
      <c r="Q114" t="str">
        <f>VLOOKUP(Sales_fact[[#This Row],[Customer_ID]], 'Customer_Dim'!A:F, 6, FALSE)</f>
        <v>Female</v>
      </c>
      <c r="R114" s="13" t="str">
        <f>_xlfn.XLOOKUP(Sales_fact[[#This Row],[Product_ID]],Product_Dim!A:A,Product_Dim!C:C,"OTHERS")</f>
        <v>Electronics</v>
      </c>
    </row>
    <row r="115" spans="1:18" x14ac:dyDescent="0.3">
      <c r="A115" t="s">
        <v>1939</v>
      </c>
      <c r="B115" s="2">
        <v>45413</v>
      </c>
      <c r="C115" t="s">
        <v>1440</v>
      </c>
      <c r="D115" t="s">
        <v>1602</v>
      </c>
      <c r="E115" t="str">
        <f ca="1">TRIM(Sales_fact[[#This Row],[Store_ID]])</f>
        <v>STORE10</v>
      </c>
      <c r="F115">
        <v>1</v>
      </c>
      <c r="G115">
        <f>IF(ISBLANK(F115),MODE($F$2:$F$2001),F115)</f>
        <v>1</v>
      </c>
      <c r="H115">
        <v>281.97000000000003</v>
      </c>
      <c r="I115">
        <f>IF(ISBLANK(H115),AVERAGE($H$2:$H$2001),H115)</f>
        <v>281.97000000000003</v>
      </c>
      <c r="J115">
        <v>0.2</v>
      </c>
      <c r="K115">
        <f>IF(ISBLANK(J115),MODE($J$2:$J$2001),J115)</f>
        <v>0.2</v>
      </c>
      <c r="L115" t="s">
        <v>1826</v>
      </c>
      <c r="M115">
        <v>225.57599999999999</v>
      </c>
      <c r="N115">
        <f t="shared" si="1"/>
        <v>225.57600000000002</v>
      </c>
      <c r="O115" t="str">
        <f>_xlfn.XLOOKUP(Sales_fact[[#This Row],[Customer_ID]],'Customer_Dim'!A:A,'Customer_Dim'!K:K,"Not Found")</f>
        <v>Gold</v>
      </c>
      <c r="P115">
        <f>_xlfn.XLOOKUP(Sales_fact[[#This Row],[Customer_ID]],'Customer_Dim'!A:A, 'Customer_Dim'!E:E, "Not Found")</f>
        <v>63</v>
      </c>
      <c r="Q115" t="str">
        <f>VLOOKUP(Sales_fact[[#This Row],[Customer_ID]], 'Customer_Dim'!A:F, 6, FALSE)</f>
        <v>Female</v>
      </c>
      <c r="R115" s="13" t="str">
        <f>_xlfn.XLOOKUP(Sales_fact[[#This Row],[Product_ID]],Product_Dim!A:A,Product_Dim!C:C,"OTHERS")</f>
        <v>Home</v>
      </c>
    </row>
    <row r="116" spans="1:18" x14ac:dyDescent="0.3">
      <c r="A116" t="s">
        <v>1940</v>
      </c>
      <c r="B116" s="2">
        <v>45482</v>
      </c>
      <c r="C116" t="s">
        <v>511</v>
      </c>
      <c r="D116" t="s">
        <v>1730</v>
      </c>
      <c r="E116" t="str">
        <f ca="1">TRIM(Sales_fact[[#This Row],[Store_ID]])</f>
        <v>STORE4</v>
      </c>
      <c r="F116">
        <v>2</v>
      </c>
      <c r="G116">
        <f>IF(ISBLANK(F116),MODE($F$2:$F$2001),F116)</f>
        <v>2</v>
      </c>
      <c r="H116">
        <v>731.01</v>
      </c>
      <c r="I116">
        <f>IF(ISBLANK(H116),AVERAGE($H$2:$H$2001),H116)</f>
        <v>731.01</v>
      </c>
      <c r="J116">
        <v>0.05</v>
      </c>
      <c r="K116">
        <f>IF(ISBLANK(J116),MODE($J$2:$J$2001),J116)</f>
        <v>0.05</v>
      </c>
      <c r="L116" t="s">
        <v>1826</v>
      </c>
      <c r="M116">
        <v>1388.9190000000001</v>
      </c>
      <c r="N116">
        <f t="shared" si="1"/>
        <v>1388.9189999999999</v>
      </c>
      <c r="O116" t="str">
        <f>_xlfn.XLOOKUP(Sales_fact[[#This Row],[Customer_ID]],'Customer_Dim'!A:A,'Customer_Dim'!K:K,"Not Found")</f>
        <v>Platinum</v>
      </c>
      <c r="P116">
        <f>_xlfn.XLOOKUP(Sales_fact[[#This Row],[Customer_ID]],'Customer_Dim'!A:A, 'Customer_Dim'!E:E, "Not Found")</f>
        <v>41</v>
      </c>
      <c r="Q116" t="str">
        <f>VLOOKUP(Sales_fact[[#This Row],[Customer_ID]], 'Customer_Dim'!A:F, 6, FALSE)</f>
        <v>Female</v>
      </c>
      <c r="R116" s="13" t="str">
        <f>_xlfn.XLOOKUP(Sales_fact[[#This Row],[Product_ID]],Product_Dim!A:A,Product_Dim!C:C,"OTHERS")</f>
        <v>Clothing</v>
      </c>
    </row>
    <row r="117" spans="1:18" x14ac:dyDescent="0.3">
      <c r="A117" t="s">
        <v>1941</v>
      </c>
      <c r="B117" s="2">
        <v>45925</v>
      </c>
      <c r="C117" t="s">
        <v>821</v>
      </c>
      <c r="D117" t="s">
        <v>1718</v>
      </c>
      <c r="E117" t="str">
        <f ca="1">TRIM(Sales_fact[[#This Row],[Store_ID]])</f>
        <v>STORE7</v>
      </c>
      <c r="F117">
        <v>4</v>
      </c>
      <c r="G117">
        <f>IF(ISBLANK(F117),MODE($F$2:$F$2001),F117)</f>
        <v>4</v>
      </c>
      <c r="H117">
        <v>930.85</v>
      </c>
      <c r="I117">
        <f>IF(ISBLANK(H117),AVERAGE($H$2:$H$2001),H117)</f>
        <v>930.85</v>
      </c>
      <c r="J117">
        <v>0.13</v>
      </c>
      <c r="K117">
        <f>IF(ISBLANK(J117),MODE($J$2:$J$2001),J117)</f>
        <v>0.13</v>
      </c>
      <c r="L117" t="s">
        <v>1826</v>
      </c>
      <c r="M117">
        <v>3239.3580000000002</v>
      </c>
      <c r="N117">
        <f t="shared" si="1"/>
        <v>3239.3580000000002</v>
      </c>
      <c r="O117" t="str">
        <f>_xlfn.XLOOKUP(Sales_fact[[#This Row],[Customer_ID]],'Customer_Dim'!A:A,'Customer_Dim'!K:K,"Not Found")</f>
        <v>Silver</v>
      </c>
      <c r="P117">
        <f>_xlfn.XLOOKUP(Sales_fact[[#This Row],[Customer_ID]],'Customer_Dim'!A:A, 'Customer_Dim'!E:E, "Not Found")</f>
        <v>42</v>
      </c>
      <c r="Q117" t="str">
        <f>VLOOKUP(Sales_fact[[#This Row],[Customer_ID]], 'Customer_Dim'!A:F, 6, FALSE)</f>
        <v>Male</v>
      </c>
      <c r="R117" s="13" t="str">
        <f>_xlfn.XLOOKUP(Sales_fact[[#This Row],[Product_ID]],Product_Dim!A:A,Product_Dim!C:C,"OTHERS")</f>
        <v>Clothing</v>
      </c>
    </row>
    <row r="118" spans="1:18" x14ac:dyDescent="0.3">
      <c r="A118" t="s">
        <v>1942</v>
      </c>
      <c r="B118" s="2">
        <v>45420</v>
      </c>
      <c r="C118" t="s">
        <v>1301</v>
      </c>
      <c r="D118" t="s">
        <v>1551</v>
      </c>
      <c r="E118" t="str">
        <f ca="1">TRIM(Sales_fact[[#This Row],[Store_ID]])</f>
        <v>STORE8</v>
      </c>
      <c r="F118">
        <v>4</v>
      </c>
      <c r="G118">
        <f>IF(ISBLANK(F118),MODE($F$2:$F$2001),F118)</f>
        <v>4</v>
      </c>
      <c r="H118">
        <v>770.77</v>
      </c>
      <c r="I118">
        <f>IF(ISBLANK(H118),AVERAGE($H$2:$H$2001),H118)</f>
        <v>770.77</v>
      </c>
      <c r="J118">
        <v>0.22</v>
      </c>
      <c r="K118">
        <f>IF(ISBLANK(J118),MODE($J$2:$J$2001),J118)</f>
        <v>0.22</v>
      </c>
      <c r="L118" t="s">
        <v>1824</v>
      </c>
      <c r="M118">
        <v>2404.8024</v>
      </c>
      <c r="N118">
        <f t="shared" si="1"/>
        <v>2404.8024</v>
      </c>
      <c r="O118" t="str">
        <f>_xlfn.XLOOKUP(Sales_fact[[#This Row],[Customer_ID]],'Customer_Dim'!A:A,'Customer_Dim'!K:K,"Not Found")</f>
        <v>Gold</v>
      </c>
      <c r="P118">
        <f>_xlfn.XLOOKUP(Sales_fact[[#This Row],[Customer_ID]],'Customer_Dim'!A:A, 'Customer_Dim'!E:E, "Not Found")</f>
        <v>33</v>
      </c>
      <c r="Q118" t="str">
        <f>VLOOKUP(Sales_fact[[#This Row],[Customer_ID]], 'Customer_Dim'!A:F, 6, FALSE)</f>
        <v>Male</v>
      </c>
      <c r="R118" s="13" t="str">
        <f>_xlfn.XLOOKUP(Sales_fact[[#This Row],[Product_ID]],Product_Dim!A:A,Product_Dim!C:C,"OTHERS")</f>
        <v>OTHERS</v>
      </c>
    </row>
    <row r="119" spans="1:18" x14ac:dyDescent="0.3">
      <c r="A119" t="s">
        <v>1943</v>
      </c>
      <c r="B119" s="2">
        <v>45554</v>
      </c>
      <c r="C119" t="s">
        <v>247</v>
      </c>
      <c r="D119" t="s">
        <v>1640</v>
      </c>
      <c r="E119" t="str">
        <f ca="1">TRIM(Sales_fact[[#This Row],[Store_ID]])</f>
        <v>STORE4</v>
      </c>
      <c r="F119">
        <v>3</v>
      </c>
      <c r="G119">
        <f>IF(ISBLANK(F119),MODE($F$2:$F$2001),F119)</f>
        <v>3</v>
      </c>
      <c r="H119">
        <v>479.63</v>
      </c>
      <c r="I119">
        <f>IF(ISBLANK(H119),AVERAGE($H$2:$H$2001),H119)</f>
        <v>479.63</v>
      </c>
      <c r="J119">
        <v>0.3</v>
      </c>
      <c r="K119">
        <f>IF(ISBLANK(J119),MODE($J$2:$J$2001),J119)</f>
        <v>0.3</v>
      </c>
      <c r="L119" t="s">
        <v>1826</v>
      </c>
      <c r="M119">
        <v>1007.223</v>
      </c>
      <c r="N119">
        <f t="shared" si="1"/>
        <v>1007.2229999999998</v>
      </c>
      <c r="O119" t="str">
        <f>_xlfn.XLOOKUP(Sales_fact[[#This Row],[Customer_ID]],'Customer_Dim'!A:A,'Customer_Dim'!K:K,"Not Found")</f>
        <v>Silver</v>
      </c>
      <c r="P119">
        <f>_xlfn.XLOOKUP(Sales_fact[[#This Row],[Customer_ID]],'Customer_Dim'!A:A, 'Customer_Dim'!E:E, "Not Found")</f>
        <v>58</v>
      </c>
      <c r="Q119" t="str">
        <f>VLOOKUP(Sales_fact[[#This Row],[Customer_ID]], 'Customer_Dim'!A:F, 6, FALSE)</f>
        <v>Male</v>
      </c>
      <c r="R119" s="13" t="str">
        <f>_xlfn.XLOOKUP(Sales_fact[[#This Row],[Product_ID]],Product_Dim!A:A,Product_Dim!C:C,"OTHERS")</f>
        <v>Clothing</v>
      </c>
    </row>
    <row r="120" spans="1:18" x14ac:dyDescent="0.3">
      <c r="A120" t="s">
        <v>1944</v>
      </c>
      <c r="B120" s="2">
        <v>45405</v>
      </c>
      <c r="C120" t="s">
        <v>372</v>
      </c>
      <c r="D120" t="s">
        <v>1626</v>
      </c>
      <c r="E120" t="str">
        <f ca="1">TRIM(Sales_fact[[#This Row],[Store_ID]])</f>
        <v>STORE11</v>
      </c>
      <c r="F120">
        <v>1</v>
      </c>
      <c r="G120">
        <f>IF(ISBLANK(F120),MODE($F$2:$F$2001),F120)</f>
        <v>1</v>
      </c>
      <c r="H120">
        <v>165</v>
      </c>
      <c r="I120">
        <f>IF(ISBLANK(H120),AVERAGE($H$2:$H$2001),H120)</f>
        <v>165</v>
      </c>
      <c r="J120">
        <v>0.3</v>
      </c>
      <c r="K120">
        <f>IF(ISBLANK(J120),MODE($J$2:$J$2001),J120)</f>
        <v>0.3</v>
      </c>
      <c r="L120" t="s">
        <v>1829</v>
      </c>
      <c r="M120">
        <v>115.5</v>
      </c>
      <c r="N120">
        <f t="shared" si="1"/>
        <v>115.49999999999999</v>
      </c>
      <c r="O120" t="str">
        <f>_xlfn.XLOOKUP(Sales_fact[[#This Row],[Customer_ID]],'Customer_Dim'!A:A,'Customer_Dim'!K:K,"Not Found")</f>
        <v>Gold</v>
      </c>
      <c r="P120">
        <f>_xlfn.XLOOKUP(Sales_fact[[#This Row],[Customer_ID]],'Customer_Dim'!A:A, 'Customer_Dim'!E:E, "Not Found")</f>
        <v>50</v>
      </c>
      <c r="Q120" t="str">
        <f>VLOOKUP(Sales_fact[[#This Row],[Customer_ID]], 'Customer_Dim'!A:F, 6, FALSE)</f>
        <v>Female</v>
      </c>
      <c r="R120" s="13" t="str">
        <f>_xlfn.XLOOKUP(Sales_fact[[#This Row],[Product_ID]],Product_Dim!A:A,Product_Dim!C:C,"OTHERS")</f>
        <v>Electronics</v>
      </c>
    </row>
    <row r="121" spans="1:18" x14ac:dyDescent="0.3">
      <c r="A121" t="s">
        <v>1945</v>
      </c>
      <c r="B121" s="2">
        <v>45503</v>
      </c>
      <c r="C121" t="s">
        <v>529</v>
      </c>
      <c r="D121" t="s">
        <v>1586</v>
      </c>
      <c r="E121" t="str">
        <f ca="1">TRIM(Sales_fact[[#This Row],[Store_ID]])</f>
        <v>STORE8</v>
      </c>
      <c r="F121">
        <v>2</v>
      </c>
      <c r="G121">
        <f>IF(ISBLANK(F121),MODE($F$2:$F$2001),F121)</f>
        <v>2</v>
      </c>
      <c r="H121">
        <v>151.51</v>
      </c>
      <c r="I121">
        <f>IF(ISBLANK(H121),AVERAGE($H$2:$H$2001),H121)</f>
        <v>151.51</v>
      </c>
      <c r="J121">
        <v>0.28999999999999998</v>
      </c>
      <c r="K121">
        <f>IF(ISBLANK(J121),MODE($J$2:$J$2001),J121)</f>
        <v>0.28999999999999998</v>
      </c>
      <c r="L121" t="s">
        <v>1829</v>
      </c>
      <c r="M121">
        <v>215.14420000000001</v>
      </c>
      <c r="N121">
        <f t="shared" si="1"/>
        <v>215.14419999999998</v>
      </c>
      <c r="O121" t="str">
        <f>_xlfn.XLOOKUP(Sales_fact[[#This Row],[Customer_ID]],'Customer_Dim'!A:A,'Customer_Dim'!K:K,"Not Found")</f>
        <v>Bronze</v>
      </c>
      <c r="P121">
        <f>_xlfn.XLOOKUP(Sales_fact[[#This Row],[Customer_ID]],'Customer_Dim'!A:A, 'Customer_Dim'!E:E, "Not Found")</f>
        <v>43</v>
      </c>
      <c r="Q121" t="str">
        <f>VLOOKUP(Sales_fact[[#This Row],[Customer_ID]], 'Customer_Dim'!A:F, 6, FALSE)</f>
        <v>Male</v>
      </c>
      <c r="R121" s="13" t="str">
        <f>_xlfn.XLOOKUP(Sales_fact[[#This Row],[Product_ID]],Product_Dim!A:A,Product_Dim!C:C,"OTHERS")</f>
        <v>Sports</v>
      </c>
    </row>
    <row r="122" spans="1:18" x14ac:dyDescent="0.3">
      <c r="A122" t="s">
        <v>1946</v>
      </c>
      <c r="B122" s="2">
        <v>45274</v>
      </c>
      <c r="C122" t="s">
        <v>743</v>
      </c>
      <c r="D122" t="s">
        <v>1610</v>
      </c>
      <c r="E122" t="str">
        <f ca="1">TRIM(Sales_fact[[#This Row],[Store_ID]])</f>
        <v>STORE17</v>
      </c>
      <c r="F122">
        <v>2</v>
      </c>
      <c r="G122">
        <f>IF(ISBLANK(F122),MODE($F$2:$F$2001),F122)</f>
        <v>2</v>
      </c>
      <c r="H122">
        <v>872.93</v>
      </c>
      <c r="I122">
        <f>IF(ISBLANK(H122),AVERAGE($H$2:$H$2001),H122)</f>
        <v>872.93</v>
      </c>
      <c r="J122">
        <v>0.28999999999999998</v>
      </c>
      <c r="K122">
        <f>IF(ISBLANK(J122),MODE($J$2:$J$2001),J122)</f>
        <v>0.28999999999999998</v>
      </c>
      <c r="L122" t="s">
        <v>1829</v>
      </c>
      <c r="M122">
        <v>1239.5606</v>
      </c>
      <c r="N122">
        <f t="shared" si="1"/>
        <v>1239.5605999999998</v>
      </c>
      <c r="O122" t="str">
        <f>_xlfn.XLOOKUP(Sales_fact[[#This Row],[Customer_ID]],'Customer_Dim'!A:A,'Customer_Dim'!K:K,"Not Found")</f>
        <v>Bronze</v>
      </c>
      <c r="P122">
        <f>_xlfn.XLOOKUP(Sales_fact[[#This Row],[Customer_ID]],'Customer_Dim'!A:A, 'Customer_Dim'!E:E, "Not Found")</f>
        <v>22</v>
      </c>
      <c r="Q122" t="str">
        <f>VLOOKUP(Sales_fact[[#This Row],[Customer_ID]], 'Customer_Dim'!A:F, 6, FALSE)</f>
        <v>Female</v>
      </c>
      <c r="R122" s="13" t="str">
        <f>_xlfn.XLOOKUP(Sales_fact[[#This Row],[Product_ID]],Product_Dim!A:A,Product_Dim!C:C,"OTHERS")</f>
        <v>Sports</v>
      </c>
    </row>
    <row r="123" spans="1:18" x14ac:dyDescent="0.3">
      <c r="A123" t="s">
        <v>1947</v>
      </c>
      <c r="B123" s="2">
        <v>45558</v>
      </c>
      <c r="C123" t="s">
        <v>842</v>
      </c>
      <c r="D123" t="s">
        <v>1592</v>
      </c>
      <c r="E123" t="str">
        <f ca="1">TRIM(Sales_fact[[#This Row],[Store_ID]])</f>
        <v>STORE10</v>
      </c>
      <c r="F123">
        <v>3</v>
      </c>
      <c r="G123">
        <f>IF(ISBLANK(F123),MODE($F$2:$F$2001),F123)</f>
        <v>3</v>
      </c>
      <c r="H123">
        <v>432.4</v>
      </c>
      <c r="I123">
        <f>IF(ISBLANK(H123),AVERAGE($H$2:$H$2001),H123)</f>
        <v>432.4</v>
      </c>
      <c r="J123">
        <v>0.04</v>
      </c>
      <c r="K123">
        <f>IF(ISBLANK(J123),MODE($J$2:$J$2001),J123)</f>
        <v>0.04</v>
      </c>
      <c r="L123" t="s">
        <v>1824</v>
      </c>
      <c r="M123">
        <v>1245.3119999999999</v>
      </c>
      <c r="N123">
        <f t="shared" si="1"/>
        <v>1245.3119999999997</v>
      </c>
      <c r="O123" t="str">
        <f>_xlfn.XLOOKUP(Sales_fact[[#This Row],[Customer_ID]],'Customer_Dim'!A:A,'Customer_Dim'!K:K,"Not Found")</f>
        <v>Gold</v>
      </c>
      <c r="P123">
        <f>_xlfn.XLOOKUP(Sales_fact[[#This Row],[Customer_ID]],'Customer_Dim'!A:A, 'Customer_Dim'!E:E, "Not Found")</f>
        <v>25</v>
      </c>
      <c r="Q123" t="str">
        <f>VLOOKUP(Sales_fact[[#This Row],[Customer_ID]], 'Customer_Dim'!A:F, 6, FALSE)</f>
        <v>Male</v>
      </c>
      <c r="R123" s="13" t="str">
        <f>_xlfn.XLOOKUP(Sales_fact[[#This Row],[Product_ID]],Product_Dim!A:A,Product_Dim!C:C,"OTHERS")</f>
        <v>Sports</v>
      </c>
    </row>
    <row r="124" spans="1:18" x14ac:dyDescent="0.3">
      <c r="A124" t="s">
        <v>1948</v>
      </c>
      <c r="B124" s="2">
        <v>45886</v>
      </c>
      <c r="C124" t="s">
        <v>1062</v>
      </c>
      <c r="D124" t="s">
        <v>1648</v>
      </c>
      <c r="E124" t="str">
        <f ca="1">TRIM(Sales_fact[[#This Row],[Store_ID]])</f>
        <v>STORE7</v>
      </c>
      <c r="F124">
        <v>2</v>
      </c>
      <c r="G124">
        <f>IF(ISBLANK(F124),MODE($F$2:$F$2001),F124)</f>
        <v>2</v>
      </c>
      <c r="H124">
        <v>197.76</v>
      </c>
      <c r="I124">
        <f>IF(ISBLANK(H124),AVERAGE($H$2:$H$2001),H124)</f>
        <v>197.76</v>
      </c>
      <c r="J124">
        <v>0.04</v>
      </c>
      <c r="K124">
        <f>IF(ISBLANK(J124),MODE($J$2:$J$2001),J124)</f>
        <v>0.04</v>
      </c>
      <c r="L124" t="s">
        <v>1824</v>
      </c>
      <c r="M124">
        <v>379.69920000000002</v>
      </c>
      <c r="N124">
        <f t="shared" si="1"/>
        <v>379.69919999999996</v>
      </c>
      <c r="O124" t="str">
        <f>_xlfn.XLOOKUP(Sales_fact[[#This Row],[Customer_ID]],'Customer_Dim'!A:A,'Customer_Dim'!K:K,"Not Found")</f>
        <v>Silver</v>
      </c>
      <c r="P124">
        <f>_xlfn.XLOOKUP(Sales_fact[[#This Row],[Customer_ID]],'Customer_Dim'!A:A, 'Customer_Dim'!E:E, "Not Found")</f>
        <v>46</v>
      </c>
      <c r="Q124" t="str">
        <f>VLOOKUP(Sales_fact[[#This Row],[Customer_ID]], 'Customer_Dim'!A:F, 6, FALSE)</f>
        <v>Female</v>
      </c>
      <c r="R124" s="13" t="str">
        <f>_xlfn.XLOOKUP(Sales_fact[[#This Row],[Product_ID]],Product_Dim!A:A,Product_Dim!C:C,"OTHERS")</f>
        <v>Sports</v>
      </c>
    </row>
    <row r="125" spans="1:18" x14ac:dyDescent="0.3">
      <c r="A125" t="s">
        <v>1949</v>
      </c>
      <c r="B125" s="2">
        <v>45674</v>
      </c>
      <c r="C125" t="s">
        <v>1466</v>
      </c>
      <c r="D125" t="s">
        <v>1628</v>
      </c>
      <c r="E125" t="str">
        <f ca="1">TRIM(Sales_fact[[#This Row],[Store_ID]])</f>
        <v>STORE2</v>
      </c>
      <c r="F125">
        <v>3</v>
      </c>
      <c r="G125">
        <f>IF(ISBLANK(F125),MODE($F$2:$F$2001),F125)</f>
        <v>3</v>
      </c>
      <c r="H125">
        <v>334.6</v>
      </c>
      <c r="I125">
        <f>IF(ISBLANK(H125),AVERAGE($H$2:$H$2001),H125)</f>
        <v>334.6</v>
      </c>
      <c r="J125">
        <v>0.11</v>
      </c>
      <c r="K125">
        <f>IF(ISBLANK(J125),MODE($J$2:$J$2001),J125)</f>
        <v>0.11</v>
      </c>
      <c r="L125" t="s">
        <v>1826</v>
      </c>
      <c r="M125">
        <v>893.38200000000006</v>
      </c>
      <c r="N125">
        <f t="shared" si="1"/>
        <v>893.38200000000006</v>
      </c>
      <c r="O125" t="str">
        <f>_xlfn.XLOOKUP(Sales_fact[[#This Row],[Customer_ID]],'Customer_Dim'!A:A,'Customer_Dim'!K:K,"Not Found")</f>
        <v>Gold</v>
      </c>
      <c r="P125">
        <f>_xlfn.XLOOKUP(Sales_fact[[#This Row],[Customer_ID]],'Customer_Dim'!A:A, 'Customer_Dim'!E:E, "Not Found")</f>
        <v>33</v>
      </c>
      <c r="Q125" t="str">
        <f>VLOOKUP(Sales_fact[[#This Row],[Customer_ID]], 'Customer_Dim'!A:F, 6, FALSE)</f>
        <v>Female</v>
      </c>
      <c r="R125" s="13" t="str">
        <f>_xlfn.XLOOKUP(Sales_fact[[#This Row],[Product_ID]],Product_Dim!A:A,Product_Dim!C:C,"OTHERS")</f>
        <v>Electronics</v>
      </c>
    </row>
    <row r="126" spans="1:18" x14ac:dyDescent="0.3">
      <c r="A126" t="s">
        <v>1950</v>
      </c>
      <c r="B126" s="2">
        <v>45777</v>
      </c>
      <c r="C126" t="s">
        <v>314</v>
      </c>
      <c r="D126" t="s">
        <v>1576</v>
      </c>
      <c r="E126" t="str">
        <f ca="1">TRIM(Sales_fact[[#This Row],[Store_ID]])</f>
        <v>STORE3</v>
      </c>
      <c r="F126">
        <v>2</v>
      </c>
      <c r="G126">
        <f>IF(ISBLANK(F126),MODE($F$2:$F$2001),F126)</f>
        <v>2</v>
      </c>
      <c r="H126">
        <v>44.35</v>
      </c>
      <c r="I126">
        <f>IF(ISBLANK(H126),AVERAGE($H$2:$H$2001),H126)</f>
        <v>44.35</v>
      </c>
      <c r="J126">
        <v>0.2</v>
      </c>
      <c r="K126">
        <f>IF(ISBLANK(J126),MODE($J$2:$J$2001),J126)</f>
        <v>0.2</v>
      </c>
      <c r="L126" t="s">
        <v>1829</v>
      </c>
      <c r="M126">
        <v>70.960000000000008</v>
      </c>
      <c r="N126">
        <f t="shared" si="1"/>
        <v>70.960000000000008</v>
      </c>
      <c r="O126" t="str">
        <f>_xlfn.XLOOKUP(Sales_fact[[#This Row],[Customer_ID]],'Customer_Dim'!A:A,'Customer_Dim'!K:K,"Not Found")</f>
        <v>Bronze</v>
      </c>
      <c r="P126">
        <f>_xlfn.XLOOKUP(Sales_fact[[#This Row],[Customer_ID]],'Customer_Dim'!A:A, 'Customer_Dim'!E:E, "Not Found")</f>
        <v>58</v>
      </c>
      <c r="Q126" t="str">
        <f>VLOOKUP(Sales_fact[[#This Row],[Customer_ID]], 'Customer_Dim'!A:F, 6, FALSE)</f>
        <v>Female</v>
      </c>
      <c r="R126" s="13" t="str">
        <f>_xlfn.XLOOKUP(Sales_fact[[#This Row],[Product_ID]],Product_Dim!A:A,Product_Dim!C:C,"OTHERS")</f>
        <v>Home</v>
      </c>
    </row>
    <row r="127" spans="1:18" x14ac:dyDescent="0.3">
      <c r="A127" t="s">
        <v>1951</v>
      </c>
      <c r="B127" s="2">
        <v>45598</v>
      </c>
      <c r="C127" t="s">
        <v>1530</v>
      </c>
      <c r="D127" t="s">
        <v>1562</v>
      </c>
      <c r="E127" t="str">
        <f ca="1">TRIM(Sales_fact[[#This Row],[Store_ID]])</f>
        <v>STORE6</v>
      </c>
      <c r="F127">
        <v>1</v>
      </c>
      <c r="G127">
        <f>IF(ISBLANK(F127),MODE($F$2:$F$2001),F127)</f>
        <v>1</v>
      </c>
      <c r="H127">
        <v>846.31</v>
      </c>
      <c r="I127">
        <f>IF(ISBLANK(H127),AVERAGE($H$2:$H$2001),H127)</f>
        <v>846.31</v>
      </c>
      <c r="J127">
        <v>0.05</v>
      </c>
      <c r="K127">
        <f>IF(ISBLANK(J127),MODE($J$2:$J$2001),J127)</f>
        <v>0.05</v>
      </c>
      <c r="L127" t="s">
        <v>1826</v>
      </c>
      <c r="M127">
        <v>803.9944999999999</v>
      </c>
      <c r="N127">
        <f t="shared" si="1"/>
        <v>803.9944999999999</v>
      </c>
      <c r="O127" t="str">
        <f>_xlfn.XLOOKUP(Sales_fact[[#This Row],[Customer_ID]],'Customer_Dim'!A:A,'Customer_Dim'!K:K,"Not Found")</f>
        <v>Silver</v>
      </c>
      <c r="P127">
        <f>_xlfn.XLOOKUP(Sales_fact[[#This Row],[Customer_ID]],'Customer_Dim'!A:A, 'Customer_Dim'!E:E, "Not Found")</f>
        <v>35</v>
      </c>
      <c r="Q127" t="str">
        <f>VLOOKUP(Sales_fact[[#This Row],[Customer_ID]], 'Customer_Dim'!A:F, 6, FALSE)</f>
        <v>Male</v>
      </c>
      <c r="R127" s="13" t="str">
        <f>_xlfn.XLOOKUP(Sales_fact[[#This Row],[Product_ID]],Product_Dim!A:A,Product_Dim!C:C,"OTHERS")</f>
        <v>Electronics</v>
      </c>
    </row>
    <row r="128" spans="1:18" x14ac:dyDescent="0.3">
      <c r="A128" t="s">
        <v>1952</v>
      </c>
      <c r="B128" s="2">
        <v>45884</v>
      </c>
      <c r="C128" t="s">
        <v>449</v>
      </c>
      <c r="D128" t="s">
        <v>1618</v>
      </c>
      <c r="E128" t="str">
        <f ca="1">TRIM(Sales_fact[[#This Row],[Store_ID]])</f>
        <v>STORE12</v>
      </c>
      <c r="F128">
        <v>1</v>
      </c>
      <c r="G128">
        <f>IF(ISBLANK(F128),MODE($F$2:$F$2001),F128)</f>
        <v>1</v>
      </c>
      <c r="H128">
        <v>996.48</v>
      </c>
      <c r="I128">
        <f>IF(ISBLANK(H128),AVERAGE($H$2:$H$2001),H128)</f>
        <v>996.48</v>
      </c>
      <c r="J128">
        <v>7.0000000000000007E-2</v>
      </c>
      <c r="K128">
        <f>IF(ISBLANK(J128),MODE($J$2:$J$2001),J128)</f>
        <v>7.0000000000000007E-2</v>
      </c>
      <c r="L128" t="s">
        <v>1829</v>
      </c>
      <c r="M128">
        <v>926.7263999999999</v>
      </c>
      <c r="N128">
        <f t="shared" si="1"/>
        <v>926.7263999999999</v>
      </c>
      <c r="O128" t="str">
        <f>_xlfn.XLOOKUP(Sales_fact[[#This Row],[Customer_ID]],'Customer_Dim'!A:A,'Customer_Dim'!K:K,"Not Found")</f>
        <v>Bronze</v>
      </c>
      <c r="P128">
        <f>_xlfn.XLOOKUP(Sales_fact[[#This Row],[Customer_ID]],'Customer_Dim'!A:A, 'Customer_Dim'!E:E, "Not Found")</f>
        <v>34</v>
      </c>
      <c r="Q128" t="str">
        <f>VLOOKUP(Sales_fact[[#This Row],[Customer_ID]], 'Customer_Dim'!A:F, 6, FALSE)</f>
        <v>Female</v>
      </c>
      <c r="R128" s="13" t="str">
        <f>_xlfn.XLOOKUP(Sales_fact[[#This Row],[Product_ID]],Product_Dim!A:A,Product_Dim!C:C,"OTHERS")</f>
        <v>Home</v>
      </c>
    </row>
    <row r="129" spans="1:18" x14ac:dyDescent="0.3">
      <c r="A129" t="s">
        <v>1953</v>
      </c>
      <c r="B129" s="2">
        <v>45916</v>
      </c>
      <c r="C129" t="s">
        <v>881</v>
      </c>
      <c r="D129" t="s">
        <v>1734</v>
      </c>
      <c r="E129" t="str">
        <f ca="1">TRIM(Sales_fact[[#This Row],[Store_ID]])</f>
        <v>STORE6</v>
      </c>
      <c r="F129">
        <v>3</v>
      </c>
      <c r="G129">
        <f>IF(ISBLANK(F129),MODE($F$2:$F$2001),F129)</f>
        <v>3</v>
      </c>
      <c r="H129">
        <v>949.19</v>
      </c>
      <c r="I129">
        <f>IF(ISBLANK(H129),AVERAGE($H$2:$H$2001),H129)</f>
        <v>949.19</v>
      </c>
      <c r="J129">
        <v>0.03</v>
      </c>
      <c r="K129">
        <f>IF(ISBLANK(J129),MODE($J$2:$J$2001),J129)</f>
        <v>0.03</v>
      </c>
      <c r="L129" t="s">
        <v>1829</v>
      </c>
      <c r="M129">
        <v>2762.1428999999998</v>
      </c>
      <c r="N129">
        <f t="shared" si="1"/>
        <v>2762.1429000000003</v>
      </c>
      <c r="O129" t="str">
        <f>_xlfn.XLOOKUP(Sales_fact[[#This Row],[Customer_ID]],'Customer_Dim'!A:A,'Customer_Dim'!K:K,"Not Found")</f>
        <v>Platinum</v>
      </c>
      <c r="P129">
        <f>_xlfn.XLOOKUP(Sales_fact[[#This Row],[Customer_ID]],'Customer_Dim'!A:A, 'Customer_Dim'!E:E, "Not Found")</f>
        <v>22</v>
      </c>
      <c r="Q129" t="str">
        <f>VLOOKUP(Sales_fact[[#This Row],[Customer_ID]], 'Customer_Dim'!A:F, 6, FALSE)</f>
        <v>Female</v>
      </c>
      <c r="R129" s="13" t="str">
        <f>_xlfn.XLOOKUP(Sales_fact[[#This Row],[Product_ID]],Product_Dim!A:A,Product_Dim!C:C,"OTHERS")</f>
        <v>Electronics</v>
      </c>
    </row>
    <row r="130" spans="1:18" x14ac:dyDescent="0.3">
      <c r="A130" t="s">
        <v>1954</v>
      </c>
      <c r="B130" s="2">
        <v>45347</v>
      </c>
      <c r="C130" t="s">
        <v>1238</v>
      </c>
      <c r="D130" t="s">
        <v>1736</v>
      </c>
      <c r="E130" t="str">
        <f ca="1">TRIM(Sales_fact[[#This Row],[Store_ID]])</f>
        <v>STORE9</v>
      </c>
      <c r="F130">
        <v>2</v>
      </c>
      <c r="G130">
        <f>IF(ISBLANK(F130),MODE($F$2:$F$2001),F130)</f>
        <v>2</v>
      </c>
      <c r="H130">
        <v>724.97</v>
      </c>
      <c r="I130">
        <f>IF(ISBLANK(H130),AVERAGE($H$2:$H$2001),H130)</f>
        <v>724.97</v>
      </c>
      <c r="J130">
        <v>0.1</v>
      </c>
      <c r="K130">
        <f>IF(ISBLANK(J130),MODE($J$2:$J$2001),J130)</f>
        <v>0.1</v>
      </c>
      <c r="L130" t="s">
        <v>1824</v>
      </c>
      <c r="M130">
        <v>1304.9459999999999</v>
      </c>
      <c r="N130">
        <f t="shared" si="1"/>
        <v>1304.9460000000001</v>
      </c>
      <c r="O130" t="str">
        <f>_xlfn.XLOOKUP(Sales_fact[[#This Row],[Customer_ID]],'Customer_Dim'!A:A,'Customer_Dim'!K:K,"Not Found")</f>
        <v>Platinum</v>
      </c>
      <c r="P130">
        <f>_xlfn.XLOOKUP(Sales_fact[[#This Row],[Customer_ID]],'Customer_Dim'!A:A, 'Customer_Dim'!E:E, "Not Found")</f>
        <v>62</v>
      </c>
      <c r="Q130" t="str">
        <f>VLOOKUP(Sales_fact[[#This Row],[Customer_ID]], 'Customer_Dim'!A:F, 6, FALSE)</f>
        <v>Female</v>
      </c>
      <c r="R130" s="13" t="str">
        <f>_xlfn.XLOOKUP(Sales_fact[[#This Row],[Product_ID]],Product_Dim!A:A,Product_Dim!C:C,"OTHERS")</f>
        <v>Beauty</v>
      </c>
    </row>
    <row r="131" spans="1:18" x14ac:dyDescent="0.3">
      <c r="A131" t="s">
        <v>1955</v>
      </c>
      <c r="B131" s="2">
        <v>45723</v>
      </c>
      <c r="C131" t="s">
        <v>993</v>
      </c>
      <c r="D131" t="s">
        <v>1546</v>
      </c>
      <c r="E131" t="str">
        <f ca="1">TRIM(Sales_fact[[#This Row],[Store_ID]])</f>
        <v>STORE16</v>
      </c>
      <c r="F131">
        <v>1</v>
      </c>
      <c r="G131">
        <f>IF(ISBLANK(F131),MODE($F$2:$F$2001),F131)</f>
        <v>1</v>
      </c>
      <c r="H131">
        <v>783.25</v>
      </c>
      <c r="I131">
        <f>IF(ISBLANK(H131),AVERAGE($H$2:$H$2001),H131)</f>
        <v>783.25</v>
      </c>
      <c r="J131">
        <v>0.3</v>
      </c>
      <c r="K131">
        <f>IF(ISBLANK(J131),MODE($J$2:$J$2001),J131)</f>
        <v>0.3</v>
      </c>
      <c r="L131" t="s">
        <v>1824</v>
      </c>
      <c r="M131">
        <v>548.27499999999998</v>
      </c>
      <c r="N131">
        <f t="shared" ref="N131:N194" si="2">G131*I131*(1-K131)</f>
        <v>548.27499999999998</v>
      </c>
      <c r="O131" t="str">
        <f>_xlfn.XLOOKUP(Sales_fact[[#This Row],[Customer_ID]],'Customer_Dim'!A:A,'Customer_Dim'!K:K,"Not Found")</f>
        <v>Silver</v>
      </c>
      <c r="P131">
        <f>_xlfn.XLOOKUP(Sales_fact[[#This Row],[Customer_ID]],'Customer_Dim'!A:A, 'Customer_Dim'!E:E, "Not Found")</f>
        <v>49</v>
      </c>
      <c r="Q131" t="str">
        <f>VLOOKUP(Sales_fact[[#This Row],[Customer_ID]], 'Customer_Dim'!A:F, 6, FALSE)</f>
        <v>Male</v>
      </c>
      <c r="R131" s="13" t="str">
        <f>_xlfn.XLOOKUP(Sales_fact[[#This Row],[Product_ID]],Product_Dim!A:A,Product_Dim!C:C,"OTHERS")</f>
        <v>Clothing</v>
      </c>
    </row>
    <row r="132" spans="1:18" x14ac:dyDescent="0.3">
      <c r="A132" t="s">
        <v>1956</v>
      </c>
      <c r="B132" s="2">
        <v>45495</v>
      </c>
      <c r="C132" t="s">
        <v>1077</v>
      </c>
      <c r="D132" t="s">
        <v>1582</v>
      </c>
      <c r="E132" t="str">
        <f ca="1">TRIM(Sales_fact[[#This Row],[Store_ID]])</f>
        <v>STORE3</v>
      </c>
      <c r="F132">
        <v>1</v>
      </c>
      <c r="G132">
        <f>IF(ISBLANK(F132),MODE($F$2:$F$2001),F132)</f>
        <v>1</v>
      </c>
      <c r="H132">
        <v>942.38</v>
      </c>
      <c r="I132">
        <f>IF(ISBLANK(H132),AVERAGE($H$2:$H$2001),H132)</f>
        <v>942.38</v>
      </c>
      <c r="J132">
        <v>0.17</v>
      </c>
      <c r="K132">
        <f>IF(ISBLANK(J132),MODE($J$2:$J$2001),J132)</f>
        <v>0.17</v>
      </c>
      <c r="L132" t="s">
        <v>1824</v>
      </c>
      <c r="M132">
        <v>782.17539999999997</v>
      </c>
      <c r="N132">
        <f t="shared" si="2"/>
        <v>782.17539999999997</v>
      </c>
      <c r="O132" t="str">
        <f>_xlfn.XLOOKUP(Sales_fact[[#This Row],[Customer_ID]],'Customer_Dim'!A:A,'Customer_Dim'!K:K,"Not Found")</f>
        <v>Bronze</v>
      </c>
      <c r="P132">
        <f>_xlfn.XLOOKUP(Sales_fact[[#This Row],[Customer_ID]],'Customer_Dim'!A:A, 'Customer_Dim'!E:E, "Not Found")</f>
        <v>38</v>
      </c>
      <c r="Q132" t="str">
        <f>VLOOKUP(Sales_fact[[#This Row],[Customer_ID]], 'Customer_Dim'!A:F, 6, FALSE)</f>
        <v>Male</v>
      </c>
      <c r="R132" s="13" t="str">
        <f>_xlfn.XLOOKUP(Sales_fact[[#This Row],[Product_ID]],Product_Dim!A:A,Product_Dim!C:C,"OTHERS")</f>
        <v>Sports</v>
      </c>
    </row>
    <row r="133" spans="1:18" x14ac:dyDescent="0.3">
      <c r="A133" t="s">
        <v>1957</v>
      </c>
      <c r="B133" s="2">
        <v>45444</v>
      </c>
      <c r="C133" t="s">
        <v>1524</v>
      </c>
      <c r="D133" t="s">
        <v>1650</v>
      </c>
      <c r="E133" t="str">
        <f ca="1">TRIM(Sales_fact[[#This Row],[Store_ID]])</f>
        <v>STORE11</v>
      </c>
      <c r="F133">
        <v>3</v>
      </c>
      <c r="G133">
        <f>IF(ISBLANK(F133),MODE($F$2:$F$2001),F133)</f>
        <v>3</v>
      </c>
      <c r="H133">
        <v>298.35000000000002</v>
      </c>
      <c r="I133">
        <f>IF(ISBLANK(H133),AVERAGE($H$2:$H$2001),H133)</f>
        <v>298.35000000000002</v>
      </c>
      <c r="J133">
        <v>0.05</v>
      </c>
      <c r="K133">
        <f>IF(ISBLANK(J133),MODE($J$2:$J$2001),J133)</f>
        <v>0.05</v>
      </c>
      <c r="L133" t="s">
        <v>1829</v>
      </c>
      <c r="M133">
        <v>850.29750000000001</v>
      </c>
      <c r="N133">
        <f t="shared" si="2"/>
        <v>850.29750000000001</v>
      </c>
      <c r="O133" t="str">
        <f>_xlfn.XLOOKUP(Sales_fact[[#This Row],[Customer_ID]],'Customer_Dim'!A:A,'Customer_Dim'!K:K,"Not Found")</f>
        <v>Bronze</v>
      </c>
      <c r="P133">
        <f>_xlfn.XLOOKUP(Sales_fact[[#This Row],[Customer_ID]],'Customer_Dim'!A:A, 'Customer_Dim'!E:E, "Not Found")</f>
        <v>56</v>
      </c>
      <c r="Q133" t="str">
        <f>VLOOKUP(Sales_fact[[#This Row],[Customer_ID]], 'Customer_Dim'!A:F, 6, FALSE)</f>
        <v>Male</v>
      </c>
      <c r="R133" s="13" t="str">
        <f>_xlfn.XLOOKUP(Sales_fact[[#This Row],[Product_ID]],Product_Dim!A:A,Product_Dim!C:C,"OTHERS")</f>
        <v>Electronics</v>
      </c>
    </row>
    <row r="134" spans="1:18" x14ac:dyDescent="0.3">
      <c r="A134" t="s">
        <v>1958</v>
      </c>
      <c r="B134" s="2">
        <v>45662</v>
      </c>
      <c r="C134" t="s">
        <v>547</v>
      </c>
      <c r="D134" t="s">
        <v>1644</v>
      </c>
      <c r="E134" t="str">
        <f ca="1">TRIM(Sales_fact[[#This Row],[Store_ID]])</f>
        <v>STORE12</v>
      </c>
      <c r="F134">
        <v>4</v>
      </c>
      <c r="G134">
        <f>IF(ISBLANK(F134),MODE($F$2:$F$2001),F134)</f>
        <v>4</v>
      </c>
      <c r="H134">
        <v>950.04</v>
      </c>
      <c r="I134">
        <f>IF(ISBLANK(H134),AVERAGE($H$2:$H$2001),H134)</f>
        <v>950.04</v>
      </c>
      <c r="J134">
        <v>0.13</v>
      </c>
      <c r="K134">
        <f>IF(ISBLANK(J134),MODE($J$2:$J$2001),J134)</f>
        <v>0.13</v>
      </c>
      <c r="L134" t="s">
        <v>1826</v>
      </c>
      <c r="M134">
        <v>3306.1392000000001</v>
      </c>
      <c r="N134">
        <f t="shared" si="2"/>
        <v>3306.1392000000001</v>
      </c>
      <c r="O134" t="str">
        <f>_xlfn.XLOOKUP(Sales_fact[[#This Row],[Customer_ID]],'Customer_Dim'!A:A,'Customer_Dim'!K:K,"Not Found")</f>
        <v>Silver</v>
      </c>
      <c r="P134">
        <f>_xlfn.XLOOKUP(Sales_fact[[#This Row],[Customer_ID]],'Customer_Dim'!A:A, 'Customer_Dim'!E:E, "Not Found")</f>
        <v>39</v>
      </c>
      <c r="Q134" t="str">
        <f>VLOOKUP(Sales_fact[[#This Row],[Customer_ID]], 'Customer_Dim'!A:F, 6, FALSE)</f>
        <v>Female</v>
      </c>
      <c r="R134" s="13" t="str">
        <f>_xlfn.XLOOKUP(Sales_fact[[#This Row],[Product_ID]],Product_Dim!A:A,Product_Dim!C:C,"OTHERS")</f>
        <v>Electronics</v>
      </c>
    </row>
    <row r="135" spans="1:18" x14ac:dyDescent="0.3">
      <c r="A135" t="s">
        <v>1959</v>
      </c>
      <c r="B135" s="2">
        <v>45910</v>
      </c>
      <c r="C135" t="s">
        <v>1035</v>
      </c>
      <c r="D135" t="s">
        <v>1662</v>
      </c>
      <c r="E135" t="str">
        <f ca="1">TRIM(Sales_fact[[#This Row],[Store_ID]])</f>
        <v>STORE4</v>
      </c>
      <c r="F135">
        <v>2</v>
      </c>
      <c r="G135">
        <f>IF(ISBLANK(F135),MODE($F$2:$F$2001),F135)</f>
        <v>2</v>
      </c>
      <c r="H135">
        <v>267.19</v>
      </c>
      <c r="I135">
        <f>IF(ISBLANK(H135),AVERAGE($H$2:$H$2001),H135)</f>
        <v>267.19</v>
      </c>
      <c r="J135">
        <v>7.0000000000000007E-2</v>
      </c>
      <c r="K135">
        <f>IF(ISBLANK(J135),MODE($J$2:$J$2001),J135)</f>
        <v>7.0000000000000007E-2</v>
      </c>
      <c r="L135" t="s">
        <v>1824</v>
      </c>
      <c r="M135">
        <v>496.97340000000003</v>
      </c>
      <c r="N135">
        <f t="shared" si="2"/>
        <v>496.97339999999997</v>
      </c>
      <c r="O135" t="str">
        <f>_xlfn.XLOOKUP(Sales_fact[[#This Row],[Customer_ID]],'Customer_Dim'!A:A,'Customer_Dim'!K:K,"Not Found")</f>
        <v>Bronze</v>
      </c>
      <c r="P135">
        <f>_xlfn.XLOOKUP(Sales_fact[[#This Row],[Customer_ID]],'Customer_Dim'!A:A, 'Customer_Dim'!E:E, "Not Found")</f>
        <v>62</v>
      </c>
      <c r="Q135" t="str">
        <f>VLOOKUP(Sales_fact[[#This Row],[Customer_ID]], 'Customer_Dim'!A:F, 6, FALSE)</f>
        <v>Female</v>
      </c>
      <c r="R135" s="13" t="str">
        <f>_xlfn.XLOOKUP(Sales_fact[[#This Row],[Product_ID]],Product_Dim!A:A,Product_Dim!C:C,"OTHERS")</f>
        <v>Sports</v>
      </c>
    </row>
    <row r="136" spans="1:18" x14ac:dyDescent="0.3">
      <c r="A136" t="s">
        <v>1960</v>
      </c>
      <c r="B136" s="2">
        <v>45827</v>
      </c>
      <c r="C136" t="s">
        <v>657</v>
      </c>
      <c r="D136" t="s">
        <v>1722</v>
      </c>
      <c r="E136" t="str">
        <f ca="1">TRIM(Sales_fact[[#This Row],[Store_ID]])</f>
        <v>STORE15</v>
      </c>
      <c r="F136">
        <v>4</v>
      </c>
      <c r="G136">
        <f>IF(ISBLANK(F136),MODE($F$2:$F$2001),F136)</f>
        <v>4</v>
      </c>
      <c r="H136">
        <v>72.63</v>
      </c>
      <c r="I136">
        <f>IF(ISBLANK(H136),AVERAGE($H$2:$H$2001),H136)</f>
        <v>72.63</v>
      </c>
      <c r="J136">
        <v>0.06</v>
      </c>
      <c r="K136">
        <f>IF(ISBLANK(J136),MODE($J$2:$J$2001),J136)</f>
        <v>0.06</v>
      </c>
      <c r="L136" t="s">
        <v>1826</v>
      </c>
      <c r="M136">
        <v>273.08879999999999</v>
      </c>
      <c r="N136">
        <f t="shared" si="2"/>
        <v>273.08879999999999</v>
      </c>
      <c r="O136" t="str">
        <f>_xlfn.XLOOKUP(Sales_fact[[#This Row],[Customer_ID]],'Customer_Dim'!A:A,'Customer_Dim'!K:K,"Not Found")</f>
        <v>Bronze</v>
      </c>
      <c r="P136">
        <f>_xlfn.XLOOKUP(Sales_fact[[#This Row],[Customer_ID]],'Customer_Dim'!A:A, 'Customer_Dim'!E:E, "Not Found")</f>
        <v>25</v>
      </c>
      <c r="Q136" t="str">
        <f>VLOOKUP(Sales_fact[[#This Row],[Customer_ID]], 'Customer_Dim'!A:F, 6, FALSE)</f>
        <v>Female</v>
      </c>
      <c r="R136" s="13" t="str">
        <f>_xlfn.XLOOKUP(Sales_fact[[#This Row],[Product_ID]],Product_Dim!A:A,Product_Dim!C:C,"OTHERS")</f>
        <v>Home</v>
      </c>
    </row>
    <row r="137" spans="1:18" x14ac:dyDescent="0.3">
      <c r="A137" t="s">
        <v>1961</v>
      </c>
      <c r="B137" s="2">
        <v>45544</v>
      </c>
      <c r="C137" t="s">
        <v>1325</v>
      </c>
      <c r="D137" t="s">
        <v>1654</v>
      </c>
      <c r="E137" t="str">
        <f ca="1">TRIM(Sales_fact[[#This Row],[Store_ID]])</f>
        <v>STORE5</v>
      </c>
      <c r="F137">
        <v>3</v>
      </c>
      <c r="G137">
        <f>IF(ISBLANK(F137),MODE($F$2:$F$2001),F137)</f>
        <v>3</v>
      </c>
      <c r="H137">
        <v>576.52</v>
      </c>
      <c r="I137">
        <f>IF(ISBLANK(H137),AVERAGE($H$2:$H$2001),H137)</f>
        <v>576.52</v>
      </c>
      <c r="J137">
        <v>0.22</v>
      </c>
      <c r="K137">
        <f>IF(ISBLANK(J137),MODE($J$2:$J$2001),J137)</f>
        <v>0.22</v>
      </c>
      <c r="L137" t="s">
        <v>1829</v>
      </c>
      <c r="M137">
        <v>1349.0568000000001</v>
      </c>
      <c r="N137">
        <f t="shared" si="2"/>
        <v>1349.0568000000001</v>
      </c>
      <c r="O137" t="str">
        <f>_xlfn.XLOOKUP(Sales_fact[[#This Row],[Customer_ID]],'Customer_Dim'!A:A,'Customer_Dim'!K:K,"Not Found")</f>
        <v>Gold</v>
      </c>
      <c r="P137">
        <f>_xlfn.XLOOKUP(Sales_fact[[#This Row],[Customer_ID]],'Customer_Dim'!A:A, 'Customer_Dim'!E:E, "Not Found")</f>
        <v>18</v>
      </c>
      <c r="Q137" t="str">
        <f>VLOOKUP(Sales_fact[[#This Row],[Customer_ID]], 'Customer_Dim'!A:F, 6, FALSE)</f>
        <v>Female</v>
      </c>
      <c r="R137" s="13" t="str">
        <f>_xlfn.XLOOKUP(Sales_fact[[#This Row],[Product_ID]],Product_Dim!A:A,Product_Dim!C:C,"OTHERS")</f>
        <v>Clothing</v>
      </c>
    </row>
    <row r="138" spans="1:18" x14ac:dyDescent="0.3">
      <c r="A138" t="s">
        <v>1962</v>
      </c>
      <c r="B138" s="2">
        <v>45751</v>
      </c>
      <c r="C138" t="s">
        <v>1095</v>
      </c>
      <c r="D138" t="s">
        <v>1690</v>
      </c>
      <c r="E138" t="str">
        <f ca="1">TRIM(Sales_fact[[#This Row],[Store_ID]])</f>
        <v>STORE9</v>
      </c>
      <c r="F138">
        <v>3</v>
      </c>
      <c r="G138">
        <f>IF(ISBLANK(F138),MODE($F$2:$F$2001),F138)</f>
        <v>3</v>
      </c>
      <c r="H138">
        <v>849.36</v>
      </c>
      <c r="I138">
        <f>IF(ISBLANK(H138),AVERAGE($H$2:$H$2001),H138)</f>
        <v>849.36</v>
      </c>
      <c r="J138">
        <v>0.03</v>
      </c>
      <c r="K138">
        <f>IF(ISBLANK(J138),MODE($J$2:$J$2001),J138)</f>
        <v>0.03</v>
      </c>
      <c r="L138" t="s">
        <v>1824</v>
      </c>
      <c r="M138">
        <v>2471.6376</v>
      </c>
      <c r="N138">
        <f t="shared" si="2"/>
        <v>2471.6376</v>
      </c>
      <c r="O138" t="str">
        <f>_xlfn.XLOOKUP(Sales_fact[[#This Row],[Customer_ID]],'Customer_Dim'!A:A,'Customer_Dim'!K:K,"Not Found")</f>
        <v>Bronze</v>
      </c>
      <c r="P138">
        <f>_xlfn.XLOOKUP(Sales_fact[[#This Row],[Customer_ID]],'Customer_Dim'!A:A, 'Customer_Dim'!E:E, "Not Found")</f>
        <v>31</v>
      </c>
      <c r="Q138" t="str">
        <f>VLOOKUP(Sales_fact[[#This Row],[Customer_ID]], 'Customer_Dim'!A:F, 6, FALSE)</f>
        <v>Male</v>
      </c>
      <c r="R138" s="13" t="str">
        <f>_xlfn.XLOOKUP(Sales_fact[[#This Row],[Product_ID]],Product_Dim!A:A,Product_Dim!C:C,"OTHERS")</f>
        <v>Beauty</v>
      </c>
    </row>
    <row r="139" spans="1:18" x14ac:dyDescent="0.3">
      <c r="A139" t="s">
        <v>1963</v>
      </c>
      <c r="B139" s="2">
        <v>45392</v>
      </c>
      <c r="C139" t="s">
        <v>1458</v>
      </c>
      <c r="D139" t="s">
        <v>1648</v>
      </c>
      <c r="E139" t="str">
        <f ca="1">TRIM(Sales_fact[[#This Row],[Store_ID]])</f>
        <v>STORE6</v>
      </c>
      <c r="F139">
        <v>1</v>
      </c>
      <c r="G139">
        <f>IF(ISBLANK(F139),MODE($F$2:$F$2001),F139)</f>
        <v>1</v>
      </c>
      <c r="H139">
        <v>245.85</v>
      </c>
      <c r="I139">
        <f>IF(ISBLANK(H139),AVERAGE($H$2:$H$2001),H139)</f>
        <v>245.85</v>
      </c>
      <c r="J139">
        <v>0.18</v>
      </c>
      <c r="K139">
        <f>IF(ISBLANK(J139),MODE($J$2:$J$2001),J139)</f>
        <v>0.18</v>
      </c>
      <c r="L139" t="s">
        <v>1829</v>
      </c>
      <c r="M139">
        <v>201.59700000000001</v>
      </c>
      <c r="N139">
        <f t="shared" si="2"/>
        <v>201.59700000000001</v>
      </c>
      <c r="O139" t="str">
        <f>_xlfn.XLOOKUP(Sales_fact[[#This Row],[Customer_ID]],'Customer_Dim'!A:A,'Customer_Dim'!K:K,"Not Found")</f>
        <v>Bronze</v>
      </c>
      <c r="P139">
        <f>_xlfn.XLOOKUP(Sales_fact[[#This Row],[Customer_ID]],'Customer_Dim'!A:A, 'Customer_Dim'!E:E, "Not Found")</f>
        <v>53</v>
      </c>
      <c r="Q139" t="str">
        <f>VLOOKUP(Sales_fact[[#This Row],[Customer_ID]], 'Customer_Dim'!A:F, 6, FALSE)</f>
        <v>Male</v>
      </c>
      <c r="R139" s="13" t="str">
        <f>_xlfn.XLOOKUP(Sales_fact[[#This Row],[Product_ID]],Product_Dim!A:A,Product_Dim!C:C,"OTHERS")</f>
        <v>Sports</v>
      </c>
    </row>
    <row r="140" spans="1:18" x14ac:dyDescent="0.3">
      <c r="A140" t="s">
        <v>1964</v>
      </c>
      <c r="B140" s="2">
        <v>45589</v>
      </c>
      <c r="C140" t="s">
        <v>589</v>
      </c>
      <c r="D140" t="s">
        <v>1742</v>
      </c>
      <c r="E140" t="str">
        <f ca="1">TRIM(Sales_fact[[#This Row],[Store_ID]])</f>
        <v>STORE10</v>
      </c>
      <c r="F140">
        <v>3</v>
      </c>
      <c r="G140">
        <f>IF(ISBLANK(F140),MODE($F$2:$F$2001),F140)</f>
        <v>3</v>
      </c>
      <c r="H140">
        <v>237.68</v>
      </c>
      <c r="I140">
        <f>IF(ISBLANK(H140),AVERAGE($H$2:$H$2001),H140)</f>
        <v>237.68</v>
      </c>
      <c r="J140">
        <v>0.1</v>
      </c>
      <c r="K140">
        <f>IF(ISBLANK(J140),MODE($J$2:$J$2001),J140)</f>
        <v>0.1</v>
      </c>
      <c r="L140" t="s">
        <v>1829</v>
      </c>
      <c r="M140">
        <v>641.73599999999999</v>
      </c>
      <c r="N140">
        <f t="shared" si="2"/>
        <v>641.73599999999999</v>
      </c>
      <c r="O140" t="str">
        <f>_xlfn.XLOOKUP(Sales_fact[[#This Row],[Customer_ID]],'Customer_Dim'!A:A,'Customer_Dim'!K:K,"Not Found")</f>
        <v>Bronze</v>
      </c>
      <c r="P140">
        <f>_xlfn.XLOOKUP(Sales_fact[[#This Row],[Customer_ID]],'Customer_Dim'!A:A, 'Customer_Dim'!E:E, "Not Found")</f>
        <v>33</v>
      </c>
      <c r="Q140" t="str">
        <f>VLOOKUP(Sales_fact[[#This Row],[Customer_ID]], 'Customer_Dim'!A:F, 6, FALSE)</f>
        <v>Female</v>
      </c>
      <c r="R140" s="13" t="str">
        <f>_xlfn.XLOOKUP(Sales_fact[[#This Row],[Product_ID]],Product_Dim!A:A,Product_Dim!C:C,"OTHERS")</f>
        <v>Sports</v>
      </c>
    </row>
    <row r="141" spans="1:18" x14ac:dyDescent="0.3">
      <c r="A141" t="s">
        <v>1965</v>
      </c>
      <c r="B141" s="2">
        <v>45756</v>
      </c>
      <c r="C141" t="s">
        <v>1059</v>
      </c>
      <c r="D141" t="s">
        <v>1690</v>
      </c>
      <c r="E141" t="str">
        <f ca="1">TRIM(Sales_fact[[#This Row],[Store_ID]])</f>
        <v>STORE14</v>
      </c>
      <c r="F141">
        <v>4</v>
      </c>
      <c r="G141">
        <f>IF(ISBLANK(F141),MODE($F$2:$F$2001),F141)</f>
        <v>4</v>
      </c>
      <c r="H141">
        <v>715.85</v>
      </c>
      <c r="I141">
        <f>IF(ISBLANK(H141),AVERAGE($H$2:$H$2001),H141)</f>
        <v>715.85</v>
      </c>
      <c r="J141">
        <v>0.25</v>
      </c>
      <c r="K141">
        <f>IF(ISBLANK(J141),MODE($J$2:$J$2001),J141)</f>
        <v>0.25</v>
      </c>
      <c r="L141" t="s">
        <v>1826</v>
      </c>
      <c r="M141">
        <v>2147.5500000000002</v>
      </c>
      <c r="N141">
        <f t="shared" si="2"/>
        <v>2147.5500000000002</v>
      </c>
      <c r="O141" t="str">
        <f>_xlfn.XLOOKUP(Sales_fact[[#This Row],[Customer_ID]],'Customer_Dim'!A:A,'Customer_Dim'!K:K,"Not Found")</f>
        <v>Bronze</v>
      </c>
      <c r="P141">
        <f>_xlfn.XLOOKUP(Sales_fact[[#This Row],[Customer_ID]],'Customer_Dim'!A:A, 'Customer_Dim'!E:E, "Not Found")</f>
        <v>40</v>
      </c>
      <c r="Q141" t="str">
        <f>VLOOKUP(Sales_fact[[#This Row],[Customer_ID]], 'Customer_Dim'!A:F, 6, FALSE)</f>
        <v>Female</v>
      </c>
      <c r="R141" s="13" t="str">
        <f>_xlfn.XLOOKUP(Sales_fact[[#This Row],[Product_ID]],Product_Dim!A:A,Product_Dim!C:C,"OTHERS")</f>
        <v>Beauty</v>
      </c>
    </row>
    <row r="142" spans="1:18" x14ac:dyDescent="0.3">
      <c r="A142" t="s">
        <v>1966</v>
      </c>
      <c r="B142" s="2">
        <v>45255</v>
      </c>
      <c r="C142" t="s">
        <v>568</v>
      </c>
      <c r="D142" t="s">
        <v>1728</v>
      </c>
      <c r="E142" t="str">
        <f ca="1">TRIM(Sales_fact[[#This Row],[Store_ID]])</f>
        <v>STORE5</v>
      </c>
      <c r="F142">
        <v>2</v>
      </c>
      <c r="G142">
        <f>IF(ISBLANK(F142),MODE($F$2:$F$2001),F142)</f>
        <v>2</v>
      </c>
      <c r="H142">
        <v>478.85</v>
      </c>
      <c r="I142">
        <f>IF(ISBLANK(H142),AVERAGE($H$2:$H$2001),H142)</f>
        <v>478.85</v>
      </c>
      <c r="J142">
        <v>0.01</v>
      </c>
      <c r="K142">
        <f>IF(ISBLANK(J142),MODE($J$2:$J$2001),J142)</f>
        <v>0.01</v>
      </c>
      <c r="L142" t="s">
        <v>1829</v>
      </c>
      <c r="M142">
        <v>948.12300000000005</v>
      </c>
      <c r="N142">
        <f t="shared" si="2"/>
        <v>948.12300000000005</v>
      </c>
      <c r="O142" t="str">
        <f>_xlfn.XLOOKUP(Sales_fact[[#This Row],[Customer_ID]],'Customer_Dim'!A:A,'Customer_Dim'!K:K,"Not Found")</f>
        <v>Platinum</v>
      </c>
      <c r="P142">
        <f>_xlfn.XLOOKUP(Sales_fact[[#This Row],[Customer_ID]],'Customer_Dim'!A:A, 'Customer_Dim'!E:E, "Not Found")</f>
        <v>44</v>
      </c>
      <c r="Q142" t="str">
        <f>VLOOKUP(Sales_fact[[#This Row],[Customer_ID]], 'Customer_Dim'!A:F, 6, FALSE)</f>
        <v>Female</v>
      </c>
      <c r="R142" s="13" t="str">
        <f>_xlfn.XLOOKUP(Sales_fact[[#This Row],[Product_ID]],Product_Dim!A:A,Product_Dim!C:C,"OTHERS")</f>
        <v>Electronics</v>
      </c>
    </row>
    <row r="143" spans="1:18" x14ac:dyDescent="0.3">
      <c r="A143" t="s">
        <v>1967</v>
      </c>
      <c r="B143" s="2">
        <v>45718</v>
      </c>
      <c r="C143" t="s">
        <v>396</v>
      </c>
      <c r="D143" t="s">
        <v>1642</v>
      </c>
      <c r="E143" t="str">
        <f ca="1">TRIM(Sales_fact[[#This Row],[Store_ID]])</f>
        <v>STORE0</v>
      </c>
      <c r="F143">
        <v>1</v>
      </c>
      <c r="G143">
        <f>IF(ISBLANK(F143),MODE($F$2:$F$2001),F143)</f>
        <v>1</v>
      </c>
      <c r="H143">
        <v>503.95</v>
      </c>
      <c r="I143">
        <f>IF(ISBLANK(H143),AVERAGE($H$2:$H$2001),H143)</f>
        <v>503.95</v>
      </c>
      <c r="J143">
        <v>0.26</v>
      </c>
      <c r="K143">
        <f>IF(ISBLANK(J143),MODE($J$2:$J$2001),J143)</f>
        <v>0.26</v>
      </c>
      <c r="L143" t="s">
        <v>1829</v>
      </c>
      <c r="M143">
        <v>372.923</v>
      </c>
      <c r="N143">
        <f t="shared" si="2"/>
        <v>372.923</v>
      </c>
      <c r="O143" t="str">
        <f>_xlfn.XLOOKUP(Sales_fact[[#This Row],[Customer_ID]],'Customer_Dim'!A:A,'Customer_Dim'!K:K,"Not Found")</f>
        <v>Gold</v>
      </c>
      <c r="P143">
        <f>_xlfn.XLOOKUP(Sales_fact[[#This Row],[Customer_ID]],'Customer_Dim'!A:A, 'Customer_Dim'!E:E, "Not Found")</f>
        <v>51</v>
      </c>
      <c r="Q143" t="str">
        <f>VLOOKUP(Sales_fact[[#This Row],[Customer_ID]], 'Customer_Dim'!A:F, 6, FALSE)</f>
        <v>Male</v>
      </c>
      <c r="R143" s="13" t="str">
        <f>_xlfn.XLOOKUP(Sales_fact[[#This Row],[Product_ID]],Product_Dim!A:A,Product_Dim!C:C,"OTHERS")</f>
        <v>Beauty</v>
      </c>
    </row>
    <row r="144" spans="1:18" x14ac:dyDescent="0.3">
      <c r="A144" t="s">
        <v>1968</v>
      </c>
      <c r="B144" s="2">
        <v>45573</v>
      </c>
      <c r="C144" t="s">
        <v>1243</v>
      </c>
      <c r="D144" t="s">
        <v>1680</v>
      </c>
      <c r="E144" t="str">
        <f ca="1">TRIM(Sales_fact[[#This Row],[Store_ID]])</f>
        <v>STORE12</v>
      </c>
      <c r="F144">
        <v>2</v>
      </c>
      <c r="G144">
        <f>IF(ISBLANK(F144),MODE($F$2:$F$2001),F144)</f>
        <v>2</v>
      </c>
      <c r="H144">
        <v>975.48</v>
      </c>
      <c r="I144">
        <f>IF(ISBLANK(H144),AVERAGE($H$2:$H$2001),H144)</f>
        <v>975.48</v>
      </c>
      <c r="J144">
        <v>0.26</v>
      </c>
      <c r="K144">
        <f>IF(ISBLANK(J144),MODE($J$2:$J$2001),J144)</f>
        <v>0.26</v>
      </c>
      <c r="L144" t="s">
        <v>1829</v>
      </c>
      <c r="M144">
        <v>1443.7103999999999</v>
      </c>
      <c r="N144">
        <f t="shared" si="2"/>
        <v>1443.7103999999999</v>
      </c>
      <c r="O144" t="str">
        <f>_xlfn.XLOOKUP(Sales_fact[[#This Row],[Customer_ID]],'Customer_Dim'!A:A,'Customer_Dim'!K:K,"Not Found")</f>
        <v>Bronze</v>
      </c>
      <c r="P144">
        <f>_xlfn.XLOOKUP(Sales_fact[[#This Row],[Customer_ID]],'Customer_Dim'!A:A, 'Customer_Dim'!E:E, "Not Found")</f>
        <v>27</v>
      </c>
      <c r="Q144" t="str">
        <f>VLOOKUP(Sales_fact[[#This Row],[Customer_ID]], 'Customer_Dim'!A:F, 6, FALSE)</f>
        <v>Male</v>
      </c>
      <c r="R144" s="13" t="str">
        <f>_xlfn.XLOOKUP(Sales_fact[[#This Row],[Product_ID]],Product_Dim!A:A,Product_Dim!C:C,"OTHERS")</f>
        <v>Beauty</v>
      </c>
    </row>
    <row r="145" spans="1:18" x14ac:dyDescent="0.3">
      <c r="A145" t="s">
        <v>1969</v>
      </c>
      <c r="B145" s="2">
        <v>45884</v>
      </c>
      <c r="C145" t="s">
        <v>1249</v>
      </c>
      <c r="D145" t="s">
        <v>1616</v>
      </c>
      <c r="E145" t="str">
        <f ca="1">TRIM(Sales_fact[[#This Row],[Store_ID]])</f>
        <v>STORE16</v>
      </c>
      <c r="F145">
        <v>4</v>
      </c>
      <c r="G145">
        <f>IF(ISBLANK(F145),MODE($F$2:$F$2001),F145)</f>
        <v>4</v>
      </c>
      <c r="H145">
        <v>450.12</v>
      </c>
      <c r="I145">
        <f>IF(ISBLANK(H145),AVERAGE($H$2:$H$2001),H145)</f>
        <v>450.12</v>
      </c>
      <c r="J145">
        <v>0.28999999999999998</v>
      </c>
      <c r="K145">
        <f>IF(ISBLANK(J145),MODE($J$2:$J$2001),J145)</f>
        <v>0.28999999999999998</v>
      </c>
      <c r="L145" t="s">
        <v>1829</v>
      </c>
      <c r="M145">
        <v>1278.3407999999999</v>
      </c>
      <c r="N145">
        <f t="shared" si="2"/>
        <v>1278.3407999999999</v>
      </c>
      <c r="O145" t="str">
        <f>_xlfn.XLOOKUP(Sales_fact[[#This Row],[Customer_ID]],'Customer_Dim'!A:A,'Customer_Dim'!K:K,"Not Found")</f>
        <v>Platinum</v>
      </c>
      <c r="P145">
        <f>_xlfn.XLOOKUP(Sales_fact[[#This Row],[Customer_ID]],'Customer_Dim'!A:A, 'Customer_Dim'!E:E, "Not Found")</f>
        <v>51</v>
      </c>
      <c r="Q145" t="str">
        <f>VLOOKUP(Sales_fact[[#This Row],[Customer_ID]], 'Customer_Dim'!A:F, 6, FALSE)</f>
        <v>Female</v>
      </c>
      <c r="R145" s="13" t="str">
        <f>_xlfn.XLOOKUP(Sales_fact[[#This Row],[Product_ID]],Product_Dim!A:A,Product_Dim!C:C,"OTHERS")</f>
        <v>Electronics</v>
      </c>
    </row>
    <row r="146" spans="1:18" x14ac:dyDescent="0.3">
      <c r="A146" t="s">
        <v>1970</v>
      </c>
      <c r="B146" s="2">
        <v>45448</v>
      </c>
      <c r="C146" t="s">
        <v>1349</v>
      </c>
      <c r="D146" t="s">
        <v>1620</v>
      </c>
      <c r="E146" t="str">
        <f ca="1">TRIM(Sales_fact[[#This Row],[Store_ID]])</f>
        <v>STORE8</v>
      </c>
      <c r="F146">
        <v>3</v>
      </c>
      <c r="G146">
        <f>IF(ISBLANK(F146),MODE($F$2:$F$2001),F146)</f>
        <v>3</v>
      </c>
      <c r="H146">
        <v>237.24</v>
      </c>
      <c r="I146">
        <f>IF(ISBLANK(H146),AVERAGE($H$2:$H$2001),H146)</f>
        <v>237.24</v>
      </c>
      <c r="J146">
        <v>0.24</v>
      </c>
      <c r="K146">
        <f>IF(ISBLANK(J146),MODE($J$2:$J$2001),J146)</f>
        <v>0.24</v>
      </c>
      <c r="L146" t="s">
        <v>1826</v>
      </c>
      <c r="M146">
        <v>540.90719999999999</v>
      </c>
      <c r="N146">
        <f t="shared" si="2"/>
        <v>540.90719999999999</v>
      </c>
      <c r="O146" t="str">
        <f>_xlfn.XLOOKUP(Sales_fact[[#This Row],[Customer_ID]],'Customer_Dim'!A:A,'Customer_Dim'!K:K,"Not Found")</f>
        <v>Silver</v>
      </c>
      <c r="P146">
        <f>_xlfn.XLOOKUP(Sales_fact[[#This Row],[Customer_ID]],'Customer_Dim'!A:A, 'Customer_Dim'!E:E, "Not Found")</f>
        <v>37</v>
      </c>
      <c r="Q146" t="str">
        <f>VLOOKUP(Sales_fact[[#This Row],[Customer_ID]], 'Customer_Dim'!A:F, 6, FALSE)</f>
        <v>Female</v>
      </c>
      <c r="R146" s="13" t="str">
        <f>_xlfn.XLOOKUP(Sales_fact[[#This Row],[Product_ID]],Product_Dim!A:A,Product_Dim!C:C,"OTHERS")</f>
        <v>Clothing</v>
      </c>
    </row>
    <row r="147" spans="1:18" x14ac:dyDescent="0.3">
      <c r="A147" t="s">
        <v>1971</v>
      </c>
      <c r="B147" s="2">
        <v>45522</v>
      </c>
      <c r="C147" t="s">
        <v>1417</v>
      </c>
      <c r="D147" t="s">
        <v>1656</v>
      </c>
      <c r="E147" t="str">
        <f ca="1">TRIM(Sales_fact[[#This Row],[Store_ID]])</f>
        <v>STORE15</v>
      </c>
      <c r="F147">
        <v>2</v>
      </c>
      <c r="G147">
        <f>IF(ISBLANK(F147),MODE($F$2:$F$2001),F147)</f>
        <v>2</v>
      </c>
      <c r="H147">
        <v>536.84</v>
      </c>
      <c r="I147">
        <f>IF(ISBLANK(H147),AVERAGE($H$2:$H$2001),H147)</f>
        <v>536.84</v>
      </c>
      <c r="J147">
        <v>0.09</v>
      </c>
      <c r="K147">
        <f>IF(ISBLANK(J147),MODE($J$2:$J$2001),J147)</f>
        <v>0.09</v>
      </c>
      <c r="L147" t="s">
        <v>1829</v>
      </c>
      <c r="M147">
        <v>977.04880000000014</v>
      </c>
      <c r="N147">
        <f t="shared" si="2"/>
        <v>977.04880000000014</v>
      </c>
      <c r="O147" t="str">
        <f>_xlfn.XLOOKUP(Sales_fact[[#This Row],[Customer_ID]],'Customer_Dim'!A:A,'Customer_Dim'!K:K,"Not Found")</f>
        <v>Gold</v>
      </c>
      <c r="P147">
        <f>_xlfn.XLOOKUP(Sales_fact[[#This Row],[Customer_ID]],'Customer_Dim'!A:A, 'Customer_Dim'!E:E, "Not Found")</f>
        <v>29</v>
      </c>
      <c r="Q147" t="str">
        <f>VLOOKUP(Sales_fact[[#This Row],[Customer_ID]], 'Customer_Dim'!A:F, 6, FALSE)</f>
        <v>Female</v>
      </c>
      <c r="R147" s="13" t="str">
        <f>_xlfn.XLOOKUP(Sales_fact[[#This Row],[Product_ID]],Product_Dim!A:A,Product_Dim!C:C,"OTHERS")</f>
        <v>Sports</v>
      </c>
    </row>
    <row r="148" spans="1:18" x14ac:dyDescent="0.3">
      <c r="A148" t="s">
        <v>1972</v>
      </c>
      <c r="B148" s="2">
        <v>45626</v>
      </c>
      <c r="C148" t="s">
        <v>1371</v>
      </c>
      <c r="D148" t="s">
        <v>1620</v>
      </c>
      <c r="E148" t="str">
        <f ca="1">TRIM(Sales_fact[[#This Row],[Store_ID]])</f>
        <v>STORE19</v>
      </c>
      <c r="F148">
        <v>3</v>
      </c>
      <c r="G148">
        <f>IF(ISBLANK(F148),MODE($F$2:$F$2001),F148)</f>
        <v>3</v>
      </c>
      <c r="H148">
        <v>584.41</v>
      </c>
      <c r="I148">
        <f>IF(ISBLANK(H148),AVERAGE($H$2:$H$2001),H148)</f>
        <v>584.41</v>
      </c>
      <c r="J148">
        <v>0</v>
      </c>
      <c r="K148">
        <f>IF(ISBLANK(J148),MODE($J$2:$J$2001),J148)</f>
        <v>0</v>
      </c>
      <c r="L148" t="s">
        <v>1829</v>
      </c>
      <c r="M148">
        <v>1753.23</v>
      </c>
      <c r="N148">
        <f t="shared" si="2"/>
        <v>1753.23</v>
      </c>
      <c r="O148" t="str">
        <f>_xlfn.XLOOKUP(Sales_fact[[#This Row],[Customer_ID]],'Customer_Dim'!A:A,'Customer_Dim'!K:K,"Not Found")</f>
        <v>Silver</v>
      </c>
      <c r="P148">
        <f>_xlfn.XLOOKUP(Sales_fact[[#This Row],[Customer_ID]],'Customer_Dim'!A:A, 'Customer_Dim'!E:E, "Not Found")</f>
        <v>51</v>
      </c>
      <c r="Q148" t="str">
        <f>VLOOKUP(Sales_fact[[#This Row],[Customer_ID]], 'Customer_Dim'!A:F, 6, FALSE)</f>
        <v>Male</v>
      </c>
      <c r="R148" s="13" t="str">
        <f>_xlfn.XLOOKUP(Sales_fact[[#This Row],[Product_ID]],Product_Dim!A:A,Product_Dim!C:C,"OTHERS")</f>
        <v>Clothing</v>
      </c>
    </row>
    <row r="149" spans="1:18" x14ac:dyDescent="0.3">
      <c r="A149" t="s">
        <v>1973</v>
      </c>
      <c r="B149" s="2">
        <v>45617</v>
      </c>
      <c r="C149" t="s">
        <v>932</v>
      </c>
      <c r="D149" t="s">
        <v>1712</v>
      </c>
      <c r="E149" t="str">
        <f ca="1">TRIM(Sales_fact[[#This Row],[Store_ID]])</f>
        <v>STORE19</v>
      </c>
      <c r="F149">
        <v>1</v>
      </c>
      <c r="G149">
        <f>IF(ISBLANK(F149),MODE($F$2:$F$2001),F149)</f>
        <v>1</v>
      </c>
      <c r="H149">
        <v>653.87</v>
      </c>
      <c r="I149">
        <f>IF(ISBLANK(H149),AVERAGE($H$2:$H$2001),H149)</f>
        <v>653.87</v>
      </c>
      <c r="J149">
        <v>0.14000000000000001</v>
      </c>
      <c r="K149">
        <f>IF(ISBLANK(J149),MODE($J$2:$J$2001),J149)</f>
        <v>0.14000000000000001</v>
      </c>
      <c r="L149" t="s">
        <v>1826</v>
      </c>
      <c r="M149">
        <v>562.32820000000004</v>
      </c>
      <c r="N149">
        <f t="shared" si="2"/>
        <v>562.32820000000004</v>
      </c>
      <c r="O149" t="str">
        <f>_xlfn.XLOOKUP(Sales_fact[[#This Row],[Customer_ID]],'Customer_Dim'!A:A,'Customer_Dim'!K:K,"Not Found")</f>
        <v>Platinum</v>
      </c>
      <c r="P149">
        <f>_xlfn.XLOOKUP(Sales_fact[[#This Row],[Customer_ID]],'Customer_Dim'!A:A, 'Customer_Dim'!E:E, "Not Found")</f>
        <v>29</v>
      </c>
      <c r="Q149" t="str">
        <f>VLOOKUP(Sales_fact[[#This Row],[Customer_ID]], 'Customer_Dim'!A:F, 6, FALSE)</f>
        <v>Male</v>
      </c>
      <c r="R149" s="13" t="str">
        <f>_xlfn.XLOOKUP(Sales_fact[[#This Row],[Product_ID]],Product_Dim!A:A,Product_Dim!C:C,"OTHERS")</f>
        <v>Sports</v>
      </c>
    </row>
    <row r="150" spans="1:18" x14ac:dyDescent="0.3">
      <c r="A150" t="s">
        <v>1974</v>
      </c>
      <c r="B150" s="2">
        <v>45878</v>
      </c>
      <c r="C150" t="s">
        <v>1516</v>
      </c>
      <c r="D150" t="s">
        <v>1722</v>
      </c>
      <c r="E150" t="str">
        <f ca="1">TRIM(Sales_fact[[#This Row],[Store_ID]])</f>
        <v>STORE0</v>
      </c>
      <c r="F150">
        <v>1</v>
      </c>
      <c r="G150">
        <f>IF(ISBLANK(F150),MODE($F$2:$F$2001),F150)</f>
        <v>1</v>
      </c>
      <c r="H150">
        <v>652.03</v>
      </c>
      <c r="I150">
        <f>IF(ISBLANK(H150),AVERAGE($H$2:$H$2001),H150)</f>
        <v>652.03</v>
      </c>
      <c r="J150">
        <v>0.27</v>
      </c>
      <c r="K150">
        <f>IF(ISBLANK(J150),MODE($J$2:$J$2001),J150)</f>
        <v>0.27</v>
      </c>
      <c r="L150" t="s">
        <v>1824</v>
      </c>
      <c r="M150">
        <v>475.9819</v>
      </c>
      <c r="N150">
        <f t="shared" si="2"/>
        <v>475.9819</v>
      </c>
      <c r="O150" t="str">
        <f>_xlfn.XLOOKUP(Sales_fact[[#This Row],[Customer_ID]],'Customer_Dim'!A:A,'Customer_Dim'!K:K,"Not Found")</f>
        <v>Silver</v>
      </c>
      <c r="P150">
        <f>_xlfn.XLOOKUP(Sales_fact[[#This Row],[Customer_ID]],'Customer_Dim'!A:A, 'Customer_Dim'!E:E, "Not Found")</f>
        <v>28</v>
      </c>
      <c r="Q150" t="str">
        <f>VLOOKUP(Sales_fact[[#This Row],[Customer_ID]], 'Customer_Dim'!A:F, 6, FALSE)</f>
        <v>Male</v>
      </c>
      <c r="R150" s="13" t="str">
        <f>_xlfn.XLOOKUP(Sales_fact[[#This Row],[Product_ID]],Product_Dim!A:A,Product_Dim!C:C,"OTHERS")</f>
        <v>Home</v>
      </c>
    </row>
    <row r="151" spans="1:18" x14ac:dyDescent="0.3">
      <c r="A151" t="s">
        <v>1975</v>
      </c>
      <c r="B151" s="2">
        <v>45502</v>
      </c>
      <c r="C151" t="s">
        <v>335</v>
      </c>
      <c r="D151" t="s">
        <v>1555</v>
      </c>
      <c r="E151" t="str">
        <f ca="1">TRIM(Sales_fact[[#This Row],[Store_ID]])</f>
        <v>STORE12</v>
      </c>
      <c r="F151">
        <v>3</v>
      </c>
      <c r="G151">
        <f>IF(ISBLANK(F151),MODE($F$2:$F$2001),F151)</f>
        <v>3</v>
      </c>
      <c r="H151">
        <v>513.36</v>
      </c>
      <c r="I151">
        <f>IF(ISBLANK(H151),AVERAGE($H$2:$H$2001),H151)</f>
        <v>513.36</v>
      </c>
      <c r="J151">
        <v>7.0000000000000007E-2</v>
      </c>
      <c r="K151">
        <f>IF(ISBLANK(J151),MODE($J$2:$J$2001),J151)</f>
        <v>7.0000000000000007E-2</v>
      </c>
      <c r="L151" t="s">
        <v>1829</v>
      </c>
      <c r="M151">
        <v>1432.2744</v>
      </c>
      <c r="N151">
        <f t="shared" si="2"/>
        <v>1432.2743999999998</v>
      </c>
      <c r="O151" t="str">
        <f>_xlfn.XLOOKUP(Sales_fact[[#This Row],[Customer_ID]],'Customer_Dim'!A:A,'Customer_Dim'!K:K,"Not Found")</f>
        <v>Gold</v>
      </c>
      <c r="P151">
        <f>_xlfn.XLOOKUP(Sales_fact[[#This Row],[Customer_ID]],'Customer_Dim'!A:A, 'Customer_Dim'!E:E, "Not Found")</f>
        <v>28</v>
      </c>
      <c r="Q151" t="str">
        <f>VLOOKUP(Sales_fact[[#This Row],[Customer_ID]], 'Customer_Dim'!A:F, 6, FALSE)</f>
        <v>Female</v>
      </c>
      <c r="R151" s="13" t="str">
        <f>_xlfn.XLOOKUP(Sales_fact[[#This Row],[Product_ID]],Product_Dim!A:A,Product_Dim!C:C,"OTHERS")</f>
        <v>Clothing</v>
      </c>
    </row>
    <row r="152" spans="1:18" x14ac:dyDescent="0.3">
      <c r="A152" t="s">
        <v>1976</v>
      </c>
      <c r="B152" s="2">
        <v>45433</v>
      </c>
      <c r="C152" t="s">
        <v>251</v>
      </c>
      <c r="D152" t="s">
        <v>1652</v>
      </c>
      <c r="E152" t="str">
        <f ca="1">TRIM(Sales_fact[[#This Row],[Store_ID]])</f>
        <v>STORE5</v>
      </c>
      <c r="F152">
        <v>4</v>
      </c>
      <c r="G152">
        <f>IF(ISBLANK(F152),MODE($F$2:$F$2001),F152)</f>
        <v>4</v>
      </c>
      <c r="H152">
        <v>355.64</v>
      </c>
      <c r="I152">
        <f>IF(ISBLANK(H152),AVERAGE($H$2:$H$2001),H152)</f>
        <v>355.64</v>
      </c>
      <c r="J152">
        <v>0.16</v>
      </c>
      <c r="K152">
        <f>IF(ISBLANK(J152),MODE($J$2:$J$2001),J152)</f>
        <v>0.16</v>
      </c>
      <c r="L152" t="s">
        <v>1829</v>
      </c>
      <c r="M152">
        <v>1194.9503999999999</v>
      </c>
      <c r="N152">
        <f t="shared" si="2"/>
        <v>1194.9503999999999</v>
      </c>
      <c r="O152" t="str">
        <f>_xlfn.XLOOKUP(Sales_fact[[#This Row],[Customer_ID]],'Customer_Dim'!A:A,'Customer_Dim'!K:K,"Not Found")</f>
        <v>Silver</v>
      </c>
      <c r="P152">
        <f>_xlfn.XLOOKUP(Sales_fact[[#This Row],[Customer_ID]],'Customer_Dim'!A:A, 'Customer_Dim'!E:E, "Not Found")</f>
        <v>24</v>
      </c>
      <c r="Q152" t="str">
        <f>VLOOKUP(Sales_fact[[#This Row],[Customer_ID]], 'Customer_Dim'!A:F, 6, FALSE)</f>
        <v>Female</v>
      </c>
      <c r="R152" s="13" t="str">
        <f>_xlfn.XLOOKUP(Sales_fact[[#This Row],[Product_ID]],Product_Dim!A:A,Product_Dim!C:C,"OTHERS")</f>
        <v>Sports</v>
      </c>
    </row>
    <row r="153" spans="1:18" x14ac:dyDescent="0.3">
      <c r="A153" t="s">
        <v>1977</v>
      </c>
      <c r="B153" s="2">
        <v>45594</v>
      </c>
      <c r="C153" t="s">
        <v>97</v>
      </c>
      <c r="D153" t="s">
        <v>1574</v>
      </c>
      <c r="E153" t="str">
        <f ca="1">TRIM(Sales_fact[[#This Row],[Store_ID]])</f>
        <v>STORE8</v>
      </c>
      <c r="F153">
        <v>4</v>
      </c>
      <c r="G153">
        <f>IF(ISBLANK(F153),MODE($F$2:$F$2001),F153)</f>
        <v>4</v>
      </c>
      <c r="H153">
        <v>535.4</v>
      </c>
      <c r="I153">
        <f>IF(ISBLANK(H153),AVERAGE($H$2:$H$2001),H153)</f>
        <v>535.4</v>
      </c>
      <c r="J153">
        <v>0.26</v>
      </c>
      <c r="K153">
        <f>IF(ISBLANK(J153),MODE($J$2:$J$2001),J153)</f>
        <v>0.26</v>
      </c>
      <c r="L153" t="s">
        <v>1826</v>
      </c>
      <c r="M153">
        <v>1584.7840000000001</v>
      </c>
      <c r="N153">
        <f t="shared" si="2"/>
        <v>1584.7839999999999</v>
      </c>
      <c r="O153" t="str">
        <f>_xlfn.XLOOKUP(Sales_fact[[#This Row],[Customer_ID]],'Customer_Dim'!A:A,'Customer_Dim'!K:K,"Not Found")</f>
        <v>Silver</v>
      </c>
      <c r="P153">
        <f>_xlfn.XLOOKUP(Sales_fact[[#This Row],[Customer_ID]],'Customer_Dim'!A:A, 'Customer_Dim'!E:E, "Not Found")</f>
        <v>33</v>
      </c>
      <c r="Q153" t="str">
        <f>VLOOKUP(Sales_fact[[#This Row],[Customer_ID]], 'Customer_Dim'!A:F, 6, FALSE)</f>
        <v>Female</v>
      </c>
      <c r="R153" s="13" t="str">
        <f>_xlfn.XLOOKUP(Sales_fact[[#This Row],[Product_ID]],Product_Dim!A:A,Product_Dim!C:C,"OTHERS")</f>
        <v>Electronics</v>
      </c>
    </row>
    <row r="154" spans="1:18" x14ac:dyDescent="0.3">
      <c r="A154" t="s">
        <v>1978</v>
      </c>
      <c r="B154" s="2">
        <v>45798</v>
      </c>
      <c r="C154" t="s">
        <v>779</v>
      </c>
      <c r="D154" t="s">
        <v>1686</v>
      </c>
      <c r="E154" t="str">
        <f ca="1">TRIM(Sales_fact[[#This Row],[Store_ID]])</f>
        <v>STORE19</v>
      </c>
      <c r="F154">
        <v>2</v>
      </c>
      <c r="G154">
        <f>IF(ISBLANK(F154),MODE($F$2:$F$2001),F154)</f>
        <v>2</v>
      </c>
      <c r="H154">
        <v>108.74</v>
      </c>
      <c r="I154">
        <f>IF(ISBLANK(H154),AVERAGE($H$2:$H$2001),H154)</f>
        <v>108.74</v>
      </c>
      <c r="J154">
        <v>0.11</v>
      </c>
      <c r="K154">
        <f>IF(ISBLANK(J154),MODE($J$2:$J$2001),J154)</f>
        <v>0.11</v>
      </c>
      <c r="L154" t="s">
        <v>1826</v>
      </c>
      <c r="M154">
        <v>193.55719999999999</v>
      </c>
      <c r="N154">
        <f t="shared" si="2"/>
        <v>193.55719999999999</v>
      </c>
      <c r="O154" t="str">
        <f>_xlfn.XLOOKUP(Sales_fact[[#This Row],[Customer_ID]],'Customer_Dim'!A:A,'Customer_Dim'!K:K,"Not Found")</f>
        <v>Gold</v>
      </c>
      <c r="P154">
        <f>_xlfn.XLOOKUP(Sales_fact[[#This Row],[Customer_ID]],'Customer_Dim'!A:A, 'Customer_Dim'!E:E, "Not Found")</f>
        <v>56</v>
      </c>
      <c r="Q154" t="str">
        <f>VLOOKUP(Sales_fact[[#This Row],[Customer_ID]], 'Customer_Dim'!A:F, 6, FALSE)</f>
        <v>Female</v>
      </c>
      <c r="R154" s="13" t="str">
        <f>_xlfn.XLOOKUP(Sales_fact[[#This Row],[Product_ID]],Product_Dim!A:A,Product_Dim!C:C,"OTHERS")</f>
        <v>Clothing</v>
      </c>
    </row>
    <row r="155" spans="1:18" x14ac:dyDescent="0.3">
      <c r="A155" t="s">
        <v>1979</v>
      </c>
      <c r="B155" s="2">
        <v>45579</v>
      </c>
      <c r="C155" t="s">
        <v>990</v>
      </c>
      <c r="D155" t="s">
        <v>1570</v>
      </c>
      <c r="E155" t="str">
        <f ca="1">TRIM(Sales_fact[[#This Row],[Store_ID]])</f>
        <v>STORE19</v>
      </c>
      <c r="F155">
        <v>3</v>
      </c>
      <c r="G155">
        <f>IF(ISBLANK(F155),MODE($F$2:$F$2001),F155)</f>
        <v>3</v>
      </c>
      <c r="H155">
        <v>591.98</v>
      </c>
      <c r="I155">
        <f>IF(ISBLANK(H155),AVERAGE($H$2:$H$2001),H155)</f>
        <v>591.98</v>
      </c>
      <c r="J155">
        <v>0.16</v>
      </c>
      <c r="K155">
        <f>IF(ISBLANK(J155),MODE($J$2:$J$2001),J155)</f>
        <v>0.16</v>
      </c>
      <c r="L155" t="s">
        <v>1824</v>
      </c>
      <c r="M155">
        <v>1491.7896000000001</v>
      </c>
      <c r="N155">
        <f t="shared" si="2"/>
        <v>1491.7896000000001</v>
      </c>
      <c r="O155" t="str">
        <f>_xlfn.XLOOKUP(Sales_fact[[#This Row],[Customer_ID]],'Customer_Dim'!A:A,'Customer_Dim'!K:K,"Not Found")</f>
        <v>Silver</v>
      </c>
      <c r="P155">
        <f>_xlfn.XLOOKUP(Sales_fact[[#This Row],[Customer_ID]],'Customer_Dim'!A:A, 'Customer_Dim'!E:E, "Not Found")</f>
        <v>53</v>
      </c>
      <c r="Q155" t="str">
        <f>VLOOKUP(Sales_fact[[#This Row],[Customer_ID]], 'Customer_Dim'!A:F, 6, FALSE)</f>
        <v>Female</v>
      </c>
      <c r="R155" s="13" t="str">
        <f>_xlfn.XLOOKUP(Sales_fact[[#This Row],[Product_ID]],Product_Dim!A:A,Product_Dim!C:C,"OTHERS")</f>
        <v>Electronics</v>
      </c>
    </row>
    <row r="156" spans="1:18" x14ac:dyDescent="0.3">
      <c r="A156" t="s">
        <v>1980</v>
      </c>
      <c r="B156" s="2">
        <v>45613</v>
      </c>
      <c r="C156" t="s">
        <v>1260</v>
      </c>
      <c r="D156" t="s">
        <v>1644</v>
      </c>
      <c r="E156" t="str">
        <f ca="1">TRIM(Sales_fact[[#This Row],[Store_ID]])</f>
        <v>STORE2</v>
      </c>
      <c r="F156">
        <v>1</v>
      </c>
      <c r="G156">
        <f>IF(ISBLANK(F156),MODE($F$2:$F$2001),F156)</f>
        <v>1</v>
      </c>
      <c r="H156">
        <v>345.06</v>
      </c>
      <c r="I156">
        <f>IF(ISBLANK(H156),AVERAGE($H$2:$H$2001),H156)</f>
        <v>345.06</v>
      </c>
      <c r="J156">
        <v>0.13</v>
      </c>
      <c r="K156">
        <f>IF(ISBLANK(J156),MODE($J$2:$J$2001),J156)</f>
        <v>0.13</v>
      </c>
      <c r="L156" t="s">
        <v>1829</v>
      </c>
      <c r="M156">
        <v>300.2022</v>
      </c>
      <c r="N156">
        <f t="shared" si="2"/>
        <v>300.2022</v>
      </c>
      <c r="O156" t="str">
        <f>_xlfn.XLOOKUP(Sales_fact[[#This Row],[Customer_ID]],'Customer_Dim'!A:A,'Customer_Dim'!K:K,"Not Found")</f>
        <v>Gold</v>
      </c>
      <c r="P156">
        <f>_xlfn.XLOOKUP(Sales_fact[[#This Row],[Customer_ID]],'Customer_Dim'!A:A, 'Customer_Dim'!E:E, "Not Found")</f>
        <v>18</v>
      </c>
      <c r="Q156" t="str">
        <f>VLOOKUP(Sales_fact[[#This Row],[Customer_ID]], 'Customer_Dim'!A:F, 6, FALSE)</f>
        <v>Female</v>
      </c>
      <c r="R156" s="13" t="str">
        <f>_xlfn.XLOOKUP(Sales_fact[[#This Row],[Product_ID]],Product_Dim!A:A,Product_Dim!C:C,"OTHERS")</f>
        <v>Electronics</v>
      </c>
    </row>
    <row r="157" spans="1:18" x14ac:dyDescent="0.3">
      <c r="A157" t="s">
        <v>1981</v>
      </c>
      <c r="B157" s="2">
        <v>45745</v>
      </c>
      <c r="C157" t="s">
        <v>969</v>
      </c>
      <c r="D157" t="s">
        <v>1734</v>
      </c>
      <c r="E157" t="str">
        <f ca="1">TRIM(Sales_fact[[#This Row],[Store_ID]])</f>
        <v>STORE12</v>
      </c>
      <c r="F157">
        <v>4</v>
      </c>
      <c r="G157">
        <f>IF(ISBLANK(F157),MODE($F$2:$F$2001),F157)</f>
        <v>4</v>
      </c>
      <c r="H157">
        <v>986.41</v>
      </c>
      <c r="I157">
        <f>IF(ISBLANK(H157),AVERAGE($H$2:$H$2001),H157)</f>
        <v>986.41</v>
      </c>
      <c r="J157">
        <v>0.22</v>
      </c>
      <c r="K157">
        <f>IF(ISBLANK(J157),MODE($J$2:$J$2001),J157)</f>
        <v>0.22</v>
      </c>
      <c r="L157" t="s">
        <v>1824</v>
      </c>
      <c r="M157">
        <v>3077.5992000000001</v>
      </c>
      <c r="N157">
        <f t="shared" si="2"/>
        <v>3077.5992000000001</v>
      </c>
      <c r="O157" t="str">
        <f>_xlfn.XLOOKUP(Sales_fact[[#This Row],[Customer_ID]],'Customer_Dim'!A:A,'Customer_Dim'!K:K,"Not Found")</f>
        <v>Bronze</v>
      </c>
      <c r="P157">
        <f>_xlfn.XLOOKUP(Sales_fact[[#This Row],[Customer_ID]],'Customer_Dim'!A:A, 'Customer_Dim'!E:E, "Not Found")</f>
        <v>56</v>
      </c>
      <c r="Q157" t="str">
        <f>VLOOKUP(Sales_fact[[#This Row],[Customer_ID]], 'Customer_Dim'!A:F, 6, FALSE)</f>
        <v>Female</v>
      </c>
      <c r="R157" s="13" t="str">
        <f>_xlfn.XLOOKUP(Sales_fact[[#This Row],[Product_ID]],Product_Dim!A:A,Product_Dim!C:C,"OTHERS")</f>
        <v>Electronics</v>
      </c>
    </row>
    <row r="158" spans="1:18" x14ac:dyDescent="0.3">
      <c r="A158" t="s">
        <v>1982</v>
      </c>
      <c r="B158" s="2">
        <v>45494</v>
      </c>
      <c r="C158" t="s">
        <v>1005</v>
      </c>
      <c r="D158" t="s">
        <v>1646</v>
      </c>
      <c r="E158" t="str">
        <f ca="1">TRIM(Sales_fact[[#This Row],[Store_ID]])</f>
        <v>STORE0</v>
      </c>
      <c r="F158">
        <v>2</v>
      </c>
      <c r="G158">
        <f>IF(ISBLANK(F158),MODE($F$2:$F$2001),F158)</f>
        <v>2</v>
      </c>
      <c r="H158">
        <v>921.52</v>
      </c>
      <c r="I158">
        <f>IF(ISBLANK(H158),AVERAGE($H$2:$H$2001),H158)</f>
        <v>921.52</v>
      </c>
      <c r="J158">
        <v>0</v>
      </c>
      <c r="K158">
        <f>IF(ISBLANK(J158),MODE($J$2:$J$2001),J158)</f>
        <v>0</v>
      </c>
      <c r="L158" t="s">
        <v>1826</v>
      </c>
      <c r="M158">
        <v>1843.04</v>
      </c>
      <c r="N158">
        <f t="shared" si="2"/>
        <v>1843.04</v>
      </c>
      <c r="O158" t="str">
        <f>_xlfn.XLOOKUP(Sales_fact[[#This Row],[Customer_ID]],'Customer_Dim'!A:A,'Customer_Dim'!K:K,"Not Found")</f>
        <v>Platinum</v>
      </c>
      <c r="P158">
        <f>_xlfn.XLOOKUP(Sales_fact[[#This Row],[Customer_ID]],'Customer_Dim'!A:A, 'Customer_Dim'!E:E, "Not Found")</f>
        <v>54</v>
      </c>
      <c r="Q158" t="str">
        <f>VLOOKUP(Sales_fact[[#This Row],[Customer_ID]], 'Customer_Dim'!A:F, 6, FALSE)</f>
        <v>Male</v>
      </c>
      <c r="R158" s="13" t="str">
        <f>_xlfn.XLOOKUP(Sales_fact[[#This Row],[Product_ID]],Product_Dim!A:A,Product_Dim!C:C,"OTHERS")</f>
        <v>Beauty</v>
      </c>
    </row>
    <row r="159" spans="1:18" x14ac:dyDescent="0.3">
      <c r="A159" t="s">
        <v>1983</v>
      </c>
      <c r="B159" s="2">
        <v>45883</v>
      </c>
      <c r="C159" t="s">
        <v>347</v>
      </c>
      <c r="D159" t="s">
        <v>1658</v>
      </c>
      <c r="E159" t="str">
        <f ca="1">TRIM(Sales_fact[[#This Row],[Store_ID]])</f>
        <v>STORE5</v>
      </c>
      <c r="F159">
        <v>1</v>
      </c>
      <c r="G159">
        <f>IF(ISBLANK(F159),MODE($F$2:$F$2001),F159)</f>
        <v>1</v>
      </c>
      <c r="H159">
        <v>83.1</v>
      </c>
      <c r="I159">
        <f>IF(ISBLANK(H159),AVERAGE($H$2:$H$2001),H159)</f>
        <v>83.1</v>
      </c>
      <c r="J159">
        <v>0.04</v>
      </c>
      <c r="K159">
        <f>IF(ISBLANK(J159),MODE($J$2:$J$2001),J159)</f>
        <v>0.04</v>
      </c>
      <c r="L159" t="s">
        <v>1826</v>
      </c>
      <c r="M159">
        <v>79.775999999999996</v>
      </c>
      <c r="N159">
        <f t="shared" si="2"/>
        <v>79.775999999999996</v>
      </c>
      <c r="O159" t="str">
        <f>_xlfn.XLOOKUP(Sales_fact[[#This Row],[Customer_ID]],'Customer_Dim'!A:A,'Customer_Dim'!K:K,"Not Found")</f>
        <v>Silver</v>
      </c>
      <c r="P159">
        <f>_xlfn.XLOOKUP(Sales_fact[[#This Row],[Customer_ID]],'Customer_Dim'!A:A, 'Customer_Dim'!E:E, "Not Found")</f>
        <v>36</v>
      </c>
      <c r="Q159" t="str">
        <f>VLOOKUP(Sales_fact[[#This Row],[Customer_ID]], 'Customer_Dim'!A:F, 6, FALSE)</f>
        <v>Male</v>
      </c>
      <c r="R159" s="13" t="str">
        <f>_xlfn.XLOOKUP(Sales_fact[[#This Row],[Product_ID]],Product_Dim!A:A,Product_Dim!C:C,"OTHERS")</f>
        <v>Home</v>
      </c>
    </row>
    <row r="160" spans="1:18" x14ac:dyDescent="0.3">
      <c r="A160" t="s">
        <v>1984</v>
      </c>
      <c r="B160" s="2">
        <v>45601</v>
      </c>
      <c r="C160" t="s">
        <v>1154</v>
      </c>
      <c r="D160" t="s">
        <v>1604</v>
      </c>
      <c r="E160" t="str">
        <f ca="1">TRIM(Sales_fact[[#This Row],[Store_ID]])</f>
        <v>STORE11</v>
      </c>
      <c r="F160">
        <v>2</v>
      </c>
      <c r="G160">
        <f>IF(ISBLANK(F160),MODE($F$2:$F$2001),F160)</f>
        <v>2</v>
      </c>
      <c r="H160">
        <v>60.98</v>
      </c>
      <c r="I160">
        <f>IF(ISBLANK(H160),AVERAGE($H$2:$H$2001),H160)</f>
        <v>60.98</v>
      </c>
      <c r="J160">
        <v>0.23</v>
      </c>
      <c r="K160">
        <f>IF(ISBLANK(J160),MODE($J$2:$J$2001),J160)</f>
        <v>0.23</v>
      </c>
      <c r="L160" t="s">
        <v>1826</v>
      </c>
      <c r="M160">
        <v>93.909199999999998</v>
      </c>
      <c r="N160">
        <f t="shared" si="2"/>
        <v>93.909199999999998</v>
      </c>
      <c r="O160" t="str">
        <f>_xlfn.XLOOKUP(Sales_fact[[#This Row],[Customer_ID]],'Customer_Dim'!A:A,'Customer_Dim'!K:K,"Not Found")</f>
        <v>Platinum</v>
      </c>
      <c r="P160">
        <f>_xlfn.XLOOKUP(Sales_fact[[#This Row],[Customer_ID]],'Customer_Dim'!A:A, 'Customer_Dim'!E:E, "Not Found")</f>
        <v>20</v>
      </c>
      <c r="Q160" t="str">
        <f>VLOOKUP(Sales_fact[[#This Row],[Customer_ID]], 'Customer_Dim'!A:F, 6, FALSE)</f>
        <v>Female</v>
      </c>
      <c r="R160" s="13" t="str">
        <f>_xlfn.XLOOKUP(Sales_fact[[#This Row],[Product_ID]],Product_Dim!A:A,Product_Dim!C:C,"OTHERS")</f>
        <v>Sports</v>
      </c>
    </row>
    <row r="161" spans="1:18" x14ac:dyDescent="0.3">
      <c r="A161" t="s">
        <v>1985</v>
      </c>
      <c r="B161" s="2">
        <v>45454</v>
      </c>
      <c r="C161" t="s">
        <v>1229</v>
      </c>
      <c r="D161" t="s">
        <v>1726</v>
      </c>
      <c r="E161" t="str">
        <f ca="1">TRIM(Sales_fact[[#This Row],[Store_ID]])</f>
        <v>STORE16</v>
      </c>
      <c r="F161">
        <v>2</v>
      </c>
      <c r="G161">
        <f>IF(ISBLANK(F161),MODE($F$2:$F$2001),F161)</f>
        <v>2</v>
      </c>
      <c r="H161">
        <v>122.23</v>
      </c>
      <c r="I161">
        <f>IF(ISBLANK(H161),AVERAGE($H$2:$H$2001),H161)</f>
        <v>122.23</v>
      </c>
      <c r="J161">
        <v>0.21</v>
      </c>
      <c r="K161">
        <f>IF(ISBLANK(J161),MODE($J$2:$J$2001),J161)</f>
        <v>0.21</v>
      </c>
      <c r="L161" t="s">
        <v>1829</v>
      </c>
      <c r="M161">
        <v>193.1234</v>
      </c>
      <c r="N161">
        <f t="shared" si="2"/>
        <v>193.1234</v>
      </c>
      <c r="O161" t="str">
        <f>_xlfn.XLOOKUP(Sales_fact[[#This Row],[Customer_ID]],'Customer_Dim'!A:A,'Customer_Dim'!K:K,"Not Found")</f>
        <v>Bronze</v>
      </c>
      <c r="P161">
        <f>_xlfn.XLOOKUP(Sales_fact[[#This Row],[Customer_ID]],'Customer_Dim'!A:A, 'Customer_Dim'!E:E, "Not Found")</f>
        <v>43</v>
      </c>
      <c r="Q161" t="str">
        <f>VLOOKUP(Sales_fact[[#This Row],[Customer_ID]], 'Customer_Dim'!A:F, 6, FALSE)</f>
        <v>Female</v>
      </c>
      <c r="R161" s="13" t="str">
        <f>_xlfn.XLOOKUP(Sales_fact[[#This Row],[Product_ID]],Product_Dim!A:A,Product_Dim!C:C,"OTHERS")</f>
        <v>Beauty</v>
      </c>
    </row>
    <row r="162" spans="1:18" x14ac:dyDescent="0.3">
      <c r="A162" t="s">
        <v>1986</v>
      </c>
      <c r="B162" s="2">
        <v>45918</v>
      </c>
      <c r="C162" t="s">
        <v>89</v>
      </c>
      <c r="D162" t="s">
        <v>1688</v>
      </c>
      <c r="E162" t="str">
        <f ca="1">TRIM(Sales_fact[[#This Row],[Store_ID]])</f>
        <v>STORE18</v>
      </c>
      <c r="F162">
        <v>2</v>
      </c>
      <c r="G162">
        <f>IF(ISBLANK(F162),MODE($F$2:$F$2001),F162)</f>
        <v>2</v>
      </c>
      <c r="H162">
        <v>623.38</v>
      </c>
      <c r="I162">
        <f>IF(ISBLANK(H162),AVERAGE($H$2:$H$2001),H162)</f>
        <v>623.38</v>
      </c>
      <c r="J162">
        <v>0.13</v>
      </c>
      <c r="K162">
        <f>IF(ISBLANK(J162),MODE($J$2:$J$2001),J162)</f>
        <v>0.13</v>
      </c>
      <c r="L162" t="s">
        <v>1824</v>
      </c>
      <c r="M162">
        <v>1084.6812</v>
      </c>
      <c r="N162">
        <f t="shared" si="2"/>
        <v>1084.6812</v>
      </c>
      <c r="O162" t="str">
        <f>_xlfn.XLOOKUP(Sales_fact[[#This Row],[Customer_ID]],'Customer_Dim'!A:A,'Customer_Dim'!K:K,"Not Found")</f>
        <v>Silver</v>
      </c>
      <c r="P162">
        <f>_xlfn.XLOOKUP(Sales_fact[[#This Row],[Customer_ID]],'Customer_Dim'!A:A, 'Customer_Dim'!E:E, "Not Found")</f>
        <v>59</v>
      </c>
      <c r="Q162" t="str">
        <f>VLOOKUP(Sales_fact[[#This Row],[Customer_ID]], 'Customer_Dim'!A:F, 6, FALSE)</f>
        <v>Male</v>
      </c>
      <c r="R162" s="13" t="str">
        <f>_xlfn.XLOOKUP(Sales_fact[[#This Row],[Product_ID]],Product_Dim!A:A,Product_Dim!C:C,"OTHERS")</f>
        <v>Home</v>
      </c>
    </row>
    <row r="163" spans="1:18" x14ac:dyDescent="0.3">
      <c r="A163" t="s">
        <v>1987</v>
      </c>
      <c r="B163" s="2">
        <v>45729</v>
      </c>
      <c r="C163" t="s">
        <v>218</v>
      </c>
      <c r="D163" t="s">
        <v>1688</v>
      </c>
      <c r="E163" t="str">
        <f ca="1">TRIM(Sales_fact[[#This Row],[Store_ID]])</f>
        <v>STORE0</v>
      </c>
      <c r="F163">
        <v>1</v>
      </c>
      <c r="G163">
        <f>IF(ISBLANK(F163),MODE($F$2:$F$2001),F163)</f>
        <v>1</v>
      </c>
      <c r="H163">
        <v>479.58</v>
      </c>
      <c r="I163">
        <f>IF(ISBLANK(H163),AVERAGE($H$2:$H$2001),H163)</f>
        <v>479.58</v>
      </c>
      <c r="J163">
        <v>0.05</v>
      </c>
      <c r="K163">
        <f>IF(ISBLANK(J163),MODE($J$2:$J$2001),J163)</f>
        <v>0.05</v>
      </c>
      <c r="L163" t="s">
        <v>1826</v>
      </c>
      <c r="M163">
        <v>455.60099999999989</v>
      </c>
      <c r="N163">
        <f t="shared" si="2"/>
        <v>455.60099999999994</v>
      </c>
      <c r="O163" t="str">
        <f>_xlfn.XLOOKUP(Sales_fact[[#This Row],[Customer_ID]],'Customer_Dim'!A:A,'Customer_Dim'!K:K,"Not Found")</f>
        <v>Platinum</v>
      </c>
      <c r="P163">
        <f>_xlfn.XLOOKUP(Sales_fact[[#This Row],[Customer_ID]],'Customer_Dim'!A:A, 'Customer_Dim'!E:E, "Not Found")</f>
        <v>51</v>
      </c>
      <c r="Q163" t="str">
        <f>VLOOKUP(Sales_fact[[#This Row],[Customer_ID]], 'Customer_Dim'!A:F, 6, FALSE)</f>
        <v>Male</v>
      </c>
      <c r="R163" s="13" t="str">
        <f>_xlfn.XLOOKUP(Sales_fact[[#This Row],[Product_ID]],Product_Dim!A:A,Product_Dim!C:C,"OTHERS")</f>
        <v>Home</v>
      </c>
    </row>
    <row r="164" spans="1:18" x14ac:dyDescent="0.3">
      <c r="A164" t="s">
        <v>1988</v>
      </c>
      <c r="B164" s="2">
        <v>45276</v>
      </c>
      <c r="C164" t="s">
        <v>942</v>
      </c>
      <c r="D164" t="s">
        <v>1694</v>
      </c>
      <c r="E164" t="str">
        <f ca="1">TRIM(Sales_fact[[#This Row],[Store_ID]])</f>
        <v>STORE6</v>
      </c>
      <c r="F164">
        <v>3</v>
      </c>
      <c r="G164">
        <f>IF(ISBLANK(F164),MODE($F$2:$F$2001),F164)</f>
        <v>3</v>
      </c>
      <c r="H164">
        <v>369.32</v>
      </c>
      <c r="I164">
        <f>IF(ISBLANK(H164),AVERAGE($H$2:$H$2001),H164)</f>
        <v>369.32</v>
      </c>
      <c r="J164">
        <v>0.14000000000000001</v>
      </c>
      <c r="K164">
        <f>IF(ISBLANK(J164),MODE($J$2:$J$2001),J164)</f>
        <v>0.14000000000000001</v>
      </c>
      <c r="L164" t="s">
        <v>1826</v>
      </c>
      <c r="M164">
        <v>952.84559999999999</v>
      </c>
      <c r="N164">
        <f t="shared" si="2"/>
        <v>952.84559999999999</v>
      </c>
      <c r="O164" t="str">
        <f>_xlfn.XLOOKUP(Sales_fact[[#This Row],[Customer_ID]],'Customer_Dim'!A:A,'Customer_Dim'!K:K,"Not Found")</f>
        <v>Platinum</v>
      </c>
      <c r="P164">
        <f>_xlfn.XLOOKUP(Sales_fact[[#This Row],[Customer_ID]],'Customer_Dim'!A:A, 'Customer_Dim'!E:E, "Not Found")</f>
        <v>64</v>
      </c>
      <c r="Q164" t="str">
        <f>VLOOKUP(Sales_fact[[#This Row],[Customer_ID]], 'Customer_Dim'!A:F, 6, FALSE)</f>
        <v>Male</v>
      </c>
      <c r="R164" s="13" t="str">
        <f>_xlfn.XLOOKUP(Sales_fact[[#This Row],[Product_ID]],Product_Dim!A:A,Product_Dim!C:C,"OTHERS")</f>
        <v>Sports</v>
      </c>
    </row>
    <row r="165" spans="1:18" x14ac:dyDescent="0.3">
      <c r="A165" t="s">
        <v>1989</v>
      </c>
      <c r="B165" s="2">
        <v>45851</v>
      </c>
      <c r="C165" t="s">
        <v>278</v>
      </c>
      <c r="D165" t="s">
        <v>1612</v>
      </c>
      <c r="E165" t="str">
        <f ca="1">TRIM(Sales_fact[[#This Row],[Store_ID]])</f>
        <v>STORE1</v>
      </c>
      <c r="F165">
        <v>1</v>
      </c>
      <c r="G165">
        <f>IF(ISBLANK(F165),MODE($F$2:$F$2001),F165)</f>
        <v>1</v>
      </c>
      <c r="H165">
        <v>488.31</v>
      </c>
      <c r="I165">
        <f>IF(ISBLANK(H165),AVERAGE($H$2:$H$2001),H165)</f>
        <v>488.31</v>
      </c>
      <c r="J165">
        <v>0.03</v>
      </c>
      <c r="K165">
        <f>IF(ISBLANK(J165),MODE($J$2:$J$2001),J165)</f>
        <v>0.03</v>
      </c>
      <c r="L165" t="s">
        <v>1826</v>
      </c>
      <c r="M165">
        <v>473.66070000000002</v>
      </c>
      <c r="N165">
        <f t="shared" si="2"/>
        <v>473.66069999999996</v>
      </c>
      <c r="O165" t="str">
        <f>_xlfn.XLOOKUP(Sales_fact[[#This Row],[Customer_ID]],'Customer_Dim'!A:A,'Customer_Dim'!K:K,"Not Found")</f>
        <v>Gold</v>
      </c>
      <c r="P165">
        <f>_xlfn.XLOOKUP(Sales_fact[[#This Row],[Customer_ID]],'Customer_Dim'!A:A, 'Customer_Dim'!E:E, "Not Found")</f>
        <v>37</v>
      </c>
      <c r="Q165" t="str">
        <f>VLOOKUP(Sales_fact[[#This Row],[Customer_ID]], 'Customer_Dim'!A:F, 6, FALSE)</f>
        <v>Male</v>
      </c>
      <c r="R165" s="13" t="str">
        <f>_xlfn.XLOOKUP(Sales_fact[[#This Row],[Product_ID]],Product_Dim!A:A,Product_Dim!C:C,"OTHERS")</f>
        <v>Beauty</v>
      </c>
    </row>
    <row r="166" spans="1:18" x14ac:dyDescent="0.3">
      <c r="A166" t="s">
        <v>1990</v>
      </c>
      <c r="B166" s="2">
        <v>45418</v>
      </c>
      <c r="C166" t="s">
        <v>878</v>
      </c>
      <c r="D166" t="s">
        <v>1656</v>
      </c>
      <c r="E166" t="str">
        <f ca="1">TRIM(Sales_fact[[#This Row],[Store_ID]])</f>
        <v>STORE12</v>
      </c>
      <c r="F166">
        <v>4</v>
      </c>
      <c r="G166">
        <f>IF(ISBLANK(F166),MODE($F$2:$F$2001),F166)</f>
        <v>4</v>
      </c>
      <c r="H166">
        <v>164.04</v>
      </c>
      <c r="I166">
        <f>IF(ISBLANK(H166),AVERAGE($H$2:$H$2001),H166)</f>
        <v>164.04</v>
      </c>
      <c r="J166">
        <v>0.26</v>
      </c>
      <c r="K166">
        <f>IF(ISBLANK(J166),MODE($J$2:$J$2001),J166)</f>
        <v>0.26</v>
      </c>
      <c r="L166" t="s">
        <v>1824</v>
      </c>
      <c r="M166">
        <v>485.55839999999989</v>
      </c>
      <c r="N166">
        <f t="shared" si="2"/>
        <v>485.55839999999995</v>
      </c>
      <c r="O166" t="str">
        <f>_xlfn.XLOOKUP(Sales_fact[[#This Row],[Customer_ID]],'Customer_Dim'!A:A,'Customer_Dim'!K:K,"Not Found")</f>
        <v>Gold</v>
      </c>
      <c r="P166">
        <f>_xlfn.XLOOKUP(Sales_fact[[#This Row],[Customer_ID]],'Customer_Dim'!A:A, 'Customer_Dim'!E:E, "Not Found")</f>
        <v>38</v>
      </c>
      <c r="Q166" t="str">
        <f>VLOOKUP(Sales_fact[[#This Row],[Customer_ID]], 'Customer_Dim'!A:F, 6, FALSE)</f>
        <v>Male</v>
      </c>
      <c r="R166" s="13" t="str">
        <f>_xlfn.XLOOKUP(Sales_fact[[#This Row],[Product_ID]],Product_Dim!A:A,Product_Dim!C:C,"OTHERS")</f>
        <v>Sports</v>
      </c>
    </row>
    <row r="167" spans="1:18" x14ac:dyDescent="0.3">
      <c r="A167" t="s">
        <v>1991</v>
      </c>
      <c r="B167" s="2">
        <v>45508</v>
      </c>
      <c r="C167" t="s">
        <v>268</v>
      </c>
      <c r="D167" t="s">
        <v>1568</v>
      </c>
      <c r="E167" t="str">
        <f ca="1">TRIM(Sales_fact[[#This Row],[Store_ID]])</f>
        <v>STORE17</v>
      </c>
      <c r="F167">
        <v>3</v>
      </c>
      <c r="G167">
        <f>IF(ISBLANK(F167),MODE($F$2:$F$2001),F167)</f>
        <v>3</v>
      </c>
      <c r="H167">
        <v>707.95</v>
      </c>
      <c r="I167">
        <f>IF(ISBLANK(H167),AVERAGE($H$2:$H$2001),H167)</f>
        <v>707.95</v>
      </c>
      <c r="J167">
        <v>0.18</v>
      </c>
      <c r="K167">
        <f>IF(ISBLANK(J167),MODE($J$2:$J$2001),J167)</f>
        <v>0.18</v>
      </c>
      <c r="L167" t="s">
        <v>1826</v>
      </c>
      <c r="M167">
        <v>1741.557</v>
      </c>
      <c r="N167">
        <f t="shared" si="2"/>
        <v>1741.5570000000005</v>
      </c>
      <c r="O167" t="str">
        <f>_xlfn.XLOOKUP(Sales_fact[[#This Row],[Customer_ID]],'Customer_Dim'!A:A,'Customer_Dim'!K:K,"Not Found")</f>
        <v>Silver</v>
      </c>
      <c r="P167">
        <f>_xlfn.XLOOKUP(Sales_fact[[#This Row],[Customer_ID]],'Customer_Dim'!A:A, 'Customer_Dim'!E:E, "Not Found")</f>
        <v>56</v>
      </c>
      <c r="Q167" t="str">
        <f>VLOOKUP(Sales_fact[[#This Row],[Customer_ID]], 'Customer_Dim'!A:F, 6, FALSE)</f>
        <v>Female</v>
      </c>
      <c r="R167" s="13" t="str">
        <f>_xlfn.XLOOKUP(Sales_fact[[#This Row],[Product_ID]],Product_Dim!A:A,Product_Dim!C:C,"OTHERS")</f>
        <v>Home</v>
      </c>
    </row>
    <row r="168" spans="1:18" x14ac:dyDescent="0.3">
      <c r="A168" t="s">
        <v>1992</v>
      </c>
      <c r="B168" s="2">
        <v>45269</v>
      </c>
      <c r="C168" t="s">
        <v>934</v>
      </c>
      <c r="D168" t="s">
        <v>1686</v>
      </c>
      <c r="E168" t="str">
        <f ca="1">TRIM(Sales_fact[[#This Row],[Store_ID]])</f>
        <v>STORE8</v>
      </c>
      <c r="F168">
        <v>4</v>
      </c>
      <c r="G168">
        <f>IF(ISBLANK(F168),MODE($F$2:$F$2001),F168)</f>
        <v>4</v>
      </c>
      <c r="H168">
        <v>714.47</v>
      </c>
      <c r="I168">
        <f>IF(ISBLANK(H168),AVERAGE($H$2:$H$2001),H168)</f>
        <v>714.47</v>
      </c>
      <c r="J168">
        <v>0.18</v>
      </c>
      <c r="K168">
        <f>IF(ISBLANK(J168),MODE($J$2:$J$2001),J168)</f>
        <v>0.18</v>
      </c>
      <c r="L168" t="s">
        <v>1829</v>
      </c>
      <c r="M168">
        <v>2343.4616000000001</v>
      </c>
      <c r="N168">
        <f t="shared" si="2"/>
        <v>2343.4616000000001</v>
      </c>
      <c r="O168" t="str">
        <f>_xlfn.XLOOKUP(Sales_fact[[#This Row],[Customer_ID]],'Customer_Dim'!A:A,'Customer_Dim'!K:K,"Not Found")</f>
        <v>Bronze</v>
      </c>
      <c r="P168">
        <f>_xlfn.XLOOKUP(Sales_fact[[#This Row],[Customer_ID]],'Customer_Dim'!A:A, 'Customer_Dim'!E:E, "Not Found")</f>
        <v>19</v>
      </c>
      <c r="Q168" t="str">
        <f>VLOOKUP(Sales_fact[[#This Row],[Customer_ID]], 'Customer_Dim'!A:F, 6, FALSE)</f>
        <v>Female</v>
      </c>
      <c r="R168" s="13" t="str">
        <f>_xlfn.XLOOKUP(Sales_fact[[#This Row],[Product_ID]],Product_Dim!A:A,Product_Dim!C:C,"OTHERS")</f>
        <v>Clothing</v>
      </c>
    </row>
    <row r="169" spans="1:18" x14ac:dyDescent="0.3">
      <c r="A169" t="s">
        <v>1993</v>
      </c>
      <c r="B169" s="2">
        <v>45866</v>
      </c>
      <c r="C169" t="s">
        <v>1289</v>
      </c>
      <c r="D169" t="s">
        <v>1706</v>
      </c>
      <c r="E169" t="str">
        <f ca="1">TRIM(Sales_fact[[#This Row],[Store_ID]])</f>
        <v>STORE7</v>
      </c>
      <c r="F169">
        <v>4</v>
      </c>
      <c r="G169">
        <f>IF(ISBLANK(F169),MODE($F$2:$F$2001),F169)</f>
        <v>4</v>
      </c>
      <c r="H169">
        <v>422.09</v>
      </c>
      <c r="I169">
        <f>IF(ISBLANK(H169),AVERAGE($H$2:$H$2001),H169)</f>
        <v>422.09</v>
      </c>
      <c r="J169">
        <v>0.04</v>
      </c>
      <c r="K169">
        <f>IF(ISBLANK(J169),MODE($J$2:$J$2001),J169)</f>
        <v>0.04</v>
      </c>
      <c r="L169" t="s">
        <v>1824</v>
      </c>
      <c r="M169">
        <v>1620.8255999999999</v>
      </c>
      <c r="N169">
        <f t="shared" si="2"/>
        <v>1620.8255999999999</v>
      </c>
      <c r="O169" t="str">
        <f>_xlfn.XLOOKUP(Sales_fact[[#This Row],[Customer_ID]],'Customer_Dim'!A:A,'Customer_Dim'!K:K,"Not Found")</f>
        <v>Silver</v>
      </c>
      <c r="P169">
        <f>_xlfn.XLOOKUP(Sales_fact[[#This Row],[Customer_ID]],'Customer_Dim'!A:A, 'Customer_Dim'!E:E, "Not Found")</f>
        <v>26</v>
      </c>
      <c r="Q169" t="str">
        <f>VLOOKUP(Sales_fact[[#This Row],[Customer_ID]], 'Customer_Dim'!A:F, 6, FALSE)</f>
        <v>Female</v>
      </c>
      <c r="R169" s="13" t="str">
        <f>_xlfn.XLOOKUP(Sales_fact[[#This Row],[Product_ID]],Product_Dim!A:A,Product_Dim!C:C,"OTHERS")</f>
        <v>Home</v>
      </c>
    </row>
    <row r="170" spans="1:18" x14ac:dyDescent="0.3">
      <c r="A170" t="s">
        <v>1994</v>
      </c>
      <c r="B170" s="2">
        <v>45462</v>
      </c>
      <c r="C170" t="s">
        <v>381</v>
      </c>
      <c r="D170" t="s">
        <v>1608</v>
      </c>
      <c r="E170" t="str">
        <f ca="1">TRIM(Sales_fact[[#This Row],[Store_ID]])</f>
        <v>STORE9</v>
      </c>
      <c r="F170">
        <v>1</v>
      </c>
      <c r="G170">
        <f>IF(ISBLANK(F170),MODE($F$2:$F$2001),F170)</f>
        <v>1</v>
      </c>
      <c r="H170">
        <v>998.19</v>
      </c>
      <c r="I170">
        <f>IF(ISBLANK(H170),AVERAGE($H$2:$H$2001),H170)</f>
        <v>998.19</v>
      </c>
      <c r="J170">
        <v>0.2</v>
      </c>
      <c r="K170">
        <f>IF(ISBLANK(J170),MODE($J$2:$J$2001),J170)</f>
        <v>0.2</v>
      </c>
      <c r="L170" t="s">
        <v>1824</v>
      </c>
      <c r="M170">
        <v>798.55200000000013</v>
      </c>
      <c r="N170">
        <f t="shared" si="2"/>
        <v>798.55200000000013</v>
      </c>
      <c r="O170" t="str">
        <f>_xlfn.XLOOKUP(Sales_fact[[#This Row],[Customer_ID]],'Customer_Dim'!A:A,'Customer_Dim'!K:K,"Not Found")</f>
        <v>Bronze</v>
      </c>
      <c r="P170">
        <f>_xlfn.XLOOKUP(Sales_fact[[#This Row],[Customer_ID]],'Customer_Dim'!A:A, 'Customer_Dim'!E:E, "Not Found")</f>
        <v>38</v>
      </c>
      <c r="Q170" t="str">
        <f>VLOOKUP(Sales_fact[[#This Row],[Customer_ID]], 'Customer_Dim'!A:F, 6, FALSE)</f>
        <v>Male</v>
      </c>
      <c r="R170" s="13" t="str">
        <f>_xlfn.XLOOKUP(Sales_fact[[#This Row],[Product_ID]],Product_Dim!A:A,Product_Dim!C:C,"OTHERS")</f>
        <v>Home</v>
      </c>
    </row>
    <row r="171" spans="1:18" x14ac:dyDescent="0.3">
      <c r="A171" t="s">
        <v>1995</v>
      </c>
      <c r="B171" s="2">
        <v>45313</v>
      </c>
      <c r="C171" t="s">
        <v>1166</v>
      </c>
      <c r="D171" t="s">
        <v>1692</v>
      </c>
      <c r="E171" t="str">
        <f ca="1">TRIM(Sales_fact[[#This Row],[Store_ID]])</f>
        <v>STORE7</v>
      </c>
      <c r="F171">
        <v>2</v>
      </c>
      <c r="G171">
        <f>IF(ISBLANK(F171),MODE($F$2:$F$2001),F171)</f>
        <v>2</v>
      </c>
      <c r="H171">
        <v>343.42</v>
      </c>
      <c r="I171">
        <f>IF(ISBLANK(H171),AVERAGE($H$2:$H$2001),H171)</f>
        <v>343.42</v>
      </c>
      <c r="J171">
        <v>0.12</v>
      </c>
      <c r="K171">
        <f>IF(ISBLANK(J171),MODE($J$2:$J$2001),J171)</f>
        <v>0.12</v>
      </c>
      <c r="L171" t="s">
        <v>1829</v>
      </c>
      <c r="M171">
        <v>604.41920000000005</v>
      </c>
      <c r="N171">
        <f t="shared" si="2"/>
        <v>604.41920000000005</v>
      </c>
      <c r="O171" t="str">
        <f>_xlfn.XLOOKUP(Sales_fact[[#This Row],[Customer_ID]],'Customer_Dim'!A:A,'Customer_Dim'!K:K,"Not Found")</f>
        <v>Gold</v>
      </c>
      <c r="P171">
        <f>_xlfn.XLOOKUP(Sales_fact[[#This Row],[Customer_ID]],'Customer_Dim'!A:A, 'Customer_Dim'!E:E, "Not Found")</f>
        <v>37</v>
      </c>
      <c r="Q171" t="str">
        <f>VLOOKUP(Sales_fact[[#This Row],[Customer_ID]], 'Customer_Dim'!A:F, 6, FALSE)</f>
        <v>Female</v>
      </c>
      <c r="R171" s="13" t="str">
        <f>_xlfn.XLOOKUP(Sales_fact[[#This Row],[Product_ID]],Product_Dim!A:A,Product_Dim!C:C,"OTHERS")</f>
        <v>Sports</v>
      </c>
    </row>
    <row r="172" spans="1:18" x14ac:dyDescent="0.3">
      <c r="A172" t="s">
        <v>1996</v>
      </c>
      <c r="B172" s="2">
        <v>45390</v>
      </c>
      <c r="C172" t="s">
        <v>818</v>
      </c>
      <c r="D172" t="s">
        <v>1616</v>
      </c>
      <c r="E172" t="str">
        <f ca="1">TRIM(Sales_fact[[#This Row],[Store_ID]])</f>
        <v>STORE6</v>
      </c>
      <c r="F172">
        <v>1</v>
      </c>
      <c r="G172">
        <f>IF(ISBLANK(F172),MODE($F$2:$F$2001),F172)</f>
        <v>1</v>
      </c>
      <c r="H172">
        <v>152.16999999999999</v>
      </c>
      <c r="I172">
        <f>IF(ISBLANK(H172),AVERAGE($H$2:$H$2001),H172)</f>
        <v>152.16999999999999</v>
      </c>
      <c r="J172">
        <v>0.28000000000000003</v>
      </c>
      <c r="K172">
        <f>IF(ISBLANK(J172),MODE($J$2:$J$2001),J172)</f>
        <v>0.28000000000000003</v>
      </c>
      <c r="L172" t="s">
        <v>1829</v>
      </c>
      <c r="M172">
        <v>109.5624</v>
      </c>
      <c r="N172">
        <f t="shared" si="2"/>
        <v>109.56239999999998</v>
      </c>
      <c r="O172" t="str">
        <f>_xlfn.XLOOKUP(Sales_fact[[#This Row],[Customer_ID]],'Customer_Dim'!A:A,'Customer_Dim'!K:K,"Not Found")</f>
        <v>Platinum</v>
      </c>
      <c r="P172">
        <f>_xlfn.XLOOKUP(Sales_fact[[#This Row],[Customer_ID]],'Customer_Dim'!A:A, 'Customer_Dim'!E:E, "Not Found")</f>
        <v>57</v>
      </c>
      <c r="Q172" t="str">
        <f>VLOOKUP(Sales_fact[[#This Row],[Customer_ID]], 'Customer_Dim'!A:F, 6, FALSE)</f>
        <v>Male</v>
      </c>
      <c r="R172" s="13" t="str">
        <f>_xlfn.XLOOKUP(Sales_fact[[#This Row],[Product_ID]],Product_Dim!A:A,Product_Dim!C:C,"OTHERS")</f>
        <v>Electronics</v>
      </c>
    </row>
    <row r="173" spans="1:18" x14ac:dyDescent="0.3">
      <c r="A173" t="s">
        <v>1997</v>
      </c>
      <c r="B173" s="2">
        <v>45795</v>
      </c>
      <c r="C173" t="s">
        <v>579</v>
      </c>
      <c r="D173" t="s">
        <v>1646</v>
      </c>
      <c r="E173" t="str">
        <f ca="1">TRIM(Sales_fact[[#This Row],[Store_ID]])</f>
        <v>STORE11</v>
      </c>
      <c r="F173">
        <v>1</v>
      </c>
      <c r="G173">
        <f>IF(ISBLANK(F173),MODE($F$2:$F$2001),F173)</f>
        <v>1</v>
      </c>
      <c r="H173">
        <v>325.08</v>
      </c>
      <c r="I173">
        <f>IF(ISBLANK(H173),AVERAGE($H$2:$H$2001),H173)</f>
        <v>325.08</v>
      </c>
      <c r="J173">
        <v>0.26</v>
      </c>
      <c r="K173">
        <f>IF(ISBLANK(J173),MODE($J$2:$J$2001),J173)</f>
        <v>0.26</v>
      </c>
      <c r="L173" t="s">
        <v>1826</v>
      </c>
      <c r="M173">
        <v>240.5592</v>
      </c>
      <c r="N173">
        <f t="shared" si="2"/>
        <v>240.55919999999998</v>
      </c>
      <c r="O173" t="str">
        <f>_xlfn.XLOOKUP(Sales_fact[[#This Row],[Customer_ID]],'Customer_Dim'!A:A,'Customer_Dim'!K:K,"Not Found")</f>
        <v>Platinum</v>
      </c>
      <c r="P173">
        <f>_xlfn.XLOOKUP(Sales_fact[[#This Row],[Customer_ID]],'Customer_Dim'!A:A, 'Customer_Dim'!E:E, "Not Found")</f>
        <v>56</v>
      </c>
      <c r="Q173" t="str">
        <f>VLOOKUP(Sales_fact[[#This Row],[Customer_ID]], 'Customer_Dim'!A:F, 6, FALSE)</f>
        <v>Male</v>
      </c>
      <c r="R173" s="13" t="str">
        <f>_xlfn.XLOOKUP(Sales_fact[[#This Row],[Product_ID]],Product_Dim!A:A,Product_Dim!C:C,"OTHERS")</f>
        <v>Beauty</v>
      </c>
    </row>
    <row r="174" spans="1:18" x14ac:dyDescent="0.3">
      <c r="A174" t="s">
        <v>1998</v>
      </c>
      <c r="B174" s="2">
        <v>45267</v>
      </c>
      <c r="C174" t="s">
        <v>1080</v>
      </c>
      <c r="D174" t="s">
        <v>1726</v>
      </c>
      <c r="E174" t="str">
        <f ca="1">TRIM(Sales_fact[[#This Row],[Store_ID]])</f>
        <v>STORE10</v>
      </c>
      <c r="F174">
        <v>2</v>
      </c>
      <c r="G174">
        <f>IF(ISBLANK(F174),MODE($F$2:$F$2001),F174)</f>
        <v>2</v>
      </c>
      <c r="H174">
        <v>827.92</v>
      </c>
      <c r="I174">
        <f>IF(ISBLANK(H174),AVERAGE($H$2:$H$2001),H174)</f>
        <v>827.92</v>
      </c>
      <c r="J174">
        <v>0.25</v>
      </c>
      <c r="K174">
        <f>IF(ISBLANK(J174),MODE($J$2:$J$2001),J174)</f>
        <v>0.25</v>
      </c>
      <c r="L174" t="s">
        <v>1829</v>
      </c>
      <c r="M174">
        <v>1241.8800000000001</v>
      </c>
      <c r="N174">
        <f t="shared" si="2"/>
        <v>1241.8799999999999</v>
      </c>
      <c r="O174" t="str">
        <f>_xlfn.XLOOKUP(Sales_fact[[#This Row],[Customer_ID]],'Customer_Dim'!A:A,'Customer_Dim'!K:K,"Not Found")</f>
        <v>Gold</v>
      </c>
      <c r="P174">
        <f>_xlfn.XLOOKUP(Sales_fact[[#This Row],[Customer_ID]],'Customer_Dim'!A:A, 'Customer_Dim'!E:E, "Not Found")</f>
        <v>39</v>
      </c>
      <c r="Q174" t="str">
        <f>VLOOKUP(Sales_fact[[#This Row],[Customer_ID]], 'Customer_Dim'!A:F, 6, FALSE)</f>
        <v>Male</v>
      </c>
      <c r="R174" s="13" t="str">
        <f>_xlfn.XLOOKUP(Sales_fact[[#This Row],[Product_ID]],Product_Dim!A:A,Product_Dim!C:C,"OTHERS")</f>
        <v>Beauty</v>
      </c>
    </row>
    <row r="175" spans="1:18" x14ac:dyDescent="0.3">
      <c r="A175" t="s">
        <v>1999</v>
      </c>
      <c r="B175" s="2">
        <v>45314</v>
      </c>
      <c r="C175" t="s">
        <v>1492</v>
      </c>
      <c r="D175" t="s">
        <v>1600</v>
      </c>
      <c r="E175" t="str">
        <f ca="1">TRIM(Sales_fact[[#This Row],[Store_ID]])</f>
        <v>STORE2</v>
      </c>
      <c r="F175">
        <v>2</v>
      </c>
      <c r="G175">
        <f>IF(ISBLANK(F175),MODE($F$2:$F$2001),F175)</f>
        <v>2</v>
      </c>
      <c r="H175">
        <v>593.47</v>
      </c>
      <c r="I175">
        <f>IF(ISBLANK(H175),AVERAGE($H$2:$H$2001),H175)</f>
        <v>593.47</v>
      </c>
      <c r="J175">
        <v>0.1</v>
      </c>
      <c r="K175">
        <f>IF(ISBLANK(J175),MODE($J$2:$J$2001),J175)</f>
        <v>0.1</v>
      </c>
      <c r="L175" t="s">
        <v>1829</v>
      </c>
      <c r="M175">
        <v>1068.2460000000001</v>
      </c>
      <c r="N175">
        <f t="shared" si="2"/>
        <v>1068.2460000000001</v>
      </c>
      <c r="O175" t="str">
        <f>_xlfn.XLOOKUP(Sales_fact[[#This Row],[Customer_ID]],'Customer_Dim'!A:A,'Customer_Dim'!K:K,"Not Found")</f>
        <v>Bronze</v>
      </c>
      <c r="P175">
        <f>_xlfn.XLOOKUP(Sales_fact[[#This Row],[Customer_ID]],'Customer_Dim'!A:A, 'Customer_Dim'!E:E, "Not Found")</f>
        <v>46</v>
      </c>
      <c r="Q175" t="str">
        <f>VLOOKUP(Sales_fact[[#This Row],[Customer_ID]], 'Customer_Dim'!A:F, 6, FALSE)</f>
        <v>Female</v>
      </c>
      <c r="R175" s="13" t="str">
        <f>_xlfn.XLOOKUP(Sales_fact[[#This Row],[Product_ID]],Product_Dim!A:A,Product_Dim!C:C,"OTHERS")</f>
        <v>Electronics</v>
      </c>
    </row>
    <row r="176" spans="1:18" x14ac:dyDescent="0.3">
      <c r="A176" t="s">
        <v>2000</v>
      </c>
      <c r="B176" s="2">
        <v>45267</v>
      </c>
      <c r="C176" t="s">
        <v>929</v>
      </c>
      <c r="D176" t="s">
        <v>1588</v>
      </c>
      <c r="E176" t="str">
        <f ca="1">TRIM(Sales_fact[[#This Row],[Store_ID]])</f>
        <v>STORE7</v>
      </c>
      <c r="F176">
        <v>4</v>
      </c>
      <c r="G176">
        <f>IF(ISBLANK(F176),MODE($F$2:$F$2001),F176)</f>
        <v>4</v>
      </c>
      <c r="H176">
        <v>756.28</v>
      </c>
      <c r="I176">
        <f>IF(ISBLANK(H176),AVERAGE($H$2:$H$2001),H176)</f>
        <v>756.28</v>
      </c>
      <c r="J176">
        <v>0.05</v>
      </c>
      <c r="K176">
        <f>IF(ISBLANK(J176),MODE($J$2:$J$2001),J176)</f>
        <v>0.05</v>
      </c>
      <c r="L176" t="s">
        <v>1829</v>
      </c>
      <c r="M176">
        <v>2873.864</v>
      </c>
      <c r="N176">
        <f t="shared" si="2"/>
        <v>2873.8639999999996</v>
      </c>
      <c r="O176" t="str">
        <f>_xlfn.XLOOKUP(Sales_fact[[#This Row],[Customer_ID]],'Customer_Dim'!A:A,'Customer_Dim'!K:K,"Not Found")</f>
        <v>Platinum</v>
      </c>
      <c r="P176">
        <f>_xlfn.XLOOKUP(Sales_fact[[#This Row],[Customer_ID]],'Customer_Dim'!A:A, 'Customer_Dim'!E:E, "Not Found")</f>
        <v>56</v>
      </c>
      <c r="Q176" t="str">
        <f>VLOOKUP(Sales_fact[[#This Row],[Customer_ID]], 'Customer_Dim'!A:F, 6, FALSE)</f>
        <v>Female</v>
      </c>
      <c r="R176" s="13" t="str">
        <f>_xlfn.XLOOKUP(Sales_fact[[#This Row],[Product_ID]],Product_Dim!A:A,Product_Dim!C:C,"OTHERS")</f>
        <v>Sports</v>
      </c>
    </row>
    <row r="177" spans="1:18" x14ac:dyDescent="0.3">
      <c r="A177" t="s">
        <v>2001</v>
      </c>
      <c r="B177" s="2">
        <v>45641</v>
      </c>
      <c r="C177" t="s">
        <v>1178</v>
      </c>
      <c r="D177" t="s">
        <v>1732</v>
      </c>
      <c r="E177" t="str">
        <f ca="1">TRIM(Sales_fact[[#This Row],[Store_ID]])</f>
        <v>STORE1</v>
      </c>
      <c r="F177">
        <v>2</v>
      </c>
      <c r="G177">
        <f>IF(ISBLANK(F177),MODE($F$2:$F$2001),F177)</f>
        <v>2</v>
      </c>
      <c r="H177">
        <v>707.65</v>
      </c>
      <c r="I177">
        <f>IF(ISBLANK(H177),AVERAGE($H$2:$H$2001),H177)</f>
        <v>707.65</v>
      </c>
      <c r="J177">
        <v>0.14000000000000001</v>
      </c>
      <c r="K177">
        <f>IF(ISBLANK(J177),MODE($J$2:$J$2001),J177)</f>
        <v>0.14000000000000001</v>
      </c>
      <c r="L177" t="s">
        <v>1824</v>
      </c>
      <c r="M177">
        <v>1217.1579999999999</v>
      </c>
      <c r="N177">
        <f t="shared" si="2"/>
        <v>1217.1579999999999</v>
      </c>
      <c r="O177" t="str">
        <f>_xlfn.XLOOKUP(Sales_fact[[#This Row],[Customer_ID]],'Customer_Dim'!A:A,'Customer_Dim'!K:K,"Not Found")</f>
        <v>Gold</v>
      </c>
      <c r="P177">
        <f>_xlfn.XLOOKUP(Sales_fact[[#This Row],[Customer_ID]],'Customer_Dim'!A:A, 'Customer_Dim'!E:E, "Not Found")</f>
        <v>39</v>
      </c>
      <c r="Q177" t="str">
        <f>VLOOKUP(Sales_fact[[#This Row],[Customer_ID]], 'Customer_Dim'!A:F, 6, FALSE)</f>
        <v>Female</v>
      </c>
      <c r="R177" s="13" t="str">
        <f>_xlfn.XLOOKUP(Sales_fact[[#This Row],[Product_ID]],Product_Dim!A:A,Product_Dim!C:C,"OTHERS")</f>
        <v>Home</v>
      </c>
    </row>
    <row r="178" spans="1:18" x14ac:dyDescent="0.3">
      <c r="A178" t="s">
        <v>2002</v>
      </c>
      <c r="B178" s="2">
        <v>45371</v>
      </c>
      <c r="C178" t="s">
        <v>441</v>
      </c>
      <c r="D178" t="s">
        <v>1598</v>
      </c>
      <c r="E178" t="str">
        <f ca="1">TRIM(Sales_fact[[#This Row],[Store_ID]])</f>
        <v>STORE15</v>
      </c>
      <c r="F178">
        <v>1</v>
      </c>
      <c r="G178">
        <f>IF(ISBLANK(F178),MODE($F$2:$F$2001),F178)</f>
        <v>1</v>
      </c>
      <c r="H178">
        <v>857.35</v>
      </c>
      <c r="I178">
        <f>IF(ISBLANK(H178),AVERAGE($H$2:$H$2001),H178)</f>
        <v>857.35</v>
      </c>
      <c r="J178">
        <v>0.28000000000000003</v>
      </c>
      <c r="K178">
        <f>IF(ISBLANK(J178),MODE($J$2:$J$2001),J178)</f>
        <v>0.28000000000000003</v>
      </c>
      <c r="L178" t="s">
        <v>1826</v>
      </c>
      <c r="M178">
        <v>617.29200000000003</v>
      </c>
      <c r="N178">
        <f t="shared" si="2"/>
        <v>617.29200000000003</v>
      </c>
      <c r="O178" t="str">
        <f>_xlfn.XLOOKUP(Sales_fact[[#This Row],[Customer_ID]],'Customer_Dim'!A:A,'Customer_Dim'!K:K,"Not Found")</f>
        <v>Silver</v>
      </c>
      <c r="P178">
        <f>_xlfn.XLOOKUP(Sales_fact[[#This Row],[Customer_ID]],'Customer_Dim'!A:A, 'Customer_Dim'!E:E, "Not Found")</f>
        <v>45</v>
      </c>
      <c r="Q178" t="str">
        <f>VLOOKUP(Sales_fact[[#This Row],[Customer_ID]], 'Customer_Dim'!A:F, 6, FALSE)</f>
        <v>Male</v>
      </c>
      <c r="R178" s="13" t="str">
        <f>_xlfn.XLOOKUP(Sales_fact[[#This Row],[Product_ID]],Product_Dim!A:A,Product_Dim!C:C,"OTHERS")</f>
        <v>Clothing</v>
      </c>
    </row>
    <row r="179" spans="1:18" x14ac:dyDescent="0.3">
      <c r="A179" t="s">
        <v>2003</v>
      </c>
      <c r="B179" s="2">
        <v>45670</v>
      </c>
      <c r="C179" t="s">
        <v>1533</v>
      </c>
      <c r="D179" t="s">
        <v>1658</v>
      </c>
      <c r="E179" t="str">
        <f ca="1">TRIM(Sales_fact[[#This Row],[Store_ID]])</f>
        <v>STORE8</v>
      </c>
      <c r="F179">
        <v>1</v>
      </c>
      <c r="G179">
        <f>IF(ISBLANK(F179),MODE($F$2:$F$2001),F179)</f>
        <v>1</v>
      </c>
      <c r="H179">
        <v>79</v>
      </c>
      <c r="I179">
        <f>IF(ISBLANK(H179),AVERAGE($H$2:$H$2001),H179)</f>
        <v>79</v>
      </c>
      <c r="J179">
        <v>0.04</v>
      </c>
      <c r="K179">
        <f>IF(ISBLANK(J179),MODE($J$2:$J$2001),J179)</f>
        <v>0.04</v>
      </c>
      <c r="L179" t="s">
        <v>1826</v>
      </c>
      <c r="M179">
        <v>75.84</v>
      </c>
      <c r="N179">
        <f t="shared" si="2"/>
        <v>75.84</v>
      </c>
      <c r="O179" t="str">
        <f>_xlfn.XLOOKUP(Sales_fact[[#This Row],[Customer_ID]],'Customer_Dim'!A:A,'Customer_Dim'!K:K,"Not Found")</f>
        <v>Not Found</v>
      </c>
      <c r="P179" t="str">
        <f>_xlfn.XLOOKUP(Sales_fact[[#This Row],[Customer_ID]],'Customer_Dim'!A:A, 'Customer_Dim'!E:E, "Not Found")</f>
        <v>Not Found</v>
      </c>
      <c r="Q179" t="e">
        <f>VLOOKUP(Sales_fact[[#This Row],[Customer_ID]], 'Customer_Dim'!A:F, 6, FALSE)</f>
        <v>#N/A</v>
      </c>
      <c r="R179" s="13" t="str">
        <f>_xlfn.XLOOKUP(Sales_fact[[#This Row],[Product_ID]],Product_Dim!A:A,Product_Dim!C:C,"OTHERS")</f>
        <v>Home</v>
      </c>
    </row>
    <row r="180" spans="1:18" x14ac:dyDescent="0.3">
      <c r="A180" t="s">
        <v>2004</v>
      </c>
      <c r="B180" s="2">
        <v>45885</v>
      </c>
      <c r="C180" t="s">
        <v>244</v>
      </c>
      <c r="D180" t="s">
        <v>1736</v>
      </c>
      <c r="E180" t="str">
        <f ca="1">TRIM(Sales_fact[[#This Row],[Store_ID]])</f>
        <v>STORE5</v>
      </c>
      <c r="F180">
        <v>4</v>
      </c>
      <c r="G180">
        <f>IF(ISBLANK(F180),MODE($F$2:$F$2001),F180)</f>
        <v>4</v>
      </c>
      <c r="H180">
        <v>638.91</v>
      </c>
      <c r="I180">
        <f>IF(ISBLANK(H180),AVERAGE($H$2:$H$2001),H180)</f>
        <v>638.91</v>
      </c>
      <c r="J180">
        <v>0</v>
      </c>
      <c r="K180">
        <f>IF(ISBLANK(J180),MODE($J$2:$J$2001),J180)</f>
        <v>0</v>
      </c>
      <c r="L180" t="s">
        <v>1829</v>
      </c>
      <c r="M180">
        <v>2555.64</v>
      </c>
      <c r="N180">
        <f t="shared" si="2"/>
        <v>2555.64</v>
      </c>
      <c r="O180" t="str">
        <f>_xlfn.XLOOKUP(Sales_fact[[#This Row],[Customer_ID]],'Customer_Dim'!A:A,'Customer_Dim'!K:K,"Not Found")</f>
        <v>Silver</v>
      </c>
      <c r="P180">
        <f>_xlfn.XLOOKUP(Sales_fact[[#This Row],[Customer_ID]],'Customer_Dim'!A:A, 'Customer_Dim'!E:E, "Not Found")</f>
        <v>27</v>
      </c>
      <c r="Q180" t="str">
        <f>VLOOKUP(Sales_fact[[#This Row],[Customer_ID]], 'Customer_Dim'!A:F, 6, FALSE)</f>
        <v>Female</v>
      </c>
      <c r="R180" s="13" t="str">
        <f>_xlfn.XLOOKUP(Sales_fact[[#This Row],[Product_ID]],Product_Dim!A:A,Product_Dim!C:C,"OTHERS")</f>
        <v>Beauty</v>
      </c>
    </row>
    <row r="181" spans="1:18" x14ac:dyDescent="0.3">
      <c r="A181" t="s">
        <v>2005</v>
      </c>
      <c r="B181" s="2">
        <v>45812</v>
      </c>
      <c r="C181" t="s">
        <v>295</v>
      </c>
      <c r="D181" t="s">
        <v>1638</v>
      </c>
      <c r="E181" t="str">
        <f ca="1">TRIM(Sales_fact[[#This Row],[Store_ID]])</f>
        <v>STORE0</v>
      </c>
      <c r="F181">
        <v>2</v>
      </c>
      <c r="G181">
        <f>IF(ISBLANK(F181),MODE($F$2:$F$2001),F181)</f>
        <v>2</v>
      </c>
      <c r="H181">
        <v>522.16999999999996</v>
      </c>
      <c r="I181">
        <f>IF(ISBLANK(H181),AVERAGE($H$2:$H$2001),H181)</f>
        <v>522.16999999999996</v>
      </c>
      <c r="J181">
        <v>0.27</v>
      </c>
      <c r="K181">
        <f>IF(ISBLANK(J181),MODE($J$2:$J$2001),J181)</f>
        <v>0.27</v>
      </c>
      <c r="L181" t="s">
        <v>1824</v>
      </c>
      <c r="M181">
        <v>762.36819999999989</v>
      </c>
      <c r="N181">
        <f t="shared" si="2"/>
        <v>762.36819999999989</v>
      </c>
      <c r="O181" t="str">
        <f>_xlfn.XLOOKUP(Sales_fact[[#This Row],[Customer_ID]],'Customer_Dim'!A:A,'Customer_Dim'!K:K,"Not Found")</f>
        <v>Platinum</v>
      </c>
      <c r="P181">
        <f>_xlfn.XLOOKUP(Sales_fact[[#This Row],[Customer_ID]],'Customer_Dim'!A:A, 'Customer_Dim'!E:E, "Not Found")</f>
        <v>34</v>
      </c>
      <c r="Q181" t="str">
        <f>VLOOKUP(Sales_fact[[#This Row],[Customer_ID]], 'Customer_Dim'!A:F, 6, FALSE)</f>
        <v>Female</v>
      </c>
      <c r="R181" s="13" t="str">
        <f>_xlfn.XLOOKUP(Sales_fact[[#This Row],[Product_ID]],Product_Dim!A:A,Product_Dim!C:C,"OTHERS")</f>
        <v>Sports</v>
      </c>
    </row>
    <row r="182" spans="1:18" x14ac:dyDescent="0.3">
      <c r="A182" t="s">
        <v>2006</v>
      </c>
      <c r="B182" s="2">
        <v>45235</v>
      </c>
      <c r="C182" t="s">
        <v>1472</v>
      </c>
      <c r="D182" t="s">
        <v>1626</v>
      </c>
      <c r="E182" t="str">
        <f ca="1">TRIM(Sales_fact[[#This Row],[Store_ID]])</f>
        <v>STORE12</v>
      </c>
      <c r="F182">
        <v>3</v>
      </c>
      <c r="G182">
        <f>IF(ISBLANK(F182),MODE($F$2:$F$2001),F182)</f>
        <v>3</v>
      </c>
      <c r="H182">
        <v>954.29</v>
      </c>
      <c r="I182">
        <f>IF(ISBLANK(H182),AVERAGE($H$2:$H$2001),H182)</f>
        <v>954.29</v>
      </c>
      <c r="J182">
        <v>0.27</v>
      </c>
      <c r="K182">
        <f>IF(ISBLANK(J182),MODE($J$2:$J$2001),J182)</f>
        <v>0.27</v>
      </c>
      <c r="L182" t="s">
        <v>1824</v>
      </c>
      <c r="M182">
        <v>2089.8951000000002</v>
      </c>
      <c r="N182">
        <f t="shared" si="2"/>
        <v>2089.8950999999997</v>
      </c>
      <c r="O182" t="str">
        <f>_xlfn.XLOOKUP(Sales_fact[[#This Row],[Customer_ID]],'Customer_Dim'!A:A,'Customer_Dim'!K:K,"Not Found")</f>
        <v>Gold</v>
      </c>
      <c r="P182">
        <f>_xlfn.XLOOKUP(Sales_fact[[#This Row],[Customer_ID]],'Customer_Dim'!A:A, 'Customer_Dim'!E:E, "Not Found")</f>
        <v>59</v>
      </c>
      <c r="Q182" t="str">
        <f>VLOOKUP(Sales_fact[[#This Row],[Customer_ID]], 'Customer_Dim'!A:F, 6, FALSE)</f>
        <v>Male</v>
      </c>
      <c r="R182" s="13" t="str">
        <f>_xlfn.XLOOKUP(Sales_fact[[#This Row],[Product_ID]],Product_Dim!A:A,Product_Dim!C:C,"OTHERS")</f>
        <v>Electronics</v>
      </c>
    </row>
    <row r="183" spans="1:18" x14ac:dyDescent="0.3">
      <c r="A183" t="s">
        <v>2007</v>
      </c>
      <c r="B183" s="2">
        <v>45710</v>
      </c>
      <c r="C183" t="s">
        <v>1425</v>
      </c>
      <c r="D183" t="s">
        <v>1614</v>
      </c>
      <c r="E183" t="str">
        <f ca="1">TRIM(Sales_fact[[#This Row],[Store_ID]])</f>
        <v>STORE13</v>
      </c>
      <c r="F183">
        <v>3</v>
      </c>
      <c r="G183">
        <f>IF(ISBLANK(F183),MODE($F$2:$F$2001),F183)</f>
        <v>3</v>
      </c>
      <c r="H183">
        <v>53.92</v>
      </c>
      <c r="I183">
        <f>IF(ISBLANK(H183),AVERAGE($H$2:$H$2001),H183)</f>
        <v>53.92</v>
      </c>
      <c r="J183">
        <v>0.15</v>
      </c>
      <c r="K183">
        <f>IF(ISBLANK(J183),MODE($J$2:$J$2001),J183)</f>
        <v>0.15</v>
      </c>
      <c r="L183" t="s">
        <v>1826</v>
      </c>
      <c r="M183">
        <v>137.49600000000001</v>
      </c>
      <c r="N183">
        <f t="shared" si="2"/>
        <v>137.49599999999998</v>
      </c>
      <c r="O183" t="str">
        <f>_xlfn.XLOOKUP(Sales_fact[[#This Row],[Customer_ID]],'Customer_Dim'!A:A,'Customer_Dim'!K:K,"Not Found")</f>
        <v>Silver</v>
      </c>
      <c r="P183">
        <f>_xlfn.XLOOKUP(Sales_fact[[#This Row],[Customer_ID]],'Customer_Dim'!A:A, 'Customer_Dim'!E:E, "Not Found")</f>
        <v>34</v>
      </c>
      <c r="Q183" t="str">
        <f>VLOOKUP(Sales_fact[[#This Row],[Customer_ID]], 'Customer_Dim'!A:F, 6, FALSE)</f>
        <v>Female</v>
      </c>
      <c r="R183" s="13" t="str">
        <f>_xlfn.XLOOKUP(Sales_fact[[#This Row],[Product_ID]],Product_Dim!A:A,Product_Dim!C:C,"OTHERS")</f>
        <v>Home</v>
      </c>
    </row>
    <row r="184" spans="1:18" x14ac:dyDescent="0.3">
      <c r="A184" t="s">
        <v>2008</v>
      </c>
      <c r="B184" s="2">
        <v>45753</v>
      </c>
      <c r="C184" t="s">
        <v>1235</v>
      </c>
      <c r="D184" t="s">
        <v>1616</v>
      </c>
      <c r="E184" t="str">
        <f ca="1">TRIM(Sales_fact[[#This Row],[Store_ID]])</f>
        <v>STORE0</v>
      </c>
      <c r="F184">
        <v>4</v>
      </c>
      <c r="G184">
        <f>IF(ISBLANK(F184),MODE($F$2:$F$2001),F184)</f>
        <v>4</v>
      </c>
      <c r="H184">
        <v>741.88</v>
      </c>
      <c r="I184">
        <f>IF(ISBLANK(H184),AVERAGE($H$2:$H$2001),H184)</f>
        <v>741.88</v>
      </c>
      <c r="J184">
        <v>0.02</v>
      </c>
      <c r="K184">
        <f>IF(ISBLANK(J184),MODE($J$2:$J$2001),J184)</f>
        <v>0.02</v>
      </c>
      <c r="L184" t="s">
        <v>1829</v>
      </c>
      <c r="M184">
        <v>2908.1696000000002</v>
      </c>
      <c r="N184">
        <f t="shared" si="2"/>
        <v>2908.1695999999997</v>
      </c>
      <c r="O184" t="str">
        <f>_xlfn.XLOOKUP(Sales_fact[[#This Row],[Customer_ID]],'Customer_Dim'!A:A,'Customer_Dim'!K:K,"Not Found")</f>
        <v>Silver</v>
      </c>
      <c r="P184">
        <f>_xlfn.XLOOKUP(Sales_fact[[#This Row],[Customer_ID]],'Customer_Dim'!A:A, 'Customer_Dim'!E:E, "Not Found")</f>
        <v>25</v>
      </c>
      <c r="Q184" t="str">
        <f>VLOOKUP(Sales_fact[[#This Row],[Customer_ID]], 'Customer_Dim'!A:F, 6, FALSE)</f>
        <v>Female</v>
      </c>
      <c r="R184" s="13" t="str">
        <f>_xlfn.XLOOKUP(Sales_fact[[#This Row],[Product_ID]],Product_Dim!A:A,Product_Dim!C:C,"OTHERS")</f>
        <v>Electronics</v>
      </c>
    </row>
    <row r="185" spans="1:18" x14ac:dyDescent="0.3">
      <c r="A185" t="s">
        <v>2009</v>
      </c>
      <c r="B185" s="2">
        <v>45594</v>
      </c>
      <c r="C185" t="s">
        <v>134</v>
      </c>
      <c r="D185" t="s">
        <v>1640</v>
      </c>
      <c r="E185" t="str">
        <f ca="1">TRIM(Sales_fact[[#This Row],[Store_ID]])</f>
        <v>STORE3</v>
      </c>
      <c r="F185">
        <v>1</v>
      </c>
      <c r="G185">
        <f>IF(ISBLANK(F185),MODE($F$2:$F$2001),F185)</f>
        <v>1</v>
      </c>
      <c r="H185">
        <v>547.09</v>
      </c>
      <c r="I185">
        <f>IF(ISBLANK(H185),AVERAGE($H$2:$H$2001),H185)</f>
        <v>547.09</v>
      </c>
      <c r="J185">
        <v>0.01</v>
      </c>
      <c r="K185">
        <f>IF(ISBLANK(J185),MODE($J$2:$J$2001),J185)</f>
        <v>0.01</v>
      </c>
      <c r="L185" t="s">
        <v>1826</v>
      </c>
      <c r="M185">
        <v>541.6191</v>
      </c>
      <c r="N185">
        <f t="shared" si="2"/>
        <v>541.6191</v>
      </c>
      <c r="O185" t="str">
        <f>_xlfn.XLOOKUP(Sales_fact[[#This Row],[Customer_ID]],'Customer_Dim'!A:A,'Customer_Dim'!K:K,"Not Found")</f>
        <v>Platinum</v>
      </c>
      <c r="P185">
        <f>_xlfn.XLOOKUP(Sales_fact[[#This Row],[Customer_ID]],'Customer_Dim'!A:A, 'Customer_Dim'!E:E, "Not Found")</f>
        <v>25</v>
      </c>
      <c r="Q185" t="str">
        <f>VLOOKUP(Sales_fact[[#This Row],[Customer_ID]], 'Customer_Dim'!A:F, 6, FALSE)</f>
        <v>Male</v>
      </c>
      <c r="R185" s="13" t="str">
        <f>_xlfn.XLOOKUP(Sales_fact[[#This Row],[Product_ID]],Product_Dim!A:A,Product_Dim!C:C,"OTHERS")</f>
        <v>Clothing</v>
      </c>
    </row>
    <row r="186" spans="1:18" x14ac:dyDescent="0.3">
      <c r="A186" t="s">
        <v>2010</v>
      </c>
      <c r="B186" s="2">
        <v>45686</v>
      </c>
      <c r="C186" t="s">
        <v>1504</v>
      </c>
      <c r="D186" t="s">
        <v>1726</v>
      </c>
      <c r="E186" t="str">
        <f ca="1">TRIM(Sales_fact[[#This Row],[Store_ID]])</f>
        <v>STORE3</v>
      </c>
      <c r="F186">
        <v>1</v>
      </c>
      <c r="G186">
        <f>IF(ISBLANK(F186),MODE($F$2:$F$2001),F186)</f>
        <v>1</v>
      </c>
      <c r="H186">
        <v>789.35</v>
      </c>
      <c r="I186">
        <f>IF(ISBLANK(H186),AVERAGE($H$2:$H$2001),H186)</f>
        <v>789.35</v>
      </c>
      <c r="J186">
        <v>0.14000000000000001</v>
      </c>
      <c r="K186">
        <f>IF(ISBLANK(J186),MODE($J$2:$J$2001),J186)</f>
        <v>0.14000000000000001</v>
      </c>
      <c r="L186" t="s">
        <v>1826</v>
      </c>
      <c r="M186">
        <v>678.84100000000001</v>
      </c>
      <c r="N186">
        <f t="shared" si="2"/>
        <v>678.84100000000001</v>
      </c>
      <c r="O186" t="str">
        <f>_xlfn.XLOOKUP(Sales_fact[[#This Row],[Customer_ID]],'Customer_Dim'!A:A,'Customer_Dim'!K:K,"Not Found")</f>
        <v>Silver</v>
      </c>
      <c r="P186">
        <f>_xlfn.XLOOKUP(Sales_fact[[#This Row],[Customer_ID]],'Customer_Dim'!A:A, 'Customer_Dim'!E:E, "Not Found")</f>
        <v>42</v>
      </c>
      <c r="Q186" t="str">
        <f>VLOOKUP(Sales_fact[[#This Row],[Customer_ID]], 'Customer_Dim'!A:F, 6, FALSE)</f>
        <v>Female</v>
      </c>
      <c r="R186" s="13" t="str">
        <f>_xlfn.XLOOKUP(Sales_fact[[#This Row],[Product_ID]],Product_Dim!A:A,Product_Dim!C:C,"OTHERS")</f>
        <v>Beauty</v>
      </c>
    </row>
    <row r="187" spans="1:18" x14ac:dyDescent="0.3">
      <c r="A187" t="s">
        <v>2011</v>
      </c>
      <c r="B187" s="2">
        <v>45354</v>
      </c>
      <c r="C187" t="s">
        <v>1328</v>
      </c>
      <c r="D187" t="s">
        <v>1674</v>
      </c>
      <c r="E187" t="str">
        <f ca="1">TRIM(Sales_fact[[#This Row],[Store_ID]])</f>
        <v>STORE3</v>
      </c>
      <c r="F187">
        <v>3</v>
      </c>
      <c r="G187">
        <f>IF(ISBLANK(F187),MODE($F$2:$F$2001),F187)</f>
        <v>3</v>
      </c>
      <c r="H187">
        <v>476.78</v>
      </c>
      <c r="I187">
        <f>IF(ISBLANK(H187),AVERAGE($H$2:$H$2001),H187)</f>
        <v>476.78</v>
      </c>
      <c r="J187">
        <v>0.09</v>
      </c>
      <c r="K187">
        <f>IF(ISBLANK(J187),MODE($J$2:$J$2001),J187)</f>
        <v>0.09</v>
      </c>
      <c r="L187" t="s">
        <v>1829</v>
      </c>
      <c r="M187">
        <v>1301.6094000000001</v>
      </c>
      <c r="N187">
        <f t="shared" si="2"/>
        <v>1301.6094000000001</v>
      </c>
      <c r="O187" t="str">
        <f>_xlfn.XLOOKUP(Sales_fact[[#This Row],[Customer_ID]],'Customer_Dim'!A:A,'Customer_Dim'!K:K,"Not Found")</f>
        <v>Bronze</v>
      </c>
      <c r="P187">
        <f>_xlfn.XLOOKUP(Sales_fact[[#This Row],[Customer_ID]],'Customer_Dim'!A:A, 'Customer_Dim'!E:E, "Not Found")</f>
        <v>27</v>
      </c>
      <c r="Q187" t="str">
        <f>VLOOKUP(Sales_fact[[#This Row],[Customer_ID]], 'Customer_Dim'!A:F, 6, FALSE)</f>
        <v>Female</v>
      </c>
      <c r="R187" s="13" t="str">
        <f>_xlfn.XLOOKUP(Sales_fact[[#This Row],[Product_ID]],Product_Dim!A:A,Product_Dim!C:C,"OTHERS")</f>
        <v>Beauty</v>
      </c>
    </row>
    <row r="188" spans="1:18" x14ac:dyDescent="0.3">
      <c r="A188" t="s">
        <v>2012</v>
      </c>
      <c r="B188" s="2">
        <v>45600</v>
      </c>
      <c r="C188" t="s">
        <v>1400</v>
      </c>
      <c r="D188" t="s">
        <v>1706</v>
      </c>
      <c r="E188" t="str">
        <f ca="1">TRIM(Sales_fact[[#This Row],[Store_ID]])</f>
        <v>STORE18</v>
      </c>
      <c r="F188">
        <v>2</v>
      </c>
      <c r="G188">
        <f>IF(ISBLANK(F188),MODE($F$2:$F$2001),F188)</f>
        <v>2</v>
      </c>
      <c r="H188">
        <v>504.26</v>
      </c>
      <c r="I188">
        <f>IF(ISBLANK(H188),AVERAGE($H$2:$H$2001),H188)</f>
        <v>504.26</v>
      </c>
      <c r="J188">
        <v>0.04</v>
      </c>
      <c r="K188">
        <f>IF(ISBLANK(J188),MODE($J$2:$J$2001),J188)</f>
        <v>0.04</v>
      </c>
      <c r="L188" t="s">
        <v>1826</v>
      </c>
      <c r="M188">
        <v>968.17919999999992</v>
      </c>
      <c r="N188">
        <f t="shared" si="2"/>
        <v>968.17919999999992</v>
      </c>
      <c r="O188" t="str">
        <f>_xlfn.XLOOKUP(Sales_fact[[#This Row],[Customer_ID]],'Customer_Dim'!A:A,'Customer_Dim'!K:K,"Not Found")</f>
        <v>Platinum</v>
      </c>
      <c r="P188">
        <f>_xlfn.XLOOKUP(Sales_fact[[#This Row],[Customer_ID]],'Customer_Dim'!A:A, 'Customer_Dim'!E:E, "Not Found")</f>
        <v>62</v>
      </c>
      <c r="Q188" t="str">
        <f>VLOOKUP(Sales_fact[[#This Row],[Customer_ID]], 'Customer_Dim'!A:F, 6, FALSE)</f>
        <v>Female</v>
      </c>
      <c r="R188" s="13" t="str">
        <f>_xlfn.XLOOKUP(Sales_fact[[#This Row],[Product_ID]],Product_Dim!A:A,Product_Dim!C:C,"OTHERS")</f>
        <v>Home</v>
      </c>
    </row>
    <row r="189" spans="1:18" x14ac:dyDescent="0.3">
      <c r="A189" t="s">
        <v>2013</v>
      </c>
      <c r="B189" s="2">
        <v>45538</v>
      </c>
      <c r="C189" t="s">
        <v>866</v>
      </c>
      <c r="D189" t="s">
        <v>1710</v>
      </c>
      <c r="E189" t="str">
        <f ca="1">TRIM(Sales_fact[[#This Row],[Store_ID]])</f>
        <v>STORE6</v>
      </c>
      <c r="F189">
        <v>2</v>
      </c>
      <c r="G189">
        <f>IF(ISBLANK(F189),MODE($F$2:$F$2001),F189)</f>
        <v>2</v>
      </c>
      <c r="H189">
        <v>549.33000000000004</v>
      </c>
      <c r="I189">
        <f>IF(ISBLANK(H189),AVERAGE($H$2:$H$2001),H189)</f>
        <v>549.33000000000004</v>
      </c>
      <c r="J189">
        <v>0.01</v>
      </c>
      <c r="K189">
        <f>IF(ISBLANK(J189),MODE($J$2:$J$2001),J189)</f>
        <v>0.01</v>
      </c>
      <c r="L189" t="s">
        <v>1829</v>
      </c>
      <c r="M189">
        <v>1087.6733999999999</v>
      </c>
      <c r="N189">
        <f t="shared" si="2"/>
        <v>1087.6734000000001</v>
      </c>
      <c r="O189" t="str">
        <f>_xlfn.XLOOKUP(Sales_fact[[#This Row],[Customer_ID]],'Customer_Dim'!A:A,'Customer_Dim'!K:K,"Not Found")</f>
        <v>Gold</v>
      </c>
      <c r="P189">
        <f>_xlfn.XLOOKUP(Sales_fact[[#This Row],[Customer_ID]],'Customer_Dim'!A:A, 'Customer_Dim'!E:E, "Not Found")</f>
        <v>48</v>
      </c>
      <c r="Q189" t="str">
        <f>VLOOKUP(Sales_fact[[#This Row],[Customer_ID]], 'Customer_Dim'!A:F, 6, FALSE)</f>
        <v>Female</v>
      </c>
      <c r="R189" s="13" t="str">
        <f>_xlfn.XLOOKUP(Sales_fact[[#This Row],[Product_ID]],Product_Dim!A:A,Product_Dim!C:C,"OTHERS")</f>
        <v>Sports</v>
      </c>
    </row>
    <row r="190" spans="1:18" x14ac:dyDescent="0.3">
      <c r="A190" t="s">
        <v>2014</v>
      </c>
      <c r="B190" s="2">
        <v>45411</v>
      </c>
      <c r="C190" t="s">
        <v>1193</v>
      </c>
      <c r="D190" t="s">
        <v>1553</v>
      </c>
      <c r="E190" t="str">
        <f ca="1">TRIM(Sales_fact[[#This Row],[Store_ID]])</f>
        <v>STORE3</v>
      </c>
      <c r="F190">
        <v>3</v>
      </c>
      <c r="G190">
        <f>IF(ISBLANK(F190),MODE($F$2:$F$2001),F190)</f>
        <v>3</v>
      </c>
      <c r="H190">
        <v>620.22</v>
      </c>
      <c r="I190">
        <f>IF(ISBLANK(H190),AVERAGE($H$2:$H$2001),H190)</f>
        <v>620.22</v>
      </c>
      <c r="J190">
        <v>0.04</v>
      </c>
      <c r="K190">
        <f>IF(ISBLANK(J190),MODE($J$2:$J$2001),J190)</f>
        <v>0.04</v>
      </c>
      <c r="L190" t="s">
        <v>1824</v>
      </c>
      <c r="M190">
        <v>1786.2336</v>
      </c>
      <c r="N190">
        <f t="shared" si="2"/>
        <v>1786.2336</v>
      </c>
      <c r="O190" t="str">
        <f>_xlfn.XLOOKUP(Sales_fact[[#This Row],[Customer_ID]],'Customer_Dim'!A:A,'Customer_Dim'!K:K,"Not Found")</f>
        <v>Gold</v>
      </c>
      <c r="P190">
        <f>_xlfn.XLOOKUP(Sales_fact[[#This Row],[Customer_ID]],'Customer_Dim'!A:A, 'Customer_Dim'!E:E, "Not Found")</f>
        <v>20</v>
      </c>
      <c r="Q190" t="str">
        <f>VLOOKUP(Sales_fact[[#This Row],[Customer_ID]], 'Customer_Dim'!A:F, 6, FALSE)</f>
        <v>Female</v>
      </c>
      <c r="R190" s="13" t="str">
        <f>_xlfn.XLOOKUP(Sales_fact[[#This Row],[Product_ID]],Product_Dim!A:A,Product_Dim!C:C,"OTHERS")</f>
        <v>Clothing</v>
      </c>
    </row>
    <row r="191" spans="1:18" x14ac:dyDescent="0.3">
      <c r="A191" t="s">
        <v>2015</v>
      </c>
      <c r="B191" s="2">
        <v>45411</v>
      </c>
      <c r="C191" t="s">
        <v>329</v>
      </c>
      <c r="D191" t="s">
        <v>1640</v>
      </c>
      <c r="E191" t="str">
        <f ca="1">TRIM(Sales_fact[[#This Row],[Store_ID]])</f>
        <v>STORE3</v>
      </c>
      <c r="F191">
        <v>1</v>
      </c>
      <c r="G191">
        <f>IF(ISBLANK(F191),MODE($F$2:$F$2001),F191)</f>
        <v>1</v>
      </c>
      <c r="H191">
        <v>580.76</v>
      </c>
      <c r="I191">
        <f>IF(ISBLANK(H191),AVERAGE($H$2:$H$2001),H191)</f>
        <v>580.76</v>
      </c>
      <c r="J191">
        <v>0.1</v>
      </c>
      <c r="K191">
        <f>IF(ISBLANK(J191),MODE($J$2:$J$2001),J191)</f>
        <v>0.1</v>
      </c>
      <c r="L191" t="s">
        <v>1829</v>
      </c>
      <c r="M191">
        <v>522.68399999999997</v>
      </c>
      <c r="N191">
        <f t="shared" si="2"/>
        <v>522.68399999999997</v>
      </c>
      <c r="O191" t="str">
        <f>_xlfn.XLOOKUP(Sales_fact[[#This Row],[Customer_ID]],'Customer_Dim'!A:A,'Customer_Dim'!K:K,"Not Found")</f>
        <v>Silver</v>
      </c>
      <c r="P191">
        <f>_xlfn.XLOOKUP(Sales_fact[[#This Row],[Customer_ID]],'Customer_Dim'!A:A, 'Customer_Dim'!E:E, "Not Found")</f>
        <v>29</v>
      </c>
      <c r="Q191" t="str">
        <f>VLOOKUP(Sales_fact[[#This Row],[Customer_ID]], 'Customer_Dim'!A:F, 6, FALSE)</f>
        <v>Female</v>
      </c>
      <c r="R191" s="13" t="str">
        <f>_xlfn.XLOOKUP(Sales_fact[[#This Row],[Product_ID]],Product_Dim!A:A,Product_Dim!C:C,"OTHERS")</f>
        <v>Clothing</v>
      </c>
    </row>
    <row r="192" spans="1:18" x14ac:dyDescent="0.3">
      <c r="A192" t="s">
        <v>2016</v>
      </c>
      <c r="B192" s="2">
        <v>45775</v>
      </c>
      <c r="C192" t="s">
        <v>1050</v>
      </c>
      <c r="D192" t="s">
        <v>1690</v>
      </c>
      <c r="E192" t="str">
        <f ca="1">TRIM(Sales_fact[[#This Row],[Store_ID]])</f>
        <v>STORE9</v>
      </c>
      <c r="F192">
        <v>3</v>
      </c>
      <c r="G192">
        <f>IF(ISBLANK(F192),MODE($F$2:$F$2001),F192)</f>
        <v>3</v>
      </c>
      <c r="H192">
        <v>444.55</v>
      </c>
      <c r="I192">
        <f>IF(ISBLANK(H192),AVERAGE($H$2:$H$2001),H192)</f>
        <v>444.55</v>
      </c>
      <c r="J192">
        <v>0.14000000000000001</v>
      </c>
      <c r="K192">
        <f>IF(ISBLANK(J192),MODE($J$2:$J$2001),J192)</f>
        <v>0.14000000000000001</v>
      </c>
      <c r="L192" t="s">
        <v>1826</v>
      </c>
      <c r="M192">
        <v>1146.9390000000001</v>
      </c>
      <c r="N192">
        <f t="shared" si="2"/>
        <v>1146.9390000000001</v>
      </c>
      <c r="O192" t="str">
        <f>_xlfn.XLOOKUP(Sales_fact[[#This Row],[Customer_ID]],'Customer_Dim'!A:A,'Customer_Dim'!K:K,"Not Found")</f>
        <v>Silver</v>
      </c>
      <c r="P192">
        <f>_xlfn.XLOOKUP(Sales_fact[[#This Row],[Customer_ID]],'Customer_Dim'!A:A, 'Customer_Dim'!E:E, "Not Found")</f>
        <v>50</v>
      </c>
      <c r="Q192" t="str">
        <f>VLOOKUP(Sales_fact[[#This Row],[Customer_ID]], 'Customer_Dim'!A:F, 6, FALSE)</f>
        <v>Female</v>
      </c>
      <c r="R192" s="13" t="str">
        <f>_xlfn.XLOOKUP(Sales_fact[[#This Row],[Product_ID]],Product_Dim!A:A,Product_Dim!C:C,"OTHERS")</f>
        <v>Beauty</v>
      </c>
    </row>
    <row r="193" spans="1:18" x14ac:dyDescent="0.3">
      <c r="A193" t="s">
        <v>2017</v>
      </c>
      <c r="B193" s="2">
        <v>45459</v>
      </c>
      <c r="C193" t="s">
        <v>470</v>
      </c>
      <c r="D193" t="s">
        <v>1640</v>
      </c>
      <c r="E193" t="str">
        <f ca="1">TRIM(Sales_fact[[#This Row],[Store_ID]])</f>
        <v>STORE18</v>
      </c>
      <c r="F193">
        <v>1</v>
      </c>
      <c r="G193">
        <f>IF(ISBLANK(F193),MODE($F$2:$F$2001),F193)</f>
        <v>1</v>
      </c>
      <c r="H193">
        <v>804.9</v>
      </c>
      <c r="I193">
        <f>IF(ISBLANK(H193),AVERAGE($H$2:$H$2001),H193)</f>
        <v>804.9</v>
      </c>
      <c r="J193">
        <v>0.03</v>
      </c>
      <c r="K193">
        <f>IF(ISBLANK(J193),MODE($J$2:$J$2001),J193)</f>
        <v>0.03</v>
      </c>
      <c r="L193" t="s">
        <v>1826</v>
      </c>
      <c r="M193">
        <v>780.75299999999993</v>
      </c>
      <c r="N193">
        <f t="shared" si="2"/>
        <v>780.75299999999993</v>
      </c>
      <c r="O193" t="str">
        <f>_xlfn.XLOOKUP(Sales_fact[[#This Row],[Customer_ID]],'Customer_Dim'!A:A,'Customer_Dim'!K:K,"Not Found")</f>
        <v>Gold</v>
      </c>
      <c r="P193">
        <f>_xlfn.XLOOKUP(Sales_fact[[#This Row],[Customer_ID]],'Customer_Dim'!A:A, 'Customer_Dim'!E:E, "Not Found")</f>
        <v>43</v>
      </c>
      <c r="Q193" t="str">
        <f>VLOOKUP(Sales_fact[[#This Row],[Customer_ID]], 'Customer_Dim'!A:F, 6, FALSE)</f>
        <v>Male</v>
      </c>
      <c r="R193" s="13" t="str">
        <f>_xlfn.XLOOKUP(Sales_fact[[#This Row],[Product_ID]],Product_Dim!A:A,Product_Dim!C:C,"OTHERS")</f>
        <v>Clothing</v>
      </c>
    </row>
    <row r="194" spans="1:18" x14ac:dyDescent="0.3">
      <c r="A194" t="s">
        <v>2018</v>
      </c>
      <c r="B194" s="2">
        <v>45617</v>
      </c>
      <c r="C194" t="s">
        <v>1316</v>
      </c>
      <c r="D194" t="s">
        <v>1732</v>
      </c>
      <c r="E194" t="str">
        <f ca="1">TRIM(Sales_fact[[#This Row],[Store_ID]])</f>
        <v>STORE14</v>
      </c>
      <c r="F194">
        <v>3</v>
      </c>
      <c r="G194">
        <f>IF(ISBLANK(F194),MODE($F$2:$F$2001),F194)</f>
        <v>3</v>
      </c>
      <c r="H194">
        <v>361.65</v>
      </c>
      <c r="I194">
        <f>IF(ISBLANK(H194),AVERAGE($H$2:$H$2001),H194)</f>
        <v>361.65</v>
      </c>
      <c r="J194">
        <v>0.15</v>
      </c>
      <c r="K194">
        <f>IF(ISBLANK(J194),MODE($J$2:$J$2001),J194)</f>
        <v>0.15</v>
      </c>
      <c r="L194" t="s">
        <v>1829</v>
      </c>
      <c r="M194">
        <v>922.20749999999987</v>
      </c>
      <c r="N194">
        <f t="shared" si="2"/>
        <v>922.20749999999987</v>
      </c>
      <c r="O194" t="str">
        <f>_xlfn.XLOOKUP(Sales_fact[[#This Row],[Customer_ID]],'Customer_Dim'!A:A,'Customer_Dim'!K:K,"Not Found")</f>
        <v>Bronze</v>
      </c>
      <c r="P194">
        <f>_xlfn.XLOOKUP(Sales_fact[[#This Row],[Customer_ID]],'Customer_Dim'!A:A, 'Customer_Dim'!E:E, "Not Found")</f>
        <v>53</v>
      </c>
      <c r="Q194" t="str">
        <f>VLOOKUP(Sales_fact[[#This Row],[Customer_ID]], 'Customer_Dim'!A:F, 6, FALSE)</f>
        <v>Male</v>
      </c>
      <c r="R194" s="13" t="str">
        <f>_xlfn.XLOOKUP(Sales_fact[[#This Row],[Product_ID]],Product_Dim!A:A,Product_Dim!C:C,"OTHERS")</f>
        <v>Home</v>
      </c>
    </row>
    <row r="195" spans="1:18" x14ac:dyDescent="0.3">
      <c r="A195" t="s">
        <v>2019</v>
      </c>
      <c r="B195" s="2">
        <v>45763</v>
      </c>
      <c r="C195" t="s">
        <v>541</v>
      </c>
      <c r="D195" t="s">
        <v>1560</v>
      </c>
      <c r="E195" t="str">
        <f ca="1">TRIM(Sales_fact[[#This Row],[Store_ID]])</f>
        <v>STORE4</v>
      </c>
      <c r="F195">
        <v>1</v>
      </c>
      <c r="G195">
        <f>IF(ISBLANK(F195),MODE($F$2:$F$2001),F195)</f>
        <v>1</v>
      </c>
      <c r="H195">
        <v>271.76</v>
      </c>
      <c r="I195">
        <f>IF(ISBLANK(H195),AVERAGE($H$2:$H$2001),H195)</f>
        <v>271.76</v>
      </c>
      <c r="J195">
        <v>0.03</v>
      </c>
      <c r="K195">
        <f>IF(ISBLANK(J195),MODE($J$2:$J$2001),J195)</f>
        <v>0.03</v>
      </c>
      <c r="L195" t="s">
        <v>1824</v>
      </c>
      <c r="M195">
        <v>263.60719999999998</v>
      </c>
      <c r="N195">
        <f t="shared" ref="N195:N258" si="3">G195*I195*(1-K195)</f>
        <v>263.60719999999998</v>
      </c>
      <c r="O195" t="str">
        <f>_xlfn.XLOOKUP(Sales_fact[[#This Row],[Customer_ID]],'Customer_Dim'!A:A,'Customer_Dim'!K:K,"Not Found")</f>
        <v>Silver</v>
      </c>
      <c r="P195">
        <f>_xlfn.XLOOKUP(Sales_fact[[#This Row],[Customer_ID]],'Customer_Dim'!A:A, 'Customer_Dim'!E:E, "Not Found")</f>
        <v>37</v>
      </c>
      <c r="Q195" t="str">
        <f>VLOOKUP(Sales_fact[[#This Row],[Customer_ID]], 'Customer_Dim'!A:F, 6, FALSE)</f>
        <v>Male</v>
      </c>
      <c r="R195" s="13" t="str">
        <f>_xlfn.XLOOKUP(Sales_fact[[#This Row],[Product_ID]],Product_Dim!A:A,Product_Dim!C:C,"OTHERS")</f>
        <v>Home</v>
      </c>
    </row>
    <row r="196" spans="1:18" x14ac:dyDescent="0.3">
      <c r="A196" t="s">
        <v>2020</v>
      </c>
      <c r="B196" s="2">
        <v>45618</v>
      </c>
      <c r="C196" t="s">
        <v>1017</v>
      </c>
      <c r="D196" t="s">
        <v>1646</v>
      </c>
      <c r="E196" t="str">
        <f ca="1">TRIM(Sales_fact[[#This Row],[Store_ID]])</f>
        <v>STORE10</v>
      </c>
      <c r="F196">
        <v>3</v>
      </c>
      <c r="G196">
        <f>IF(ISBLANK(F196),MODE($F$2:$F$2001),F196)</f>
        <v>3</v>
      </c>
      <c r="H196">
        <v>958.15</v>
      </c>
      <c r="I196">
        <f>IF(ISBLANK(H196),AVERAGE($H$2:$H$2001),H196)</f>
        <v>958.15</v>
      </c>
      <c r="J196">
        <v>0.24</v>
      </c>
      <c r="K196">
        <f>IF(ISBLANK(J196),MODE($J$2:$J$2001),J196)</f>
        <v>0.24</v>
      </c>
      <c r="L196" t="s">
        <v>1829</v>
      </c>
      <c r="M196">
        <v>2184.5819999999999</v>
      </c>
      <c r="N196">
        <f t="shared" si="3"/>
        <v>2184.5819999999999</v>
      </c>
      <c r="O196" t="str">
        <f>_xlfn.XLOOKUP(Sales_fact[[#This Row],[Customer_ID]],'Customer_Dim'!A:A,'Customer_Dim'!K:K,"Not Found")</f>
        <v>Platinum</v>
      </c>
      <c r="P196">
        <f>_xlfn.XLOOKUP(Sales_fact[[#This Row],[Customer_ID]],'Customer_Dim'!A:A, 'Customer_Dim'!E:E, "Not Found")</f>
        <v>64</v>
      </c>
      <c r="Q196" t="str">
        <f>VLOOKUP(Sales_fact[[#This Row],[Customer_ID]], 'Customer_Dim'!A:F, 6, FALSE)</f>
        <v>Female</v>
      </c>
      <c r="R196" s="13" t="str">
        <f>_xlfn.XLOOKUP(Sales_fact[[#This Row],[Product_ID]],Product_Dim!A:A,Product_Dim!C:C,"OTHERS")</f>
        <v>Beauty</v>
      </c>
    </row>
    <row r="197" spans="1:18" x14ac:dyDescent="0.3">
      <c r="A197" t="s">
        <v>2021</v>
      </c>
      <c r="B197" s="2">
        <v>45290</v>
      </c>
      <c r="C197" t="s">
        <v>1325</v>
      </c>
      <c r="D197" t="s">
        <v>1668</v>
      </c>
      <c r="E197" t="str">
        <f ca="1">TRIM(Sales_fact[[#This Row],[Store_ID]])</f>
        <v>STORE17</v>
      </c>
      <c r="F197">
        <v>1</v>
      </c>
      <c r="G197">
        <f>IF(ISBLANK(F197),MODE($F$2:$F$2001),F197)</f>
        <v>1</v>
      </c>
      <c r="H197">
        <v>889.19</v>
      </c>
      <c r="I197">
        <f>IF(ISBLANK(H197),AVERAGE($H$2:$H$2001),H197)</f>
        <v>889.19</v>
      </c>
      <c r="J197">
        <v>0.03</v>
      </c>
      <c r="K197">
        <f>IF(ISBLANK(J197),MODE($J$2:$J$2001),J197)</f>
        <v>0.03</v>
      </c>
      <c r="L197" t="s">
        <v>1824</v>
      </c>
      <c r="M197">
        <v>862.51430000000005</v>
      </c>
      <c r="N197">
        <f t="shared" si="3"/>
        <v>862.51430000000005</v>
      </c>
      <c r="O197" t="str">
        <f>_xlfn.XLOOKUP(Sales_fact[[#This Row],[Customer_ID]],'Customer_Dim'!A:A,'Customer_Dim'!K:K,"Not Found")</f>
        <v>Gold</v>
      </c>
      <c r="P197">
        <f>_xlfn.XLOOKUP(Sales_fact[[#This Row],[Customer_ID]],'Customer_Dim'!A:A, 'Customer_Dim'!E:E, "Not Found")</f>
        <v>18</v>
      </c>
      <c r="Q197" t="str">
        <f>VLOOKUP(Sales_fact[[#This Row],[Customer_ID]], 'Customer_Dim'!A:F, 6, FALSE)</f>
        <v>Female</v>
      </c>
      <c r="R197" s="13" t="str">
        <f>_xlfn.XLOOKUP(Sales_fact[[#This Row],[Product_ID]],Product_Dim!A:A,Product_Dim!C:C,"OTHERS")</f>
        <v>Beauty</v>
      </c>
    </row>
    <row r="198" spans="1:18" x14ac:dyDescent="0.3">
      <c r="A198" t="s">
        <v>2022</v>
      </c>
      <c r="B198" s="2">
        <v>45904</v>
      </c>
      <c r="C198" t="s">
        <v>1431</v>
      </c>
      <c r="D198" t="s">
        <v>1662</v>
      </c>
      <c r="E198" t="str">
        <f ca="1">TRIM(Sales_fact[[#This Row],[Store_ID]])</f>
        <v>STORE16</v>
      </c>
      <c r="F198">
        <v>4</v>
      </c>
      <c r="G198">
        <f>IF(ISBLANK(F198),MODE($F$2:$F$2001),F198)</f>
        <v>4</v>
      </c>
      <c r="H198">
        <v>689.67</v>
      </c>
      <c r="I198">
        <f>IF(ISBLANK(H198),AVERAGE($H$2:$H$2001),H198)</f>
        <v>689.67</v>
      </c>
      <c r="J198">
        <v>0.05</v>
      </c>
      <c r="K198">
        <f>IF(ISBLANK(J198),MODE($J$2:$J$2001),J198)</f>
        <v>0.05</v>
      </c>
      <c r="L198" t="s">
        <v>1829</v>
      </c>
      <c r="M198">
        <v>2620.7460000000001</v>
      </c>
      <c r="N198">
        <f t="shared" si="3"/>
        <v>2620.7459999999996</v>
      </c>
      <c r="O198" t="str">
        <f>_xlfn.XLOOKUP(Sales_fact[[#This Row],[Customer_ID]],'Customer_Dim'!A:A,'Customer_Dim'!K:K,"Not Found")</f>
        <v>Not Found</v>
      </c>
      <c r="P198" t="str">
        <f>_xlfn.XLOOKUP(Sales_fact[[#This Row],[Customer_ID]],'Customer_Dim'!A:A, 'Customer_Dim'!E:E, "Not Found")</f>
        <v>Not Found</v>
      </c>
      <c r="Q198" t="e">
        <f>VLOOKUP(Sales_fact[[#This Row],[Customer_ID]], 'Customer_Dim'!A:F, 6, FALSE)</f>
        <v>#N/A</v>
      </c>
      <c r="R198" s="13" t="str">
        <f>_xlfn.XLOOKUP(Sales_fact[[#This Row],[Product_ID]],Product_Dim!A:A,Product_Dim!C:C,"OTHERS")</f>
        <v>Sports</v>
      </c>
    </row>
    <row r="199" spans="1:18" x14ac:dyDescent="0.3">
      <c r="A199" t="s">
        <v>2023</v>
      </c>
      <c r="B199" s="2">
        <v>45227</v>
      </c>
      <c r="C199" t="s">
        <v>461</v>
      </c>
      <c r="D199" t="s">
        <v>1636</v>
      </c>
      <c r="E199" t="str">
        <f ca="1">TRIM(Sales_fact[[#This Row],[Store_ID]])</f>
        <v>STORE11</v>
      </c>
      <c r="F199">
        <v>1</v>
      </c>
      <c r="G199">
        <f>IF(ISBLANK(F199),MODE($F$2:$F$2001),F199)</f>
        <v>1</v>
      </c>
      <c r="H199">
        <v>541.24</v>
      </c>
      <c r="I199">
        <f>IF(ISBLANK(H199),AVERAGE($H$2:$H$2001),H199)</f>
        <v>541.24</v>
      </c>
      <c r="J199">
        <v>0.03</v>
      </c>
      <c r="K199">
        <f>IF(ISBLANK(J199),MODE($J$2:$J$2001),J199)</f>
        <v>0.03</v>
      </c>
      <c r="L199" t="s">
        <v>1826</v>
      </c>
      <c r="M199">
        <v>525.00279999999998</v>
      </c>
      <c r="N199">
        <f t="shared" si="3"/>
        <v>525.00279999999998</v>
      </c>
      <c r="O199" t="str">
        <f>_xlfn.XLOOKUP(Sales_fact[[#This Row],[Customer_ID]],'Customer_Dim'!A:A,'Customer_Dim'!K:K,"Not Found")</f>
        <v>Platinum</v>
      </c>
      <c r="P199">
        <f>_xlfn.XLOOKUP(Sales_fact[[#This Row],[Customer_ID]],'Customer_Dim'!A:A, 'Customer_Dim'!E:E, "Not Found")</f>
        <v>33</v>
      </c>
      <c r="Q199" t="str">
        <f>VLOOKUP(Sales_fact[[#This Row],[Customer_ID]], 'Customer_Dim'!A:F, 6, FALSE)</f>
        <v>Female</v>
      </c>
      <c r="R199" s="13" t="str">
        <f>_xlfn.XLOOKUP(Sales_fact[[#This Row],[Product_ID]],Product_Dim!A:A,Product_Dim!C:C,"OTHERS")</f>
        <v>Sports</v>
      </c>
    </row>
    <row r="200" spans="1:18" x14ac:dyDescent="0.3">
      <c r="A200" t="s">
        <v>2024</v>
      </c>
      <c r="B200" s="2">
        <v>45600</v>
      </c>
      <c r="C200" t="s">
        <v>1386</v>
      </c>
      <c r="D200" t="s">
        <v>1710</v>
      </c>
      <c r="E200" t="str">
        <f ca="1">TRIM(Sales_fact[[#This Row],[Store_ID]])</f>
        <v>STORE6</v>
      </c>
      <c r="F200">
        <v>1</v>
      </c>
      <c r="G200">
        <f>IF(ISBLANK(F200),MODE($F$2:$F$2001),F200)</f>
        <v>1</v>
      </c>
      <c r="H200">
        <v>454.71</v>
      </c>
      <c r="I200">
        <f>IF(ISBLANK(H200),AVERAGE($H$2:$H$2001),H200)</f>
        <v>454.71</v>
      </c>
      <c r="J200">
        <v>0.16</v>
      </c>
      <c r="K200">
        <f>IF(ISBLANK(J200),MODE($J$2:$J$2001),J200)</f>
        <v>0.16</v>
      </c>
      <c r="L200" t="s">
        <v>1826</v>
      </c>
      <c r="M200">
        <v>381.95639999999997</v>
      </c>
      <c r="N200">
        <f t="shared" si="3"/>
        <v>381.95639999999997</v>
      </c>
      <c r="O200" t="str">
        <f>_xlfn.XLOOKUP(Sales_fact[[#This Row],[Customer_ID]],'Customer_Dim'!A:A,'Customer_Dim'!K:K,"Not Found")</f>
        <v>Bronze</v>
      </c>
      <c r="P200">
        <f>_xlfn.XLOOKUP(Sales_fact[[#This Row],[Customer_ID]],'Customer_Dim'!A:A, 'Customer_Dim'!E:E, "Not Found")</f>
        <v>64</v>
      </c>
      <c r="Q200" t="str">
        <f>VLOOKUP(Sales_fact[[#This Row],[Customer_ID]], 'Customer_Dim'!A:F, 6, FALSE)</f>
        <v>Female</v>
      </c>
      <c r="R200" s="13" t="str">
        <f>_xlfn.XLOOKUP(Sales_fact[[#This Row],[Product_ID]],Product_Dim!A:A,Product_Dim!C:C,"OTHERS")</f>
        <v>Sports</v>
      </c>
    </row>
    <row r="201" spans="1:18" x14ac:dyDescent="0.3">
      <c r="A201" t="s">
        <v>2025</v>
      </c>
      <c r="B201" s="2">
        <v>45646</v>
      </c>
      <c r="C201" t="s">
        <v>150</v>
      </c>
      <c r="D201" t="s">
        <v>1680</v>
      </c>
      <c r="E201" t="str">
        <f ca="1">TRIM(Sales_fact[[#This Row],[Store_ID]])</f>
        <v>STORE5</v>
      </c>
      <c r="F201">
        <v>2</v>
      </c>
      <c r="G201">
        <f>IF(ISBLANK(F201),MODE($F$2:$F$2001),F201)</f>
        <v>2</v>
      </c>
      <c r="H201">
        <v>397.63</v>
      </c>
      <c r="I201">
        <f>IF(ISBLANK(H201),AVERAGE($H$2:$H$2001),H201)</f>
        <v>397.63</v>
      </c>
      <c r="J201">
        <v>0.26</v>
      </c>
      <c r="K201">
        <f>IF(ISBLANK(J201),MODE($J$2:$J$2001),J201)</f>
        <v>0.26</v>
      </c>
      <c r="L201" t="s">
        <v>1824</v>
      </c>
      <c r="M201">
        <v>588.49239999999998</v>
      </c>
      <c r="N201">
        <f t="shared" si="3"/>
        <v>588.49239999999998</v>
      </c>
      <c r="O201" t="str">
        <f>_xlfn.XLOOKUP(Sales_fact[[#This Row],[Customer_ID]],'Customer_Dim'!A:A,'Customer_Dim'!K:K,"Not Found")</f>
        <v>Bronze</v>
      </c>
      <c r="P201">
        <f>_xlfn.XLOOKUP(Sales_fact[[#This Row],[Customer_ID]],'Customer_Dim'!A:A, 'Customer_Dim'!E:E, "Not Found")</f>
        <v>35</v>
      </c>
      <c r="Q201" t="str">
        <f>VLOOKUP(Sales_fact[[#This Row],[Customer_ID]], 'Customer_Dim'!A:F, 6, FALSE)</f>
        <v>Female</v>
      </c>
      <c r="R201" s="13" t="str">
        <f>_xlfn.XLOOKUP(Sales_fact[[#This Row],[Product_ID]],Product_Dim!A:A,Product_Dim!C:C,"OTHERS")</f>
        <v>Beauty</v>
      </c>
    </row>
    <row r="202" spans="1:18" x14ac:dyDescent="0.3">
      <c r="A202" t="s">
        <v>2026</v>
      </c>
      <c r="B202" s="2">
        <v>45725</v>
      </c>
      <c r="C202" t="s">
        <v>565</v>
      </c>
      <c r="D202" t="s">
        <v>1714</v>
      </c>
      <c r="E202" t="str">
        <f ca="1">TRIM(Sales_fact[[#This Row],[Store_ID]])</f>
        <v>STORE6</v>
      </c>
      <c r="F202">
        <v>3</v>
      </c>
      <c r="G202">
        <f>IF(ISBLANK(F202),MODE($F$2:$F$2001),F202)</f>
        <v>3</v>
      </c>
      <c r="H202">
        <v>748.56</v>
      </c>
      <c r="I202">
        <f>IF(ISBLANK(H202),AVERAGE($H$2:$H$2001),H202)</f>
        <v>748.56</v>
      </c>
      <c r="J202">
        <v>0.26</v>
      </c>
      <c r="K202">
        <f>IF(ISBLANK(J202),MODE($J$2:$J$2001),J202)</f>
        <v>0.26</v>
      </c>
      <c r="L202" t="s">
        <v>1826</v>
      </c>
      <c r="M202">
        <v>1661.8032000000001</v>
      </c>
      <c r="N202">
        <f t="shared" si="3"/>
        <v>1661.8031999999998</v>
      </c>
      <c r="O202" t="str">
        <f>_xlfn.XLOOKUP(Sales_fact[[#This Row],[Customer_ID]],'Customer_Dim'!A:A,'Customer_Dim'!K:K,"Not Found")</f>
        <v>Gold</v>
      </c>
      <c r="P202">
        <f>_xlfn.XLOOKUP(Sales_fact[[#This Row],[Customer_ID]],'Customer_Dim'!A:A, 'Customer_Dim'!E:E, "Not Found")</f>
        <v>18</v>
      </c>
      <c r="Q202" t="str">
        <f>VLOOKUP(Sales_fact[[#This Row],[Customer_ID]], 'Customer_Dim'!A:F, 6, FALSE)</f>
        <v>Male</v>
      </c>
      <c r="R202" s="13" t="str">
        <f>_xlfn.XLOOKUP(Sales_fact[[#This Row],[Product_ID]],Product_Dim!A:A,Product_Dim!C:C,"OTHERS")</f>
        <v>Beauty</v>
      </c>
    </row>
    <row r="203" spans="1:18" x14ac:dyDescent="0.3">
      <c r="A203" t="s">
        <v>2027</v>
      </c>
      <c r="B203" s="2">
        <v>45742</v>
      </c>
      <c r="C203" t="s">
        <v>487</v>
      </c>
      <c r="D203" t="s">
        <v>1614</v>
      </c>
      <c r="E203" t="str">
        <f ca="1">TRIM(Sales_fact[[#This Row],[Store_ID]])</f>
        <v>STORE4</v>
      </c>
      <c r="F203">
        <v>1</v>
      </c>
      <c r="G203">
        <f>IF(ISBLANK(F203),MODE($F$2:$F$2001),F203)</f>
        <v>1</v>
      </c>
      <c r="H203">
        <v>885.72</v>
      </c>
      <c r="I203">
        <f>IF(ISBLANK(H203),AVERAGE($H$2:$H$2001),H203)</f>
        <v>885.72</v>
      </c>
      <c r="J203">
        <v>0.15</v>
      </c>
      <c r="K203">
        <f>IF(ISBLANK(J203),MODE($J$2:$J$2001),J203)</f>
        <v>0.15</v>
      </c>
      <c r="L203" t="s">
        <v>1824</v>
      </c>
      <c r="M203">
        <v>752.86199999999997</v>
      </c>
      <c r="N203">
        <f t="shared" si="3"/>
        <v>752.86199999999997</v>
      </c>
      <c r="O203" t="str">
        <f>_xlfn.XLOOKUP(Sales_fact[[#This Row],[Customer_ID]],'Customer_Dim'!A:A,'Customer_Dim'!K:K,"Not Found")</f>
        <v>Bronze</v>
      </c>
      <c r="P203">
        <f>_xlfn.XLOOKUP(Sales_fact[[#This Row],[Customer_ID]],'Customer_Dim'!A:A, 'Customer_Dim'!E:E, "Not Found")</f>
        <v>62</v>
      </c>
      <c r="Q203" t="str">
        <f>VLOOKUP(Sales_fact[[#This Row],[Customer_ID]], 'Customer_Dim'!A:F, 6, FALSE)</f>
        <v>Female</v>
      </c>
      <c r="R203" s="13" t="str">
        <f>_xlfn.XLOOKUP(Sales_fact[[#This Row],[Product_ID]],Product_Dim!A:A,Product_Dim!C:C,"OTHERS")</f>
        <v>Home</v>
      </c>
    </row>
    <row r="204" spans="1:18" x14ac:dyDescent="0.3">
      <c r="A204" t="s">
        <v>2028</v>
      </c>
      <c r="B204" s="2">
        <v>45750</v>
      </c>
      <c r="C204" t="s">
        <v>381</v>
      </c>
      <c r="D204" t="s">
        <v>1672</v>
      </c>
      <c r="E204" t="str">
        <f ca="1">TRIM(Sales_fact[[#This Row],[Store_ID]])</f>
        <v>STORE1</v>
      </c>
      <c r="F204">
        <v>4</v>
      </c>
      <c r="G204">
        <f>IF(ISBLANK(F204),MODE($F$2:$F$2001),F204)</f>
        <v>4</v>
      </c>
      <c r="H204">
        <v>408.07</v>
      </c>
      <c r="I204">
        <f>IF(ISBLANK(H204),AVERAGE($H$2:$H$2001),H204)</f>
        <v>408.07</v>
      </c>
      <c r="J204">
        <v>0.28000000000000003</v>
      </c>
      <c r="K204">
        <f>IF(ISBLANK(J204),MODE($J$2:$J$2001),J204)</f>
        <v>0.28000000000000003</v>
      </c>
      <c r="L204" t="s">
        <v>1829</v>
      </c>
      <c r="M204">
        <v>1175.2416000000001</v>
      </c>
      <c r="N204">
        <f t="shared" si="3"/>
        <v>1175.2415999999998</v>
      </c>
      <c r="O204" t="str">
        <f>_xlfn.XLOOKUP(Sales_fact[[#This Row],[Customer_ID]],'Customer_Dim'!A:A,'Customer_Dim'!K:K,"Not Found")</f>
        <v>Bronze</v>
      </c>
      <c r="P204">
        <f>_xlfn.XLOOKUP(Sales_fact[[#This Row],[Customer_ID]],'Customer_Dim'!A:A, 'Customer_Dim'!E:E, "Not Found")</f>
        <v>38</v>
      </c>
      <c r="Q204" t="str">
        <f>VLOOKUP(Sales_fact[[#This Row],[Customer_ID]], 'Customer_Dim'!A:F, 6, FALSE)</f>
        <v>Male</v>
      </c>
      <c r="R204" s="13" t="str">
        <f>_xlfn.XLOOKUP(Sales_fact[[#This Row],[Product_ID]],Product_Dim!A:A,Product_Dim!C:C,"OTHERS")</f>
        <v>Electronics</v>
      </c>
    </row>
    <row r="205" spans="1:18" x14ac:dyDescent="0.3">
      <c r="A205" t="s">
        <v>2029</v>
      </c>
      <c r="B205" s="2">
        <v>45327</v>
      </c>
      <c r="C205" t="s">
        <v>1455</v>
      </c>
      <c r="D205" t="s">
        <v>1616</v>
      </c>
      <c r="E205" t="str">
        <f ca="1">TRIM(Sales_fact[[#This Row],[Store_ID]])</f>
        <v>STORE9</v>
      </c>
      <c r="F205">
        <v>2</v>
      </c>
      <c r="G205">
        <f>IF(ISBLANK(F205),MODE($F$2:$F$2001),F205)</f>
        <v>2</v>
      </c>
      <c r="H205">
        <v>597.07000000000005</v>
      </c>
      <c r="I205">
        <f>IF(ISBLANK(H205),AVERAGE($H$2:$H$2001),H205)</f>
        <v>597.07000000000005</v>
      </c>
      <c r="J205">
        <v>0.28000000000000003</v>
      </c>
      <c r="K205">
        <f>IF(ISBLANK(J205),MODE($J$2:$J$2001),J205)</f>
        <v>0.28000000000000003</v>
      </c>
      <c r="L205" t="s">
        <v>1826</v>
      </c>
      <c r="M205">
        <v>859.7808</v>
      </c>
      <c r="N205">
        <f t="shared" si="3"/>
        <v>859.7808</v>
      </c>
      <c r="O205" t="str">
        <f>_xlfn.XLOOKUP(Sales_fact[[#This Row],[Customer_ID]],'Customer_Dim'!A:A,'Customer_Dim'!K:K,"Not Found")</f>
        <v>Silver</v>
      </c>
      <c r="P205">
        <f>_xlfn.XLOOKUP(Sales_fact[[#This Row],[Customer_ID]],'Customer_Dim'!A:A, 'Customer_Dim'!E:E, "Not Found")</f>
        <v>42</v>
      </c>
      <c r="Q205" t="str">
        <f>VLOOKUP(Sales_fact[[#This Row],[Customer_ID]], 'Customer_Dim'!A:F, 6, FALSE)</f>
        <v>Male</v>
      </c>
      <c r="R205" s="13" t="str">
        <f>_xlfn.XLOOKUP(Sales_fact[[#This Row],[Product_ID]],Product_Dim!A:A,Product_Dim!C:C,"OTHERS")</f>
        <v>Electronics</v>
      </c>
    </row>
    <row r="206" spans="1:18" x14ac:dyDescent="0.3">
      <c r="A206" t="s">
        <v>2030</v>
      </c>
      <c r="B206" s="2">
        <v>45465</v>
      </c>
      <c r="C206" t="s">
        <v>97</v>
      </c>
      <c r="D206" t="s">
        <v>1682</v>
      </c>
      <c r="E206" t="str">
        <f ca="1">TRIM(Sales_fact[[#This Row],[Store_ID]])</f>
        <v>STORE9</v>
      </c>
      <c r="F206">
        <v>3</v>
      </c>
      <c r="G206">
        <f>IF(ISBLANK(F206),MODE($F$2:$F$2001),F206)</f>
        <v>3</v>
      </c>
      <c r="H206">
        <v>723.47</v>
      </c>
      <c r="I206">
        <f>IF(ISBLANK(H206),AVERAGE($H$2:$H$2001),H206)</f>
        <v>723.47</v>
      </c>
      <c r="J206">
        <v>0.12</v>
      </c>
      <c r="K206">
        <f>IF(ISBLANK(J206),MODE($J$2:$J$2001),J206)</f>
        <v>0.12</v>
      </c>
      <c r="L206" t="s">
        <v>1829</v>
      </c>
      <c r="M206">
        <v>1909.9608000000001</v>
      </c>
      <c r="N206">
        <f t="shared" si="3"/>
        <v>1909.9607999999998</v>
      </c>
      <c r="O206" t="str">
        <f>_xlfn.XLOOKUP(Sales_fact[[#This Row],[Customer_ID]],'Customer_Dim'!A:A,'Customer_Dim'!K:K,"Not Found")</f>
        <v>Silver</v>
      </c>
      <c r="P206">
        <f>_xlfn.XLOOKUP(Sales_fact[[#This Row],[Customer_ID]],'Customer_Dim'!A:A, 'Customer_Dim'!E:E, "Not Found")</f>
        <v>33</v>
      </c>
      <c r="Q206" t="str">
        <f>VLOOKUP(Sales_fact[[#This Row],[Customer_ID]], 'Customer_Dim'!A:F, 6, FALSE)</f>
        <v>Female</v>
      </c>
      <c r="R206" s="13" t="str">
        <f>_xlfn.XLOOKUP(Sales_fact[[#This Row],[Product_ID]],Product_Dim!A:A,Product_Dim!C:C,"OTHERS")</f>
        <v>Electronics</v>
      </c>
    </row>
    <row r="207" spans="1:18" x14ac:dyDescent="0.3">
      <c r="A207" t="s">
        <v>2031</v>
      </c>
      <c r="B207" s="2">
        <v>45883</v>
      </c>
      <c r="C207" t="s">
        <v>1355</v>
      </c>
      <c r="D207" t="s">
        <v>1724</v>
      </c>
      <c r="E207" t="str">
        <f ca="1">TRIM(Sales_fact[[#This Row],[Store_ID]])</f>
        <v>STORE5</v>
      </c>
      <c r="F207">
        <v>1</v>
      </c>
      <c r="G207">
        <f>IF(ISBLANK(F207),MODE($F$2:$F$2001),F207)</f>
        <v>1</v>
      </c>
      <c r="H207">
        <v>479.93</v>
      </c>
      <c r="I207">
        <f>IF(ISBLANK(H207),AVERAGE($H$2:$H$2001),H207)</f>
        <v>479.93</v>
      </c>
      <c r="J207">
        <v>0.22</v>
      </c>
      <c r="K207">
        <f>IF(ISBLANK(J207),MODE($J$2:$J$2001),J207)</f>
        <v>0.22</v>
      </c>
      <c r="L207" t="s">
        <v>1824</v>
      </c>
      <c r="M207">
        <v>374.34539999999998</v>
      </c>
      <c r="N207">
        <f t="shared" si="3"/>
        <v>374.34540000000004</v>
      </c>
      <c r="O207" t="str">
        <f>_xlfn.XLOOKUP(Sales_fact[[#This Row],[Customer_ID]],'Customer_Dim'!A:A,'Customer_Dim'!K:K,"Not Found")</f>
        <v>Platinum</v>
      </c>
      <c r="P207">
        <f>_xlfn.XLOOKUP(Sales_fact[[#This Row],[Customer_ID]],'Customer_Dim'!A:A, 'Customer_Dim'!E:E, "Not Found")</f>
        <v>47</v>
      </c>
      <c r="Q207" t="str">
        <f>VLOOKUP(Sales_fact[[#This Row],[Customer_ID]], 'Customer_Dim'!A:F, 6, FALSE)</f>
        <v>Female</v>
      </c>
      <c r="R207" s="13" t="str">
        <f>_xlfn.XLOOKUP(Sales_fact[[#This Row],[Product_ID]],Product_Dim!A:A,Product_Dim!C:C,"OTHERS")</f>
        <v>Sports</v>
      </c>
    </row>
    <row r="208" spans="1:18" x14ac:dyDescent="0.3">
      <c r="A208" t="s">
        <v>2032</v>
      </c>
      <c r="B208" s="2">
        <v>45445</v>
      </c>
      <c r="C208" t="s">
        <v>779</v>
      </c>
      <c r="D208" t="s">
        <v>1616</v>
      </c>
      <c r="E208" t="str">
        <f ca="1">TRIM(Sales_fact[[#This Row],[Store_ID]])</f>
        <v>STORE16</v>
      </c>
      <c r="F208">
        <v>4</v>
      </c>
      <c r="G208">
        <f>IF(ISBLANK(F208),MODE($F$2:$F$2001),F208)</f>
        <v>4</v>
      </c>
      <c r="H208">
        <v>362.81</v>
      </c>
      <c r="I208">
        <f>IF(ISBLANK(H208),AVERAGE($H$2:$H$2001),H208)</f>
        <v>362.81</v>
      </c>
      <c r="J208">
        <v>0.21</v>
      </c>
      <c r="K208">
        <f>IF(ISBLANK(J208),MODE($J$2:$J$2001),J208)</f>
        <v>0.21</v>
      </c>
      <c r="L208" t="s">
        <v>1829</v>
      </c>
      <c r="M208">
        <v>1146.4795999999999</v>
      </c>
      <c r="N208">
        <f t="shared" si="3"/>
        <v>1146.4796000000001</v>
      </c>
      <c r="O208" t="str">
        <f>_xlfn.XLOOKUP(Sales_fact[[#This Row],[Customer_ID]],'Customer_Dim'!A:A,'Customer_Dim'!K:K,"Not Found")</f>
        <v>Gold</v>
      </c>
      <c r="P208">
        <f>_xlfn.XLOOKUP(Sales_fact[[#This Row],[Customer_ID]],'Customer_Dim'!A:A, 'Customer_Dim'!E:E, "Not Found")</f>
        <v>56</v>
      </c>
      <c r="Q208" t="str">
        <f>VLOOKUP(Sales_fact[[#This Row],[Customer_ID]], 'Customer_Dim'!A:F, 6, FALSE)</f>
        <v>Female</v>
      </c>
      <c r="R208" s="13" t="str">
        <f>_xlfn.XLOOKUP(Sales_fact[[#This Row],[Product_ID]],Product_Dim!A:A,Product_Dim!C:C,"OTHERS")</f>
        <v>Electronics</v>
      </c>
    </row>
    <row r="209" spans="1:18" x14ac:dyDescent="0.3">
      <c r="A209" t="s">
        <v>2033</v>
      </c>
      <c r="B209" s="2">
        <v>45640</v>
      </c>
      <c r="C209" t="s">
        <v>610</v>
      </c>
      <c r="D209" t="s">
        <v>1706</v>
      </c>
      <c r="E209" t="str">
        <f ca="1">TRIM(Sales_fact[[#This Row],[Store_ID]])</f>
        <v>STORE3</v>
      </c>
      <c r="F209">
        <v>1</v>
      </c>
      <c r="G209">
        <f>IF(ISBLANK(F209),MODE($F$2:$F$2001),F209)</f>
        <v>1</v>
      </c>
      <c r="H209">
        <v>127.11</v>
      </c>
      <c r="I209">
        <f>IF(ISBLANK(H209),AVERAGE($H$2:$H$2001),H209)</f>
        <v>127.11</v>
      </c>
      <c r="J209">
        <v>0.01</v>
      </c>
      <c r="K209">
        <f>IF(ISBLANK(J209),MODE($J$2:$J$2001),J209)</f>
        <v>0.01</v>
      </c>
      <c r="L209" t="s">
        <v>1826</v>
      </c>
      <c r="M209">
        <v>125.8389</v>
      </c>
      <c r="N209">
        <f t="shared" si="3"/>
        <v>125.8389</v>
      </c>
      <c r="O209" t="str">
        <f>_xlfn.XLOOKUP(Sales_fact[[#This Row],[Customer_ID]],'Customer_Dim'!A:A,'Customer_Dim'!K:K,"Not Found")</f>
        <v>Platinum</v>
      </c>
      <c r="P209">
        <f>_xlfn.XLOOKUP(Sales_fact[[#This Row],[Customer_ID]],'Customer_Dim'!A:A, 'Customer_Dim'!E:E, "Not Found")</f>
        <v>54</v>
      </c>
      <c r="Q209" t="str">
        <f>VLOOKUP(Sales_fact[[#This Row],[Customer_ID]], 'Customer_Dim'!A:F, 6, FALSE)</f>
        <v>Female</v>
      </c>
      <c r="R209" s="13" t="str">
        <f>_xlfn.XLOOKUP(Sales_fact[[#This Row],[Product_ID]],Product_Dim!A:A,Product_Dim!C:C,"OTHERS")</f>
        <v>Home</v>
      </c>
    </row>
    <row r="210" spans="1:18" x14ac:dyDescent="0.3">
      <c r="A210" t="s">
        <v>2034</v>
      </c>
      <c r="B210" s="2">
        <v>45411</v>
      </c>
      <c r="C210" t="s">
        <v>607</v>
      </c>
      <c r="D210" t="s">
        <v>1616</v>
      </c>
      <c r="E210" t="str">
        <f ca="1">TRIM(Sales_fact[[#This Row],[Store_ID]])</f>
        <v>STORE17</v>
      </c>
      <c r="F210">
        <v>4</v>
      </c>
      <c r="G210">
        <f>IF(ISBLANK(F210),MODE($F$2:$F$2001),F210)</f>
        <v>4</v>
      </c>
      <c r="H210">
        <v>931.26</v>
      </c>
      <c r="I210">
        <f>IF(ISBLANK(H210),AVERAGE($H$2:$H$2001),H210)</f>
        <v>931.26</v>
      </c>
      <c r="J210">
        <v>0.04</v>
      </c>
      <c r="K210">
        <f>IF(ISBLANK(J210),MODE($J$2:$J$2001),J210)</f>
        <v>0.04</v>
      </c>
      <c r="L210" t="s">
        <v>1824</v>
      </c>
      <c r="M210">
        <v>3576.0383999999999</v>
      </c>
      <c r="N210">
        <f t="shared" si="3"/>
        <v>3576.0383999999999</v>
      </c>
      <c r="O210" t="str">
        <f>_xlfn.XLOOKUP(Sales_fact[[#This Row],[Customer_ID]],'Customer_Dim'!A:A,'Customer_Dim'!K:K,"Not Found")</f>
        <v>Silver</v>
      </c>
      <c r="P210">
        <f>_xlfn.XLOOKUP(Sales_fact[[#This Row],[Customer_ID]],'Customer_Dim'!A:A, 'Customer_Dim'!E:E, "Not Found")</f>
        <v>46</v>
      </c>
      <c r="Q210" t="str">
        <f>VLOOKUP(Sales_fact[[#This Row],[Customer_ID]], 'Customer_Dim'!A:F, 6, FALSE)</f>
        <v>Female</v>
      </c>
      <c r="R210" s="13" t="str">
        <f>_xlfn.XLOOKUP(Sales_fact[[#This Row],[Product_ID]],Product_Dim!A:A,Product_Dim!C:C,"OTHERS")</f>
        <v>Electronics</v>
      </c>
    </row>
    <row r="211" spans="1:18" x14ac:dyDescent="0.3">
      <c r="A211" t="s">
        <v>2035</v>
      </c>
      <c r="B211" s="2">
        <v>45224</v>
      </c>
      <c r="C211" t="s">
        <v>1160</v>
      </c>
      <c r="D211" t="s">
        <v>1682</v>
      </c>
      <c r="E211" t="str">
        <f ca="1">TRIM(Sales_fact[[#This Row],[Store_ID]])</f>
        <v>STORE8</v>
      </c>
      <c r="F211">
        <v>1</v>
      </c>
      <c r="G211">
        <f>IF(ISBLANK(F211),MODE($F$2:$F$2001),F211)</f>
        <v>1</v>
      </c>
      <c r="H211">
        <v>620.80999999999995</v>
      </c>
      <c r="I211">
        <f>IF(ISBLANK(H211),AVERAGE($H$2:$H$2001),H211)</f>
        <v>620.80999999999995</v>
      </c>
      <c r="J211">
        <v>0.04</v>
      </c>
      <c r="K211">
        <f>IF(ISBLANK(J211),MODE($J$2:$J$2001),J211)</f>
        <v>0.04</v>
      </c>
      <c r="L211" t="s">
        <v>1826</v>
      </c>
      <c r="M211">
        <v>595.97759999999994</v>
      </c>
      <c r="N211">
        <f t="shared" si="3"/>
        <v>595.97759999999994</v>
      </c>
      <c r="O211" t="str">
        <f>_xlfn.XLOOKUP(Sales_fact[[#This Row],[Customer_ID]],'Customer_Dim'!A:A,'Customer_Dim'!K:K,"Not Found")</f>
        <v>Platinum</v>
      </c>
      <c r="P211">
        <f>_xlfn.XLOOKUP(Sales_fact[[#This Row],[Customer_ID]],'Customer_Dim'!A:A, 'Customer_Dim'!E:E, "Not Found")</f>
        <v>21</v>
      </c>
      <c r="Q211" t="str">
        <f>VLOOKUP(Sales_fact[[#This Row],[Customer_ID]], 'Customer_Dim'!A:F, 6, FALSE)</f>
        <v>Female</v>
      </c>
      <c r="R211" s="13" t="str">
        <f>_xlfn.XLOOKUP(Sales_fact[[#This Row],[Product_ID]],Product_Dim!A:A,Product_Dim!C:C,"OTHERS")</f>
        <v>Electronics</v>
      </c>
    </row>
    <row r="212" spans="1:18" x14ac:dyDescent="0.3">
      <c r="A212" t="s">
        <v>2036</v>
      </c>
      <c r="B212" s="2">
        <v>45497</v>
      </c>
      <c r="C212" t="s">
        <v>338</v>
      </c>
      <c r="D212" t="s">
        <v>1648</v>
      </c>
      <c r="E212" t="str">
        <f ca="1">TRIM(Sales_fact[[#This Row],[Store_ID]])</f>
        <v>STORE2</v>
      </c>
      <c r="F212">
        <v>1</v>
      </c>
      <c r="G212">
        <f>IF(ISBLANK(F212),MODE($F$2:$F$2001),F212)</f>
        <v>1</v>
      </c>
      <c r="H212">
        <v>823.26</v>
      </c>
      <c r="I212">
        <f>IF(ISBLANK(H212),AVERAGE($H$2:$H$2001),H212)</f>
        <v>823.26</v>
      </c>
      <c r="J212">
        <v>0.27</v>
      </c>
      <c r="K212">
        <f>IF(ISBLANK(J212),MODE($J$2:$J$2001),J212)</f>
        <v>0.27</v>
      </c>
      <c r="L212" t="s">
        <v>1829</v>
      </c>
      <c r="M212">
        <v>600.97979999999995</v>
      </c>
      <c r="N212">
        <f t="shared" si="3"/>
        <v>600.97979999999995</v>
      </c>
      <c r="O212" t="str">
        <f>_xlfn.XLOOKUP(Sales_fact[[#This Row],[Customer_ID]],'Customer_Dim'!A:A,'Customer_Dim'!K:K,"Not Found")</f>
        <v>Gold</v>
      </c>
      <c r="P212">
        <f>_xlfn.XLOOKUP(Sales_fact[[#This Row],[Customer_ID]],'Customer_Dim'!A:A, 'Customer_Dim'!E:E, "Not Found")</f>
        <v>43</v>
      </c>
      <c r="Q212" t="str">
        <f>VLOOKUP(Sales_fact[[#This Row],[Customer_ID]], 'Customer_Dim'!A:F, 6, FALSE)</f>
        <v>Female</v>
      </c>
      <c r="R212" s="13" t="str">
        <f>_xlfn.XLOOKUP(Sales_fact[[#This Row],[Product_ID]],Product_Dim!A:A,Product_Dim!C:C,"OTHERS")</f>
        <v>Sports</v>
      </c>
    </row>
    <row r="213" spans="1:18" x14ac:dyDescent="0.3">
      <c r="A213" t="s">
        <v>2037</v>
      </c>
      <c r="B213" s="2">
        <v>45807</v>
      </c>
      <c r="C213" t="s">
        <v>59</v>
      </c>
      <c r="D213" t="s">
        <v>1602</v>
      </c>
      <c r="E213" t="str">
        <f ca="1">TRIM(Sales_fact[[#This Row],[Store_ID]])</f>
        <v>STORE8</v>
      </c>
      <c r="F213">
        <v>3</v>
      </c>
      <c r="G213">
        <f>IF(ISBLANK(F213),MODE($F$2:$F$2001),F213)</f>
        <v>3</v>
      </c>
      <c r="H213">
        <v>681.01</v>
      </c>
      <c r="I213">
        <f>IF(ISBLANK(H213),AVERAGE($H$2:$H$2001),H213)</f>
        <v>681.01</v>
      </c>
      <c r="J213">
        <v>0.27</v>
      </c>
      <c r="K213">
        <f>IF(ISBLANK(J213),MODE($J$2:$J$2001),J213)</f>
        <v>0.27</v>
      </c>
      <c r="L213" t="s">
        <v>1829</v>
      </c>
      <c r="M213">
        <v>1491.4119000000001</v>
      </c>
      <c r="N213">
        <f t="shared" si="3"/>
        <v>1491.4118999999998</v>
      </c>
      <c r="O213" t="str">
        <f>_xlfn.XLOOKUP(Sales_fact[[#This Row],[Customer_ID]],'Customer_Dim'!A:A,'Customer_Dim'!K:K,"Not Found")</f>
        <v>Platinum</v>
      </c>
      <c r="P213">
        <f>_xlfn.XLOOKUP(Sales_fact[[#This Row],[Customer_ID]],'Customer_Dim'!A:A, 'Customer_Dim'!E:E, "Not Found")</f>
        <v>55</v>
      </c>
      <c r="Q213" t="str">
        <f>VLOOKUP(Sales_fact[[#This Row],[Customer_ID]], 'Customer_Dim'!A:F, 6, FALSE)</f>
        <v>Female</v>
      </c>
      <c r="R213" s="13" t="str">
        <f>_xlfn.XLOOKUP(Sales_fact[[#This Row],[Product_ID]],Product_Dim!A:A,Product_Dim!C:C,"OTHERS")</f>
        <v>Home</v>
      </c>
    </row>
    <row r="214" spans="1:18" x14ac:dyDescent="0.3">
      <c r="A214" t="s">
        <v>2038</v>
      </c>
      <c r="B214" s="2">
        <v>45942</v>
      </c>
      <c r="C214" t="s">
        <v>1368</v>
      </c>
      <c r="D214" t="s">
        <v>1660</v>
      </c>
      <c r="E214" t="str">
        <f ca="1">TRIM(Sales_fact[[#This Row],[Store_ID]])</f>
        <v>STORE19</v>
      </c>
      <c r="F214">
        <v>4</v>
      </c>
      <c r="G214">
        <f>IF(ISBLANK(F214),MODE($F$2:$F$2001),F214)</f>
        <v>4</v>
      </c>
      <c r="H214">
        <v>119.83</v>
      </c>
      <c r="I214">
        <f>IF(ISBLANK(H214),AVERAGE($H$2:$H$2001),H214)</f>
        <v>119.83</v>
      </c>
      <c r="J214">
        <v>0.13</v>
      </c>
      <c r="K214">
        <f>IF(ISBLANK(J214),MODE($J$2:$J$2001),J214)</f>
        <v>0.13</v>
      </c>
      <c r="L214" t="s">
        <v>1824</v>
      </c>
      <c r="M214">
        <v>417.00839999999999</v>
      </c>
      <c r="N214">
        <f t="shared" si="3"/>
        <v>417.00839999999999</v>
      </c>
      <c r="O214" t="str">
        <f>_xlfn.XLOOKUP(Sales_fact[[#This Row],[Customer_ID]],'Customer_Dim'!A:A,'Customer_Dim'!K:K,"Not Found")</f>
        <v>Bronze</v>
      </c>
      <c r="P214">
        <f>_xlfn.XLOOKUP(Sales_fact[[#This Row],[Customer_ID]],'Customer_Dim'!A:A, 'Customer_Dim'!E:E, "Not Found")</f>
        <v>42</v>
      </c>
      <c r="Q214" t="str">
        <f>VLOOKUP(Sales_fact[[#This Row],[Customer_ID]], 'Customer_Dim'!A:F, 6, FALSE)</f>
        <v>Female</v>
      </c>
      <c r="R214" s="13" t="str">
        <f>_xlfn.XLOOKUP(Sales_fact[[#This Row],[Product_ID]],Product_Dim!A:A,Product_Dim!C:C,"OTHERS")</f>
        <v>Home</v>
      </c>
    </row>
    <row r="215" spans="1:18" x14ac:dyDescent="0.3">
      <c r="A215" t="s">
        <v>2039</v>
      </c>
      <c r="B215" s="2">
        <v>45314</v>
      </c>
      <c r="C215" t="s">
        <v>969</v>
      </c>
      <c r="D215" t="s">
        <v>1704</v>
      </c>
      <c r="E215" t="str">
        <f ca="1">TRIM(Sales_fact[[#This Row],[Store_ID]])</f>
        <v>STORE2</v>
      </c>
      <c r="F215">
        <v>1</v>
      </c>
      <c r="G215">
        <f>IF(ISBLANK(F215),MODE($F$2:$F$2001),F215)</f>
        <v>1</v>
      </c>
      <c r="H215">
        <v>575.66</v>
      </c>
      <c r="I215">
        <f>IF(ISBLANK(H215),AVERAGE($H$2:$H$2001),H215)</f>
        <v>575.66</v>
      </c>
      <c r="J215">
        <v>0.03</v>
      </c>
      <c r="K215">
        <f>IF(ISBLANK(J215),MODE($J$2:$J$2001),J215)</f>
        <v>0.03</v>
      </c>
      <c r="L215" t="s">
        <v>1826</v>
      </c>
      <c r="M215">
        <v>558.39019999999994</v>
      </c>
      <c r="N215">
        <f t="shared" si="3"/>
        <v>558.39019999999994</v>
      </c>
      <c r="O215" t="str">
        <f>_xlfn.XLOOKUP(Sales_fact[[#This Row],[Customer_ID]],'Customer_Dim'!A:A,'Customer_Dim'!K:K,"Not Found")</f>
        <v>Bronze</v>
      </c>
      <c r="P215">
        <f>_xlfn.XLOOKUP(Sales_fact[[#This Row],[Customer_ID]],'Customer_Dim'!A:A, 'Customer_Dim'!E:E, "Not Found")</f>
        <v>56</v>
      </c>
      <c r="Q215" t="str">
        <f>VLOOKUP(Sales_fact[[#This Row],[Customer_ID]], 'Customer_Dim'!A:F, 6, FALSE)</f>
        <v>Female</v>
      </c>
      <c r="R215" s="13" t="str">
        <f>_xlfn.XLOOKUP(Sales_fact[[#This Row],[Product_ID]],Product_Dim!A:A,Product_Dim!C:C,"OTHERS")</f>
        <v>Home</v>
      </c>
    </row>
    <row r="216" spans="1:18" x14ac:dyDescent="0.3">
      <c r="A216" t="s">
        <v>2040</v>
      </c>
      <c r="B216" s="2">
        <v>45943</v>
      </c>
      <c r="C216" t="s">
        <v>651</v>
      </c>
      <c r="D216" t="s">
        <v>1644</v>
      </c>
      <c r="E216" t="str">
        <f ca="1">TRIM(Sales_fact[[#This Row],[Store_ID]])</f>
        <v>STORE16</v>
      </c>
      <c r="F216">
        <v>1</v>
      </c>
      <c r="G216">
        <f>IF(ISBLANK(F216),MODE($F$2:$F$2001),F216)</f>
        <v>1</v>
      </c>
      <c r="H216">
        <v>775.84</v>
      </c>
      <c r="I216">
        <f>IF(ISBLANK(H216),AVERAGE($H$2:$H$2001),H216)</f>
        <v>775.84</v>
      </c>
      <c r="J216">
        <v>0.26</v>
      </c>
      <c r="K216">
        <f>IF(ISBLANK(J216),MODE($J$2:$J$2001),J216)</f>
        <v>0.26</v>
      </c>
      <c r="L216" t="s">
        <v>1824</v>
      </c>
      <c r="M216">
        <v>574.12160000000006</v>
      </c>
      <c r="N216">
        <f t="shared" si="3"/>
        <v>574.12160000000006</v>
      </c>
      <c r="O216" t="str">
        <f>_xlfn.XLOOKUP(Sales_fact[[#This Row],[Customer_ID]],'Customer_Dim'!A:A,'Customer_Dim'!K:K,"Not Found")</f>
        <v>Bronze</v>
      </c>
      <c r="P216">
        <f>_xlfn.XLOOKUP(Sales_fact[[#This Row],[Customer_ID]],'Customer_Dim'!A:A, 'Customer_Dim'!E:E, "Not Found")</f>
        <v>46</v>
      </c>
      <c r="Q216" t="str">
        <f>VLOOKUP(Sales_fact[[#This Row],[Customer_ID]], 'Customer_Dim'!A:F, 6, FALSE)</f>
        <v>Male</v>
      </c>
      <c r="R216" s="13" t="str">
        <f>_xlfn.XLOOKUP(Sales_fact[[#This Row],[Product_ID]],Product_Dim!A:A,Product_Dim!C:C,"OTHERS")</f>
        <v>Electronics</v>
      </c>
    </row>
    <row r="217" spans="1:18" x14ac:dyDescent="0.3">
      <c r="A217" t="s">
        <v>2041</v>
      </c>
      <c r="B217" s="2">
        <v>45356</v>
      </c>
      <c r="C217" t="s">
        <v>1371</v>
      </c>
      <c r="D217" t="s">
        <v>1576</v>
      </c>
      <c r="E217" t="str">
        <f ca="1">TRIM(Sales_fact[[#This Row],[Store_ID]])</f>
        <v>STORE9</v>
      </c>
      <c r="F217">
        <v>3</v>
      </c>
      <c r="G217">
        <f>IF(ISBLANK(F217),MODE($F$2:$F$2001),F217)</f>
        <v>3</v>
      </c>
      <c r="H217">
        <v>318.43</v>
      </c>
      <c r="I217">
        <f>IF(ISBLANK(H217),AVERAGE($H$2:$H$2001),H217)</f>
        <v>318.43</v>
      </c>
      <c r="J217">
        <v>0.05</v>
      </c>
      <c r="K217">
        <f>IF(ISBLANK(J217),MODE($J$2:$J$2001),J217)</f>
        <v>0.05</v>
      </c>
      <c r="L217" t="s">
        <v>1824</v>
      </c>
      <c r="M217">
        <v>907.52549999999997</v>
      </c>
      <c r="N217">
        <f t="shared" si="3"/>
        <v>907.52549999999997</v>
      </c>
      <c r="O217" t="str">
        <f>_xlfn.XLOOKUP(Sales_fact[[#This Row],[Customer_ID]],'Customer_Dim'!A:A,'Customer_Dim'!K:K,"Not Found")</f>
        <v>Silver</v>
      </c>
      <c r="P217">
        <f>_xlfn.XLOOKUP(Sales_fact[[#This Row],[Customer_ID]],'Customer_Dim'!A:A, 'Customer_Dim'!E:E, "Not Found")</f>
        <v>51</v>
      </c>
      <c r="Q217" t="str">
        <f>VLOOKUP(Sales_fact[[#This Row],[Customer_ID]], 'Customer_Dim'!A:F, 6, FALSE)</f>
        <v>Male</v>
      </c>
      <c r="R217" s="13" t="str">
        <f>_xlfn.XLOOKUP(Sales_fact[[#This Row],[Product_ID]],Product_Dim!A:A,Product_Dim!C:C,"OTHERS")</f>
        <v>Home</v>
      </c>
    </row>
    <row r="218" spans="1:18" x14ac:dyDescent="0.3">
      <c r="A218" t="s">
        <v>2042</v>
      </c>
      <c r="B218" s="2">
        <v>45854</v>
      </c>
      <c r="C218" t="s">
        <v>514</v>
      </c>
      <c r="D218" t="s">
        <v>1692</v>
      </c>
      <c r="E218" t="str">
        <f ca="1">TRIM(Sales_fact[[#This Row],[Store_ID]])</f>
        <v>STORE8</v>
      </c>
      <c r="F218">
        <v>3</v>
      </c>
      <c r="G218">
        <f>IF(ISBLANK(F218),MODE($F$2:$F$2001),F218)</f>
        <v>3</v>
      </c>
      <c r="H218">
        <v>141.6</v>
      </c>
      <c r="I218">
        <f>IF(ISBLANK(H218),AVERAGE($H$2:$H$2001),H218)</f>
        <v>141.6</v>
      </c>
      <c r="J218">
        <v>0.08</v>
      </c>
      <c r="K218">
        <f>IF(ISBLANK(J218),MODE($J$2:$J$2001),J218)</f>
        <v>0.08</v>
      </c>
      <c r="L218" t="s">
        <v>1829</v>
      </c>
      <c r="M218">
        <v>390.81599999999997</v>
      </c>
      <c r="N218">
        <f t="shared" si="3"/>
        <v>390.81599999999997</v>
      </c>
      <c r="O218" t="str">
        <f>_xlfn.XLOOKUP(Sales_fact[[#This Row],[Customer_ID]],'Customer_Dim'!A:A,'Customer_Dim'!K:K,"Not Found")</f>
        <v>Bronze</v>
      </c>
      <c r="P218">
        <f>_xlfn.XLOOKUP(Sales_fact[[#This Row],[Customer_ID]],'Customer_Dim'!A:A, 'Customer_Dim'!E:E, "Not Found")</f>
        <v>31</v>
      </c>
      <c r="Q218" t="str">
        <f>VLOOKUP(Sales_fact[[#This Row],[Customer_ID]], 'Customer_Dim'!A:F, 6, FALSE)</f>
        <v>Male</v>
      </c>
      <c r="R218" s="13" t="str">
        <f>_xlfn.XLOOKUP(Sales_fact[[#This Row],[Product_ID]],Product_Dim!A:A,Product_Dim!C:C,"OTHERS")</f>
        <v>Sports</v>
      </c>
    </row>
    <row r="219" spans="1:18" x14ac:dyDescent="0.3">
      <c r="A219" t="s">
        <v>2043</v>
      </c>
      <c r="B219" s="2">
        <v>45219</v>
      </c>
      <c r="C219" t="s">
        <v>849</v>
      </c>
      <c r="D219" t="s">
        <v>1578</v>
      </c>
      <c r="E219" t="str">
        <f ca="1">TRIM(Sales_fact[[#This Row],[Store_ID]])</f>
        <v>STORE19</v>
      </c>
      <c r="F219">
        <v>1</v>
      </c>
      <c r="G219">
        <f>IF(ISBLANK(F219),MODE($F$2:$F$2001),F219)</f>
        <v>1</v>
      </c>
      <c r="H219">
        <v>332.82</v>
      </c>
      <c r="I219">
        <f>IF(ISBLANK(H219),AVERAGE($H$2:$H$2001),H219)</f>
        <v>332.82</v>
      </c>
      <c r="J219">
        <v>0.14000000000000001</v>
      </c>
      <c r="K219">
        <f>IF(ISBLANK(J219),MODE($J$2:$J$2001),J219)</f>
        <v>0.14000000000000001</v>
      </c>
      <c r="L219" t="s">
        <v>1826</v>
      </c>
      <c r="M219">
        <v>286.22519999999997</v>
      </c>
      <c r="N219">
        <f t="shared" si="3"/>
        <v>286.22519999999997</v>
      </c>
      <c r="O219" t="str">
        <f>_xlfn.XLOOKUP(Sales_fact[[#This Row],[Customer_ID]],'Customer_Dim'!A:A,'Customer_Dim'!K:K,"Not Found")</f>
        <v>Bronze</v>
      </c>
      <c r="P219">
        <f>_xlfn.XLOOKUP(Sales_fact[[#This Row],[Customer_ID]],'Customer_Dim'!A:A, 'Customer_Dim'!E:E, "Not Found")</f>
        <v>32</v>
      </c>
      <c r="Q219" t="str">
        <f>VLOOKUP(Sales_fact[[#This Row],[Customer_ID]], 'Customer_Dim'!A:F, 6, FALSE)</f>
        <v>Female</v>
      </c>
      <c r="R219" s="13" t="str">
        <f>_xlfn.XLOOKUP(Sales_fact[[#This Row],[Product_ID]],Product_Dim!A:A,Product_Dim!C:C,"OTHERS")</f>
        <v>Electronics</v>
      </c>
    </row>
    <row r="220" spans="1:18" x14ac:dyDescent="0.3">
      <c r="A220" t="s">
        <v>2044</v>
      </c>
      <c r="B220" s="2">
        <v>45447</v>
      </c>
      <c r="C220" t="s">
        <v>788</v>
      </c>
      <c r="D220" t="s">
        <v>1692</v>
      </c>
      <c r="E220" t="str">
        <f ca="1">TRIM(Sales_fact[[#This Row],[Store_ID]])</f>
        <v>STORE1</v>
      </c>
      <c r="F220">
        <v>4</v>
      </c>
      <c r="G220">
        <f>IF(ISBLANK(F220),MODE($F$2:$F$2001),F220)</f>
        <v>4</v>
      </c>
      <c r="H220">
        <v>640.97</v>
      </c>
      <c r="I220">
        <f>IF(ISBLANK(H220),AVERAGE($H$2:$H$2001),H220)</f>
        <v>640.97</v>
      </c>
      <c r="J220">
        <v>0.11</v>
      </c>
      <c r="K220">
        <f>IF(ISBLANK(J220),MODE($J$2:$J$2001),J220)</f>
        <v>0.11</v>
      </c>
      <c r="L220" t="s">
        <v>1829</v>
      </c>
      <c r="M220">
        <v>2281.8532</v>
      </c>
      <c r="N220">
        <f t="shared" si="3"/>
        <v>2281.8532</v>
      </c>
      <c r="O220" t="str">
        <f>_xlfn.XLOOKUP(Sales_fact[[#This Row],[Customer_ID]],'Customer_Dim'!A:A,'Customer_Dim'!K:K,"Not Found")</f>
        <v>Bronze</v>
      </c>
      <c r="P220">
        <f>_xlfn.XLOOKUP(Sales_fact[[#This Row],[Customer_ID]],'Customer_Dim'!A:A, 'Customer_Dim'!E:E, "Not Found")</f>
        <v>58</v>
      </c>
      <c r="Q220" t="str">
        <f>VLOOKUP(Sales_fact[[#This Row],[Customer_ID]], 'Customer_Dim'!A:F, 6, FALSE)</f>
        <v>Male</v>
      </c>
      <c r="R220" s="13" t="str">
        <f>_xlfn.XLOOKUP(Sales_fact[[#This Row],[Product_ID]],Product_Dim!A:A,Product_Dim!C:C,"OTHERS")</f>
        <v>Sports</v>
      </c>
    </row>
    <row r="221" spans="1:18" x14ac:dyDescent="0.3">
      <c r="A221" t="s">
        <v>2045</v>
      </c>
      <c r="B221" s="2">
        <v>45225</v>
      </c>
      <c r="C221" t="s">
        <v>663</v>
      </c>
      <c r="D221" t="s">
        <v>1728</v>
      </c>
      <c r="E221" t="str">
        <f ca="1">TRIM(Sales_fact[[#This Row],[Store_ID]])</f>
        <v>STORE15</v>
      </c>
      <c r="F221">
        <v>4</v>
      </c>
      <c r="G221">
        <f>IF(ISBLANK(F221),MODE($F$2:$F$2001),F221)</f>
        <v>4</v>
      </c>
      <c r="H221">
        <v>75.37</v>
      </c>
      <c r="I221">
        <f>IF(ISBLANK(H221),AVERAGE($H$2:$H$2001),H221)</f>
        <v>75.37</v>
      </c>
      <c r="J221">
        <v>0.02</v>
      </c>
      <c r="K221">
        <f>IF(ISBLANK(J221),MODE($J$2:$J$2001),J221)</f>
        <v>0.02</v>
      </c>
      <c r="L221" t="s">
        <v>1829</v>
      </c>
      <c r="M221">
        <v>295.4504</v>
      </c>
      <c r="N221">
        <f t="shared" si="3"/>
        <v>295.4504</v>
      </c>
      <c r="O221" t="str">
        <f>_xlfn.XLOOKUP(Sales_fact[[#This Row],[Customer_ID]],'Customer_Dim'!A:A,'Customer_Dim'!K:K,"Not Found")</f>
        <v>Platinum</v>
      </c>
      <c r="P221">
        <f>_xlfn.XLOOKUP(Sales_fact[[#This Row],[Customer_ID]],'Customer_Dim'!A:A, 'Customer_Dim'!E:E, "Not Found")</f>
        <v>47</v>
      </c>
      <c r="Q221" t="str">
        <f>VLOOKUP(Sales_fact[[#This Row],[Customer_ID]], 'Customer_Dim'!A:F, 6, FALSE)</f>
        <v>Male</v>
      </c>
      <c r="R221" s="13" t="str">
        <f>_xlfn.XLOOKUP(Sales_fact[[#This Row],[Product_ID]],Product_Dim!A:A,Product_Dim!C:C,"OTHERS")</f>
        <v>Electronics</v>
      </c>
    </row>
    <row r="222" spans="1:18" x14ac:dyDescent="0.3">
      <c r="A222" t="s">
        <v>2046</v>
      </c>
      <c r="B222" s="2">
        <v>45754</v>
      </c>
      <c r="C222" t="s">
        <v>275</v>
      </c>
      <c r="D222" t="s">
        <v>1580</v>
      </c>
      <c r="E222" t="str">
        <f ca="1">TRIM(Sales_fact[[#This Row],[Store_ID]])</f>
        <v>STORE18</v>
      </c>
      <c r="F222">
        <v>3</v>
      </c>
      <c r="G222">
        <f>IF(ISBLANK(F222),MODE($F$2:$F$2001),F222)</f>
        <v>3</v>
      </c>
      <c r="H222">
        <v>434.55</v>
      </c>
      <c r="I222">
        <f>IF(ISBLANK(H222),AVERAGE($H$2:$H$2001),H222)</f>
        <v>434.55</v>
      </c>
      <c r="J222">
        <v>0.08</v>
      </c>
      <c r="K222">
        <f>IF(ISBLANK(J222),MODE($J$2:$J$2001),J222)</f>
        <v>0.08</v>
      </c>
      <c r="L222" t="s">
        <v>1829</v>
      </c>
      <c r="M222">
        <v>1199.3579999999999</v>
      </c>
      <c r="N222">
        <f t="shared" si="3"/>
        <v>1199.3580000000002</v>
      </c>
      <c r="O222" t="str">
        <f>_xlfn.XLOOKUP(Sales_fact[[#This Row],[Customer_ID]],'Customer_Dim'!A:A,'Customer_Dim'!K:K,"Not Found")</f>
        <v>Gold</v>
      </c>
      <c r="P222">
        <f>_xlfn.XLOOKUP(Sales_fact[[#This Row],[Customer_ID]],'Customer_Dim'!A:A, 'Customer_Dim'!E:E, "Not Found")</f>
        <v>61</v>
      </c>
      <c r="Q222" t="str">
        <f>VLOOKUP(Sales_fact[[#This Row],[Customer_ID]], 'Customer_Dim'!A:F, 6, FALSE)</f>
        <v>Female</v>
      </c>
      <c r="R222" s="13" t="str">
        <f>_xlfn.XLOOKUP(Sales_fact[[#This Row],[Product_ID]],Product_Dim!A:A,Product_Dim!C:C,"OTHERS")</f>
        <v>OTHERS</v>
      </c>
    </row>
    <row r="223" spans="1:18" x14ac:dyDescent="0.3">
      <c r="A223" t="s">
        <v>2047</v>
      </c>
      <c r="B223" s="2">
        <v>45729</v>
      </c>
      <c r="C223" t="s">
        <v>353</v>
      </c>
      <c r="D223" t="s">
        <v>1600</v>
      </c>
      <c r="E223" t="str">
        <f ca="1">TRIM(Sales_fact[[#This Row],[Store_ID]])</f>
        <v>STORE14</v>
      </c>
      <c r="F223">
        <v>4</v>
      </c>
      <c r="G223">
        <f>IF(ISBLANK(F223),MODE($F$2:$F$2001),F223)</f>
        <v>4</v>
      </c>
      <c r="H223">
        <v>652.28</v>
      </c>
      <c r="I223">
        <f>IF(ISBLANK(H223),AVERAGE($H$2:$H$2001),H223)</f>
        <v>652.28</v>
      </c>
      <c r="J223">
        <v>0.15</v>
      </c>
      <c r="K223">
        <f>IF(ISBLANK(J223),MODE($J$2:$J$2001),J223)</f>
        <v>0.15</v>
      </c>
      <c r="L223" t="s">
        <v>1824</v>
      </c>
      <c r="M223">
        <v>2217.752</v>
      </c>
      <c r="N223">
        <f t="shared" si="3"/>
        <v>2217.752</v>
      </c>
      <c r="O223" t="str">
        <f>_xlfn.XLOOKUP(Sales_fact[[#This Row],[Customer_ID]],'Customer_Dim'!A:A,'Customer_Dim'!K:K,"Not Found")</f>
        <v>Silver</v>
      </c>
      <c r="P223">
        <f>_xlfn.XLOOKUP(Sales_fact[[#This Row],[Customer_ID]],'Customer_Dim'!A:A, 'Customer_Dim'!E:E, "Not Found")</f>
        <v>35</v>
      </c>
      <c r="Q223" t="str">
        <f>VLOOKUP(Sales_fact[[#This Row],[Customer_ID]], 'Customer_Dim'!A:F, 6, FALSE)</f>
        <v>Male</v>
      </c>
      <c r="R223" s="13" t="str">
        <f>_xlfn.XLOOKUP(Sales_fact[[#This Row],[Product_ID]],Product_Dim!A:A,Product_Dim!C:C,"OTHERS")</f>
        <v>Electronics</v>
      </c>
    </row>
    <row r="224" spans="1:18" x14ac:dyDescent="0.3">
      <c r="A224" t="s">
        <v>2048</v>
      </c>
      <c r="B224" s="2">
        <v>45480</v>
      </c>
      <c r="C224" t="s">
        <v>857</v>
      </c>
      <c r="D224" t="s">
        <v>1700</v>
      </c>
      <c r="E224" t="str">
        <f ca="1">TRIM(Sales_fact[[#This Row],[Store_ID]])</f>
        <v>STORE17</v>
      </c>
      <c r="F224">
        <v>3</v>
      </c>
      <c r="G224">
        <f>IF(ISBLANK(F224),MODE($F$2:$F$2001),F224)</f>
        <v>3</v>
      </c>
      <c r="H224">
        <v>207.8</v>
      </c>
      <c r="I224">
        <f>IF(ISBLANK(H224),AVERAGE($H$2:$H$2001),H224)</f>
        <v>207.8</v>
      </c>
      <c r="J224">
        <v>0.15</v>
      </c>
      <c r="K224">
        <f>IF(ISBLANK(J224),MODE($J$2:$J$2001),J224)</f>
        <v>0.15</v>
      </c>
      <c r="L224" t="s">
        <v>1824</v>
      </c>
      <c r="M224">
        <v>529.8900000000001</v>
      </c>
      <c r="N224">
        <f t="shared" si="3"/>
        <v>529.8900000000001</v>
      </c>
      <c r="O224" t="str">
        <f>_xlfn.XLOOKUP(Sales_fact[[#This Row],[Customer_ID]],'Customer_Dim'!A:A,'Customer_Dim'!K:K,"Not Found")</f>
        <v>Silver</v>
      </c>
      <c r="P224">
        <f>_xlfn.XLOOKUP(Sales_fact[[#This Row],[Customer_ID]],'Customer_Dim'!A:A, 'Customer_Dim'!E:E, "Not Found")</f>
        <v>45</v>
      </c>
      <c r="Q224" t="str">
        <f>VLOOKUP(Sales_fact[[#This Row],[Customer_ID]], 'Customer_Dim'!A:F, 6, FALSE)</f>
        <v>Female</v>
      </c>
      <c r="R224" s="13" t="str">
        <f>_xlfn.XLOOKUP(Sales_fact[[#This Row],[Product_ID]],Product_Dim!A:A,Product_Dim!C:C,"OTHERS")</f>
        <v>Electronics</v>
      </c>
    </row>
    <row r="225" spans="1:18" x14ac:dyDescent="0.3">
      <c r="A225" t="s">
        <v>2049</v>
      </c>
      <c r="B225" s="2">
        <v>45361</v>
      </c>
      <c r="C225" t="s">
        <v>1521</v>
      </c>
      <c r="D225" t="s">
        <v>1670</v>
      </c>
      <c r="E225" t="str">
        <f ca="1">TRIM(Sales_fact[[#This Row],[Store_ID]])</f>
        <v>STORE15</v>
      </c>
      <c r="F225">
        <v>4</v>
      </c>
      <c r="G225">
        <f>IF(ISBLANK(F225),MODE($F$2:$F$2001),F225)</f>
        <v>4</v>
      </c>
      <c r="H225">
        <v>385.5</v>
      </c>
      <c r="I225">
        <f>IF(ISBLANK(H225),AVERAGE($H$2:$H$2001),H225)</f>
        <v>385.5</v>
      </c>
      <c r="J225">
        <v>0.03</v>
      </c>
      <c r="K225">
        <f>IF(ISBLANK(J225),MODE($J$2:$J$2001),J225)</f>
        <v>0.03</v>
      </c>
      <c r="L225" t="s">
        <v>1826</v>
      </c>
      <c r="M225">
        <v>1495.74</v>
      </c>
      <c r="N225">
        <f t="shared" si="3"/>
        <v>1495.74</v>
      </c>
      <c r="O225" t="str">
        <f>_xlfn.XLOOKUP(Sales_fact[[#This Row],[Customer_ID]],'Customer_Dim'!A:A,'Customer_Dim'!K:K,"Not Found")</f>
        <v>Bronze</v>
      </c>
      <c r="P225">
        <f>_xlfn.XLOOKUP(Sales_fact[[#This Row],[Customer_ID]],'Customer_Dim'!A:A, 'Customer_Dim'!E:E, "Not Found")</f>
        <v>23</v>
      </c>
      <c r="Q225" t="str">
        <f>VLOOKUP(Sales_fact[[#This Row],[Customer_ID]], 'Customer_Dim'!A:F, 6, FALSE)</f>
        <v>Female</v>
      </c>
      <c r="R225" s="13" t="str">
        <f>_xlfn.XLOOKUP(Sales_fact[[#This Row],[Product_ID]],Product_Dim!A:A,Product_Dim!C:C,"OTHERS")</f>
        <v>Sports</v>
      </c>
    </row>
    <row r="226" spans="1:18" x14ac:dyDescent="0.3">
      <c r="A226" t="s">
        <v>2050</v>
      </c>
      <c r="B226" s="2">
        <v>45915</v>
      </c>
      <c r="C226" t="s">
        <v>344</v>
      </c>
      <c r="D226" t="s">
        <v>1678</v>
      </c>
      <c r="E226" t="str">
        <f ca="1">TRIM(Sales_fact[[#This Row],[Store_ID]])</f>
        <v>STORE6</v>
      </c>
      <c r="F226">
        <v>3</v>
      </c>
      <c r="G226">
        <f>IF(ISBLANK(F226),MODE($F$2:$F$2001),F226)</f>
        <v>3</v>
      </c>
      <c r="H226">
        <v>548.19000000000005</v>
      </c>
      <c r="I226">
        <f>IF(ISBLANK(H226),AVERAGE($H$2:$H$2001),H226)</f>
        <v>548.19000000000005</v>
      </c>
      <c r="J226">
        <v>0.12</v>
      </c>
      <c r="K226">
        <f>IF(ISBLANK(J226),MODE($J$2:$J$2001),J226)</f>
        <v>0.12</v>
      </c>
      <c r="L226" t="s">
        <v>1824</v>
      </c>
      <c r="M226">
        <v>1447.2216000000001</v>
      </c>
      <c r="N226">
        <f t="shared" si="3"/>
        <v>1447.2216000000001</v>
      </c>
      <c r="O226" t="str">
        <f>_xlfn.XLOOKUP(Sales_fact[[#This Row],[Customer_ID]],'Customer_Dim'!A:A,'Customer_Dim'!K:K,"Not Found")</f>
        <v>Platinum</v>
      </c>
      <c r="P226">
        <f>_xlfn.XLOOKUP(Sales_fact[[#This Row],[Customer_ID]],'Customer_Dim'!A:A, 'Customer_Dim'!E:E, "Not Found")</f>
        <v>30</v>
      </c>
      <c r="Q226" t="str">
        <f>VLOOKUP(Sales_fact[[#This Row],[Customer_ID]], 'Customer_Dim'!A:F, 6, FALSE)</f>
        <v>Female</v>
      </c>
      <c r="R226" s="13" t="str">
        <f>_xlfn.XLOOKUP(Sales_fact[[#This Row],[Product_ID]],Product_Dim!A:A,Product_Dim!C:C,"OTHERS")</f>
        <v>Sports</v>
      </c>
    </row>
    <row r="227" spans="1:18" x14ac:dyDescent="0.3">
      <c r="A227" t="s">
        <v>2051</v>
      </c>
      <c r="B227" s="2">
        <v>45607</v>
      </c>
      <c r="C227" t="s">
        <v>255</v>
      </c>
      <c r="D227" t="s">
        <v>1694</v>
      </c>
      <c r="E227" t="str">
        <f ca="1">TRIM(Sales_fact[[#This Row],[Store_ID]])</f>
        <v>STORE9</v>
      </c>
      <c r="F227">
        <v>3</v>
      </c>
      <c r="G227">
        <f>IF(ISBLANK(F227),MODE($F$2:$F$2001),F227)</f>
        <v>3</v>
      </c>
      <c r="H227">
        <v>927.6</v>
      </c>
      <c r="I227">
        <f>IF(ISBLANK(H227),AVERAGE($H$2:$H$2001),H227)</f>
        <v>927.6</v>
      </c>
      <c r="J227">
        <v>0.09</v>
      </c>
      <c r="K227">
        <f>IF(ISBLANK(J227),MODE($J$2:$J$2001),J227)</f>
        <v>0.09</v>
      </c>
      <c r="L227" t="s">
        <v>1824</v>
      </c>
      <c r="M227">
        <v>2532.348</v>
      </c>
      <c r="N227">
        <f t="shared" si="3"/>
        <v>2532.3480000000004</v>
      </c>
      <c r="O227" t="str">
        <f>_xlfn.XLOOKUP(Sales_fact[[#This Row],[Customer_ID]],'Customer_Dim'!A:A,'Customer_Dim'!K:K,"Not Found")</f>
        <v>Platinum</v>
      </c>
      <c r="P227">
        <f>_xlfn.XLOOKUP(Sales_fact[[#This Row],[Customer_ID]],'Customer_Dim'!A:A, 'Customer_Dim'!E:E, "Not Found")</f>
        <v>24</v>
      </c>
      <c r="Q227" t="str">
        <f>VLOOKUP(Sales_fact[[#This Row],[Customer_ID]], 'Customer_Dim'!A:F, 6, FALSE)</f>
        <v>Female</v>
      </c>
      <c r="R227" s="13" t="str">
        <f>_xlfn.XLOOKUP(Sales_fact[[#This Row],[Product_ID]],Product_Dim!A:A,Product_Dim!C:C,"OTHERS")</f>
        <v>Sports</v>
      </c>
    </row>
    <row r="228" spans="1:18" x14ac:dyDescent="0.3">
      <c r="A228" t="s">
        <v>2052</v>
      </c>
      <c r="B228" s="2">
        <v>45666</v>
      </c>
      <c r="C228" t="s">
        <v>849</v>
      </c>
      <c r="D228" t="s">
        <v>1670</v>
      </c>
      <c r="E228" t="str">
        <f ca="1">TRIM(Sales_fact[[#This Row],[Store_ID]])</f>
        <v>STORE3</v>
      </c>
      <c r="F228">
        <v>4</v>
      </c>
      <c r="G228">
        <f>IF(ISBLANK(F228),MODE($F$2:$F$2001),F228)</f>
        <v>4</v>
      </c>
      <c r="H228">
        <v>585.04</v>
      </c>
      <c r="I228">
        <f>IF(ISBLANK(H228),AVERAGE($H$2:$H$2001),H228)</f>
        <v>585.04</v>
      </c>
      <c r="J228">
        <v>0.22</v>
      </c>
      <c r="K228">
        <f>IF(ISBLANK(J228),MODE($J$2:$J$2001),J228)</f>
        <v>0.22</v>
      </c>
      <c r="L228" t="s">
        <v>1826</v>
      </c>
      <c r="M228">
        <v>1825.3248000000001</v>
      </c>
      <c r="N228">
        <f t="shared" si="3"/>
        <v>1825.3247999999999</v>
      </c>
      <c r="O228" t="str">
        <f>_xlfn.XLOOKUP(Sales_fact[[#This Row],[Customer_ID]],'Customer_Dim'!A:A,'Customer_Dim'!K:K,"Not Found")</f>
        <v>Bronze</v>
      </c>
      <c r="P228">
        <f>_xlfn.XLOOKUP(Sales_fact[[#This Row],[Customer_ID]],'Customer_Dim'!A:A, 'Customer_Dim'!E:E, "Not Found")</f>
        <v>32</v>
      </c>
      <c r="Q228" t="str">
        <f>VLOOKUP(Sales_fact[[#This Row],[Customer_ID]], 'Customer_Dim'!A:F, 6, FALSE)</f>
        <v>Female</v>
      </c>
      <c r="R228" s="13" t="str">
        <f>_xlfn.XLOOKUP(Sales_fact[[#This Row],[Product_ID]],Product_Dim!A:A,Product_Dim!C:C,"OTHERS")</f>
        <v>Sports</v>
      </c>
    </row>
    <row r="229" spans="1:18" x14ac:dyDescent="0.3">
      <c r="A229" t="s">
        <v>2053</v>
      </c>
      <c r="B229" s="2">
        <v>45406</v>
      </c>
      <c r="C229" t="s">
        <v>1533</v>
      </c>
      <c r="D229" t="s">
        <v>1626</v>
      </c>
      <c r="E229" t="str">
        <f ca="1">TRIM(Sales_fact[[#This Row],[Store_ID]])</f>
        <v>STORE2</v>
      </c>
      <c r="F229">
        <v>2</v>
      </c>
      <c r="G229">
        <f>IF(ISBLANK(F229),MODE($F$2:$F$2001),F229)</f>
        <v>2</v>
      </c>
      <c r="H229">
        <v>999.89</v>
      </c>
      <c r="I229">
        <f>IF(ISBLANK(H229),AVERAGE($H$2:$H$2001),H229)</f>
        <v>999.89</v>
      </c>
      <c r="J229">
        <v>0.09</v>
      </c>
      <c r="K229">
        <f>IF(ISBLANK(J229),MODE($J$2:$J$2001),J229)</f>
        <v>0.09</v>
      </c>
      <c r="L229" t="s">
        <v>1824</v>
      </c>
      <c r="M229">
        <v>1819.7998</v>
      </c>
      <c r="N229">
        <f t="shared" si="3"/>
        <v>1819.7998</v>
      </c>
      <c r="O229" t="str">
        <f>_xlfn.XLOOKUP(Sales_fact[[#This Row],[Customer_ID]],'Customer_Dim'!A:A,'Customer_Dim'!K:K,"Not Found")</f>
        <v>Not Found</v>
      </c>
      <c r="P229" t="str">
        <f>_xlfn.XLOOKUP(Sales_fact[[#This Row],[Customer_ID]],'Customer_Dim'!A:A, 'Customer_Dim'!E:E, "Not Found")</f>
        <v>Not Found</v>
      </c>
      <c r="Q229" t="e">
        <f>VLOOKUP(Sales_fact[[#This Row],[Customer_ID]], 'Customer_Dim'!A:F, 6, FALSE)</f>
        <v>#N/A</v>
      </c>
      <c r="R229" s="13" t="str">
        <f>_xlfn.XLOOKUP(Sales_fact[[#This Row],[Product_ID]],Product_Dim!A:A,Product_Dim!C:C,"OTHERS")</f>
        <v>Electronics</v>
      </c>
    </row>
    <row r="230" spans="1:18" x14ac:dyDescent="0.3">
      <c r="A230" t="s">
        <v>2054</v>
      </c>
      <c r="B230" s="2">
        <v>45284</v>
      </c>
      <c r="C230" t="s">
        <v>378</v>
      </c>
      <c r="D230" t="s">
        <v>1698</v>
      </c>
      <c r="E230" t="str">
        <f ca="1">TRIM(Sales_fact[[#This Row],[Store_ID]])</f>
        <v>STORE3</v>
      </c>
      <c r="F230">
        <v>2</v>
      </c>
      <c r="G230">
        <f>IF(ISBLANK(F230),MODE($F$2:$F$2001),F230)</f>
        <v>2</v>
      </c>
      <c r="H230">
        <v>848.98</v>
      </c>
      <c r="I230">
        <f>IF(ISBLANK(H230),AVERAGE($H$2:$H$2001),H230)</f>
        <v>848.98</v>
      </c>
      <c r="J230">
        <v>0.04</v>
      </c>
      <c r="K230">
        <f>IF(ISBLANK(J230),MODE($J$2:$J$2001),J230)</f>
        <v>0.04</v>
      </c>
      <c r="L230" t="s">
        <v>1826</v>
      </c>
      <c r="M230">
        <v>1630.0416</v>
      </c>
      <c r="N230">
        <f t="shared" si="3"/>
        <v>1630.0416</v>
      </c>
      <c r="O230" t="str">
        <f>_xlfn.XLOOKUP(Sales_fact[[#This Row],[Customer_ID]],'Customer_Dim'!A:A,'Customer_Dim'!K:K,"Not Found")</f>
        <v>Platinum</v>
      </c>
      <c r="P230">
        <f>_xlfn.XLOOKUP(Sales_fact[[#This Row],[Customer_ID]],'Customer_Dim'!A:A, 'Customer_Dim'!E:E, "Not Found")</f>
        <v>62</v>
      </c>
      <c r="Q230" t="str">
        <f>VLOOKUP(Sales_fact[[#This Row],[Customer_ID]], 'Customer_Dim'!A:F, 6, FALSE)</f>
        <v>Female</v>
      </c>
      <c r="R230" s="13" t="str">
        <f>_xlfn.XLOOKUP(Sales_fact[[#This Row],[Product_ID]],Product_Dim!A:A,Product_Dim!C:C,"OTHERS")</f>
        <v>Clothing</v>
      </c>
    </row>
    <row r="231" spans="1:18" x14ac:dyDescent="0.3">
      <c r="A231" t="s">
        <v>2055</v>
      </c>
      <c r="B231" s="2">
        <v>45348</v>
      </c>
      <c r="C231" t="s">
        <v>481</v>
      </c>
      <c r="D231" t="s">
        <v>1668</v>
      </c>
      <c r="E231" t="str">
        <f ca="1">TRIM(Sales_fact[[#This Row],[Store_ID]])</f>
        <v>STORE14</v>
      </c>
      <c r="F231">
        <v>3</v>
      </c>
      <c r="G231">
        <f>IF(ISBLANK(F231),MODE($F$2:$F$2001),F231)</f>
        <v>3</v>
      </c>
      <c r="H231">
        <v>769.56</v>
      </c>
      <c r="I231">
        <f>IF(ISBLANK(H231),AVERAGE($H$2:$H$2001),H231)</f>
        <v>769.56</v>
      </c>
      <c r="J231">
        <v>0.08</v>
      </c>
      <c r="K231">
        <f>IF(ISBLANK(J231),MODE($J$2:$J$2001),J231)</f>
        <v>0.08</v>
      </c>
      <c r="L231" t="s">
        <v>1824</v>
      </c>
      <c r="M231">
        <v>2123.9856</v>
      </c>
      <c r="N231">
        <f t="shared" si="3"/>
        <v>2123.9856</v>
      </c>
      <c r="O231" t="str">
        <f>_xlfn.XLOOKUP(Sales_fact[[#This Row],[Customer_ID]],'Customer_Dim'!A:A,'Customer_Dim'!K:K,"Not Found")</f>
        <v>Bronze</v>
      </c>
      <c r="P231">
        <f>_xlfn.XLOOKUP(Sales_fact[[#This Row],[Customer_ID]],'Customer_Dim'!A:A, 'Customer_Dim'!E:E, "Not Found")</f>
        <v>37</v>
      </c>
      <c r="Q231" t="str">
        <f>VLOOKUP(Sales_fact[[#This Row],[Customer_ID]], 'Customer_Dim'!A:F, 6, FALSE)</f>
        <v>Male</v>
      </c>
      <c r="R231" s="13" t="str">
        <f>_xlfn.XLOOKUP(Sales_fact[[#This Row],[Product_ID]],Product_Dim!A:A,Product_Dim!C:C,"OTHERS")</f>
        <v>Beauty</v>
      </c>
    </row>
    <row r="232" spans="1:18" x14ac:dyDescent="0.3">
      <c r="A232" t="s">
        <v>2056</v>
      </c>
      <c r="B232" s="2">
        <v>45676</v>
      </c>
      <c r="C232" t="s">
        <v>188</v>
      </c>
      <c r="D232" t="s">
        <v>1644</v>
      </c>
      <c r="E232" t="str">
        <f ca="1">TRIM(Sales_fact[[#This Row],[Store_ID]])</f>
        <v>STORE13</v>
      </c>
      <c r="F232">
        <v>3</v>
      </c>
      <c r="G232">
        <f>IF(ISBLANK(F232),MODE($F$2:$F$2001),F232)</f>
        <v>3</v>
      </c>
      <c r="H232">
        <v>449.88</v>
      </c>
      <c r="I232">
        <f>IF(ISBLANK(H232),AVERAGE($H$2:$H$2001),H232)</f>
        <v>449.88</v>
      </c>
      <c r="J232">
        <v>0.1</v>
      </c>
      <c r="K232">
        <f>IF(ISBLANK(J232),MODE($J$2:$J$2001),J232)</f>
        <v>0.1</v>
      </c>
      <c r="L232" t="s">
        <v>1826</v>
      </c>
      <c r="M232">
        <v>1214.6759999999999</v>
      </c>
      <c r="N232">
        <f t="shared" si="3"/>
        <v>1214.6759999999999</v>
      </c>
      <c r="O232" t="str">
        <f>_xlfn.XLOOKUP(Sales_fact[[#This Row],[Customer_ID]],'Customer_Dim'!A:A,'Customer_Dim'!K:K,"Not Found")</f>
        <v>Gold</v>
      </c>
      <c r="P232">
        <f>_xlfn.XLOOKUP(Sales_fact[[#This Row],[Customer_ID]],'Customer_Dim'!A:A, 'Customer_Dim'!E:E, "Not Found")</f>
        <v>45</v>
      </c>
      <c r="Q232" t="str">
        <f>VLOOKUP(Sales_fact[[#This Row],[Customer_ID]], 'Customer_Dim'!A:F, 6, FALSE)</f>
        <v>Female</v>
      </c>
      <c r="R232" s="13" t="str">
        <f>_xlfn.XLOOKUP(Sales_fact[[#This Row],[Product_ID]],Product_Dim!A:A,Product_Dim!C:C,"OTHERS")</f>
        <v>Electronics</v>
      </c>
    </row>
    <row r="233" spans="1:18" x14ac:dyDescent="0.3">
      <c r="A233" t="s">
        <v>2057</v>
      </c>
      <c r="B233" s="2">
        <v>45863</v>
      </c>
      <c r="C233" t="s">
        <v>875</v>
      </c>
      <c r="D233" t="s">
        <v>1686</v>
      </c>
      <c r="E233" t="str">
        <f ca="1">TRIM(Sales_fact[[#This Row],[Store_ID]])</f>
        <v>STORE12</v>
      </c>
      <c r="F233">
        <v>4</v>
      </c>
      <c r="G233">
        <f>IF(ISBLANK(F233),MODE($F$2:$F$2001),F233)</f>
        <v>4</v>
      </c>
      <c r="H233">
        <v>383.74</v>
      </c>
      <c r="I233">
        <f>IF(ISBLANK(H233),AVERAGE($H$2:$H$2001),H233)</f>
        <v>383.74</v>
      </c>
      <c r="J233">
        <v>0.01</v>
      </c>
      <c r="K233">
        <f>IF(ISBLANK(J233),MODE($J$2:$J$2001),J233)</f>
        <v>0.01</v>
      </c>
      <c r="L233" t="s">
        <v>1824</v>
      </c>
      <c r="M233">
        <v>1519.6104</v>
      </c>
      <c r="N233">
        <f t="shared" si="3"/>
        <v>1519.6104</v>
      </c>
      <c r="O233" t="str">
        <f>_xlfn.XLOOKUP(Sales_fact[[#This Row],[Customer_ID]],'Customer_Dim'!A:A,'Customer_Dim'!K:K,"Not Found")</f>
        <v>Gold</v>
      </c>
      <c r="P233">
        <f>_xlfn.XLOOKUP(Sales_fact[[#This Row],[Customer_ID]],'Customer_Dim'!A:A, 'Customer_Dim'!E:E, "Not Found")</f>
        <v>22</v>
      </c>
      <c r="Q233" t="str">
        <f>VLOOKUP(Sales_fact[[#This Row],[Customer_ID]], 'Customer_Dim'!A:F, 6, FALSE)</f>
        <v>Male</v>
      </c>
      <c r="R233" s="13" t="str">
        <f>_xlfn.XLOOKUP(Sales_fact[[#This Row],[Product_ID]],Product_Dim!A:A,Product_Dim!C:C,"OTHERS")</f>
        <v>Clothing</v>
      </c>
    </row>
    <row r="234" spans="1:18" x14ac:dyDescent="0.3">
      <c r="A234" t="s">
        <v>2058</v>
      </c>
      <c r="B234" s="2">
        <v>45409</v>
      </c>
      <c r="C234" t="s">
        <v>499</v>
      </c>
      <c r="D234" t="s">
        <v>1664</v>
      </c>
      <c r="E234" t="str">
        <f ca="1">TRIM(Sales_fact[[#This Row],[Store_ID]])</f>
        <v>STORE10</v>
      </c>
      <c r="F234">
        <v>4</v>
      </c>
      <c r="G234">
        <f>IF(ISBLANK(F234),MODE($F$2:$F$2001),F234)</f>
        <v>4</v>
      </c>
      <c r="H234">
        <v>794.97</v>
      </c>
      <c r="I234">
        <f>IF(ISBLANK(H234),AVERAGE($H$2:$H$2001),H234)</f>
        <v>794.97</v>
      </c>
      <c r="J234">
        <v>0.24</v>
      </c>
      <c r="K234">
        <f>IF(ISBLANK(J234),MODE($J$2:$J$2001),J234)</f>
        <v>0.24</v>
      </c>
      <c r="L234" t="s">
        <v>1826</v>
      </c>
      <c r="M234">
        <v>2416.7087999999999</v>
      </c>
      <c r="N234">
        <f t="shared" si="3"/>
        <v>2416.7088000000003</v>
      </c>
      <c r="O234" t="str">
        <f>_xlfn.XLOOKUP(Sales_fact[[#This Row],[Customer_ID]],'Customer_Dim'!A:A,'Customer_Dim'!K:K,"Not Found")</f>
        <v>Bronze</v>
      </c>
      <c r="P234">
        <f>_xlfn.XLOOKUP(Sales_fact[[#This Row],[Customer_ID]],'Customer_Dim'!A:A, 'Customer_Dim'!E:E, "Not Found")</f>
        <v>42</v>
      </c>
      <c r="Q234" t="str">
        <f>VLOOKUP(Sales_fact[[#This Row],[Customer_ID]], 'Customer_Dim'!A:F, 6, FALSE)</f>
        <v>Female</v>
      </c>
      <c r="R234" s="13" t="str">
        <f>_xlfn.XLOOKUP(Sales_fact[[#This Row],[Product_ID]],Product_Dim!A:A,Product_Dim!C:C,"OTHERS")</f>
        <v>Clothing</v>
      </c>
    </row>
    <row r="235" spans="1:18" x14ac:dyDescent="0.3">
      <c r="A235" t="s">
        <v>2059</v>
      </c>
      <c r="B235" s="2">
        <v>45880</v>
      </c>
      <c r="C235" t="s">
        <v>52</v>
      </c>
      <c r="D235" t="s">
        <v>1706</v>
      </c>
      <c r="E235" t="str">
        <f ca="1">TRIM(Sales_fact[[#This Row],[Store_ID]])</f>
        <v>STORE5</v>
      </c>
      <c r="F235">
        <v>1</v>
      </c>
      <c r="G235">
        <f>IF(ISBLANK(F235),MODE($F$2:$F$2001),F235)</f>
        <v>1</v>
      </c>
      <c r="H235">
        <v>989.63</v>
      </c>
      <c r="I235">
        <f>IF(ISBLANK(H235),AVERAGE($H$2:$H$2001),H235)</f>
        <v>989.63</v>
      </c>
      <c r="J235">
        <v>0.05</v>
      </c>
      <c r="K235">
        <f>IF(ISBLANK(J235),MODE($J$2:$J$2001),J235)</f>
        <v>0.05</v>
      </c>
      <c r="L235" t="s">
        <v>1826</v>
      </c>
      <c r="M235">
        <v>940.1484999999999</v>
      </c>
      <c r="N235">
        <f t="shared" si="3"/>
        <v>940.1484999999999</v>
      </c>
      <c r="O235" t="str">
        <f>_xlfn.XLOOKUP(Sales_fact[[#This Row],[Customer_ID]],'Customer_Dim'!A:A,'Customer_Dim'!K:K,"Not Found")</f>
        <v>Bronze</v>
      </c>
      <c r="P235">
        <f>_xlfn.XLOOKUP(Sales_fact[[#This Row],[Customer_ID]],'Customer_Dim'!A:A, 'Customer_Dim'!E:E, "Not Found")</f>
        <v>53</v>
      </c>
      <c r="Q235" t="str">
        <f>VLOOKUP(Sales_fact[[#This Row],[Customer_ID]], 'Customer_Dim'!A:F, 6, FALSE)</f>
        <v>Male</v>
      </c>
      <c r="R235" s="13" t="str">
        <f>_xlfn.XLOOKUP(Sales_fact[[#This Row],[Product_ID]],Product_Dim!A:A,Product_Dim!C:C,"OTHERS")</f>
        <v>Home</v>
      </c>
    </row>
    <row r="236" spans="1:18" x14ac:dyDescent="0.3">
      <c r="A236" t="s">
        <v>2060</v>
      </c>
      <c r="B236" s="2">
        <v>45731</v>
      </c>
      <c r="C236" t="s">
        <v>1053</v>
      </c>
      <c r="D236" t="s">
        <v>1656</v>
      </c>
      <c r="E236" t="str">
        <f ca="1">TRIM(Sales_fact[[#This Row],[Store_ID]])</f>
        <v>STORE0</v>
      </c>
      <c r="F236">
        <v>1</v>
      </c>
      <c r="G236">
        <f>IF(ISBLANK(F236),MODE($F$2:$F$2001),F236)</f>
        <v>1</v>
      </c>
      <c r="H236">
        <v>447.16</v>
      </c>
      <c r="I236">
        <f>IF(ISBLANK(H236),AVERAGE($H$2:$H$2001),H236)</f>
        <v>447.16</v>
      </c>
      <c r="J236">
        <v>0.22</v>
      </c>
      <c r="K236">
        <f>IF(ISBLANK(J236),MODE($J$2:$J$2001),J236)</f>
        <v>0.22</v>
      </c>
      <c r="L236" t="s">
        <v>1829</v>
      </c>
      <c r="M236">
        <v>348.78480000000002</v>
      </c>
      <c r="N236">
        <f t="shared" si="3"/>
        <v>348.78480000000002</v>
      </c>
      <c r="O236" t="str">
        <f>_xlfn.XLOOKUP(Sales_fact[[#This Row],[Customer_ID]],'Customer_Dim'!A:A,'Customer_Dim'!K:K,"Not Found")</f>
        <v>Platinum</v>
      </c>
      <c r="P236">
        <f>_xlfn.XLOOKUP(Sales_fact[[#This Row],[Customer_ID]],'Customer_Dim'!A:A, 'Customer_Dim'!E:E, "Not Found")</f>
        <v>37</v>
      </c>
      <c r="Q236" t="str">
        <f>VLOOKUP(Sales_fact[[#This Row],[Customer_ID]], 'Customer_Dim'!A:F, 6, FALSE)</f>
        <v>Male</v>
      </c>
      <c r="R236" s="13" t="str">
        <f>_xlfn.XLOOKUP(Sales_fact[[#This Row],[Product_ID]],Product_Dim!A:A,Product_Dim!C:C,"OTHERS")</f>
        <v>Sports</v>
      </c>
    </row>
    <row r="237" spans="1:18" x14ac:dyDescent="0.3">
      <c r="A237" t="s">
        <v>2061</v>
      </c>
      <c r="B237" s="2">
        <v>45671</v>
      </c>
      <c r="C237" t="s">
        <v>44</v>
      </c>
      <c r="D237" t="s">
        <v>1736</v>
      </c>
      <c r="E237" t="str">
        <f ca="1">TRIM(Sales_fact[[#This Row],[Store_ID]])</f>
        <v>STORE6</v>
      </c>
      <c r="F237">
        <v>1</v>
      </c>
      <c r="G237">
        <f>IF(ISBLANK(F237),MODE($F$2:$F$2001),F237)</f>
        <v>1</v>
      </c>
      <c r="H237">
        <v>946.9</v>
      </c>
      <c r="I237">
        <f>IF(ISBLANK(H237),AVERAGE($H$2:$H$2001),H237)</f>
        <v>946.9</v>
      </c>
      <c r="J237">
        <v>0.28999999999999998</v>
      </c>
      <c r="K237">
        <f>IF(ISBLANK(J237),MODE($J$2:$J$2001),J237)</f>
        <v>0.28999999999999998</v>
      </c>
      <c r="L237" t="s">
        <v>1829</v>
      </c>
      <c r="M237">
        <v>672.29899999999998</v>
      </c>
      <c r="N237">
        <f t="shared" si="3"/>
        <v>672.29899999999998</v>
      </c>
      <c r="O237" t="str">
        <f>_xlfn.XLOOKUP(Sales_fact[[#This Row],[Customer_ID]],'Customer_Dim'!A:A,'Customer_Dim'!K:K,"Not Found")</f>
        <v>Gold</v>
      </c>
      <c r="P237">
        <f>_xlfn.XLOOKUP(Sales_fact[[#This Row],[Customer_ID]],'Customer_Dim'!A:A, 'Customer_Dim'!E:E, "Not Found")</f>
        <v>53</v>
      </c>
      <c r="Q237" t="str">
        <f>VLOOKUP(Sales_fact[[#This Row],[Customer_ID]], 'Customer_Dim'!A:F, 6, FALSE)</f>
        <v>Female</v>
      </c>
      <c r="R237" s="13" t="str">
        <f>_xlfn.XLOOKUP(Sales_fact[[#This Row],[Product_ID]],Product_Dim!A:A,Product_Dim!C:C,"OTHERS")</f>
        <v>Beauty</v>
      </c>
    </row>
    <row r="238" spans="1:18" x14ac:dyDescent="0.3">
      <c r="A238" t="s">
        <v>2062</v>
      </c>
      <c r="B238" s="2">
        <v>45809</v>
      </c>
      <c r="C238" t="s">
        <v>562</v>
      </c>
      <c r="D238" t="s">
        <v>1582</v>
      </c>
      <c r="E238" t="str">
        <f ca="1">TRIM(Sales_fact[[#This Row],[Store_ID]])</f>
        <v>STORE0</v>
      </c>
      <c r="F238">
        <v>4</v>
      </c>
      <c r="G238">
        <f>IF(ISBLANK(F238),MODE($F$2:$F$2001),F238)</f>
        <v>4</v>
      </c>
      <c r="H238">
        <v>469.68</v>
      </c>
      <c r="I238">
        <f>IF(ISBLANK(H238),AVERAGE($H$2:$H$2001),H238)</f>
        <v>469.68</v>
      </c>
      <c r="J238">
        <v>0.19</v>
      </c>
      <c r="K238">
        <f>IF(ISBLANK(J238),MODE($J$2:$J$2001),J238)</f>
        <v>0.19</v>
      </c>
      <c r="L238" t="s">
        <v>1824</v>
      </c>
      <c r="M238">
        <v>1521.7632000000001</v>
      </c>
      <c r="N238">
        <f t="shared" si="3"/>
        <v>1521.7632000000001</v>
      </c>
      <c r="O238" t="str">
        <f>_xlfn.XLOOKUP(Sales_fact[[#This Row],[Customer_ID]],'Customer_Dim'!A:A,'Customer_Dim'!K:K,"Not Found")</f>
        <v>Bronze</v>
      </c>
      <c r="P238">
        <f>_xlfn.XLOOKUP(Sales_fact[[#This Row],[Customer_ID]],'Customer_Dim'!A:A, 'Customer_Dim'!E:E, "Not Found")</f>
        <v>64</v>
      </c>
      <c r="Q238" t="str">
        <f>VLOOKUP(Sales_fact[[#This Row],[Customer_ID]], 'Customer_Dim'!A:F, 6, FALSE)</f>
        <v>Male</v>
      </c>
      <c r="R238" s="13" t="str">
        <f>_xlfn.XLOOKUP(Sales_fact[[#This Row],[Product_ID]],Product_Dim!A:A,Product_Dim!C:C,"OTHERS")</f>
        <v>Sports</v>
      </c>
    </row>
    <row r="239" spans="1:18" x14ac:dyDescent="0.3">
      <c r="A239" t="s">
        <v>2063</v>
      </c>
      <c r="B239" s="2">
        <v>45559</v>
      </c>
      <c r="C239" t="s">
        <v>1518</v>
      </c>
      <c r="D239" t="s">
        <v>1604</v>
      </c>
      <c r="E239" t="str">
        <f ca="1">TRIM(Sales_fact[[#This Row],[Store_ID]])</f>
        <v>STORE17</v>
      </c>
      <c r="F239">
        <v>4</v>
      </c>
      <c r="G239">
        <f>IF(ISBLANK(F239),MODE($F$2:$F$2001),F239)</f>
        <v>4</v>
      </c>
      <c r="H239">
        <v>320.64</v>
      </c>
      <c r="I239">
        <f>IF(ISBLANK(H239),AVERAGE($H$2:$H$2001),H239)</f>
        <v>320.64</v>
      </c>
      <c r="J239">
        <v>0.2</v>
      </c>
      <c r="K239">
        <f>IF(ISBLANK(J239),MODE($J$2:$J$2001),J239)</f>
        <v>0.2</v>
      </c>
      <c r="L239" t="s">
        <v>1829</v>
      </c>
      <c r="M239">
        <v>1026.048</v>
      </c>
      <c r="N239">
        <f t="shared" si="3"/>
        <v>1026.048</v>
      </c>
      <c r="O239" t="str">
        <f>_xlfn.XLOOKUP(Sales_fact[[#This Row],[Customer_ID]],'Customer_Dim'!A:A,'Customer_Dim'!K:K,"Not Found")</f>
        <v>Gold</v>
      </c>
      <c r="P239">
        <f>_xlfn.XLOOKUP(Sales_fact[[#This Row],[Customer_ID]],'Customer_Dim'!A:A, 'Customer_Dim'!E:E, "Not Found")</f>
        <v>21</v>
      </c>
      <c r="Q239" t="str">
        <f>VLOOKUP(Sales_fact[[#This Row],[Customer_ID]], 'Customer_Dim'!A:F, 6, FALSE)</f>
        <v>Male</v>
      </c>
      <c r="R239" s="13" t="str">
        <f>_xlfn.XLOOKUP(Sales_fact[[#This Row],[Product_ID]],Product_Dim!A:A,Product_Dim!C:C,"OTHERS")</f>
        <v>Sports</v>
      </c>
    </row>
    <row r="240" spans="1:18" x14ac:dyDescent="0.3">
      <c r="A240" t="s">
        <v>2064</v>
      </c>
      <c r="B240" s="2">
        <v>45253</v>
      </c>
      <c r="C240" t="s">
        <v>461</v>
      </c>
      <c r="D240" t="s">
        <v>1578</v>
      </c>
      <c r="E240" t="str">
        <f ca="1">TRIM(Sales_fact[[#This Row],[Store_ID]])</f>
        <v>STORE5</v>
      </c>
      <c r="F240">
        <v>1</v>
      </c>
      <c r="G240">
        <f>IF(ISBLANK(F240),MODE($F$2:$F$2001),F240)</f>
        <v>1</v>
      </c>
      <c r="H240">
        <v>594.44000000000005</v>
      </c>
      <c r="I240">
        <f>IF(ISBLANK(H240),AVERAGE($H$2:$H$2001),H240)</f>
        <v>594.44000000000005</v>
      </c>
      <c r="J240">
        <v>0.21</v>
      </c>
      <c r="K240">
        <f>IF(ISBLANK(J240),MODE($J$2:$J$2001),J240)</f>
        <v>0.21</v>
      </c>
      <c r="L240" t="s">
        <v>1824</v>
      </c>
      <c r="M240">
        <v>469.60759999999999</v>
      </c>
      <c r="N240">
        <f t="shared" si="3"/>
        <v>469.60760000000005</v>
      </c>
      <c r="O240" t="str">
        <f>_xlfn.XLOOKUP(Sales_fact[[#This Row],[Customer_ID]],'Customer_Dim'!A:A,'Customer_Dim'!K:K,"Not Found")</f>
        <v>Platinum</v>
      </c>
      <c r="P240">
        <f>_xlfn.XLOOKUP(Sales_fact[[#This Row],[Customer_ID]],'Customer_Dim'!A:A, 'Customer_Dim'!E:E, "Not Found")</f>
        <v>33</v>
      </c>
      <c r="Q240" t="str">
        <f>VLOOKUP(Sales_fact[[#This Row],[Customer_ID]], 'Customer_Dim'!A:F, 6, FALSE)</f>
        <v>Female</v>
      </c>
      <c r="R240" s="13" t="str">
        <f>_xlfn.XLOOKUP(Sales_fact[[#This Row],[Product_ID]],Product_Dim!A:A,Product_Dim!C:C,"OTHERS")</f>
        <v>Electronics</v>
      </c>
    </row>
    <row r="241" spans="1:18" x14ac:dyDescent="0.3">
      <c r="A241" t="s">
        <v>2065</v>
      </c>
      <c r="B241" s="2">
        <v>45861</v>
      </c>
      <c r="C241" t="s">
        <v>702</v>
      </c>
      <c r="D241" t="s">
        <v>1720</v>
      </c>
      <c r="E241" t="str">
        <f ca="1">TRIM(Sales_fact[[#This Row],[Store_ID]])</f>
        <v>STORE8</v>
      </c>
      <c r="F241">
        <v>3</v>
      </c>
      <c r="G241">
        <f>IF(ISBLANK(F241),MODE($F$2:$F$2001),F241)</f>
        <v>3</v>
      </c>
      <c r="H241">
        <v>91.7</v>
      </c>
      <c r="I241">
        <f>IF(ISBLANK(H241),AVERAGE($H$2:$H$2001),H241)</f>
        <v>91.7</v>
      </c>
      <c r="J241">
        <v>0.08</v>
      </c>
      <c r="K241">
        <f>IF(ISBLANK(J241),MODE($J$2:$J$2001),J241)</f>
        <v>0.08</v>
      </c>
      <c r="L241" t="s">
        <v>1829</v>
      </c>
      <c r="M241">
        <v>253.09200000000001</v>
      </c>
      <c r="N241">
        <f t="shared" si="3"/>
        <v>253.09200000000004</v>
      </c>
      <c r="O241" t="str">
        <f>_xlfn.XLOOKUP(Sales_fact[[#This Row],[Customer_ID]],'Customer_Dim'!A:A,'Customer_Dim'!K:K,"Not Found")</f>
        <v>Platinum</v>
      </c>
      <c r="P241">
        <f>_xlfn.XLOOKUP(Sales_fact[[#This Row],[Customer_ID]],'Customer_Dim'!A:A, 'Customer_Dim'!E:E, "Not Found")</f>
        <v>44</v>
      </c>
      <c r="Q241" t="str">
        <f>VLOOKUP(Sales_fact[[#This Row],[Customer_ID]], 'Customer_Dim'!A:F, 6, FALSE)</f>
        <v>Male</v>
      </c>
      <c r="R241" s="13" t="str">
        <f>_xlfn.XLOOKUP(Sales_fact[[#This Row],[Product_ID]],Product_Dim!A:A,Product_Dim!C:C,"OTHERS")</f>
        <v>Home</v>
      </c>
    </row>
    <row r="242" spans="1:18" x14ac:dyDescent="0.3">
      <c r="A242" t="s">
        <v>2066</v>
      </c>
      <c r="B242" s="2">
        <v>45917</v>
      </c>
      <c r="C242" t="s">
        <v>127</v>
      </c>
      <c r="D242" t="s">
        <v>1672</v>
      </c>
      <c r="E242" t="str">
        <f ca="1">TRIM(Sales_fact[[#This Row],[Store_ID]])</f>
        <v>STORE12</v>
      </c>
      <c r="F242">
        <v>3</v>
      </c>
      <c r="G242">
        <f>IF(ISBLANK(F242),MODE($F$2:$F$2001),F242)</f>
        <v>3</v>
      </c>
      <c r="H242">
        <v>741.33</v>
      </c>
      <c r="I242">
        <f>IF(ISBLANK(H242),AVERAGE($H$2:$H$2001),H242)</f>
        <v>741.33</v>
      </c>
      <c r="J242">
        <v>0.03</v>
      </c>
      <c r="K242">
        <f>IF(ISBLANK(J242),MODE($J$2:$J$2001),J242)</f>
        <v>0.03</v>
      </c>
      <c r="L242" t="s">
        <v>1824</v>
      </c>
      <c r="M242">
        <v>2157.2703000000001</v>
      </c>
      <c r="N242">
        <f t="shared" si="3"/>
        <v>2157.2703000000001</v>
      </c>
      <c r="O242" t="str">
        <f>_xlfn.XLOOKUP(Sales_fact[[#This Row],[Customer_ID]],'Customer_Dim'!A:A,'Customer_Dim'!K:K,"Not Found")</f>
        <v>Silver</v>
      </c>
      <c r="P242">
        <f>_xlfn.XLOOKUP(Sales_fact[[#This Row],[Customer_ID]],'Customer_Dim'!A:A, 'Customer_Dim'!E:E, "Not Found")</f>
        <v>41</v>
      </c>
      <c r="Q242" t="str">
        <f>VLOOKUP(Sales_fact[[#This Row],[Customer_ID]], 'Customer_Dim'!A:F, 6, FALSE)</f>
        <v>Male</v>
      </c>
      <c r="R242" s="13" t="str">
        <f>_xlfn.XLOOKUP(Sales_fact[[#This Row],[Product_ID]],Product_Dim!A:A,Product_Dim!C:C,"OTHERS")</f>
        <v>Electronics</v>
      </c>
    </row>
    <row r="243" spans="1:18" x14ac:dyDescent="0.3">
      <c r="A243" t="s">
        <v>2067</v>
      </c>
      <c r="B243" s="2">
        <v>45754</v>
      </c>
      <c r="C243" t="s">
        <v>1466</v>
      </c>
      <c r="D243" t="s">
        <v>1580</v>
      </c>
      <c r="E243" t="str">
        <f ca="1">TRIM(Sales_fact[[#This Row],[Store_ID]])</f>
        <v>STORE19</v>
      </c>
      <c r="F243">
        <v>1</v>
      </c>
      <c r="G243">
        <f>IF(ISBLANK(F243),MODE($F$2:$F$2001),F243)</f>
        <v>1</v>
      </c>
      <c r="H243">
        <v>922.78</v>
      </c>
      <c r="I243">
        <f>IF(ISBLANK(H243),AVERAGE($H$2:$H$2001),H243)</f>
        <v>922.78</v>
      </c>
      <c r="J243">
        <v>0.28999999999999998</v>
      </c>
      <c r="K243">
        <f>IF(ISBLANK(J243),MODE($J$2:$J$2001),J243)</f>
        <v>0.28999999999999998</v>
      </c>
      <c r="L243" t="s">
        <v>1829</v>
      </c>
      <c r="M243">
        <v>655.17379999999991</v>
      </c>
      <c r="N243">
        <f t="shared" si="3"/>
        <v>655.17379999999991</v>
      </c>
      <c r="O243" t="str">
        <f>_xlfn.XLOOKUP(Sales_fact[[#This Row],[Customer_ID]],'Customer_Dim'!A:A,'Customer_Dim'!K:K,"Not Found")</f>
        <v>Gold</v>
      </c>
      <c r="P243">
        <f>_xlfn.XLOOKUP(Sales_fact[[#This Row],[Customer_ID]],'Customer_Dim'!A:A, 'Customer_Dim'!E:E, "Not Found")</f>
        <v>33</v>
      </c>
      <c r="Q243" t="str">
        <f>VLOOKUP(Sales_fact[[#This Row],[Customer_ID]], 'Customer_Dim'!A:F, 6, FALSE)</f>
        <v>Female</v>
      </c>
      <c r="R243" s="13" t="str">
        <f>_xlfn.XLOOKUP(Sales_fact[[#This Row],[Product_ID]],Product_Dim!A:A,Product_Dim!C:C,"OTHERS")</f>
        <v>OTHERS</v>
      </c>
    </row>
    <row r="244" spans="1:18" x14ac:dyDescent="0.3">
      <c r="A244" t="s">
        <v>2068</v>
      </c>
      <c r="B244" s="2">
        <v>45312</v>
      </c>
      <c r="C244" t="s">
        <v>1023</v>
      </c>
      <c r="D244" t="s">
        <v>1562</v>
      </c>
      <c r="E244" t="str">
        <f ca="1">TRIM(Sales_fact[[#This Row],[Store_ID]])</f>
        <v>STORE16</v>
      </c>
      <c r="F244">
        <v>1</v>
      </c>
      <c r="G244">
        <f>IF(ISBLANK(F244),MODE($F$2:$F$2001),F244)</f>
        <v>1</v>
      </c>
      <c r="H244">
        <v>394.35</v>
      </c>
      <c r="I244">
        <f>IF(ISBLANK(H244),AVERAGE($H$2:$H$2001),H244)</f>
        <v>394.35</v>
      </c>
      <c r="J244">
        <v>0.09</v>
      </c>
      <c r="K244">
        <f>IF(ISBLANK(J244),MODE($J$2:$J$2001),J244)</f>
        <v>0.09</v>
      </c>
      <c r="L244" t="s">
        <v>1826</v>
      </c>
      <c r="M244">
        <v>358.85849999999999</v>
      </c>
      <c r="N244">
        <f t="shared" si="3"/>
        <v>358.85850000000005</v>
      </c>
      <c r="O244" t="str">
        <f>_xlfn.XLOOKUP(Sales_fact[[#This Row],[Customer_ID]],'Customer_Dim'!A:A,'Customer_Dim'!K:K,"Not Found")</f>
        <v>Bronze</v>
      </c>
      <c r="P244">
        <f>_xlfn.XLOOKUP(Sales_fact[[#This Row],[Customer_ID]],'Customer_Dim'!A:A, 'Customer_Dim'!E:E, "Not Found")</f>
        <v>60</v>
      </c>
      <c r="Q244" t="str">
        <f>VLOOKUP(Sales_fact[[#This Row],[Customer_ID]], 'Customer_Dim'!A:F, 6, FALSE)</f>
        <v>Male</v>
      </c>
      <c r="R244" s="13" t="str">
        <f>_xlfn.XLOOKUP(Sales_fact[[#This Row],[Product_ID]],Product_Dim!A:A,Product_Dim!C:C,"OTHERS")</f>
        <v>Electronics</v>
      </c>
    </row>
    <row r="245" spans="1:18" x14ac:dyDescent="0.3">
      <c r="A245" t="s">
        <v>2069</v>
      </c>
      <c r="B245" s="2">
        <v>45480</v>
      </c>
      <c r="C245" t="s">
        <v>1139</v>
      </c>
      <c r="D245" t="s">
        <v>1678</v>
      </c>
      <c r="E245" t="str">
        <f ca="1">TRIM(Sales_fact[[#This Row],[Store_ID]])</f>
        <v>STORE11</v>
      </c>
      <c r="F245">
        <v>2</v>
      </c>
      <c r="G245">
        <f>IF(ISBLANK(F245),MODE($F$2:$F$2001),F245)</f>
        <v>2</v>
      </c>
      <c r="H245">
        <v>703.95</v>
      </c>
      <c r="I245">
        <f>IF(ISBLANK(H245),AVERAGE($H$2:$H$2001),H245)</f>
        <v>703.95</v>
      </c>
      <c r="J245">
        <v>0.03</v>
      </c>
      <c r="K245">
        <f>IF(ISBLANK(J245),MODE($J$2:$J$2001),J245)</f>
        <v>0.03</v>
      </c>
      <c r="L245" t="s">
        <v>1824</v>
      </c>
      <c r="M245">
        <v>1365.663</v>
      </c>
      <c r="N245">
        <f t="shared" si="3"/>
        <v>1365.663</v>
      </c>
      <c r="O245" t="str">
        <f>_xlfn.XLOOKUP(Sales_fact[[#This Row],[Customer_ID]],'Customer_Dim'!A:A,'Customer_Dim'!K:K,"Not Found")</f>
        <v>Bronze</v>
      </c>
      <c r="P245">
        <f>_xlfn.XLOOKUP(Sales_fact[[#This Row],[Customer_ID]],'Customer_Dim'!A:A, 'Customer_Dim'!E:E, "Not Found")</f>
        <v>58</v>
      </c>
      <c r="Q245" t="str">
        <f>VLOOKUP(Sales_fact[[#This Row],[Customer_ID]], 'Customer_Dim'!A:F, 6, FALSE)</f>
        <v>Male</v>
      </c>
      <c r="R245" s="13" t="str">
        <f>_xlfn.XLOOKUP(Sales_fact[[#This Row],[Product_ID]],Product_Dim!A:A,Product_Dim!C:C,"OTHERS")</f>
        <v>Sports</v>
      </c>
    </row>
    <row r="246" spans="1:18" x14ac:dyDescent="0.3">
      <c r="A246" t="s">
        <v>2070</v>
      </c>
      <c r="B246" s="2">
        <v>45780</v>
      </c>
      <c r="C246" t="s">
        <v>654</v>
      </c>
      <c r="D246" t="s">
        <v>1576</v>
      </c>
      <c r="E246" t="str">
        <f ca="1">TRIM(Sales_fact[[#This Row],[Store_ID]])</f>
        <v>STORE0</v>
      </c>
      <c r="F246">
        <v>4</v>
      </c>
      <c r="G246">
        <f>IF(ISBLANK(F246),MODE($F$2:$F$2001),F246)</f>
        <v>4</v>
      </c>
      <c r="H246">
        <v>452.67</v>
      </c>
      <c r="I246">
        <f>IF(ISBLANK(H246),AVERAGE($H$2:$H$2001),H246)</f>
        <v>452.67</v>
      </c>
      <c r="J246">
        <v>0.28000000000000003</v>
      </c>
      <c r="K246">
        <f>IF(ISBLANK(J246),MODE($J$2:$J$2001),J246)</f>
        <v>0.28000000000000003</v>
      </c>
      <c r="L246" t="s">
        <v>1826</v>
      </c>
      <c r="M246">
        <v>1303.6895999999999</v>
      </c>
      <c r="N246">
        <f t="shared" si="3"/>
        <v>1303.6895999999999</v>
      </c>
      <c r="O246" t="str">
        <f>_xlfn.XLOOKUP(Sales_fact[[#This Row],[Customer_ID]],'Customer_Dim'!A:A,'Customer_Dim'!K:K,"Not Found")</f>
        <v>Platinum</v>
      </c>
      <c r="P246">
        <f>_xlfn.XLOOKUP(Sales_fact[[#This Row],[Customer_ID]],'Customer_Dim'!A:A, 'Customer_Dim'!E:E, "Not Found")</f>
        <v>30</v>
      </c>
      <c r="Q246" t="str">
        <f>VLOOKUP(Sales_fact[[#This Row],[Customer_ID]], 'Customer_Dim'!A:F, 6, FALSE)</f>
        <v>Male</v>
      </c>
      <c r="R246" s="13" t="str">
        <f>_xlfn.XLOOKUP(Sales_fact[[#This Row],[Product_ID]],Product_Dim!A:A,Product_Dim!C:C,"OTHERS")</f>
        <v>Home</v>
      </c>
    </row>
    <row r="247" spans="1:18" x14ac:dyDescent="0.3">
      <c r="A247" t="s">
        <v>2071</v>
      </c>
      <c r="B247" s="2">
        <v>45349</v>
      </c>
      <c r="C247" t="s">
        <v>1428</v>
      </c>
      <c r="D247" t="s">
        <v>1562</v>
      </c>
      <c r="E247" t="str">
        <f ca="1">TRIM(Sales_fact[[#This Row],[Store_ID]])</f>
        <v>STORE7</v>
      </c>
      <c r="F247">
        <v>2</v>
      </c>
      <c r="G247">
        <f>IF(ISBLANK(F247),MODE($F$2:$F$2001),F247)</f>
        <v>2</v>
      </c>
      <c r="H247">
        <v>377.3</v>
      </c>
      <c r="I247">
        <f>IF(ISBLANK(H247),AVERAGE($H$2:$H$2001),H247)</f>
        <v>377.3</v>
      </c>
      <c r="J247">
        <v>0.15</v>
      </c>
      <c r="K247">
        <f>IF(ISBLANK(J247),MODE($J$2:$J$2001),J247)</f>
        <v>0.15</v>
      </c>
      <c r="L247" t="s">
        <v>1826</v>
      </c>
      <c r="M247">
        <v>641.41</v>
      </c>
      <c r="N247">
        <f t="shared" si="3"/>
        <v>641.41</v>
      </c>
      <c r="O247" t="str">
        <f>_xlfn.XLOOKUP(Sales_fact[[#This Row],[Customer_ID]],'Customer_Dim'!A:A,'Customer_Dim'!K:K,"Not Found")</f>
        <v>Bronze</v>
      </c>
      <c r="P247">
        <f>_xlfn.XLOOKUP(Sales_fact[[#This Row],[Customer_ID]],'Customer_Dim'!A:A, 'Customer_Dim'!E:E, "Not Found")</f>
        <v>36</v>
      </c>
      <c r="Q247" t="str">
        <f>VLOOKUP(Sales_fact[[#This Row],[Customer_ID]], 'Customer_Dim'!A:F, 6, FALSE)</f>
        <v>Female</v>
      </c>
      <c r="R247" s="13" t="str">
        <f>_xlfn.XLOOKUP(Sales_fact[[#This Row],[Product_ID]],Product_Dim!A:A,Product_Dim!C:C,"OTHERS")</f>
        <v>Electronics</v>
      </c>
    </row>
    <row r="248" spans="1:18" x14ac:dyDescent="0.3">
      <c r="A248" t="s">
        <v>2072</v>
      </c>
      <c r="B248" s="2">
        <v>45846</v>
      </c>
      <c r="C248" t="s">
        <v>1080</v>
      </c>
      <c r="D248" t="s">
        <v>1696</v>
      </c>
      <c r="E248" t="str">
        <f ca="1">TRIM(Sales_fact[[#This Row],[Store_ID]])</f>
        <v>STORE7</v>
      </c>
      <c r="F248">
        <v>2</v>
      </c>
      <c r="G248">
        <f>IF(ISBLANK(F248),MODE($F$2:$F$2001),F248)</f>
        <v>2</v>
      </c>
      <c r="H248">
        <v>130.47999999999999</v>
      </c>
      <c r="I248">
        <f>IF(ISBLANK(H248),AVERAGE($H$2:$H$2001),H248)</f>
        <v>130.47999999999999</v>
      </c>
      <c r="J248">
        <v>0.23</v>
      </c>
      <c r="K248">
        <f>IF(ISBLANK(J248),MODE($J$2:$J$2001),J248)</f>
        <v>0.23</v>
      </c>
      <c r="L248" t="s">
        <v>1826</v>
      </c>
      <c r="M248">
        <v>200.9392</v>
      </c>
      <c r="N248">
        <f t="shared" si="3"/>
        <v>200.9392</v>
      </c>
      <c r="O248" t="str">
        <f>_xlfn.XLOOKUP(Sales_fact[[#This Row],[Customer_ID]],'Customer_Dim'!A:A,'Customer_Dim'!K:K,"Not Found")</f>
        <v>Gold</v>
      </c>
      <c r="P248">
        <f>_xlfn.XLOOKUP(Sales_fact[[#This Row],[Customer_ID]],'Customer_Dim'!A:A, 'Customer_Dim'!E:E, "Not Found")</f>
        <v>39</v>
      </c>
      <c r="Q248" t="str">
        <f>VLOOKUP(Sales_fact[[#This Row],[Customer_ID]], 'Customer_Dim'!A:F, 6, FALSE)</f>
        <v>Male</v>
      </c>
      <c r="R248" s="13" t="str">
        <f>_xlfn.XLOOKUP(Sales_fact[[#This Row],[Product_ID]],Product_Dim!A:A,Product_Dim!C:C,"OTHERS")</f>
        <v>Electronics</v>
      </c>
    </row>
    <row r="249" spans="1:18" x14ac:dyDescent="0.3">
      <c r="A249" t="s">
        <v>2073</v>
      </c>
      <c r="B249" s="2">
        <v>45729</v>
      </c>
      <c r="C249" t="s">
        <v>1349</v>
      </c>
      <c r="D249" t="s">
        <v>1736</v>
      </c>
      <c r="E249" t="str">
        <f ca="1">TRIM(Sales_fact[[#This Row],[Store_ID]])</f>
        <v>STORE12</v>
      </c>
      <c r="F249">
        <v>1</v>
      </c>
      <c r="G249">
        <f>IF(ISBLANK(F249),MODE($F$2:$F$2001),F249)</f>
        <v>1</v>
      </c>
      <c r="H249">
        <v>809.45</v>
      </c>
      <c r="I249">
        <f>IF(ISBLANK(H249),AVERAGE($H$2:$H$2001),H249)</f>
        <v>809.45</v>
      </c>
      <c r="J249">
        <v>0.09</v>
      </c>
      <c r="K249">
        <f>IF(ISBLANK(J249),MODE($J$2:$J$2001),J249)</f>
        <v>0.09</v>
      </c>
      <c r="L249" t="s">
        <v>1829</v>
      </c>
      <c r="M249">
        <v>736.59950000000003</v>
      </c>
      <c r="N249">
        <f t="shared" si="3"/>
        <v>736.59950000000003</v>
      </c>
      <c r="O249" t="str">
        <f>_xlfn.XLOOKUP(Sales_fact[[#This Row],[Customer_ID]],'Customer_Dim'!A:A,'Customer_Dim'!K:K,"Not Found")</f>
        <v>Silver</v>
      </c>
      <c r="P249">
        <f>_xlfn.XLOOKUP(Sales_fact[[#This Row],[Customer_ID]],'Customer_Dim'!A:A, 'Customer_Dim'!E:E, "Not Found")</f>
        <v>37</v>
      </c>
      <c r="Q249" t="str">
        <f>VLOOKUP(Sales_fact[[#This Row],[Customer_ID]], 'Customer_Dim'!A:F, 6, FALSE)</f>
        <v>Female</v>
      </c>
      <c r="R249" s="13" t="str">
        <f>_xlfn.XLOOKUP(Sales_fact[[#This Row],[Product_ID]],Product_Dim!A:A,Product_Dim!C:C,"OTHERS")</f>
        <v>Beauty</v>
      </c>
    </row>
    <row r="250" spans="1:18" x14ac:dyDescent="0.3">
      <c r="A250" t="s">
        <v>2074</v>
      </c>
      <c r="B250" s="2">
        <v>45768</v>
      </c>
      <c r="C250" t="s">
        <v>301</v>
      </c>
      <c r="D250" t="s">
        <v>1638</v>
      </c>
      <c r="E250" t="str">
        <f ca="1">TRIM(Sales_fact[[#This Row],[Store_ID]])</f>
        <v>STORE9</v>
      </c>
      <c r="F250">
        <v>3</v>
      </c>
      <c r="G250">
        <f>IF(ISBLANK(F250),MODE($F$2:$F$2001),F250)</f>
        <v>3</v>
      </c>
      <c r="H250">
        <v>499.12</v>
      </c>
      <c r="I250">
        <f>IF(ISBLANK(H250),AVERAGE($H$2:$H$2001),H250)</f>
        <v>499.12</v>
      </c>
      <c r="J250">
        <v>0.05</v>
      </c>
      <c r="K250">
        <f>IF(ISBLANK(J250),MODE($J$2:$J$2001),J250)</f>
        <v>0.05</v>
      </c>
      <c r="L250" t="s">
        <v>1826</v>
      </c>
      <c r="M250">
        <v>1422.492</v>
      </c>
      <c r="N250">
        <f t="shared" si="3"/>
        <v>1422.492</v>
      </c>
      <c r="O250" t="str">
        <f>_xlfn.XLOOKUP(Sales_fact[[#This Row],[Customer_ID]],'Customer_Dim'!A:A,'Customer_Dim'!K:K,"Not Found")</f>
        <v>Bronze</v>
      </c>
      <c r="P250">
        <f>_xlfn.XLOOKUP(Sales_fact[[#This Row],[Customer_ID]],'Customer_Dim'!A:A, 'Customer_Dim'!E:E, "Not Found")</f>
        <v>48</v>
      </c>
      <c r="Q250" t="str">
        <f>VLOOKUP(Sales_fact[[#This Row],[Customer_ID]], 'Customer_Dim'!A:F, 6, FALSE)</f>
        <v>Female</v>
      </c>
      <c r="R250" s="13" t="str">
        <f>_xlfn.XLOOKUP(Sales_fact[[#This Row],[Product_ID]],Product_Dim!A:A,Product_Dim!C:C,"OTHERS")</f>
        <v>Sports</v>
      </c>
    </row>
    <row r="251" spans="1:18" x14ac:dyDescent="0.3">
      <c r="A251" t="s">
        <v>2075</v>
      </c>
      <c r="B251" s="2">
        <v>45606</v>
      </c>
      <c r="C251" t="s">
        <v>100</v>
      </c>
      <c r="D251" t="s">
        <v>1684</v>
      </c>
      <c r="E251" t="str">
        <f ca="1">TRIM(Sales_fact[[#This Row],[Store_ID]])</f>
        <v>STORE3</v>
      </c>
      <c r="F251">
        <v>2</v>
      </c>
      <c r="G251">
        <f>IF(ISBLANK(F251),MODE($F$2:$F$2001),F251)</f>
        <v>2</v>
      </c>
      <c r="H251">
        <v>894.58</v>
      </c>
      <c r="I251">
        <f>IF(ISBLANK(H251),AVERAGE($H$2:$H$2001),H251)</f>
        <v>894.58</v>
      </c>
      <c r="J251">
        <v>0.25</v>
      </c>
      <c r="K251">
        <f>IF(ISBLANK(J251),MODE($J$2:$J$2001),J251)</f>
        <v>0.25</v>
      </c>
      <c r="L251" t="s">
        <v>1824</v>
      </c>
      <c r="M251">
        <v>1341.87</v>
      </c>
      <c r="N251">
        <f t="shared" si="3"/>
        <v>1341.8700000000001</v>
      </c>
      <c r="O251" t="str">
        <f>_xlfn.XLOOKUP(Sales_fact[[#This Row],[Customer_ID]],'Customer_Dim'!A:A,'Customer_Dim'!K:K,"Not Found")</f>
        <v>Silver</v>
      </c>
      <c r="P251">
        <f>_xlfn.XLOOKUP(Sales_fact[[#This Row],[Customer_ID]],'Customer_Dim'!A:A, 'Customer_Dim'!E:E, "Not Found")</f>
        <v>52</v>
      </c>
      <c r="Q251" t="str">
        <f>VLOOKUP(Sales_fact[[#This Row],[Customer_ID]], 'Customer_Dim'!A:F, 6, FALSE)</f>
        <v>Female</v>
      </c>
      <c r="R251" s="13" t="str">
        <f>_xlfn.XLOOKUP(Sales_fact[[#This Row],[Product_ID]],Product_Dim!A:A,Product_Dim!C:C,"OTHERS")</f>
        <v>Home</v>
      </c>
    </row>
    <row r="252" spans="1:18" x14ac:dyDescent="0.3">
      <c r="A252" t="s">
        <v>2076</v>
      </c>
      <c r="B252" s="2">
        <v>45513</v>
      </c>
      <c r="C252" t="s">
        <v>449</v>
      </c>
      <c r="D252" t="s">
        <v>1698</v>
      </c>
      <c r="E252" t="str">
        <f ca="1">TRIM(Sales_fact[[#This Row],[Store_ID]])</f>
        <v>STORE9</v>
      </c>
      <c r="F252">
        <v>4</v>
      </c>
      <c r="G252">
        <f>IF(ISBLANK(F252),MODE($F$2:$F$2001),F252)</f>
        <v>4</v>
      </c>
      <c r="H252">
        <v>578.39</v>
      </c>
      <c r="I252">
        <f>IF(ISBLANK(H252),AVERAGE($H$2:$H$2001),H252)</f>
        <v>578.39</v>
      </c>
      <c r="J252">
        <v>0.01</v>
      </c>
      <c r="K252">
        <f>IF(ISBLANK(J252),MODE($J$2:$J$2001),J252)</f>
        <v>0.01</v>
      </c>
      <c r="L252" t="s">
        <v>1824</v>
      </c>
      <c r="M252">
        <v>2290.4243999999999</v>
      </c>
      <c r="N252">
        <f t="shared" si="3"/>
        <v>2290.4243999999999</v>
      </c>
      <c r="O252" t="str">
        <f>_xlfn.XLOOKUP(Sales_fact[[#This Row],[Customer_ID]],'Customer_Dim'!A:A,'Customer_Dim'!K:K,"Not Found")</f>
        <v>Bronze</v>
      </c>
      <c r="P252">
        <f>_xlfn.XLOOKUP(Sales_fact[[#This Row],[Customer_ID]],'Customer_Dim'!A:A, 'Customer_Dim'!E:E, "Not Found")</f>
        <v>34</v>
      </c>
      <c r="Q252" t="str">
        <f>VLOOKUP(Sales_fact[[#This Row],[Customer_ID]], 'Customer_Dim'!A:F, 6, FALSE)</f>
        <v>Female</v>
      </c>
      <c r="R252" s="13" t="str">
        <f>_xlfn.XLOOKUP(Sales_fact[[#This Row],[Product_ID]],Product_Dim!A:A,Product_Dim!C:C,"OTHERS")</f>
        <v>Clothing</v>
      </c>
    </row>
    <row r="253" spans="1:18" x14ac:dyDescent="0.3">
      <c r="A253" t="s">
        <v>2077</v>
      </c>
      <c r="B253" s="2">
        <v>45356</v>
      </c>
      <c r="C253" t="s">
        <v>1492</v>
      </c>
      <c r="D253" t="s">
        <v>1630</v>
      </c>
      <c r="E253" t="str">
        <f ca="1">TRIM(Sales_fact[[#This Row],[Store_ID]])</f>
        <v>STORE17</v>
      </c>
      <c r="F253">
        <v>4</v>
      </c>
      <c r="G253">
        <f>IF(ISBLANK(F253),MODE($F$2:$F$2001),F253)</f>
        <v>4</v>
      </c>
      <c r="H253">
        <v>982.45</v>
      </c>
      <c r="I253">
        <f>IF(ISBLANK(H253),AVERAGE($H$2:$H$2001),H253)</f>
        <v>982.45</v>
      </c>
      <c r="J253">
        <v>0.2</v>
      </c>
      <c r="K253">
        <f>IF(ISBLANK(J253),MODE($J$2:$J$2001),J253)</f>
        <v>0.2</v>
      </c>
      <c r="L253" t="s">
        <v>1826</v>
      </c>
      <c r="M253">
        <v>3143.84</v>
      </c>
      <c r="N253">
        <f t="shared" si="3"/>
        <v>3143.84</v>
      </c>
      <c r="O253" t="str">
        <f>_xlfn.XLOOKUP(Sales_fact[[#This Row],[Customer_ID]],'Customer_Dim'!A:A,'Customer_Dim'!K:K,"Not Found")</f>
        <v>Bronze</v>
      </c>
      <c r="P253">
        <f>_xlfn.XLOOKUP(Sales_fact[[#This Row],[Customer_ID]],'Customer_Dim'!A:A, 'Customer_Dim'!E:E, "Not Found")</f>
        <v>46</v>
      </c>
      <c r="Q253" t="str">
        <f>VLOOKUP(Sales_fact[[#This Row],[Customer_ID]], 'Customer_Dim'!A:F, 6, FALSE)</f>
        <v>Female</v>
      </c>
      <c r="R253" s="13" t="str">
        <f>_xlfn.XLOOKUP(Sales_fact[[#This Row],[Product_ID]],Product_Dim!A:A,Product_Dim!C:C,"OTHERS")</f>
        <v>Sports</v>
      </c>
    </row>
    <row r="254" spans="1:18" x14ac:dyDescent="0.3">
      <c r="A254" t="s">
        <v>2078</v>
      </c>
      <c r="B254" s="2">
        <v>45925</v>
      </c>
      <c r="C254" t="s">
        <v>1389</v>
      </c>
      <c r="D254" t="s">
        <v>1744</v>
      </c>
      <c r="E254" t="str">
        <f ca="1">TRIM(Sales_fact[[#This Row],[Store_ID]])</f>
        <v>STORE19</v>
      </c>
      <c r="F254">
        <v>1</v>
      </c>
      <c r="G254">
        <f>IF(ISBLANK(F254),MODE($F$2:$F$2001),F254)</f>
        <v>1</v>
      </c>
      <c r="H254">
        <v>549.52</v>
      </c>
      <c r="I254">
        <f>IF(ISBLANK(H254),AVERAGE($H$2:$H$2001),H254)</f>
        <v>549.52</v>
      </c>
      <c r="J254">
        <v>0.1</v>
      </c>
      <c r="K254">
        <f>IF(ISBLANK(J254),MODE($J$2:$J$2001),J254)</f>
        <v>0.1</v>
      </c>
      <c r="L254" t="s">
        <v>1826</v>
      </c>
      <c r="M254">
        <v>494.56799999999998</v>
      </c>
      <c r="N254">
        <f t="shared" si="3"/>
        <v>494.56799999999998</v>
      </c>
      <c r="O254" t="str">
        <f>_xlfn.XLOOKUP(Sales_fact[[#This Row],[Customer_ID]],'Customer_Dim'!A:A,'Customer_Dim'!K:K,"Not Found")</f>
        <v>Bronze</v>
      </c>
      <c r="P254">
        <f>_xlfn.XLOOKUP(Sales_fact[[#This Row],[Customer_ID]],'Customer_Dim'!A:A, 'Customer_Dim'!E:E, "Not Found")</f>
        <v>29</v>
      </c>
      <c r="Q254" t="str">
        <f>VLOOKUP(Sales_fact[[#This Row],[Customer_ID]], 'Customer_Dim'!A:F, 6, FALSE)</f>
        <v>Male</v>
      </c>
      <c r="R254" s="13" t="str">
        <f>_xlfn.XLOOKUP(Sales_fact[[#This Row],[Product_ID]],Product_Dim!A:A,Product_Dim!C:C,"OTHERS")</f>
        <v>Electronics</v>
      </c>
    </row>
    <row r="255" spans="1:18" x14ac:dyDescent="0.3">
      <c r="A255" t="s">
        <v>2079</v>
      </c>
      <c r="B255" s="2">
        <v>45876</v>
      </c>
      <c r="C255" t="s">
        <v>770</v>
      </c>
      <c r="D255" t="s">
        <v>1732</v>
      </c>
      <c r="E255" t="str">
        <f ca="1">TRIM(Sales_fact[[#This Row],[Store_ID]])</f>
        <v>STORE18</v>
      </c>
      <c r="F255">
        <v>2</v>
      </c>
      <c r="G255">
        <f>IF(ISBLANK(F255),MODE($F$2:$F$2001),F255)</f>
        <v>2</v>
      </c>
      <c r="H255">
        <v>239.92</v>
      </c>
      <c r="I255">
        <f>IF(ISBLANK(H255),AVERAGE($H$2:$H$2001),H255)</f>
        <v>239.92</v>
      </c>
      <c r="J255">
        <v>0.16</v>
      </c>
      <c r="K255">
        <f>IF(ISBLANK(J255),MODE($J$2:$J$2001),J255)</f>
        <v>0.16</v>
      </c>
      <c r="L255" t="s">
        <v>1824</v>
      </c>
      <c r="M255">
        <v>403.06560000000002</v>
      </c>
      <c r="N255">
        <f t="shared" si="3"/>
        <v>403.06559999999996</v>
      </c>
      <c r="O255" t="str">
        <f>_xlfn.XLOOKUP(Sales_fact[[#This Row],[Customer_ID]],'Customer_Dim'!A:A,'Customer_Dim'!K:K,"Not Found")</f>
        <v>Platinum</v>
      </c>
      <c r="P255">
        <f>_xlfn.XLOOKUP(Sales_fact[[#This Row],[Customer_ID]],'Customer_Dim'!A:A, 'Customer_Dim'!E:E, "Not Found")</f>
        <v>59</v>
      </c>
      <c r="Q255" t="str">
        <f>VLOOKUP(Sales_fact[[#This Row],[Customer_ID]], 'Customer_Dim'!A:F, 6, FALSE)</f>
        <v>Female</v>
      </c>
      <c r="R255" s="13" t="str">
        <f>_xlfn.XLOOKUP(Sales_fact[[#This Row],[Product_ID]],Product_Dim!A:A,Product_Dim!C:C,"OTHERS")</f>
        <v>Home</v>
      </c>
    </row>
    <row r="256" spans="1:18" x14ac:dyDescent="0.3">
      <c r="A256" t="s">
        <v>2080</v>
      </c>
      <c r="B256" s="2">
        <v>45338</v>
      </c>
      <c r="C256" t="s">
        <v>298</v>
      </c>
      <c r="D256" t="s">
        <v>1732</v>
      </c>
      <c r="E256" t="str">
        <f ca="1">TRIM(Sales_fact[[#This Row],[Store_ID]])</f>
        <v>STORE6</v>
      </c>
      <c r="F256">
        <v>2</v>
      </c>
      <c r="G256">
        <f>IF(ISBLANK(F256),MODE($F$2:$F$2001),F256)</f>
        <v>2</v>
      </c>
      <c r="H256">
        <v>878.05</v>
      </c>
      <c r="I256">
        <f>IF(ISBLANK(H256),AVERAGE($H$2:$H$2001),H256)</f>
        <v>878.05</v>
      </c>
      <c r="J256">
        <v>0.11</v>
      </c>
      <c r="K256">
        <f>IF(ISBLANK(J256),MODE($J$2:$J$2001),J256)</f>
        <v>0.11</v>
      </c>
      <c r="L256" t="s">
        <v>1826</v>
      </c>
      <c r="M256">
        <v>1562.9290000000001</v>
      </c>
      <c r="N256">
        <f t="shared" si="3"/>
        <v>1562.9289999999999</v>
      </c>
      <c r="O256" t="str">
        <f>_xlfn.XLOOKUP(Sales_fact[[#This Row],[Customer_ID]],'Customer_Dim'!A:A,'Customer_Dim'!K:K,"Not Found")</f>
        <v>Bronze</v>
      </c>
      <c r="P256">
        <f>_xlfn.XLOOKUP(Sales_fact[[#This Row],[Customer_ID]],'Customer_Dim'!A:A, 'Customer_Dim'!E:E, "Not Found")</f>
        <v>53</v>
      </c>
      <c r="Q256" t="str">
        <f>VLOOKUP(Sales_fact[[#This Row],[Customer_ID]], 'Customer_Dim'!A:F, 6, FALSE)</f>
        <v>Male</v>
      </c>
      <c r="R256" s="13" t="str">
        <f>_xlfn.XLOOKUP(Sales_fact[[#This Row],[Product_ID]],Product_Dim!A:A,Product_Dim!C:C,"OTHERS")</f>
        <v>Home</v>
      </c>
    </row>
    <row r="257" spans="1:18" x14ac:dyDescent="0.3">
      <c r="A257" t="s">
        <v>2081</v>
      </c>
      <c r="B257" s="2">
        <v>45746</v>
      </c>
      <c r="C257" t="s">
        <v>172</v>
      </c>
      <c r="D257" t="s">
        <v>1546</v>
      </c>
      <c r="E257" t="str">
        <f ca="1">TRIM(Sales_fact[[#This Row],[Store_ID]])</f>
        <v>STORE9</v>
      </c>
      <c r="F257">
        <v>3</v>
      </c>
      <c r="G257">
        <f>IF(ISBLANK(F257),MODE($F$2:$F$2001),F257)</f>
        <v>3</v>
      </c>
      <c r="H257">
        <v>546.96</v>
      </c>
      <c r="I257">
        <f>IF(ISBLANK(H257),AVERAGE($H$2:$H$2001),H257)</f>
        <v>546.96</v>
      </c>
      <c r="J257">
        <v>0.19</v>
      </c>
      <c r="K257">
        <f>IF(ISBLANK(J257),MODE($J$2:$J$2001),J257)</f>
        <v>0.19</v>
      </c>
      <c r="L257" t="s">
        <v>1824</v>
      </c>
      <c r="M257">
        <v>1329.1128000000001</v>
      </c>
      <c r="N257">
        <f t="shared" si="3"/>
        <v>1329.1128000000001</v>
      </c>
      <c r="O257" t="str">
        <f>_xlfn.XLOOKUP(Sales_fact[[#This Row],[Customer_ID]],'Customer_Dim'!A:A,'Customer_Dim'!K:K,"Not Found")</f>
        <v>Bronze</v>
      </c>
      <c r="P257">
        <f>_xlfn.XLOOKUP(Sales_fact[[#This Row],[Customer_ID]],'Customer_Dim'!A:A, 'Customer_Dim'!E:E, "Not Found")</f>
        <v>34</v>
      </c>
      <c r="Q257" t="str">
        <f>VLOOKUP(Sales_fact[[#This Row],[Customer_ID]], 'Customer_Dim'!A:F, 6, FALSE)</f>
        <v>Male</v>
      </c>
      <c r="R257" s="13" t="str">
        <f>_xlfn.XLOOKUP(Sales_fact[[#This Row],[Product_ID]],Product_Dim!A:A,Product_Dim!C:C,"OTHERS")</f>
        <v>Clothing</v>
      </c>
    </row>
    <row r="258" spans="1:18" x14ac:dyDescent="0.3">
      <c r="A258" t="s">
        <v>2082</v>
      </c>
      <c r="B258" s="2">
        <v>45706</v>
      </c>
      <c r="C258" t="s">
        <v>1452</v>
      </c>
      <c r="D258" t="s">
        <v>1582</v>
      </c>
      <c r="E258" t="str">
        <f ca="1">TRIM(Sales_fact[[#This Row],[Store_ID]])</f>
        <v>STORE10</v>
      </c>
      <c r="F258">
        <v>2</v>
      </c>
      <c r="G258">
        <f>IF(ISBLANK(F258),MODE($F$2:$F$2001),F258)</f>
        <v>2</v>
      </c>
      <c r="H258">
        <v>71.77</v>
      </c>
      <c r="I258">
        <f>IF(ISBLANK(H258),AVERAGE($H$2:$H$2001),H258)</f>
        <v>71.77</v>
      </c>
      <c r="J258">
        <v>0.22</v>
      </c>
      <c r="K258">
        <f>IF(ISBLANK(J258),MODE($J$2:$J$2001),J258)</f>
        <v>0.22</v>
      </c>
      <c r="L258" t="s">
        <v>1824</v>
      </c>
      <c r="M258">
        <v>111.96120000000001</v>
      </c>
      <c r="N258">
        <f t="shared" si="3"/>
        <v>111.96119999999999</v>
      </c>
      <c r="O258" t="str">
        <f>_xlfn.XLOOKUP(Sales_fact[[#This Row],[Customer_ID]],'Customer_Dim'!A:A,'Customer_Dim'!K:K,"Not Found")</f>
        <v>Platinum</v>
      </c>
      <c r="P258">
        <f>_xlfn.XLOOKUP(Sales_fact[[#This Row],[Customer_ID]],'Customer_Dim'!A:A, 'Customer_Dim'!E:E, "Not Found")</f>
        <v>42</v>
      </c>
      <c r="Q258" t="str">
        <f>VLOOKUP(Sales_fact[[#This Row],[Customer_ID]], 'Customer_Dim'!A:F, 6, FALSE)</f>
        <v>Male</v>
      </c>
      <c r="R258" s="13" t="str">
        <f>_xlfn.XLOOKUP(Sales_fact[[#This Row],[Product_ID]],Product_Dim!A:A,Product_Dim!C:C,"OTHERS")</f>
        <v>Sports</v>
      </c>
    </row>
    <row r="259" spans="1:18" x14ac:dyDescent="0.3">
      <c r="A259" t="s">
        <v>2083</v>
      </c>
      <c r="B259" s="2">
        <v>45717</v>
      </c>
      <c r="C259" t="s">
        <v>63</v>
      </c>
      <c r="D259" t="s">
        <v>1596</v>
      </c>
      <c r="E259" t="str">
        <f ca="1">TRIM(Sales_fact[[#This Row],[Store_ID]])</f>
        <v>STORE1</v>
      </c>
      <c r="F259">
        <v>2</v>
      </c>
      <c r="G259">
        <f>IF(ISBLANK(F259),MODE($F$2:$F$2001),F259)</f>
        <v>2</v>
      </c>
      <c r="H259">
        <v>679.86</v>
      </c>
      <c r="I259">
        <f>IF(ISBLANK(H259),AVERAGE($H$2:$H$2001),H259)</f>
        <v>679.86</v>
      </c>
      <c r="J259">
        <v>0.22</v>
      </c>
      <c r="K259">
        <f>IF(ISBLANK(J259),MODE($J$2:$J$2001),J259)</f>
        <v>0.22</v>
      </c>
      <c r="L259" t="s">
        <v>1829</v>
      </c>
      <c r="M259">
        <v>1060.5816</v>
      </c>
      <c r="N259">
        <f t="shared" ref="N259:N322" si="4">G259*I259*(1-K259)</f>
        <v>1060.5816</v>
      </c>
      <c r="O259" t="str">
        <f>_xlfn.XLOOKUP(Sales_fact[[#This Row],[Customer_ID]],'Customer_Dim'!A:A,'Customer_Dim'!K:K,"Not Found")</f>
        <v>Silver</v>
      </c>
      <c r="P259">
        <f>_xlfn.XLOOKUP(Sales_fact[[#This Row],[Customer_ID]],'Customer_Dim'!A:A, 'Customer_Dim'!E:E, "Not Found")</f>
        <v>32</v>
      </c>
      <c r="Q259" t="str">
        <f>VLOOKUP(Sales_fact[[#This Row],[Customer_ID]], 'Customer_Dim'!A:F, 6, FALSE)</f>
        <v>Female</v>
      </c>
      <c r="R259" s="13" t="str">
        <f>_xlfn.XLOOKUP(Sales_fact[[#This Row],[Product_ID]],Product_Dim!A:A,Product_Dim!C:C,"OTHERS")</f>
        <v>Sports</v>
      </c>
    </row>
    <row r="260" spans="1:18" x14ac:dyDescent="0.3">
      <c r="A260" t="s">
        <v>2084</v>
      </c>
      <c r="B260" s="2">
        <v>45300</v>
      </c>
      <c r="C260" t="s">
        <v>464</v>
      </c>
      <c r="D260" t="s">
        <v>1618</v>
      </c>
      <c r="E260" t="str">
        <f ca="1">TRIM(Sales_fact[[#This Row],[Store_ID]])</f>
        <v>STORE17</v>
      </c>
      <c r="F260">
        <v>1</v>
      </c>
      <c r="G260">
        <f>IF(ISBLANK(F260),MODE($F$2:$F$2001),F260)</f>
        <v>1</v>
      </c>
      <c r="H260">
        <v>222.94</v>
      </c>
      <c r="I260">
        <f>IF(ISBLANK(H260),AVERAGE($H$2:$H$2001),H260)</f>
        <v>222.94</v>
      </c>
      <c r="J260">
        <v>0.19</v>
      </c>
      <c r="K260">
        <f>IF(ISBLANK(J260),MODE($J$2:$J$2001),J260)</f>
        <v>0.19</v>
      </c>
      <c r="L260" t="s">
        <v>1824</v>
      </c>
      <c r="M260">
        <v>180.5814</v>
      </c>
      <c r="N260">
        <f t="shared" si="4"/>
        <v>180.5814</v>
      </c>
      <c r="O260" t="str">
        <f>_xlfn.XLOOKUP(Sales_fact[[#This Row],[Customer_ID]],'Customer_Dim'!A:A,'Customer_Dim'!K:K,"Not Found")</f>
        <v>Silver</v>
      </c>
      <c r="P260">
        <f>_xlfn.XLOOKUP(Sales_fact[[#This Row],[Customer_ID]],'Customer_Dim'!A:A, 'Customer_Dim'!E:E, "Not Found")</f>
        <v>29</v>
      </c>
      <c r="Q260" t="str">
        <f>VLOOKUP(Sales_fact[[#This Row],[Customer_ID]], 'Customer_Dim'!A:F, 6, FALSE)</f>
        <v>Male</v>
      </c>
      <c r="R260" s="13" t="str">
        <f>_xlfn.XLOOKUP(Sales_fact[[#This Row],[Product_ID]],Product_Dim!A:A,Product_Dim!C:C,"OTHERS")</f>
        <v>Home</v>
      </c>
    </row>
    <row r="261" spans="1:18" x14ac:dyDescent="0.3">
      <c r="A261" t="s">
        <v>2085</v>
      </c>
      <c r="B261" s="2">
        <v>45773</v>
      </c>
      <c r="C261" t="s">
        <v>794</v>
      </c>
      <c r="D261" t="s">
        <v>1618</v>
      </c>
      <c r="E261" t="str">
        <f ca="1">TRIM(Sales_fact[[#This Row],[Store_ID]])</f>
        <v>STORE2</v>
      </c>
      <c r="F261">
        <v>2</v>
      </c>
      <c r="G261">
        <f>IF(ISBLANK(F261),MODE($F$2:$F$2001),F261)</f>
        <v>2</v>
      </c>
      <c r="H261">
        <v>355.3</v>
      </c>
      <c r="I261">
        <f>IF(ISBLANK(H261),AVERAGE($H$2:$H$2001),H261)</f>
        <v>355.3</v>
      </c>
      <c r="K261">
        <f>IF(ISBLANK(J261),MODE($J$2:$J$2001),J261)</f>
        <v>0.1</v>
      </c>
      <c r="L261" t="s">
        <v>1826</v>
      </c>
      <c r="M261">
        <v>589.798</v>
      </c>
      <c r="N261">
        <f t="shared" si="4"/>
        <v>639.54000000000008</v>
      </c>
      <c r="O261" t="str">
        <f>_xlfn.XLOOKUP(Sales_fact[[#This Row],[Customer_ID]],'Customer_Dim'!A:A,'Customer_Dim'!K:K,"Not Found")</f>
        <v>Gold</v>
      </c>
      <c r="P261">
        <f>_xlfn.XLOOKUP(Sales_fact[[#This Row],[Customer_ID]],'Customer_Dim'!A:A, 'Customer_Dim'!E:E, "Not Found")</f>
        <v>19</v>
      </c>
      <c r="Q261" t="str">
        <f>VLOOKUP(Sales_fact[[#This Row],[Customer_ID]], 'Customer_Dim'!A:F, 6, FALSE)</f>
        <v>Male</v>
      </c>
      <c r="R261" s="13" t="str">
        <f>_xlfn.XLOOKUP(Sales_fact[[#This Row],[Product_ID]],Product_Dim!A:A,Product_Dim!C:C,"OTHERS")</f>
        <v>Home</v>
      </c>
    </row>
    <row r="262" spans="1:18" x14ac:dyDescent="0.3">
      <c r="A262" t="s">
        <v>2086</v>
      </c>
      <c r="B262" s="2">
        <v>45497</v>
      </c>
      <c r="C262" t="s">
        <v>366</v>
      </c>
      <c r="D262" t="s">
        <v>1726</v>
      </c>
      <c r="E262" t="str">
        <f ca="1">TRIM(Sales_fact[[#This Row],[Store_ID]])</f>
        <v>STORE19</v>
      </c>
      <c r="F262">
        <v>4</v>
      </c>
      <c r="G262">
        <f>IF(ISBLANK(F262),MODE($F$2:$F$2001),F262)</f>
        <v>4</v>
      </c>
      <c r="H262">
        <v>611.29999999999995</v>
      </c>
      <c r="I262">
        <f>IF(ISBLANK(H262),AVERAGE($H$2:$H$2001),H262)</f>
        <v>611.29999999999995</v>
      </c>
      <c r="J262">
        <v>0.11</v>
      </c>
      <c r="K262">
        <f>IF(ISBLANK(J262),MODE($J$2:$J$2001),J262)</f>
        <v>0.11</v>
      </c>
      <c r="L262" t="s">
        <v>1826</v>
      </c>
      <c r="M262">
        <v>2176.2280000000001</v>
      </c>
      <c r="N262">
        <f t="shared" si="4"/>
        <v>2176.2280000000001</v>
      </c>
      <c r="O262" t="str">
        <f>_xlfn.XLOOKUP(Sales_fact[[#This Row],[Customer_ID]],'Customer_Dim'!A:A,'Customer_Dim'!K:K,"Not Found")</f>
        <v>Bronze</v>
      </c>
      <c r="P262">
        <f>_xlfn.XLOOKUP(Sales_fact[[#This Row],[Customer_ID]],'Customer_Dim'!A:A, 'Customer_Dim'!E:E, "Not Found")</f>
        <v>21</v>
      </c>
      <c r="Q262" t="str">
        <f>VLOOKUP(Sales_fact[[#This Row],[Customer_ID]], 'Customer_Dim'!A:F, 6, FALSE)</f>
        <v>Male</v>
      </c>
      <c r="R262" s="13" t="str">
        <f>_xlfn.XLOOKUP(Sales_fact[[#This Row],[Product_ID]],Product_Dim!A:A,Product_Dim!C:C,"OTHERS")</f>
        <v>Beauty</v>
      </c>
    </row>
    <row r="263" spans="1:18" x14ac:dyDescent="0.3">
      <c r="A263" t="s">
        <v>2087</v>
      </c>
      <c r="B263" s="2">
        <v>45742</v>
      </c>
      <c r="C263" t="s">
        <v>1047</v>
      </c>
      <c r="D263" t="s">
        <v>1543</v>
      </c>
      <c r="E263" t="str">
        <f ca="1">TRIM(Sales_fact[[#This Row],[Store_ID]])</f>
        <v>STORE8</v>
      </c>
      <c r="F263">
        <v>4</v>
      </c>
      <c r="G263">
        <f>IF(ISBLANK(F263),MODE($F$2:$F$2001),F263)</f>
        <v>4</v>
      </c>
      <c r="H263">
        <v>849.21</v>
      </c>
      <c r="I263">
        <f>IF(ISBLANK(H263),AVERAGE($H$2:$H$2001),H263)</f>
        <v>849.21</v>
      </c>
      <c r="J263">
        <v>7.0000000000000007E-2</v>
      </c>
      <c r="K263">
        <f>IF(ISBLANK(J263),MODE($J$2:$J$2001),J263)</f>
        <v>7.0000000000000007E-2</v>
      </c>
      <c r="L263" t="s">
        <v>1824</v>
      </c>
      <c r="M263">
        <v>3159.0612000000001</v>
      </c>
      <c r="N263">
        <f t="shared" si="4"/>
        <v>3159.0612000000001</v>
      </c>
      <c r="O263" t="str">
        <f>_xlfn.XLOOKUP(Sales_fact[[#This Row],[Customer_ID]],'Customer_Dim'!A:A,'Customer_Dim'!K:K,"Not Found")</f>
        <v>Gold</v>
      </c>
      <c r="P263">
        <f>_xlfn.XLOOKUP(Sales_fact[[#This Row],[Customer_ID]],'Customer_Dim'!A:A, 'Customer_Dim'!E:E, "Not Found")</f>
        <v>64</v>
      </c>
      <c r="Q263" t="str">
        <f>VLOOKUP(Sales_fact[[#This Row],[Customer_ID]], 'Customer_Dim'!A:F, 6, FALSE)</f>
        <v>Female</v>
      </c>
      <c r="R263" s="13" t="str">
        <f>_xlfn.XLOOKUP(Sales_fact[[#This Row],[Product_ID]],Product_Dim!A:A,Product_Dim!C:C,"OTHERS")</f>
        <v>Electronics</v>
      </c>
    </row>
    <row r="264" spans="1:18" x14ac:dyDescent="0.3">
      <c r="A264" t="s">
        <v>2088</v>
      </c>
      <c r="B264" s="2">
        <v>45713</v>
      </c>
      <c r="C264" t="s">
        <v>681</v>
      </c>
      <c r="D264" t="s">
        <v>1632</v>
      </c>
      <c r="E264" t="str">
        <f ca="1">TRIM(Sales_fact[[#This Row],[Store_ID]])</f>
        <v>STORE7</v>
      </c>
      <c r="F264">
        <v>3</v>
      </c>
      <c r="G264">
        <f>IF(ISBLANK(F264),MODE($F$2:$F$2001),F264)</f>
        <v>3</v>
      </c>
      <c r="H264">
        <v>553.12</v>
      </c>
      <c r="I264">
        <f>IF(ISBLANK(H264),AVERAGE($H$2:$H$2001),H264)</f>
        <v>553.12</v>
      </c>
      <c r="J264">
        <v>0.28000000000000003</v>
      </c>
      <c r="K264">
        <f>IF(ISBLANK(J264),MODE($J$2:$J$2001),J264)</f>
        <v>0.28000000000000003</v>
      </c>
      <c r="L264" t="s">
        <v>1829</v>
      </c>
      <c r="M264">
        <v>1194.7392</v>
      </c>
      <c r="N264">
        <f t="shared" si="4"/>
        <v>1194.7392</v>
      </c>
      <c r="O264" t="str">
        <f>_xlfn.XLOOKUP(Sales_fact[[#This Row],[Customer_ID]],'Customer_Dim'!A:A,'Customer_Dim'!K:K,"Not Found")</f>
        <v>Platinum</v>
      </c>
      <c r="P264">
        <f>_xlfn.XLOOKUP(Sales_fact[[#This Row],[Customer_ID]],'Customer_Dim'!A:A, 'Customer_Dim'!E:E, "Not Found")</f>
        <v>50</v>
      </c>
      <c r="Q264" t="str">
        <f>VLOOKUP(Sales_fact[[#This Row],[Customer_ID]], 'Customer_Dim'!A:F, 6, FALSE)</f>
        <v>Female</v>
      </c>
      <c r="R264" s="13" t="str">
        <f>_xlfn.XLOOKUP(Sales_fact[[#This Row],[Product_ID]],Product_Dim!A:A,Product_Dim!C:C,"OTHERS")</f>
        <v>Electronics</v>
      </c>
    </row>
    <row r="265" spans="1:18" x14ac:dyDescent="0.3">
      <c r="A265" t="s">
        <v>2089</v>
      </c>
      <c r="B265" s="2">
        <v>45826</v>
      </c>
      <c r="C265" t="s">
        <v>896</v>
      </c>
      <c r="D265" t="s">
        <v>1730</v>
      </c>
      <c r="E265" t="str">
        <f ca="1">TRIM(Sales_fact[[#This Row],[Store_ID]])</f>
        <v>STORE9</v>
      </c>
      <c r="F265">
        <v>2</v>
      </c>
      <c r="G265">
        <f>IF(ISBLANK(F265),MODE($F$2:$F$2001),F265)</f>
        <v>2</v>
      </c>
      <c r="H265">
        <v>903.08</v>
      </c>
      <c r="I265">
        <f>IF(ISBLANK(H265),AVERAGE($H$2:$H$2001),H265)</f>
        <v>903.08</v>
      </c>
      <c r="J265">
        <v>0.18</v>
      </c>
      <c r="K265">
        <f>IF(ISBLANK(J265),MODE($J$2:$J$2001),J265)</f>
        <v>0.18</v>
      </c>
      <c r="L265" t="s">
        <v>1829</v>
      </c>
      <c r="M265">
        <v>1481.0512000000001</v>
      </c>
      <c r="N265">
        <f t="shared" si="4"/>
        <v>1481.0512000000001</v>
      </c>
      <c r="O265" t="str">
        <f>_xlfn.XLOOKUP(Sales_fact[[#This Row],[Customer_ID]],'Customer_Dim'!A:A,'Customer_Dim'!K:K,"Not Found")</f>
        <v>Gold</v>
      </c>
      <c r="P265">
        <f>_xlfn.XLOOKUP(Sales_fact[[#This Row],[Customer_ID]],'Customer_Dim'!A:A, 'Customer_Dim'!E:E, "Not Found")</f>
        <v>46</v>
      </c>
      <c r="Q265" t="str">
        <f>VLOOKUP(Sales_fact[[#This Row],[Customer_ID]], 'Customer_Dim'!A:F, 6, FALSE)</f>
        <v>Female</v>
      </c>
      <c r="R265" s="13" t="str">
        <f>_xlfn.XLOOKUP(Sales_fact[[#This Row],[Product_ID]],Product_Dim!A:A,Product_Dim!C:C,"OTHERS")</f>
        <v>Clothing</v>
      </c>
    </row>
    <row r="266" spans="1:18" x14ac:dyDescent="0.3">
      <c r="A266" t="s">
        <v>2090</v>
      </c>
      <c r="B266" s="2">
        <v>45648</v>
      </c>
      <c r="C266" t="s">
        <v>1472</v>
      </c>
      <c r="D266" t="s">
        <v>1580</v>
      </c>
      <c r="E266" t="str">
        <f ca="1">TRIM(Sales_fact[[#This Row],[Store_ID]])</f>
        <v>STORE11</v>
      </c>
      <c r="F266">
        <v>4</v>
      </c>
      <c r="G266">
        <f>IF(ISBLANK(F266),MODE($F$2:$F$2001),F266)</f>
        <v>4</v>
      </c>
      <c r="H266">
        <v>640.23</v>
      </c>
      <c r="I266">
        <f>IF(ISBLANK(H266),AVERAGE($H$2:$H$2001),H266)</f>
        <v>640.23</v>
      </c>
      <c r="J266">
        <v>0.06</v>
      </c>
      <c r="K266">
        <f>IF(ISBLANK(J266),MODE($J$2:$J$2001),J266)</f>
        <v>0.06</v>
      </c>
      <c r="L266" t="s">
        <v>1829</v>
      </c>
      <c r="M266">
        <v>2407.2647999999999</v>
      </c>
      <c r="N266">
        <f t="shared" si="4"/>
        <v>2407.2647999999999</v>
      </c>
      <c r="O266" t="str">
        <f>_xlfn.XLOOKUP(Sales_fact[[#This Row],[Customer_ID]],'Customer_Dim'!A:A,'Customer_Dim'!K:K,"Not Found")</f>
        <v>Gold</v>
      </c>
      <c r="P266">
        <f>_xlfn.XLOOKUP(Sales_fact[[#This Row],[Customer_ID]],'Customer_Dim'!A:A, 'Customer_Dim'!E:E, "Not Found")</f>
        <v>59</v>
      </c>
      <c r="Q266" t="str">
        <f>VLOOKUP(Sales_fact[[#This Row],[Customer_ID]], 'Customer_Dim'!A:F, 6, FALSE)</f>
        <v>Male</v>
      </c>
      <c r="R266" s="13" t="str">
        <f>_xlfn.XLOOKUP(Sales_fact[[#This Row],[Product_ID]],Product_Dim!A:A,Product_Dim!C:C,"OTHERS")</f>
        <v>OTHERS</v>
      </c>
    </row>
    <row r="267" spans="1:18" x14ac:dyDescent="0.3">
      <c r="A267" t="s">
        <v>2091</v>
      </c>
      <c r="B267" s="2">
        <v>45836</v>
      </c>
      <c r="C267" t="s">
        <v>478</v>
      </c>
      <c r="D267" t="s">
        <v>1590</v>
      </c>
      <c r="E267" t="str">
        <f ca="1">TRIM(Sales_fact[[#This Row],[Store_ID]])</f>
        <v>STORE6</v>
      </c>
      <c r="F267">
        <v>1</v>
      </c>
      <c r="G267">
        <f>IF(ISBLANK(F267),MODE($F$2:$F$2001),F267)</f>
        <v>1</v>
      </c>
      <c r="H267">
        <v>518</v>
      </c>
      <c r="I267">
        <f>IF(ISBLANK(H267),AVERAGE($H$2:$H$2001),H267)</f>
        <v>518</v>
      </c>
      <c r="J267">
        <v>0.25</v>
      </c>
      <c r="K267">
        <f>IF(ISBLANK(J267),MODE($J$2:$J$2001),J267)</f>
        <v>0.25</v>
      </c>
      <c r="L267" t="s">
        <v>1824</v>
      </c>
      <c r="M267">
        <v>388.5</v>
      </c>
      <c r="N267">
        <f t="shared" si="4"/>
        <v>388.5</v>
      </c>
      <c r="O267" t="str">
        <f>_xlfn.XLOOKUP(Sales_fact[[#This Row],[Customer_ID]],'Customer_Dim'!A:A,'Customer_Dim'!K:K,"Not Found")</f>
        <v>Bronze</v>
      </c>
      <c r="P267">
        <f>_xlfn.XLOOKUP(Sales_fact[[#This Row],[Customer_ID]],'Customer_Dim'!A:A, 'Customer_Dim'!E:E, "Not Found")</f>
        <v>30</v>
      </c>
      <c r="Q267" t="str">
        <f>VLOOKUP(Sales_fact[[#This Row],[Customer_ID]], 'Customer_Dim'!A:F, 6, FALSE)</f>
        <v>Male</v>
      </c>
      <c r="R267" s="13" t="str">
        <f>_xlfn.XLOOKUP(Sales_fact[[#This Row],[Product_ID]],Product_Dim!A:A,Product_Dim!C:C,"OTHERS")</f>
        <v>Home</v>
      </c>
    </row>
    <row r="268" spans="1:18" x14ac:dyDescent="0.3">
      <c r="A268" t="s">
        <v>2092</v>
      </c>
      <c r="B268" s="2">
        <v>45437</v>
      </c>
      <c r="C268" t="s">
        <v>1343</v>
      </c>
      <c r="D268" t="s">
        <v>1676</v>
      </c>
      <c r="E268" t="str">
        <f ca="1">TRIM(Sales_fact[[#This Row],[Store_ID]])</f>
        <v>STORE4</v>
      </c>
      <c r="F268">
        <v>4</v>
      </c>
      <c r="G268">
        <f>IF(ISBLANK(F268),MODE($F$2:$F$2001),F268)</f>
        <v>4</v>
      </c>
      <c r="H268">
        <v>779.25</v>
      </c>
      <c r="I268">
        <f>IF(ISBLANK(H268),AVERAGE($H$2:$H$2001),H268)</f>
        <v>779.25</v>
      </c>
      <c r="J268">
        <v>0.25</v>
      </c>
      <c r="K268">
        <f>IF(ISBLANK(J268),MODE($J$2:$J$2001),J268)</f>
        <v>0.25</v>
      </c>
      <c r="L268" t="s">
        <v>1824</v>
      </c>
      <c r="M268">
        <v>2337.75</v>
      </c>
      <c r="N268">
        <f t="shared" si="4"/>
        <v>2337.75</v>
      </c>
      <c r="O268" t="str">
        <f>_xlfn.XLOOKUP(Sales_fact[[#This Row],[Customer_ID]],'Customer_Dim'!A:A,'Customer_Dim'!K:K,"Not Found")</f>
        <v>Silver</v>
      </c>
      <c r="P268">
        <f>_xlfn.XLOOKUP(Sales_fact[[#This Row],[Customer_ID]],'Customer_Dim'!A:A, 'Customer_Dim'!E:E, "Not Found")</f>
        <v>51</v>
      </c>
      <c r="Q268" t="str">
        <f>VLOOKUP(Sales_fact[[#This Row],[Customer_ID]], 'Customer_Dim'!A:F, 6, FALSE)</f>
        <v>Female</v>
      </c>
      <c r="R268" s="13" t="str">
        <f>_xlfn.XLOOKUP(Sales_fact[[#This Row],[Product_ID]],Product_Dim!A:A,Product_Dim!C:C,"OTHERS")</f>
        <v>Beauty</v>
      </c>
    </row>
    <row r="269" spans="1:18" x14ac:dyDescent="0.3">
      <c r="A269" t="s">
        <v>2093</v>
      </c>
      <c r="B269" s="2">
        <v>45807</v>
      </c>
      <c r="C269" t="s">
        <v>411</v>
      </c>
      <c r="D269" t="s">
        <v>1714</v>
      </c>
      <c r="E269" t="str">
        <f ca="1">TRIM(Sales_fact[[#This Row],[Store_ID]])</f>
        <v>STORE7</v>
      </c>
      <c r="F269">
        <v>2</v>
      </c>
      <c r="G269">
        <f>IF(ISBLANK(F269),MODE($F$2:$F$2001),F269)</f>
        <v>2</v>
      </c>
      <c r="H269">
        <v>467.75</v>
      </c>
      <c r="I269">
        <f>IF(ISBLANK(H269),AVERAGE($H$2:$H$2001),H269)</f>
        <v>467.75</v>
      </c>
      <c r="J269">
        <v>0.26</v>
      </c>
      <c r="K269">
        <f>IF(ISBLANK(J269),MODE($J$2:$J$2001),J269)</f>
        <v>0.26</v>
      </c>
      <c r="L269" t="s">
        <v>1824</v>
      </c>
      <c r="M269">
        <v>692.27</v>
      </c>
      <c r="N269">
        <f t="shared" si="4"/>
        <v>692.27</v>
      </c>
      <c r="O269" t="str">
        <f>_xlfn.XLOOKUP(Sales_fact[[#This Row],[Customer_ID]],'Customer_Dim'!A:A,'Customer_Dim'!K:K,"Not Found")</f>
        <v>Platinum</v>
      </c>
      <c r="P269">
        <f>_xlfn.XLOOKUP(Sales_fact[[#This Row],[Customer_ID]],'Customer_Dim'!A:A, 'Customer_Dim'!E:E, "Not Found")</f>
        <v>36</v>
      </c>
      <c r="Q269" t="str">
        <f>VLOOKUP(Sales_fact[[#This Row],[Customer_ID]], 'Customer_Dim'!A:F, 6, FALSE)</f>
        <v>Male</v>
      </c>
      <c r="R269" s="13" t="str">
        <f>_xlfn.XLOOKUP(Sales_fact[[#This Row],[Product_ID]],Product_Dim!A:A,Product_Dim!C:C,"OTHERS")</f>
        <v>Beauty</v>
      </c>
    </row>
    <row r="270" spans="1:18" x14ac:dyDescent="0.3">
      <c r="A270" t="s">
        <v>2094</v>
      </c>
      <c r="B270" s="2">
        <v>45555</v>
      </c>
      <c r="C270" t="s">
        <v>1263</v>
      </c>
      <c r="D270" t="s">
        <v>1728</v>
      </c>
      <c r="E270" t="str">
        <f ca="1">TRIM(Sales_fact[[#This Row],[Store_ID]])</f>
        <v>STORE18</v>
      </c>
      <c r="F270">
        <v>3</v>
      </c>
      <c r="G270">
        <f>IF(ISBLANK(F270),MODE($F$2:$F$2001),F270)</f>
        <v>3</v>
      </c>
      <c r="I270">
        <f>IF(ISBLANK(H270),AVERAGE($H$2:$H$2001),H270)</f>
        <v>513.98477215823721</v>
      </c>
      <c r="J270">
        <v>0.06</v>
      </c>
      <c r="K270">
        <f>IF(ISBLANK(J270),MODE($J$2:$J$2001),J270)</f>
        <v>0.06</v>
      </c>
      <c r="L270" t="s">
        <v>1824</v>
      </c>
      <c r="M270">
        <v>315.24779999999998</v>
      </c>
      <c r="N270">
        <f t="shared" si="4"/>
        <v>1449.4370574862287</v>
      </c>
      <c r="O270" t="str">
        <f>_xlfn.XLOOKUP(Sales_fact[[#This Row],[Customer_ID]],'Customer_Dim'!A:A,'Customer_Dim'!K:K,"Not Found")</f>
        <v>Gold</v>
      </c>
      <c r="P270">
        <f>_xlfn.XLOOKUP(Sales_fact[[#This Row],[Customer_ID]],'Customer_Dim'!A:A, 'Customer_Dim'!E:E, "Not Found")</f>
        <v>23</v>
      </c>
      <c r="Q270" t="str">
        <f>VLOOKUP(Sales_fact[[#This Row],[Customer_ID]], 'Customer_Dim'!A:F, 6, FALSE)</f>
        <v>Female</v>
      </c>
      <c r="R270" s="13" t="str">
        <f>_xlfn.XLOOKUP(Sales_fact[[#This Row],[Product_ID]],Product_Dim!A:A,Product_Dim!C:C,"OTHERS")</f>
        <v>Electronics</v>
      </c>
    </row>
    <row r="271" spans="1:18" x14ac:dyDescent="0.3">
      <c r="A271" t="s">
        <v>2095</v>
      </c>
      <c r="B271" s="2">
        <v>45803</v>
      </c>
      <c r="C271" t="s">
        <v>711</v>
      </c>
      <c r="D271" t="s">
        <v>1622</v>
      </c>
      <c r="E271" t="str">
        <f ca="1">TRIM(Sales_fact[[#This Row],[Store_ID]])</f>
        <v>STORE0</v>
      </c>
      <c r="F271">
        <v>4</v>
      </c>
      <c r="G271">
        <f>IF(ISBLANK(F271),MODE($F$2:$F$2001),F271)</f>
        <v>4</v>
      </c>
      <c r="H271">
        <v>747.01</v>
      </c>
      <c r="I271">
        <f>IF(ISBLANK(H271),AVERAGE($H$2:$H$2001),H271)</f>
        <v>747.01</v>
      </c>
      <c r="J271">
        <v>0.13</v>
      </c>
      <c r="K271">
        <f>IF(ISBLANK(J271),MODE($J$2:$J$2001),J271)</f>
        <v>0.13</v>
      </c>
      <c r="L271" t="s">
        <v>1826</v>
      </c>
      <c r="M271">
        <v>2599.5947999999999</v>
      </c>
      <c r="N271">
        <f t="shared" si="4"/>
        <v>2599.5947999999999</v>
      </c>
      <c r="O271" t="str">
        <f>_xlfn.XLOOKUP(Sales_fact[[#This Row],[Customer_ID]],'Customer_Dim'!A:A,'Customer_Dim'!K:K,"Not Found")</f>
        <v>Gold</v>
      </c>
      <c r="P271">
        <f>_xlfn.XLOOKUP(Sales_fact[[#This Row],[Customer_ID]],'Customer_Dim'!A:A, 'Customer_Dim'!E:E, "Not Found")</f>
        <v>47</v>
      </c>
      <c r="Q271" t="str">
        <f>VLOOKUP(Sales_fact[[#This Row],[Customer_ID]], 'Customer_Dim'!A:F, 6, FALSE)</f>
        <v>Female</v>
      </c>
      <c r="R271" s="13" t="str">
        <f>_xlfn.XLOOKUP(Sales_fact[[#This Row],[Product_ID]],Product_Dim!A:A,Product_Dim!C:C,"OTHERS")</f>
        <v>Clothing</v>
      </c>
    </row>
    <row r="272" spans="1:18" x14ac:dyDescent="0.3">
      <c r="A272" t="s">
        <v>2096</v>
      </c>
      <c r="B272" s="2">
        <v>45735</v>
      </c>
      <c r="C272" t="s">
        <v>360</v>
      </c>
      <c r="D272" t="s">
        <v>1726</v>
      </c>
      <c r="E272" t="str">
        <f ca="1">TRIM(Sales_fact[[#This Row],[Store_ID]])</f>
        <v>STORE12</v>
      </c>
      <c r="F272">
        <v>4</v>
      </c>
      <c r="G272">
        <f>IF(ISBLANK(F272),MODE($F$2:$F$2001),F272)</f>
        <v>4</v>
      </c>
      <c r="H272">
        <v>461.83</v>
      </c>
      <c r="I272">
        <f>IF(ISBLANK(H272),AVERAGE($H$2:$H$2001),H272)</f>
        <v>461.83</v>
      </c>
      <c r="J272">
        <v>0.28000000000000003</v>
      </c>
      <c r="K272">
        <f>IF(ISBLANK(J272),MODE($J$2:$J$2001),J272)</f>
        <v>0.28000000000000003</v>
      </c>
      <c r="L272" t="s">
        <v>1826</v>
      </c>
      <c r="M272">
        <v>1330.0704000000001</v>
      </c>
      <c r="N272">
        <f t="shared" si="4"/>
        <v>1330.0703999999998</v>
      </c>
      <c r="O272" t="str">
        <f>_xlfn.XLOOKUP(Sales_fact[[#This Row],[Customer_ID]],'Customer_Dim'!A:A,'Customer_Dim'!K:K,"Not Found")</f>
        <v>Gold</v>
      </c>
      <c r="P272">
        <f>_xlfn.XLOOKUP(Sales_fact[[#This Row],[Customer_ID]],'Customer_Dim'!A:A, 'Customer_Dim'!E:E, "Not Found")</f>
        <v>29</v>
      </c>
      <c r="Q272" t="str">
        <f>VLOOKUP(Sales_fact[[#This Row],[Customer_ID]], 'Customer_Dim'!A:F, 6, FALSE)</f>
        <v>Male</v>
      </c>
      <c r="R272" s="13" t="str">
        <f>_xlfn.XLOOKUP(Sales_fact[[#This Row],[Product_ID]],Product_Dim!A:A,Product_Dim!C:C,"OTHERS")</f>
        <v>Beauty</v>
      </c>
    </row>
    <row r="273" spans="1:18" x14ac:dyDescent="0.3">
      <c r="A273" t="s">
        <v>2097</v>
      </c>
      <c r="B273" s="2">
        <v>45750</v>
      </c>
      <c r="C273" t="s">
        <v>458</v>
      </c>
      <c r="D273" t="s">
        <v>1688</v>
      </c>
      <c r="E273" t="str">
        <f ca="1">TRIM(Sales_fact[[#This Row],[Store_ID]])</f>
        <v>STORE8</v>
      </c>
      <c r="F273">
        <v>2</v>
      </c>
      <c r="G273">
        <f>IF(ISBLANK(F273),MODE($F$2:$F$2001),F273)</f>
        <v>2</v>
      </c>
      <c r="H273">
        <v>105.15</v>
      </c>
      <c r="I273">
        <f>IF(ISBLANK(H273),AVERAGE($H$2:$H$2001),H273)</f>
        <v>105.15</v>
      </c>
      <c r="J273">
        <v>0.06</v>
      </c>
      <c r="K273">
        <f>IF(ISBLANK(J273),MODE($J$2:$J$2001),J273)</f>
        <v>0.06</v>
      </c>
      <c r="L273" t="s">
        <v>1824</v>
      </c>
      <c r="M273">
        <v>197.68199999999999</v>
      </c>
      <c r="N273">
        <f t="shared" si="4"/>
        <v>197.68199999999999</v>
      </c>
      <c r="O273" t="str">
        <f>_xlfn.XLOOKUP(Sales_fact[[#This Row],[Customer_ID]],'Customer_Dim'!A:A,'Customer_Dim'!K:K,"Not Found")</f>
        <v>Gold</v>
      </c>
      <c r="P273">
        <f>_xlfn.XLOOKUP(Sales_fact[[#This Row],[Customer_ID]],'Customer_Dim'!A:A, 'Customer_Dim'!E:E, "Not Found")</f>
        <v>54</v>
      </c>
      <c r="Q273" t="str">
        <f>VLOOKUP(Sales_fact[[#This Row],[Customer_ID]], 'Customer_Dim'!A:F, 6, FALSE)</f>
        <v>Male</v>
      </c>
      <c r="R273" s="13" t="str">
        <f>_xlfn.XLOOKUP(Sales_fact[[#This Row],[Product_ID]],Product_Dim!A:A,Product_Dim!C:C,"OTHERS")</f>
        <v>Home</v>
      </c>
    </row>
    <row r="274" spans="1:18" x14ac:dyDescent="0.3">
      <c r="A274" t="s">
        <v>2098</v>
      </c>
      <c r="B274" s="2">
        <v>45693</v>
      </c>
      <c r="C274" t="s">
        <v>134</v>
      </c>
      <c r="D274" t="s">
        <v>1594</v>
      </c>
      <c r="E274" t="str">
        <f ca="1">TRIM(Sales_fact[[#This Row],[Store_ID]])</f>
        <v>STORE3</v>
      </c>
      <c r="F274">
        <v>3</v>
      </c>
      <c r="G274">
        <f>IF(ISBLANK(F274),MODE($F$2:$F$2001),F274)</f>
        <v>3</v>
      </c>
      <c r="H274">
        <v>610.24</v>
      </c>
      <c r="I274">
        <f>IF(ISBLANK(H274),AVERAGE($H$2:$H$2001),H274)</f>
        <v>610.24</v>
      </c>
      <c r="J274">
        <v>0.17</v>
      </c>
      <c r="K274">
        <f>IF(ISBLANK(J274),MODE($J$2:$J$2001),J274)</f>
        <v>0.17</v>
      </c>
      <c r="L274" t="s">
        <v>1829</v>
      </c>
      <c r="M274">
        <v>1519.4975999999999</v>
      </c>
      <c r="N274">
        <f t="shared" si="4"/>
        <v>1519.4975999999999</v>
      </c>
      <c r="O274" t="str">
        <f>_xlfn.XLOOKUP(Sales_fact[[#This Row],[Customer_ID]],'Customer_Dim'!A:A,'Customer_Dim'!K:K,"Not Found")</f>
        <v>Platinum</v>
      </c>
      <c r="P274">
        <f>_xlfn.XLOOKUP(Sales_fact[[#This Row],[Customer_ID]],'Customer_Dim'!A:A, 'Customer_Dim'!E:E, "Not Found")</f>
        <v>25</v>
      </c>
      <c r="Q274" t="str">
        <f>VLOOKUP(Sales_fact[[#This Row],[Customer_ID]], 'Customer_Dim'!A:F, 6, FALSE)</f>
        <v>Male</v>
      </c>
      <c r="R274" s="13" t="str">
        <f>_xlfn.XLOOKUP(Sales_fact[[#This Row],[Product_ID]],Product_Dim!A:A,Product_Dim!C:C,"OTHERS")</f>
        <v>Clothing</v>
      </c>
    </row>
    <row r="275" spans="1:18" x14ac:dyDescent="0.3">
      <c r="A275" t="s">
        <v>2099</v>
      </c>
      <c r="B275" s="2">
        <v>45667</v>
      </c>
      <c r="C275" t="s">
        <v>984</v>
      </c>
      <c r="D275" t="s">
        <v>1696</v>
      </c>
      <c r="E275" t="str">
        <f ca="1">TRIM(Sales_fact[[#This Row],[Store_ID]])</f>
        <v>STORE8</v>
      </c>
      <c r="F275">
        <v>1</v>
      </c>
      <c r="G275">
        <f>IF(ISBLANK(F275),MODE($F$2:$F$2001),F275)</f>
        <v>1</v>
      </c>
      <c r="H275">
        <v>872.12</v>
      </c>
      <c r="I275">
        <f>IF(ISBLANK(H275),AVERAGE($H$2:$H$2001),H275)</f>
        <v>872.12</v>
      </c>
      <c r="J275">
        <v>7.0000000000000007E-2</v>
      </c>
      <c r="K275">
        <f>IF(ISBLANK(J275),MODE($J$2:$J$2001),J275)</f>
        <v>7.0000000000000007E-2</v>
      </c>
      <c r="L275" t="s">
        <v>1826</v>
      </c>
      <c r="M275">
        <v>811.07159999999999</v>
      </c>
      <c r="N275">
        <f t="shared" si="4"/>
        <v>811.07159999999999</v>
      </c>
      <c r="O275" t="str">
        <f>_xlfn.XLOOKUP(Sales_fact[[#This Row],[Customer_ID]],'Customer_Dim'!A:A,'Customer_Dim'!K:K,"Not Found")</f>
        <v>Silver</v>
      </c>
      <c r="P275">
        <f>_xlfn.XLOOKUP(Sales_fact[[#This Row],[Customer_ID]],'Customer_Dim'!A:A, 'Customer_Dim'!E:E, "Not Found")</f>
        <v>47</v>
      </c>
      <c r="Q275" t="str">
        <f>VLOOKUP(Sales_fact[[#This Row],[Customer_ID]], 'Customer_Dim'!A:F, 6, FALSE)</f>
        <v>Female</v>
      </c>
      <c r="R275" s="13" t="str">
        <f>_xlfn.XLOOKUP(Sales_fact[[#This Row],[Product_ID]],Product_Dim!A:A,Product_Dim!C:C,"OTHERS")</f>
        <v>Electronics</v>
      </c>
    </row>
    <row r="276" spans="1:18" x14ac:dyDescent="0.3">
      <c r="A276" t="s">
        <v>2100</v>
      </c>
      <c r="B276" s="2">
        <v>45316</v>
      </c>
      <c r="C276" t="s">
        <v>1343</v>
      </c>
      <c r="D276" t="s">
        <v>1568</v>
      </c>
      <c r="E276" t="str">
        <f ca="1">TRIM(Sales_fact[[#This Row],[Store_ID]])</f>
        <v>STORE1</v>
      </c>
      <c r="F276">
        <v>1</v>
      </c>
      <c r="G276">
        <f>IF(ISBLANK(F276),MODE($F$2:$F$2001),F276)</f>
        <v>1</v>
      </c>
      <c r="H276">
        <v>406.79</v>
      </c>
      <c r="I276">
        <f>IF(ISBLANK(H276),AVERAGE($H$2:$H$2001),H276)</f>
        <v>406.79</v>
      </c>
      <c r="J276">
        <v>0.03</v>
      </c>
      <c r="K276">
        <f>IF(ISBLANK(J276),MODE($J$2:$J$2001),J276)</f>
        <v>0.03</v>
      </c>
      <c r="L276" t="s">
        <v>1829</v>
      </c>
      <c r="M276">
        <v>394.58629999999999</v>
      </c>
      <c r="N276">
        <f t="shared" si="4"/>
        <v>394.58629999999999</v>
      </c>
      <c r="O276" t="str">
        <f>_xlfn.XLOOKUP(Sales_fact[[#This Row],[Customer_ID]],'Customer_Dim'!A:A,'Customer_Dim'!K:K,"Not Found")</f>
        <v>Silver</v>
      </c>
      <c r="P276">
        <f>_xlfn.XLOOKUP(Sales_fact[[#This Row],[Customer_ID]],'Customer_Dim'!A:A, 'Customer_Dim'!E:E, "Not Found")</f>
        <v>51</v>
      </c>
      <c r="Q276" t="str">
        <f>VLOOKUP(Sales_fact[[#This Row],[Customer_ID]], 'Customer_Dim'!A:F, 6, FALSE)</f>
        <v>Female</v>
      </c>
      <c r="R276" s="13" t="str">
        <f>_xlfn.XLOOKUP(Sales_fact[[#This Row],[Product_ID]],Product_Dim!A:A,Product_Dim!C:C,"OTHERS")</f>
        <v>Home</v>
      </c>
    </row>
    <row r="277" spans="1:18" x14ac:dyDescent="0.3">
      <c r="A277" t="s">
        <v>2101</v>
      </c>
      <c r="B277" s="2">
        <v>45932</v>
      </c>
      <c r="C277" t="s">
        <v>1163</v>
      </c>
      <c r="D277" t="s">
        <v>1656</v>
      </c>
      <c r="E277" t="str">
        <f ca="1">TRIM(Sales_fact[[#This Row],[Store_ID]])</f>
        <v>STORE14</v>
      </c>
      <c r="F277">
        <v>1</v>
      </c>
      <c r="G277">
        <f>IF(ISBLANK(F277),MODE($F$2:$F$2001),F277)</f>
        <v>1</v>
      </c>
      <c r="H277">
        <v>606.01</v>
      </c>
      <c r="I277">
        <f>IF(ISBLANK(H277),AVERAGE($H$2:$H$2001),H277)</f>
        <v>606.01</v>
      </c>
      <c r="J277">
        <v>0.04</v>
      </c>
      <c r="K277">
        <f>IF(ISBLANK(J277),MODE($J$2:$J$2001),J277)</f>
        <v>0.04</v>
      </c>
      <c r="L277" t="s">
        <v>1826</v>
      </c>
      <c r="M277">
        <v>581.76959999999997</v>
      </c>
      <c r="N277">
        <f t="shared" si="4"/>
        <v>581.76959999999997</v>
      </c>
      <c r="O277" t="str">
        <f>_xlfn.XLOOKUP(Sales_fact[[#This Row],[Customer_ID]],'Customer_Dim'!A:A,'Customer_Dim'!K:K,"Not Found")</f>
        <v>Bronze</v>
      </c>
      <c r="P277">
        <f>_xlfn.XLOOKUP(Sales_fact[[#This Row],[Customer_ID]],'Customer_Dim'!A:A, 'Customer_Dim'!E:E, "Not Found")</f>
        <v>28</v>
      </c>
      <c r="Q277" t="str">
        <f>VLOOKUP(Sales_fact[[#This Row],[Customer_ID]], 'Customer_Dim'!A:F, 6, FALSE)</f>
        <v>Male</v>
      </c>
      <c r="R277" s="13" t="str">
        <f>_xlfn.XLOOKUP(Sales_fact[[#This Row],[Product_ID]],Product_Dim!A:A,Product_Dim!C:C,"OTHERS")</f>
        <v>Sports</v>
      </c>
    </row>
    <row r="278" spans="1:18" x14ac:dyDescent="0.3">
      <c r="A278" t="s">
        <v>2102</v>
      </c>
      <c r="B278" s="2">
        <v>45483</v>
      </c>
      <c r="C278" t="s">
        <v>1095</v>
      </c>
      <c r="D278" t="s">
        <v>1582</v>
      </c>
      <c r="E278" t="str">
        <f ca="1">TRIM(Sales_fact[[#This Row],[Store_ID]])</f>
        <v>STORE5</v>
      </c>
      <c r="F278">
        <v>4</v>
      </c>
      <c r="G278">
        <f>IF(ISBLANK(F278),MODE($F$2:$F$2001),F278)</f>
        <v>4</v>
      </c>
      <c r="H278">
        <v>322.58</v>
      </c>
      <c r="I278">
        <f>IF(ISBLANK(H278),AVERAGE($H$2:$H$2001),H278)</f>
        <v>322.58</v>
      </c>
      <c r="J278">
        <v>0.06</v>
      </c>
      <c r="K278">
        <f>IF(ISBLANK(J278),MODE($J$2:$J$2001),J278)</f>
        <v>0.06</v>
      </c>
      <c r="L278" t="s">
        <v>1824</v>
      </c>
      <c r="M278">
        <v>1212.9007999999999</v>
      </c>
      <c r="N278">
        <f t="shared" si="4"/>
        <v>1212.9007999999999</v>
      </c>
      <c r="O278" t="str">
        <f>_xlfn.XLOOKUP(Sales_fact[[#This Row],[Customer_ID]],'Customer_Dim'!A:A,'Customer_Dim'!K:K,"Not Found")</f>
        <v>Bronze</v>
      </c>
      <c r="P278">
        <f>_xlfn.XLOOKUP(Sales_fact[[#This Row],[Customer_ID]],'Customer_Dim'!A:A, 'Customer_Dim'!E:E, "Not Found")</f>
        <v>31</v>
      </c>
      <c r="Q278" t="str">
        <f>VLOOKUP(Sales_fact[[#This Row],[Customer_ID]], 'Customer_Dim'!A:F, 6, FALSE)</f>
        <v>Male</v>
      </c>
      <c r="R278" s="13" t="str">
        <f>_xlfn.XLOOKUP(Sales_fact[[#This Row],[Product_ID]],Product_Dim!A:A,Product_Dim!C:C,"OTHERS")</f>
        <v>Sports</v>
      </c>
    </row>
    <row r="279" spans="1:18" x14ac:dyDescent="0.3">
      <c r="A279" t="s">
        <v>2103</v>
      </c>
      <c r="B279" s="2">
        <v>45661</v>
      </c>
      <c r="C279" t="s">
        <v>1489</v>
      </c>
      <c r="D279" t="s">
        <v>1702</v>
      </c>
      <c r="E279" t="str">
        <f ca="1">TRIM(Sales_fact[[#This Row],[Store_ID]])</f>
        <v>STORE18</v>
      </c>
      <c r="F279">
        <v>4</v>
      </c>
      <c r="G279">
        <f>IF(ISBLANK(F279),MODE($F$2:$F$2001),F279)</f>
        <v>4</v>
      </c>
      <c r="H279">
        <v>463.17</v>
      </c>
      <c r="I279">
        <f>IF(ISBLANK(H279),AVERAGE($H$2:$H$2001),H279)</f>
        <v>463.17</v>
      </c>
      <c r="J279">
        <v>0.06</v>
      </c>
      <c r="K279">
        <f>IF(ISBLANK(J279),MODE($J$2:$J$2001),J279)</f>
        <v>0.06</v>
      </c>
      <c r="L279" t="s">
        <v>1826</v>
      </c>
      <c r="M279">
        <v>1741.5192</v>
      </c>
      <c r="N279">
        <f t="shared" si="4"/>
        <v>1741.5192</v>
      </c>
      <c r="O279" t="str">
        <f>_xlfn.XLOOKUP(Sales_fact[[#This Row],[Customer_ID]],'Customer_Dim'!A:A,'Customer_Dim'!K:K,"Not Found")</f>
        <v>Bronze</v>
      </c>
      <c r="P279">
        <f>_xlfn.XLOOKUP(Sales_fact[[#This Row],[Customer_ID]],'Customer_Dim'!A:A, 'Customer_Dim'!E:E, "Not Found")</f>
        <v>32</v>
      </c>
      <c r="Q279" t="str">
        <f>VLOOKUP(Sales_fact[[#This Row],[Customer_ID]], 'Customer_Dim'!A:F, 6, FALSE)</f>
        <v>Male</v>
      </c>
      <c r="R279" s="13" t="str">
        <f>_xlfn.XLOOKUP(Sales_fact[[#This Row],[Product_ID]],Product_Dim!A:A,Product_Dim!C:C,"OTHERS")</f>
        <v>Electronics</v>
      </c>
    </row>
    <row r="280" spans="1:18" x14ac:dyDescent="0.3">
      <c r="A280" t="s">
        <v>2104</v>
      </c>
      <c r="B280" s="2">
        <v>45798</v>
      </c>
      <c r="C280" t="s">
        <v>996</v>
      </c>
      <c r="D280" t="s">
        <v>1598</v>
      </c>
      <c r="E280" t="str">
        <f ca="1">TRIM(Sales_fact[[#This Row],[Store_ID]])</f>
        <v>STORE7</v>
      </c>
      <c r="F280">
        <v>4</v>
      </c>
      <c r="G280">
        <f>IF(ISBLANK(F280),MODE($F$2:$F$2001),F280)</f>
        <v>4</v>
      </c>
      <c r="H280">
        <v>285.82</v>
      </c>
      <c r="I280">
        <f>IF(ISBLANK(H280),AVERAGE($H$2:$H$2001),H280)</f>
        <v>285.82</v>
      </c>
      <c r="J280">
        <v>0.18</v>
      </c>
      <c r="K280">
        <f>IF(ISBLANK(J280),MODE($J$2:$J$2001),J280)</f>
        <v>0.18</v>
      </c>
      <c r="L280" t="s">
        <v>1826</v>
      </c>
      <c r="M280">
        <v>937.4896</v>
      </c>
      <c r="N280">
        <f t="shared" si="4"/>
        <v>937.4896</v>
      </c>
      <c r="O280" t="str">
        <f>_xlfn.XLOOKUP(Sales_fact[[#This Row],[Customer_ID]],'Customer_Dim'!A:A,'Customer_Dim'!K:K,"Not Found")</f>
        <v>Gold</v>
      </c>
      <c r="P280">
        <f>_xlfn.XLOOKUP(Sales_fact[[#This Row],[Customer_ID]],'Customer_Dim'!A:A, 'Customer_Dim'!E:E, "Not Found")</f>
        <v>34</v>
      </c>
      <c r="Q280" t="str">
        <f>VLOOKUP(Sales_fact[[#This Row],[Customer_ID]], 'Customer_Dim'!A:F, 6, FALSE)</f>
        <v>Male</v>
      </c>
      <c r="R280" s="13" t="str">
        <f>_xlfn.XLOOKUP(Sales_fact[[#This Row],[Product_ID]],Product_Dim!A:A,Product_Dim!C:C,"OTHERS")</f>
        <v>Clothing</v>
      </c>
    </row>
    <row r="281" spans="1:18" x14ac:dyDescent="0.3">
      <c r="A281" t="s">
        <v>2105</v>
      </c>
      <c r="B281" s="2">
        <v>45868</v>
      </c>
      <c r="C281" t="s">
        <v>1026</v>
      </c>
      <c r="D281" t="s">
        <v>1622</v>
      </c>
      <c r="E281" t="str">
        <f ca="1">TRIM(Sales_fact[[#This Row],[Store_ID]])</f>
        <v>STORE11</v>
      </c>
      <c r="F281">
        <v>3</v>
      </c>
      <c r="G281">
        <f>IF(ISBLANK(F281),MODE($F$2:$F$2001),F281)</f>
        <v>3</v>
      </c>
      <c r="H281">
        <v>995.38</v>
      </c>
      <c r="I281">
        <f>IF(ISBLANK(H281),AVERAGE($H$2:$H$2001),H281)</f>
        <v>995.38</v>
      </c>
      <c r="J281">
        <v>0.1</v>
      </c>
      <c r="K281">
        <f>IF(ISBLANK(J281),MODE($J$2:$J$2001),J281)</f>
        <v>0.1</v>
      </c>
      <c r="L281" t="s">
        <v>1826</v>
      </c>
      <c r="M281">
        <v>2687.5259999999998</v>
      </c>
      <c r="N281">
        <f t="shared" si="4"/>
        <v>2687.5259999999998</v>
      </c>
      <c r="O281" t="str">
        <f>_xlfn.XLOOKUP(Sales_fact[[#This Row],[Customer_ID]],'Customer_Dim'!A:A,'Customer_Dim'!K:K,"Not Found")</f>
        <v>Gold</v>
      </c>
      <c r="P281">
        <f>_xlfn.XLOOKUP(Sales_fact[[#This Row],[Customer_ID]],'Customer_Dim'!A:A, 'Customer_Dim'!E:E, "Not Found")</f>
        <v>58</v>
      </c>
      <c r="Q281" t="str">
        <f>VLOOKUP(Sales_fact[[#This Row],[Customer_ID]], 'Customer_Dim'!A:F, 6, FALSE)</f>
        <v>Female</v>
      </c>
      <c r="R281" s="13" t="str">
        <f>_xlfn.XLOOKUP(Sales_fact[[#This Row],[Product_ID]],Product_Dim!A:A,Product_Dim!C:C,"OTHERS")</f>
        <v>Clothing</v>
      </c>
    </row>
    <row r="282" spans="1:18" x14ac:dyDescent="0.3">
      <c r="A282" t="s">
        <v>2106</v>
      </c>
      <c r="B282" s="2">
        <v>45757</v>
      </c>
      <c r="C282" t="s">
        <v>414</v>
      </c>
      <c r="D282" t="s">
        <v>1672</v>
      </c>
      <c r="E282" t="str">
        <f ca="1">TRIM(Sales_fact[[#This Row],[Store_ID]])</f>
        <v>STORE8</v>
      </c>
      <c r="F282">
        <v>1</v>
      </c>
      <c r="G282">
        <f>IF(ISBLANK(F282),MODE($F$2:$F$2001),F282)</f>
        <v>1</v>
      </c>
      <c r="H282">
        <v>329.31</v>
      </c>
      <c r="I282">
        <f>IF(ISBLANK(H282),AVERAGE($H$2:$H$2001),H282)</f>
        <v>329.31</v>
      </c>
      <c r="J282">
        <v>0.09</v>
      </c>
      <c r="K282">
        <f>IF(ISBLANK(J282),MODE($J$2:$J$2001),J282)</f>
        <v>0.09</v>
      </c>
      <c r="L282" t="s">
        <v>1824</v>
      </c>
      <c r="M282">
        <v>299.6721</v>
      </c>
      <c r="N282">
        <f t="shared" si="4"/>
        <v>299.6721</v>
      </c>
      <c r="O282" t="str">
        <f>_xlfn.XLOOKUP(Sales_fact[[#This Row],[Customer_ID]],'Customer_Dim'!A:A,'Customer_Dim'!K:K,"Not Found")</f>
        <v>Bronze</v>
      </c>
      <c r="P282">
        <f>_xlfn.XLOOKUP(Sales_fact[[#This Row],[Customer_ID]],'Customer_Dim'!A:A, 'Customer_Dim'!E:E, "Not Found")</f>
        <v>40</v>
      </c>
      <c r="Q282" t="str">
        <f>VLOOKUP(Sales_fact[[#This Row],[Customer_ID]], 'Customer_Dim'!A:F, 6, FALSE)</f>
        <v>Male</v>
      </c>
      <c r="R282" s="13" t="str">
        <f>_xlfn.XLOOKUP(Sales_fact[[#This Row],[Product_ID]],Product_Dim!A:A,Product_Dim!C:C,"OTHERS")</f>
        <v>Electronics</v>
      </c>
    </row>
    <row r="283" spans="1:18" x14ac:dyDescent="0.3">
      <c r="A283" t="s">
        <v>2107</v>
      </c>
      <c r="B283" s="2">
        <v>45475</v>
      </c>
      <c r="C283" t="s">
        <v>1507</v>
      </c>
      <c r="D283" t="s">
        <v>1642</v>
      </c>
      <c r="E283" t="str">
        <f ca="1">TRIM(Sales_fact[[#This Row],[Store_ID]])</f>
        <v>STORE16</v>
      </c>
      <c r="F283">
        <v>3</v>
      </c>
      <c r="G283">
        <f>IF(ISBLANK(F283),MODE($F$2:$F$2001),F283)</f>
        <v>3</v>
      </c>
      <c r="H283">
        <v>64.2</v>
      </c>
      <c r="I283">
        <f>IF(ISBLANK(H283),AVERAGE($H$2:$H$2001),H283)</f>
        <v>64.2</v>
      </c>
      <c r="J283">
        <v>0.08</v>
      </c>
      <c r="K283">
        <f>IF(ISBLANK(J283),MODE($J$2:$J$2001),J283)</f>
        <v>0.08</v>
      </c>
      <c r="L283" t="s">
        <v>1829</v>
      </c>
      <c r="M283">
        <v>177.19200000000001</v>
      </c>
      <c r="N283">
        <f t="shared" si="4"/>
        <v>177.19200000000004</v>
      </c>
      <c r="O283" t="str">
        <f>_xlfn.XLOOKUP(Sales_fact[[#This Row],[Customer_ID]],'Customer_Dim'!A:A,'Customer_Dim'!K:K,"Not Found")</f>
        <v>Platinum</v>
      </c>
      <c r="P283">
        <f>_xlfn.XLOOKUP(Sales_fact[[#This Row],[Customer_ID]],'Customer_Dim'!A:A, 'Customer_Dim'!E:E, "Not Found")</f>
        <v>23</v>
      </c>
      <c r="Q283" t="str">
        <f>VLOOKUP(Sales_fact[[#This Row],[Customer_ID]], 'Customer_Dim'!A:F, 6, FALSE)</f>
        <v>Male</v>
      </c>
      <c r="R283" s="13" t="str">
        <f>_xlfn.XLOOKUP(Sales_fact[[#This Row],[Product_ID]],Product_Dim!A:A,Product_Dim!C:C,"OTHERS")</f>
        <v>Beauty</v>
      </c>
    </row>
    <row r="284" spans="1:18" x14ac:dyDescent="0.3">
      <c r="A284" t="s">
        <v>2108</v>
      </c>
      <c r="B284" s="2">
        <v>45829</v>
      </c>
      <c r="C284" t="s">
        <v>836</v>
      </c>
      <c r="D284" t="s">
        <v>1570</v>
      </c>
      <c r="E284" t="str">
        <f ca="1">TRIM(Sales_fact[[#This Row],[Store_ID]])</f>
        <v>STORE13</v>
      </c>
      <c r="F284">
        <v>3</v>
      </c>
      <c r="G284">
        <f>IF(ISBLANK(F284),MODE($F$2:$F$2001),F284)</f>
        <v>3</v>
      </c>
      <c r="H284">
        <v>697.13</v>
      </c>
      <c r="I284">
        <f>IF(ISBLANK(H284),AVERAGE($H$2:$H$2001),H284)</f>
        <v>697.13</v>
      </c>
      <c r="J284">
        <v>0.25</v>
      </c>
      <c r="K284">
        <f>IF(ISBLANK(J284),MODE($J$2:$J$2001),J284)</f>
        <v>0.25</v>
      </c>
      <c r="L284" t="s">
        <v>1829</v>
      </c>
      <c r="M284">
        <v>1568.5425</v>
      </c>
      <c r="N284">
        <f t="shared" si="4"/>
        <v>1568.5425</v>
      </c>
      <c r="O284" t="str">
        <f>_xlfn.XLOOKUP(Sales_fact[[#This Row],[Customer_ID]],'Customer_Dim'!A:A,'Customer_Dim'!K:K,"Not Found")</f>
        <v>Silver</v>
      </c>
      <c r="P284">
        <f>_xlfn.XLOOKUP(Sales_fact[[#This Row],[Customer_ID]],'Customer_Dim'!A:A, 'Customer_Dim'!E:E, "Not Found")</f>
        <v>60</v>
      </c>
      <c r="Q284" t="str">
        <f>VLOOKUP(Sales_fact[[#This Row],[Customer_ID]], 'Customer_Dim'!A:F, 6, FALSE)</f>
        <v>Female</v>
      </c>
      <c r="R284" s="13" t="str">
        <f>_xlfn.XLOOKUP(Sales_fact[[#This Row],[Product_ID]],Product_Dim!A:A,Product_Dim!C:C,"OTHERS")</f>
        <v>Electronics</v>
      </c>
    </row>
    <row r="285" spans="1:18" x14ac:dyDescent="0.3">
      <c r="A285" t="s">
        <v>2109</v>
      </c>
      <c r="B285" s="2">
        <v>45639</v>
      </c>
      <c r="C285" t="s">
        <v>97</v>
      </c>
      <c r="D285" t="s">
        <v>1565</v>
      </c>
      <c r="E285" t="str">
        <f ca="1">TRIM(Sales_fact[[#This Row],[Store_ID]])</f>
        <v>STORE5</v>
      </c>
      <c r="F285">
        <v>3</v>
      </c>
      <c r="G285">
        <f>IF(ISBLANK(F285),MODE($F$2:$F$2001),F285)</f>
        <v>3</v>
      </c>
      <c r="H285">
        <v>134.30000000000001</v>
      </c>
      <c r="I285">
        <f>IF(ISBLANK(H285),AVERAGE($H$2:$H$2001),H285)</f>
        <v>134.30000000000001</v>
      </c>
      <c r="J285">
        <v>0.14000000000000001</v>
      </c>
      <c r="K285">
        <f>IF(ISBLANK(J285),MODE($J$2:$J$2001),J285)</f>
        <v>0.14000000000000001</v>
      </c>
      <c r="L285" t="s">
        <v>1824</v>
      </c>
      <c r="M285">
        <v>346.49400000000003</v>
      </c>
      <c r="N285">
        <f t="shared" si="4"/>
        <v>346.49400000000003</v>
      </c>
      <c r="O285" t="str">
        <f>_xlfn.XLOOKUP(Sales_fact[[#This Row],[Customer_ID]],'Customer_Dim'!A:A,'Customer_Dim'!K:K,"Not Found")</f>
        <v>Silver</v>
      </c>
      <c r="P285">
        <f>_xlfn.XLOOKUP(Sales_fact[[#This Row],[Customer_ID]],'Customer_Dim'!A:A, 'Customer_Dim'!E:E, "Not Found")</f>
        <v>33</v>
      </c>
      <c r="Q285" t="str">
        <f>VLOOKUP(Sales_fact[[#This Row],[Customer_ID]], 'Customer_Dim'!A:F, 6, FALSE)</f>
        <v>Female</v>
      </c>
      <c r="R285" s="13" t="str">
        <f>_xlfn.XLOOKUP(Sales_fact[[#This Row],[Product_ID]],Product_Dim!A:A,Product_Dim!C:C,"OTHERS")</f>
        <v>Sports</v>
      </c>
    </row>
    <row r="286" spans="1:18" x14ac:dyDescent="0.3">
      <c r="A286" t="s">
        <v>2110</v>
      </c>
      <c r="B286" s="2">
        <v>45518</v>
      </c>
      <c r="C286" t="s">
        <v>830</v>
      </c>
      <c r="D286" t="s">
        <v>1716</v>
      </c>
      <c r="E286" t="str">
        <f ca="1">TRIM(Sales_fact[[#This Row],[Store_ID]])</f>
        <v>STORE13</v>
      </c>
      <c r="F286">
        <v>1</v>
      </c>
      <c r="G286">
        <f>IF(ISBLANK(F286),MODE($F$2:$F$2001),F286)</f>
        <v>1</v>
      </c>
      <c r="H286">
        <v>520.92999999999995</v>
      </c>
      <c r="I286">
        <f>IF(ISBLANK(H286),AVERAGE($H$2:$H$2001),H286)</f>
        <v>520.92999999999995</v>
      </c>
      <c r="J286">
        <v>0.15</v>
      </c>
      <c r="K286">
        <f>IF(ISBLANK(J286),MODE($J$2:$J$2001),J286)</f>
        <v>0.15</v>
      </c>
      <c r="L286" t="s">
        <v>1824</v>
      </c>
      <c r="M286">
        <v>442.79050000000001</v>
      </c>
      <c r="N286">
        <f t="shared" si="4"/>
        <v>442.79049999999995</v>
      </c>
      <c r="O286" t="str">
        <f>_xlfn.XLOOKUP(Sales_fact[[#This Row],[Customer_ID]],'Customer_Dim'!A:A,'Customer_Dim'!K:K,"Not Found")</f>
        <v>Platinum</v>
      </c>
      <c r="P286">
        <f>_xlfn.XLOOKUP(Sales_fact[[#This Row],[Customer_ID]],'Customer_Dim'!A:A, 'Customer_Dim'!E:E, "Not Found")</f>
        <v>63</v>
      </c>
      <c r="Q286" t="str">
        <f>VLOOKUP(Sales_fact[[#This Row],[Customer_ID]], 'Customer_Dim'!A:F, 6, FALSE)</f>
        <v>Female</v>
      </c>
      <c r="R286" s="13" t="str">
        <f>_xlfn.XLOOKUP(Sales_fact[[#This Row],[Product_ID]],Product_Dim!A:A,Product_Dim!C:C,"OTHERS")</f>
        <v>Home</v>
      </c>
    </row>
    <row r="287" spans="1:18" x14ac:dyDescent="0.3">
      <c r="A287" t="s">
        <v>2111</v>
      </c>
      <c r="B287" s="2">
        <v>45721</v>
      </c>
      <c r="C287" t="s">
        <v>727</v>
      </c>
      <c r="D287" t="s">
        <v>1586</v>
      </c>
      <c r="E287" t="str">
        <f ca="1">TRIM(Sales_fact[[#This Row],[Store_ID]])</f>
        <v>STORE7</v>
      </c>
      <c r="F287">
        <v>2</v>
      </c>
      <c r="G287">
        <f>IF(ISBLANK(F287),MODE($F$2:$F$2001),F287)</f>
        <v>2</v>
      </c>
      <c r="H287">
        <v>350.12</v>
      </c>
      <c r="I287">
        <f>IF(ISBLANK(H287),AVERAGE($H$2:$H$2001),H287)</f>
        <v>350.12</v>
      </c>
      <c r="J287">
        <v>0.21</v>
      </c>
      <c r="K287">
        <f>IF(ISBLANK(J287),MODE($J$2:$J$2001),J287)</f>
        <v>0.21</v>
      </c>
      <c r="L287" t="s">
        <v>1829</v>
      </c>
      <c r="M287">
        <v>553.18960000000004</v>
      </c>
      <c r="N287">
        <f t="shared" si="4"/>
        <v>553.18960000000004</v>
      </c>
      <c r="O287" t="str">
        <f>_xlfn.XLOOKUP(Sales_fact[[#This Row],[Customer_ID]],'Customer_Dim'!A:A,'Customer_Dim'!K:K,"Not Found")</f>
        <v>Platinum</v>
      </c>
      <c r="P287">
        <f>_xlfn.XLOOKUP(Sales_fact[[#This Row],[Customer_ID]],'Customer_Dim'!A:A, 'Customer_Dim'!E:E, "Not Found")</f>
        <v>46</v>
      </c>
      <c r="Q287" t="str">
        <f>VLOOKUP(Sales_fact[[#This Row],[Customer_ID]], 'Customer_Dim'!A:F, 6, FALSE)</f>
        <v>Female</v>
      </c>
      <c r="R287" s="13" t="str">
        <f>_xlfn.XLOOKUP(Sales_fact[[#This Row],[Product_ID]],Product_Dim!A:A,Product_Dim!C:C,"OTHERS")</f>
        <v>Sports</v>
      </c>
    </row>
    <row r="288" spans="1:18" x14ac:dyDescent="0.3">
      <c r="A288" t="s">
        <v>2112</v>
      </c>
      <c r="B288" s="2">
        <v>45308</v>
      </c>
      <c r="C288" t="s">
        <v>1437</v>
      </c>
      <c r="D288" t="s">
        <v>1644</v>
      </c>
      <c r="E288" t="str">
        <f ca="1">TRIM(Sales_fact[[#This Row],[Store_ID]])</f>
        <v>STORE19</v>
      </c>
      <c r="F288">
        <v>3</v>
      </c>
      <c r="G288">
        <f>IF(ISBLANK(F288),MODE($F$2:$F$2001),F288)</f>
        <v>3</v>
      </c>
      <c r="H288">
        <v>807.95</v>
      </c>
      <c r="I288">
        <f>IF(ISBLANK(H288),AVERAGE($H$2:$H$2001),H288)</f>
        <v>807.95</v>
      </c>
      <c r="J288">
        <v>0.1</v>
      </c>
      <c r="K288">
        <f>IF(ISBLANK(J288),MODE($J$2:$J$2001),J288)</f>
        <v>0.1</v>
      </c>
      <c r="L288" t="s">
        <v>1826</v>
      </c>
      <c r="M288">
        <v>2181.4650000000011</v>
      </c>
      <c r="N288">
        <f t="shared" si="4"/>
        <v>2181.4650000000006</v>
      </c>
      <c r="O288" t="str">
        <f>_xlfn.XLOOKUP(Sales_fact[[#This Row],[Customer_ID]],'Customer_Dim'!A:A,'Customer_Dim'!K:K,"Not Found")</f>
        <v>Silver</v>
      </c>
      <c r="P288">
        <f>_xlfn.XLOOKUP(Sales_fact[[#This Row],[Customer_ID]],'Customer_Dim'!A:A, 'Customer_Dim'!E:E, "Not Found")</f>
        <v>18</v>
      </c>
      <c r="Q288" t="str">
        <f>VLOOKUP(Sales_fact[[#This Row],[Customer_ID]], 'Customer_Dim'!A:F, 6, FALSE)</f>
        <v>Male</v>
      </c>
      <c r="R288" s="13" t="str">
        <f>_xlfn.XLOOKUP(Sales_fact[[#This Row],[Product_ID]],Product_Dim!A:A,Product_Dim!C:C,"OTHERS")</f>
        <v>Electronics</v>
      </c>
    </row>
    <row r="289" spans="1:18" x14ac:dyDescent="0.3">
      <c r="A289" t="s">
        <v>2113</v>
      </c>
      <c r="B289" s="2">
        <v>45889</v>
      </c>
      <c r="C289" t="s">
        <v>1053</v>
      </c>
      <c r="D289" t="s">
        <v>1624</v>
      </c>
      <c r="E289" t="str">
        <f ca="1">TRIM(Sales_fact[[#This Row],[Store_ID]])</f>
        <v>STORE6</v>
      </c>
      <c r="F289">
        <v>4</v>
      </c>
      <c r="G289">
        <f>IF(ISBLANK(F289),MODE($F$2:$F$2001),F289)</f>
        <v>4</v>
      </c>
      <c r="H289">
        <v>766.03</v>
      </c>
      <c r="I289">
        <f>IF(ISBLANK(H289),AVERAGE($H$2:$H$2001),H289)</f>
        <v>766.03</v>
      </c>
      <c r="J289">
        <v>0.28999999999999998</v>
      </c>
      <c r="K289">
        <f>IF(ISBLANK(J289),MODE($J$2:$J$2001),J289)</f>
        <v>0.28999999999999998</v>
      </c>
      <c r="L289" t="s">
        <v>1826</v>
      </c>
      <c r="M289">
        <v>2175.5252</v>
      </c>
      <c r="N289">
        <f t="shared" si="4"/>
        <v>2175.5252</v>
      </c>
      <c r="O289" t="str">
        <f>_xlfn.XLOOKUP(Sales_fact[[#This Row],[Customer_ID]],'Customer_Dim'!A:A,'Customer_Dim'!K:K,"Not Found")</f>
        <v>Platinum</v>
      </c>
      <c r="P289">
        <f>_xlfn.XLOOKUP(Sales_fact[[#This Row],[Customer_ID]],'Customer_Dim'!A:A, 'Customer_Dim'!E:E, "Not Found")</f>
        <v>37</v>
      </c>
      <c r="Q289" t="str">
        <f>VLOOKUP(Sales_fact[[#This Row],[Customer_ID]], 'Customer_Dim'!A:F, 6, FALSE)</f>
        <v>Male</v>
      </c>
      <c r="R289" s="13" t="str">
        <f>_xlfn.XLOOKUP(Sales_fact[[#This Row],[Product_ID]],Product_Dim!A:A,Product_Dim!C:C,"OTHERS")</f>
        <v>Sports</v>
      </c>
    </row>
    <row r="290" spans="1:18" x14ac:dyDescent="0.3">
      <c r="A290" t="s">
        <v>2114</v>
      </c>
      <c r="B290" s="2">
        <v>45386</v>
      </c>
      <c r="C290" t="s">
        <v>601</v>
      </c>
      <c r="D290" t="s">
        <v>1662</v>
      </c>
      <c r="E290" t="str">
        <f ca="1">TRIM(Sales_fact[[#This Row],[Store_ID]])</f>
        <v>STORE8</v>
      </c>
      <c r="F290">
        <v>3</v>
      </c>
      <c r="G290">
        <f>IF(ISBLANK(F290),MODE($F$2:$F$2001),F290)</f>
        <v>3</v>
      </c>
      <c r="H290">
        <v>545.1</v>
      </c>
      <c r="I290">
        <f>IF(ISBLANK(H290),AVERAGE($H$2:$H$2001),H290)</f>
        <v>545.1</v>
      </c>
      <c r="J290">
        <v>0.08</v>
      </c>
      <c r="K290">
        <f>IF(ISBLANK(J290),MODE($J$2:$J$2001),J290)</f>
        <v>0.08</v>
      </c>
      <c r="L290" t="s">
        <v>1829</v>
      </c>
      <c r="M290">
        <v>1504.4760000000001</v>
      </c>
      <c r="N290">
        <f t="shared" si="4"/>
        <v>1504.4760000000003</v>
      </c>
      <c r="O290" t="str">
        <f>_xlfn.XLOOKUP(Sales_fact[[#This Row],[Customer_ID]],'Customer_Dim'!A:A,'Customer_Dim'!K:K,"Not Found")</f>
        <v>Silver</v>
      </c>
      <c r="P290">
        <f>_xlfn.XLOOKUP(Sales_fact[[#This Row],[Customer_ID]],'Customer_Dim'!A:A, 'Customer_Dim'!E:E, "Not Found")</f>
        <v>23</v>
      </c>
      <c r="Q290" t="str">
        <f>VLOOKUP(Sales_fact[[#This Row],[Customer_ID]], 'Customer_Dim'!A:F, 6, FALSE)</f>
        <v>Female</v>
      </c>
      <c r="R290" s="13" t="str">
        <f>_xlfn.XLOOKUP(Sales_fact[[#This Row],[Product_ID]],Product_Dim!A:A,Product_Dim!C:C,"OTHERS")</f>
        <v>Sports</v>
      </c>
    </row>
    <row r="291" spans="1:18" x14ac:dyDescent="0.3">
      <c r="A291" t="s">
        <v>2115</v>
      </c>
      <c r="B291" s="2">
        <v>45438</v>
      </c>
      <c r="C291" t="s">
        <v>839</v>
      </c>
      <c r="D291" t="s">
        <v>1678</v>
      </c>
      <c r="E291" t="str">
        <f ca="1">TRIM(Sales_fact[[#This Row],[Store_ID]])</f>
        <v>STORE7</v>
      </c>
      <c r="F291">
        <v>1</v>
      </c>
      <c r="G291">
        <f>IF(ISBLANK(F291),MODE($F$2:$F$2001),F291)</f>
        <v>1</v>
      </c>
      <c r="H291">
        <v>203.61</v>
      </c>
      <c r="I291">
        <f>IF(ISBLANK(H291),AVERAGE($H$2:$H$2001),H291)</f>
        <v>203.61</v>
      </c>
      <c r="J291">
        <v>0.24</v>
      </c>
      <c r="K291">
        <f>IF(ISBLANK(J291),MODE($J$2:$J$2001),J291)</f>
        <v>0.24</v>
      </c>
      <c r="L291" t="s">
        <v>1829</v>
      </c>
      <c r="M291">
        <v>154.74359999999999</v>
      </c>
      <c r="N291">
        <f t="shared" si="4"/>
        <v>154.74360000000001</v>
      </c>
      <c r="O291" t="str">
        <f>_xlfn.XLOOKUP(Sales_fact[[#This Row],[Customer_ID]],'Customer_Dim'!A:A,'Customer_Dim'!K:K,"Not Found")</f>
        <v>Bronze</v>
      </c>
      <c r="P291">
        <f>_xlfn.XLOOKUP(Sales_fact[[#This Row],[Customer_ID]],'Customer_Dim'!A:A, 'Customer_Dim'!E:E, "Not Found")</f>
        <v>50</v>
      </c>
      <c r="Q291" t="str">
        <f>VLOOKUP(Sales_fact[[#This Row],[Customer_ID]], 'Customer_Dim'!A:F, 6, FALSE)</f>
        <v>Male</v>
      </c>
      <c r="R291" s="13" t="str">
        <f>_xlfn.XLOOKUP(Sales_fact[[#This Row],[Product_ID]],Product_Dim!A:A,Product_Dim!C:C,"OTHERS")</f>
        <v>Sports</v>
      </c>
    </row>
    <row r="292" spans="1:18" x14ac:dyDescent="0.3">
      <c r="A292" t="s">
        <v>2116</v>
      </c>
      <c r="B292" s="2">
        <v>45856</v>
      </c>
      <c r="C292" t="s">
        <v>1295</v>
      </c>
      <c r="D292" t="s">
        <v>1742</v>
      </c>
      <c r="E292" t="str">
        <f ca="1">TRIM(Sales_fact[[#This Row],[Store_ID]])</f>
        <v>STORE15</v>
      </c>
      <c r="F292">
        <v>4</v>
      </c>
      <c r="G292">
        <f>IF(ISBLANK(F292),MODE($F$2:$F$2001),F292)</f>
        <v>4</v>
      </c>
      <c r="H292">
        <v>493.8</v>
      </c>
      <c r="I292">
        <f>IF(ISBLANK(H292),AVERAGE($H$2:$H$2001),H292)</f>
        <v>493.8</v>
      </c>
      <c r="J292">
        <v>0.24</v>
      </c>
      <c r="K292">
        <f>IF(ISBLANK(J292),MODE($J$2:$J$2001),J292)</f>
        <v>0.24</v>
      </c>
      <c r="L292" t="s">
        <v>1829</v>
      </c>
      <c r="M292">
        <v>1501.152</v>
      </c>
      <c r="N292">
        <f t="shared" si="4"/>
        <v>1501.152</v>
      </c>
      <c r="O292" t="str">
        <f>_xlfn.XLOOKUP(Sales_fact[[#This Row],[Customer_ID]],'Customer_Dim'!A:A,'Customer_Dim'!K:K,"Not Found")</f>
        <v>Bronze</v>
      </c>
      <c r="P292">
        <f>_xlfn.XLOOKUP(Sales_fact[[#This Row],[Customer_ID]],'Customer_Dim'!A:A, 'Customer_Dim'!E:E, "Not Found")</f>
        <v>64</v>
      </c>
      <c r="Q292" t="str">
        <f>VLOOKUP(Sales_fact[[#This Row],[Customer_ID]], 'Customer_Dim'!A:F, 6, FALSE)</f>
        <v>Female</v>
      </c>
      <c r="R292" s="13" t="str">
        <f>_xlfn.XLOOKUP(Sales_fact[[#This Row],[Product_ID]],Product_Dim!A:A,Product_Dim!C:C,"OTHERS")</f>
        <v>Sports</v>
      </c>
    </row>
    <row r="293" spans="1:18" x14ac:dyDescent="0.3">
      <c r="A293" t="s">
        <v>2117</v>
      </c>
      <c r="B293" s="2">
        <v>45485</v>
      </c>
      <c r="C293" t="s">
        <v>78</v>
      </c>
      <c r="D293" t="s">
        <v>1630</v>
      </c>
      <c r="E293" t="str">
        <f ca="1">TRIM(Sales_fact[[#This Row],[Store_ID]])</f>
        <v>STORE17</v>
      </c>
      <c r="F293">
        <v>1</v>
      </c>
      <c r="G293">
        <f>IF(ISBLANK(F293),MODE($F$2:$F$2001),F293)</f>
        <v>1</v>
      </c>
      <c r="H293">
        <v>640.54999999999995</v>
      </c>
      <c r="I293">
        <f>IF(ISBLANK(H293),AVERAGE($H$2:$H$2001),H293)</f>
        <v>640.54999999999995</v>
      </c>
      <c r="J293">
        <v>0.25</v>
      </c>
      <c r="K293">
        <f>IF(ISBLANK(J293),MODE($J$2:$J$2001),J293)</f>
        <v>0.25</v>
      </c>
      <c r="L293" t="s">
        <v>1824</v>
      </c>
      <c r="M293">
        <v>480.41250000000002</v>
      </c>
      <c r="N293">
        <f t="shared" si="4"/>
        <v>480.41249999999997</v>
      </c>
      <c r="O293" t="str">
        <f>_xlfn.XLOOKUP(Sales_fact[[#This Row],[Customer_ID]],'Customer_Dim'!A:A,'Customer_Dim'!K:K,"Not Found")</f>
        <v>Platinum</v>
      </c>
      <c r="P293">
        <f>_xlfn.XLOOKUP(Sales_fact[[#This Row],[Customer_ID]],'Customer_Dim'!A:A, 'Customer_Dim'!E:E, "Not Found")</f>
        <v>60</v>
      </c>
      <c r="Q293" t="str">
        <f>VLOOKUP(Sales_fact[[#This Row],[Customer_ID]], 'Customer_Dim'!A:F, 6, FALSE)</f>
        <v>Female</v>
      </c>
      <c r="R293" s="13" t="str">
        <f>_xlfn.XLOOKUP(Sales_fact[[#This Row],[Product_ID]],Product_Dim!A:A,Product_Dim!C:C,"OTHERS")</f>
        <v>Sports</v>
      </c>
    </row>
    <row r="294" spans="1:18" x14ac:dyDescent="0.3">
      <c r="A294" t="s">
        <v>2118</v>
      </c>
      <c r="B294" s="2">
        <v>45545</v>
      </c>
      <c r="C294" t="s">
        <v>414</v>
      </c>
      <c r="D294" t="s">
        <v>1696</v>
      </c>
      <c r="E294" t="str">
        <f ca="1">TRIM(Sales_fact[[#This Row],[Store_ID]])</f>
        <v>STORE4</v>
      </c>
      <c r="F294">
        <v>1</v>
      </c>
      <c r="G294">
        <f>IF(ISBLANK(F294),MODE($F$2:$F$2001),F294)</f>
        <v>1</v>
      </c>
      <c r="H294">
        <v>702.53</v>
      </c>
      <c r="I294">
        <f>IF(ISBLANK(H294),AVERAGE($H$2:$H$2001),H294)</f>
        <v>702.53</v>
      </c>
      <c r="J294">
        <v>0.3</v>
      </c>
      <c r="K294">
        <f>IF(ISBLANK(J294),MODE($J$2:$J$2001),J294)</f>
        <v>0.3</v>
      </c>
      <c r="L294" t="s">
        <v>1824</v>
      </c>
      <c r="M294">
        <v>491.77100000000002</v>
      </c>
      <c r="N294">
        <f t="shared" si="4"/>
        <v>491.77099999999996</v>
      </c>
      <c r="O294" t="str">
        <f>_xlfn.XLOOKUP(Sales_fact[[#This Row],[Customer_ID]],'Customer_Dim'!A:A,'Customer_Dim'!K:K,"Not Found")</f>
        <v>Bronze</v>
      </c>
      <c r="P294">
        <f>_xlfn.XLOOKUP(Sales_fact[[#This Row],[Customer_ID]],'Customer_Dim'!A:A, 'Customer_Dim'!E:E, "Not Found")</f>
        <v>40</v>
      </c>
      <c r="Q294" t="str">
        <f>VLOOKUP(Sales_fact[[#This Row],[Customer_ID]], 'Customer_Dim'!A:F, 6, FALSE)</f>
        <v>Male</v>
      </c>
      <c r="R294" s="13" t="str">
        <f>_xlfn.XLOOKUP(Sales_fact[[#This Row],[Product_ID]],Product_Dim!A:A,Product_Dim!C:C,"OTHERS")</f>
        <v>Electronics</v>
      </c>
    </row>
    <row r="295" spans="1:18" x14ac:dyDescent="0.3">
      <c r="A295" t="s">
        <v>2119</v>
      </c>
      <c r="B295" s="2">
        <v>45826</v>
      </c>
      <c r="C295" t="s">
        <v>724</v>
      </c>
      <c r="D295" t="s">
        <v>1626</v>
      </c>
      <c r="E295" t="str">
        <f ca="1">TRIM(Sales_fact[[#This Row],[Store_ID]])</f>
        <v>STORE8</v>
      </c>
      <c r="F295">
        <v>4</v>
      </c>
      <c r="G295">
        <f>IF(ISBLANK(F295),MODE($F$2:$F$2001),F295)</f>
        <v>4</v>
      </c>
      <c r="H295">
        <v>139.94</v>
      </c>
      <c r="I295">
        <f>IF(ISBLANK(H295),AVERAGE($H$2:$H$2001),H295)</f>
        <v>139.94</v>
      </c>
      <c r="J295">
        <v>0.24</v>
      </c>
      <c r="K295">
        <f>IF(ISBLANK(J295),MODE($J$2:$J$2001),J295)</f>
        <v>0.24</v>
      </c>
      <c r="L295" t="s">
        <v>1824</v>
      </c>
      <c r="M295">
        <v>425.41759999999999</v>
      </c>
      <c r="N295">
        <f t="shared" si="4"/>
        <v>425.41759999999999</v>
      </c>
      <c r="O295" t="str">
        <f>_xlfn.XLOOKUP(Sales_fact[[#This Row],[Customer_ID]],'Customer_Dim'!A:A,'Customer_Dim'!K:K,"Not Found")</f>
        <v>Silver</v>
      </c>
      <c r="P295">
        <f>_xlfn.XLOOKUP(Sales_fact[[#This Row],[Customer_ID]],'Customer_Dim'!A:A, 'Customer_Dim'!E:E, "Not Found")</f>
        <v>29</v>
      </c>
      <c r="Q295" t="str">
        <f>VLOOKUP(Sales_fact[[#This Row],[Customer_ID]], 'Customer_Dim'!A:F, 6, FALSE)</f>
        <v>Male</v>
      </c>
      <c r="R295" s="13" t="str">
        <f>_xlfn.XLOOKUP(Sales_fact[[#This Row],[Product_ID]],Product_Dim!A:A,Product_Dim!C:C,"OTHERS")</f>
        <v>Electronics</v>
      </c>
    </row>
    <row r="296" spans="1:18" x14ac:dyDescent="0.3">
      <c r="A296" t="s">
        <v>2120</v>
      </c>
      <c r="B296" s="2">
        <v>45654</v>
      </c>
      <c r="C296" t="s">
        <v>881</v>
      </c>
      <c r="D296" t="s">
        <v>1586</v>
      </c>
      <c r="E296" t="str">
        <f ca="1">TRIM(Sales_fact[[#This Row],[Store_ID]])</f>
        <v>STORE8</v>
      </c>
      <c r="F296">
        <v>2</v>
      </c>
      <c r="G296">
        <f>IF(ISBLANK(F296),MODE($F$2:$F$2001),F296)</f>
        <v>2</v>
      </c>
      <c r="H296">
        <v>230.85</v>
      </c>
      <c r="I296">
        <f>IF(ISBLANK(H296),AVERAGE($H$2:$H$2001),H296)</f>
        <v>230.85</v>
      </c>
      <c r="J296">
        <v>0.18</v>
      </c>
      <c r="K296">
        <f>IF(ISBLANK(J296),MODE($J$2:$J$2001),J296)</f>
        <v>0.18</v>
      </c>
      <c r="L296" t="s">
        <v>1824</v>
      </c>
      <c r="M296">
        <v>378.59399999999999</v>
      </c>
      <c r="N296">
        <f t="shared" si="4"/>
        <v>378.59399999999999</v>
      </c>
      <c r="O296" t="str">
        <f>_xlfn.XLOOKUP(Sales_fact[[#This Row],[Customer_ID]],'Customer_Dim'!A:A,'Customer_Dim'!K:K,"Not Found")</f>
        <v>Platinum</v>
      </c>
      <c r="P296">
        <f>_xlfn.XLOOKUP(Sales_fact[[#This Row],[Customer_ID]],'Customer_Dim'!A:A, 'Customer_Dim'!E:E, "Not Found")</f>
        <v>22</v>
      </c>
      <c r="Q296" t="str">
        <f>VLOOKUP(Sales_fact[[#This Row],[Customer_ID]], 'Customer_Dim'!A:F, 6, FALSE)</f>
        <v>Female</v>
      </c>
      <c r="R296" s="13" t="str">
        <f>_xlfn.XLOOKUP(Sales_fact[[#This Row],[Product_ID]],Product_Dim!A:A,Product_Dim!C:C,"OTHERS")</f>
        <v>Sports</v>
      </c>
    </row>
    <row r="297" spans="1:18" x14ac:dyDescent="0.3">
      <c r="A297" t="s">
        <v>2121</v>
      </c>
      <c r="B297" s="2">
        <v>45556</v>
      </c>
      <c r="C297" t="s">
        <v>687</v>
      </c>
      <c r="D297" t="s">
        <v>1718</v>
      </c>
      <c r="E297" t="str">
        <f ca="1">TRIM(Sales_fact[[#This Row],[Store_ID]])</f>
        <v>STORE17</v>
      </c>
      <c r="F297">
        <v>4</v>
      </c>
      <c r="G297">
        <f>IF(ISBLANK(F297),MODE($F$2:$F$2001),F297)</f>
        <v>4</v>
      </c>
      <c r="H297">
        <v>626.35</v>
      </c>
      <c r="I297">
        <f>IF(ISBLANK(H297),AVERAGE($H$2:$H$2001),H297)</f>
        <v>626.35</v>
      </c>
      <c r="J297">
        <v>0.25</v>
      </c>
      <c r="K297">
        <f>IF(ISBLANK(J297),MODE($J$2:$J$2001),J297)</f>
        <v>0.25</v>
      </c>
      <c r="L297" t="s">
        <v>1829</v>
      </c>
      <c r="M297">
        <v>1879.05</v>
      </c>
      <c r="N297">
        <f t="shared" si="4"/>
        <v>1879.0500000000002</v>
      </c>
      <c r="O297" t="str">
        <f>_xlfn.XLOOKUP(Sales_fact[[#This Row],[Customer_ID]],'Customer_Dim'!A:A,'Customer_Dim'!K:K,"Not Found")</f>
        <v>Silver</v>
      </c>
      <c r="P297">
        <f>_xlfn.XLOOKUP(Sales_fact[[#This Row],[Customer_ID]],'Customer_Dim'!A:A, 'Customer_Dim'!E:E, "Not Found")</f>
        <v>20</v>
      </c>
      <c r="Q297" t="str">
        <f>VLOOKUP(Sales_fact[[#This Row],[Customer_ID]], 'Customer_Dim'!A:F, 6, FALSE)</f>
        <v>Female</v>
      </c>
      <c r="R297" s="13" t="str">
        <f>_xlfn.XLOOKUP(Sales_fact[[#This Row],[Product_ID]],Product_Dim!A:A,Product_Dim!C:C,"OTHERS")</f>
        <v>Clothing</v>
      </c>
    </row>
    <row r="298" spans="1:18" x14ac:dyDescent="0.3">
      <c r="A298" t="s">
        <v>2122</v>
      </c>
      <c r="B298" s="2">
        <v>45434</v>
      </c>
      <c r="C298" t="s">
        <v>298</v>
      </c>
      <c r="D298" t="s">
        <v>1630</v>
      </c>
      <c r="E298" t="str">
        <f ca="1">TRIM(Sales_fact[[#This Row],[Store_ID]])</f>
        <v>STORE14</v>
      </c>
      <c r="F298">
        <v>4</v>
      </c>
      <c r="G298">
        <f>IF(ISBLANK(F298),MODE($F$2:$F$2001),F298)</f>
        <v>4</v>
      </c>
      <c r="H298">
        <v>108.55</v>
      </c>
      <c r="I298">
        <f>IF(ISBLANK(H298),AVERAGE($H$2:$H$2001),H298)</f>
        <v>108.55</v>
      </c>
      <c r="J298">
        <v>0.18</v>
      </c>
      <c r="K298">
        <f>IF(ISBLANK(J298),MODE($J$2:$J$2001),J298)</f>
        <v>0.18</v>
      </c>
      <c r="L298" t="s">
        <v>1826</v>
      </c>
      <c r="M298">
        <v>356.04399999999998</v>
      </c>
      <c r="N298">
        <f t="shared" si="4"/>
        <v>356.04400000000004</v>
      </c>
      <c r="O298" t="str">
        <f>_xlfn.XLOOKUP(Sales_fact[[#This Row],[Customer_ID]],'Customer_Dim'!A:A,'Customer_Dim'!K:K,"Not Found")</f>
        <v>Bronze</v>
      </c>
      <c r="P298">
        <f>_xlfn.XLOOKUP(Sales_fact[[#This Row],[Customer_ID]],'Customer_Dim'!A:A, 'Customer_Dim'!E:E, "Not Found")</f>
        <v>53</v>
      </c>
      <c r="Q298" t="str">
        <f>VLOOKUP(Sales_fact[[#This Row],[Customer_ID]], 'Customer_Dim'!A:F, 6, FALSE)</f>
        <v>Male</v>
      </c>
      <c r="R298" s="13" t="str">
        <f>_xlfn.XLOOKUP(Sales_fact[[#This Row],[Product_ID]],Product_Dim!A:A,Product_Dim!C:C,"OTHERS")</f>
        <v>Sports</v>
      </c>
    </row>
    <row r="299" spans="1:18" x14ac:dyDescent="0.3">
      <c r="A299" t="s">
        <v>2123</v>
      </c>
      <c r="B299" s="2">
        <v>45871</v>
      </c>
      <c r="C299" t="s">
        <v>628</v>
      </c>
      <c r="D299" t="s">
        <v>1582</v>
      </c>
      <c r="E299" t="str">
        <f ca="1">TRIM(Sales_fact[[#This Row],[Store_ID]])</f>
        <v>STORE1</v>
      </c>
      <c r="F299">
        <v>4</v>
      </c>
      <c r="G299">
        <f>IF(ISBLANK(F299),MODE($F$2:$F$2001),F299)</f>
        <v>4</v>
      </c>
      <c r="H299">
        <v>353.67</v>
      </c>
      <c r="I299">
        <f>IF(ISBLANK(H299),AVERAGE($H$2:$H$2001),H299)</f>
        <v>353.67</v>
      </c>
      <c r="J299">
        <v>0.03</v>
      </c>
      <c r="K299">
        <f>IF(ISBLANK(J299),MODE($J$2:$J$2001),J299)</f>
        <v>0.03</v>
      </c>
      <c r="L299" t="s">
        <v>1829</v>
      </c>
      <c r="M299">
        <v>1372.2396000000001</v>
      </c>
      <c r="N299">
        <f t="shared" si="4"/>
        <v>1372.2396000000001</v>
      </c>
      <c r="O299" t="str">
        <f>_xlfn.XLOOKUP(Sales_fact[[#This Row],[Customer_ID]],'Customer_Dim'!A:A,'Customer_Dim'!K:K,"Not Found")</f>
        <v>Bronze</v>
      </c>
      <c r="P299">
        <f>_xlfn.XLOOKUP(Sales_fact[[#This Row],[Customer_ID]],'Customer_Dim'!A:A, 'Customer_Dim'!E:E, "Not Found")</f>
        <v>29</v>
      </c>
      <c r="Q299" t="str">
        <f>VLOOKUP(Sales_fact[[#This Row],[Customer_ID]], 'Customer_Dim'!A:F, 6, FALSE)</f>
        <v>Female</v>
      </c>
      <c r="R299" s="13" t="str">
        <f>_xlfn.XLOOKUP(Sales_fact[[#This Row],[Product_ID]],Product_Dim!A:A,Product_Dim!C:C,"OTHERS")</f>
        <v>Sports</v>
      </c>
    </row>
    <row r="300" spans="1:18" x14ac:dyDescent="0.3">
      <c r="A300" t="s">
        <v>2124</v>
      </c>
      <c r="B300" s="2">
        <v>45583</v>
      </c>
      <c r="C300" t="s">
        <v>241</v>
      </c>
      <c r="D300" t="s">
        <v>1728</v>
      </c>
      <c r="E300" t="str">
        <f ca="1">TRIM(Sales_fact[[#This Row],[Store_ID]])</f>
        <v>STORE1</v>
      </c>
      <c r="F300">
        <v>4</v>
      </c>
      <c r="G300">
        <f>IF(ISBLANK(F300),MODE($F$2:$F$2001),F300)</f>
        <v>4</v>
      </c>
      <c r="H300">
        <v>61.98</v>
      </c>
      <c r="I300">
        <f>IF(ISBLANK(H300),AVERAGE($H$2:$H$2001),H300)</f>
        <v>61.98</v>
      </c>
      <c r="J300">
        <v>0.16</v>
      </c>
      <c r="K300">
        <f>IF(ISBLANK(J300),MODE($J$2:$J$2001),J300)</f>
        <v>0.16</v>
      </c>
      <c r="L300" t="s">
        <v>1824</v>
      </c>
      <c r="M300">
        <v>208.25280000000001</v>
      </c>
      <c r="N300">
        <f t="shared" si="4"/>
        <v>208.25279999999998</v>
      </c>
      <c r="O300" t="str">
        <f>_xlfn.XLOOKUP(Sales_fact[[#This Row],[Customer_ID]],'Customer_Dim'!A:A,'Customer_Dim'!K:K,"Not Found")</f>
        <v>Silver</v>
      </c>
      <c r="P300">
        <f>_xlfn.XLOOKUP(Sales_fact[[#This Row],[Customer_ID]],'Customer_Dim'!A:A, 'Customer_Dim'!E:E, "Not Found")</f>
        <v>21</v>
      </c>
      <c r="Q300" t="str">
        <f>VLOOKUP(Sales_fact[[#This Row],[Customer_ID]], 'Customer_Dim'!A:F, 6, FALSE)</f>
        <v>Female</v>
      </c>
      <c r="R300" s="13" t="str">
        <f>_xlfn.XLOOKUP(Sales_fact[[#This Row],[Product_ID]],Product_Dim!A:A,Product_Dim!C:C,"OTHERS")</f>
        <v>Electronics</v>
      </c>
    </row>
    <row r="301" spans="1:18" x14ac:dyDescent="0.3">
      <c r="A301" t="s">
        <v>2125</v>
      </c>
      <c r="B301" s="2">
        <v>45348</v>
      </c>
      <c r="C301" t="s">
        <v>702</v>
      </c>
      <c r="D301" t="s">
        <v>1592</v>
      </c>
      <c r="E301" t="str">
        <f ca="1">TRIM(Sales_fact[[#This Row],[Store_ID]])</f>
        <v>STORE19</v>
      </c>
      <c r="F301">
        <v>2</v>
      </c>
      <c r="G301">
        <f>IF(ISBLANK(F301),MODE($F$2:$F$2001),F301)</f>
        <v>2</v>
      </c>
      <c r="H301">
        <v>873.1</v>
      </c>
      <c r="I301">
        <f>IF(ISBLANK(H301),AVERAGE($H$2:$H$2001),H301)</f>
        <v>873.1</v>
      </c>
      <c r="J301">
        <v>0.12</v>
      </c>
      <c r="K301">
        <f>IF(ISBLANK(J301),MODE($J$2:$J$2001),J301)</f>
        <v>0.12</v>
      </c>
      <c r="L301" t="s">
        <v>1826</v>
      </c>
      <c r="M301">
        <v>1536.6559999999999</v>
      </c>
      <c r="N301">
        <f t="shared" si="4"/>
        <v>1536.6559999999999</v>
      </c>
      <c r="O301" t="str">
        <f>_xlfn.XLOOKUP(Sales_fact[[#This Row],[Customer_ID]],'Customer_Dim'!A:A,'Customer_Dim'!K:K,"Not Found")</f>
        <v>Platinum</v>
      </c>
      <c r="P301">
        <f>_xlfn.XLOOKUP(Sales_fact[[#This Row],[Customer_ID]],'Customer_Dim'!A:A, 'Customer_Dim'!E:E, "Not Found")</f>
        <v>44</v>
      </c>
      <c r="Q301" t="str">
        <f>VLOOKUP(Sales_fact[[#This Row],[Customer_ID]], 'Customer_Dim'!A:F, 6, FALSE)</f>
        <v>Male</v>
      </c>
      <c r="R301" s="13" t="str">
        <f>_xlfn.XLOOKUP(Sales_fact[[#This Row],[Product_ID]],Product_Dim!A:A,Product_Dim!C:C,"OTHERS")</f>
        <v>Sports</v>
      </c>
    </row>
    <row r="302" spans="1:18" x14ac:dyDescent="0.3">
      <c r="A302" t="s">
        <v>2126</v>
      </c>
      <c r="B302" s="2">
        <v>45268</v>
      </c>
      <c r="C302" t="s">
        <v>648</v>
      </c>
      <c r="D302" t="s">
        <v>1572</v>
      </c>
      <c r="E302" t="str">
        <f ca="1">TRIM(Sales_fact[[#This Row],[Store_ID]])</f>
        <v>STORE15</v>
      </c>
      <c r="F302">
        <v>4</v>
      </c>
      <c r="G302">
        <f>IF(ISBLANK(F302),MODE($F$2:$F$2001),F302)</f>
        <v>4</v>
      </c>
      <c r="H302">
        <v>889.47</v>
      </c>
      <c r="I302">
        <f>IF(ISBLANK(H302),AVERAGE($H$2:$H$2001),H302)</f>
        <v>889.47</v>
      </c>
      <c r="J302">
        <v>0.24</v>
      </c>
      <c r="K302">
        <f>IF(ISBLANK(J302),MODE($J$2:$J$2001),J302)</f>
        <v>0.24</v>
      </c>
      <c r="L302" t="s">
        <v>1824</v>
      </c>
      <c r="M302">
        <v>2703.9888000000001</v>
      </c>
      <c r="N302">
        <f t="shared" si="4"/>
        <v>2703.9888000000001</v>
      </c>
      <c r="O302" t="str">
        <f>_xlfn.XLOOKUP(Sales_fact[[#This Row],[Customer_ID]],'Customer_Dim'!A:A,'Customer_Dim'!K:K,"Not Found")</f>
        <v>Bronze</v>
      </c>
      <c r="P302">
        <f>_xlfn.XLOOKUP(Sales_fact[[#This Row],[Customer_ID]],'Customer_Dim'!A:A, 'Customer_Dim'!E:E, "Not Found")</f>
        <v>54</v>
      </c>
      <c r="Q302" t="str">
        <f>VLOOKUP(Sales_fact[[#This Row],[Customer_ID]], 'Customer_Dim'!A:F, 6, FALSE)</f>
        <v>Male</v>
      </c>
      <c r="R302" s="13" t="str">
        <f>_xlfn.XLOOKUP(Sales_fact[[#This Row],[Product_ID]],Product_Dim!A:A,Product_Dim!C:C,"OTHERS")</f>
        <v>Beauty</v>
      </c>
    </row>
    <row r="303" spans="1:18" x14ac:dyDescent="0.3">
      <c r="A303" t="s">
        <v>2127</v>
      </c>
      <c r="B303" s="2">
        <v>45596</v>
      </c>
      <c r="C303" t="s">
        <v>118</v>
      </c>
      <c r="D303" t="s">
        <v>1696</v>
      </c>
      <c r="E303" t="str">
        <f ca="1">TRIM(Sales_fact[[#This Row],[Store_ID]])</f>
        <v>STORE11</v>
      </c>
      <c r="F303">
        <v>3</v>
      </c>
      <c r="G303">
        <f>IF(ISBLANK(F303),MODE($F$2:$F$2001),F303)</f>
        <v>3</v>
      </c>
      <c r="H303">
        <v>803.76</v>
      </c>
      <c r="I303">
        <f>IF(ISBLANK(H303),AVERAGE($H$2:$H$2001),H303)</f>
        <v>803.76</v>
      </c>
      <c r="J303">
        <v>0.19</v>
      </c>
      <c r="K303">
        <f>IF(ISBLANK(J303),MODE($J$2:$J$2001),J303)</f>
        <v>0.19</v>
      </c>
      <c r="L303" t="s">
        <v>1829</v>
      </c>
      <c r="M303">
        <v>1953.1368</v>
      </c>
      <c r="N303">
        <f t="shared" si="4"/>
        <v>1953.1368</v>
      </c>
      <c r="O303" t="str">
        <f>_xlfn.XLOOKUP(Sales_fact[[#This Row],[Customer_ID]],'Customer_Dim'!A:A,'Customer_Dim'!K:K,"Not Found")</f>
        <v>Platinum</v>
      </c>
      <c r="P303">
        <f>_xlfn.XLOOKUP(Sales_fact[[#This Row],[Customer_ID]],'Customer_Dim'!A:A, 'Customer_Dim'!E:E, "Not Found")</f>
        <v>27</v>
      </c>
      <c r="Q303" t="str">
        <f>VLOOKUP(Sales_fact[[#This Row],[Customer_ID]], 'Customer_Dim'!A:F, 6, FALSE)</f>
        <v>Female</v>
      </c>
      <c r="R303" s="13" t="str">
        <f>_xlfn.XLOOKUP(Sales_fact[[#This Row],[Product_ID]],Product_Dim!A:A,Product_Dim!C:C,"OTHERS")</f>
        <v>Electronics</v>
      </c>
    </row>
    <row r="304" spans="1:18" x14ac:dyDescent="0.3">
      <c r="A304" t="s">
        <v>2128</v>
      </c>
      <c r="B304" s="2">
        <v>45624</v>
      </c>
      <c r="C304" t="s">
        <v>1443</v>
      </c>
      <c r="D304" t="s">
        <v>1698</v>
      </c>
      <c r="E304" t="str">
        <f ca="1">TRIM(Sales_fact[[#This Row],[Store_ID]])</f>
        <v>STORE5</v>
      </c>
      <c r="F304">
        <v>2</v>
      </c>
      <c r="G304">
        <f>IF(ISBLANK(F304),MODE($F$2:$F$2001),F304)</f>
        <v>2</v>
      </c>
      <c r="H304">
        <v>865.14</v>
      </c>
      <c r="I304">
        <f>IF(ISBLANK(H304),AVERAGE($H$2:$H$2001),H304)</f>
        <v>865.14</v>
      </c>
      <c r="J304">
        <v>0.2</v>
      </c>
      <c r="K304">
        <f>IF(ISBLANK(J304),MODE($J$2:$J$2001),J304)</f>
        <v>0.2</v>
      </c>
      <c r="L304" t="s">
        <v>1826</v>
      </c>
      <c r="M304">
        <v>1384.2239999999999</v>
      </c>
      <c r="N304">
        <f t="shared" si="4"/>
        <v>1384.2240000000002</v>
      </c>
      <c r="O304" t="str">
        <f>_xlfn.XLOOKUP(Sales_fact[[#This Row],[Customer_ID]],'Customer_Dim'!A:A,'Customer_Dim'!K:K,"Not Found")</f>
        <v>Bronze</v>
      </c>
      <c r="P304">
        <f>_xlfn.XLOOKUP(Sales_fact[[#This Row],[Customer_ID]],'Customer_Dim'!A:A, 'Customer_Dim'!E:E, "Not Found")</f>
        <v>45</v>
      </c>
      <c r="Q304" t="str">
        <f>VLOOKUP(Sales_fact[[#This Row],[Customer_ID]], 'Customer_Dim'!A:F, 6, FALSE)</f>
        <v>Male</v>
      </c>
      <c r="R304" s="13" t="str">
        <f>_xlfn.XLOOKUP(Sales_fact[[#This Row],[Product_ID]],Product_Dim!A:A,Product_Dim!C:C,"OTHERS")</f>
        <v>Clothing</v>
      </c>
    </row>
    <row r="305" spans="1:18" x14ac:dyDescent="0.3">
      <c r="A305" t="s">
        <v>2129</v>
      </c>
      <c r="B305" s="2">
        <v>45813</v>
      </c>
      <c r="C305" t="s">
        <v>347</v>
      </c>
      <c r="D305" t="s">
        <v>1610</v>
      </c>
      <c r="E305" t="str">
        <f ca="1">TRIM(Sales_fact[[#This Row],[Store_ID]])</f>
        <v>STORE9</v>
      </c>
      <c r="F305">
        <v>2</v>
      </c>
      <c r="G305">
        <f>IF(ISBLANK(F305),MODE($F$2:$F$2001),F305)</f>
        <v>2</v>
      </c>
      <c r="H305">
        <v>916.49</v>
      </c>
      <c r="I305">
        <f>IF(ISBLANK(H305),AVERAGE($H$2:$H$2001),H305)</f>
        <v>916.49</v>
      </c>
      <c r="J305">
        <v>0.3</v>
      </c>
      <c r="K305">
        <f>IF(ISBLANK(J305),MODE($J$2:$J$2001),J305)</f>
        <v>0.3</v>
      </c>
      <c r="L305" t="s">
        <v>1829</v>
      </c>
      <c r="M305">
        <v>1283.086</v>
      </c>
      <c r="N305">
        <f t="shared" si="4"/>
        <v>1283.086</v>
      </c>
      <c r="O305" t="str">
        <f>_xlfn.XLOOKUP(Sales_fact[[#This Row],[Customer_ID]],'Customer_Dim'!A:A,'Customer_Dim'!K:K,"Not Found")</f>
        <v>Silver</v>
      </c>
      <c r="P305">
        <f>_xlfn.XLOOKUP(Sales_fact[[#This Row],[Customer_ID]],'Customer_Dim'!A:A, 'Customer_Dim'!E:E, "Not Found")</f>
        <v>36</v>
      </c>
      <c r="Q305" t="str">
        <f>VLOOKUP(Sales_fact[[#This Row],[Customer_ID]], 'Customer_Dim'!A:F, 6, FALSE)</f>
        <v>Male</v>
      </c>
      <c r="R305" s="13" t="str">
        <f>_xlfn.XLOOKUP(Sales_fact[[#This Row],[Product_ID]],Product_Dim!A:A,Product_Dim!C:C,"OTHERS")</f>
        <v>Sports</v>
      </c>
    </row>
    <row r="306" spans="1:18" x14ac:dyDescent="0.3">
      <c r="A306" t="s">
        <v>2130</v>
      </c>
      <c r="B306" s="2">
        <v>45615</v>
      </c>
      <c r="C306" t="s">
        <v>164</v>
      </c>
      <c r="D306" t="s">
        <v>1650</v>
      </c>
      <c r="E306" t="str">
        <f ca="1">TRIM(Sales_fact[[#This Row],[Store_ID]])</f>
        <v>STORE12</v>
      </c>
      <c r="F306">
        <v>3</v>
      </c>
      <c r="G306">
        <f>IF(ISBLANK(F306),MODE($F$2:$F$2001),F306)</f>
        <v>3</v>
      </c>
      <c r="H306">
        <v>781.39</v>
      </c>
      <c r="I306">
        <f>IF(ISBLANK(H306),AVERAGE($H$2:$H$2001),H306)</f>
        <v>781.39</v>
      </c>
      <c r="J306">
        <v>0.12</v>
      </c>
      <c r="K306">
        <f>IF(ISBLANK(J306),MODE($J$2:$J$2001),J306)</f>
        <v>0.12</v>
      </c>
      <c r="L306" t="s">
        <v>1824</v>
      </c>
      <c r="M306">
        <v>2062.8696</v>
      </c>
      <c r="N306">
        <f t="shared" si="4"/>
        <v>2062.8696</v>
      </c>
      <c r="O306" t="str">
        <f>_xlfn.XLOOKUP(Sales_fact[[#This Row],[Customer_ID]],'Customer_Dim'!A:A,'Customer_Dim'!K:K,"Not Found")</f>
        <v>Platinum</v>
      </c>
      <c r="P306">
        <f>_xlfn.XLOOKUP(Sales_fact[[#This Row],[Customer_ID]],'Customer_Dim'!A:A, 'Customer_Dim'!E:E, "Not Found")</f>
        <v>19</v>
      </c>
      <c r="Q306" t="str">
        <f>VLOOKUP(Sales_fact[[#This Row],[Customer_ID]], 'Customer_Dim'!A:F, 6, FALSE)</f>
        <v>Male</v>
      </c>
      <c r="R306" s="13" t="str">
        <f>_xlfn.XLOOKUP(Sales_fact[[#This Row],[Product_ID]],Product_Dim!A:A,Product_Dim!C:C,"OTHERS")</f>
        <v>Electronics</v>
      </c>
    </row>
    <row r="307" spans="1:18" x14ac:dyDescent="0.3">
      <c r="A307" t="s">
        <v>2131</v>
      </c>
      <c r="B307" s="2">
        <v>45431</v>
      </c>
      <c r="C307" t="s">
        <v>687</v>
      </c>
      <c r="D307" t="s">
        <v>1624</v>
      </c>
      <c r="E307" t="str">
        <f ca="1">TRIM(Sales_fact[[#This Row],[Store_ID]])</f>
        <v>STORE12</v>
      </c>
      <c r="F307">
        <v>4</v>
      </c>
      <c r="G307">
        <f>IF(ISBLANK(F307),MODE($F$2:$F$2001),F307)</f>
        <v>4</v>
      </c>
      <c r="H307">
        <v>619.74</v>
      </c>
      <c r="I307">
        <f>IF(ISBLANK(H307),AVERAGE($H$2:$H$2001),H307)</f>
        <v>619.74</v>
      </c>
      <c r="J307">
        <v>0.13</v>
      </c>
      <c r="K307">
        <f>IF(ISBLANK(J307),MODE($J$2:$J$2001),J307)</f>
        <v>0.13</v>
      </c>
      <c r="L307" t="s">
        <v>1829</v>
      </c>
      <c r="M307">
        <v>2156.6952000000001</v>
      </c>
      <c r="N307">
        <f t="shared" si="4"/>
        <v>2156.6952000000001</v>
      </c>
      <c r="O307" t="str">
        <f>_xlfn.XLOOKUP(Sales_fact[[#This Row],[Customer_ID]],'Customer_Dim'!A:A,'Customer_Dim'!K:K,"Not Found")</f>
        <v>Silver</v>
      </c>
      <c r="P307">
        <f>_xlfn.XLOOKUP(Sales_fact[[#This Row],[Customer_ID]],'Customer_Dim'!A:A, 'Customer_Dim'!E:E, "Not Found")</f>
        <v>20</v>
      </c>
      <c r="Q307" t="str">
        <f>VLOOKUP(Sales_fact[[#This Row],[Customer_ID]], 'Customer_Dim'!A:F, 6, FALSE)</f>
        <v>Female</v>
      </c>
      <c r="R307" s="13" t="str">
        <f>_xlfn.XLOOKUP(Sales_fact[[#This Row],[Product_ID]],Product_Dim!A:A,Product_Dim!C:C,"OTHERS")</f>
        <v>Sports</v>
      </c>
    </row>
    <row r="308" spans="1:18" x14ac:dyDescent="0.3">
      <c r="A308" t="s">
        <v>2132</v>
      </c>
      <c r="B308" s="2">
        <v>45679</v>
      </c>
      <c r="C308" t="s">
        <v>1481</v>
      </c>
      <c r="D308" t="s">
        <v>1672</v>
      </c>
      <c r="E308" t="str">
        <f ca="1">TRIM(Sales_fact[[#This Row],[Store_ID]])</f>
        <v>STORE14</v>
      </c>
      <c r="F308">
        <v>2</v>
      </c>
      <c r="G308">
        <f>IF(ISBLANK(F308),MODE($F$2:$F$2001),F308)</f>
        <v>2</v>
      </c>
      <c r="H308">
        <v>837.76</v>
      </c>
      <c r="I308">
        <f>IF(ISBLANK(H308),AVERAGE($H$2:$H$2001),H308)</f>
        <v>837.76</v>
      </c>
      <c r="J308">
        <v>0.03</v>
      </c>
      <c r="K308">
        <f>IF(ISBLANK(J308),MODE($J$2:$J$2001),J308)</f>
        <v>0.03</v>
      </c>
      <c r="L308" t="s">
        <v>1829</v>
      </c>
      <c r="M308">
        <v>1625.2544</v>
      </c>
      <c r="N308">
        <f t="shared" si="4"/>
        <v>1625.2544</v>
      </c>
      <c r="O308" t="str">
        <f>_xlfn.XLOOKUP(Sales_fact[[#This Row],[Customer_ID]],'Customer_Dim'!A:A,'Customer_Dim'!K:K,"Not Found")</f>
        <v>Gold</v>
      </c>
      <c r="P308">
        <f>_xlfn.XLOOKUP(Sales_fact[[#This Row],[Customer_ID]],'Customer_Dim'!A:A, 'Customer_Dim'!E:E, "Not Found")</f>
        <v>21</v>
      </c>
      <c r="Q308" t="str">
        <f>VLOOKUP(Sales_fact[[#This Row],[Customer_ID]], 'Customer_Dim'!A:F, 6, FALSE)</f>
        <v>Male</v>
      </c>
      <c r="R308" s="13" t="str">
        <f>_xlfn.XLOOKUP(Sales_fact[[#This Row],[Product_ID]],Product_Dim!A:A,Product_Dim!C:C,"OTHERS")</f>
        <v>Electronics</v>
      </c>
    </row>
    <row r="309" spans="1:18" x14ac:dyDescent="0.3">
      <c r="A309" t="s">
        <v>2133</v>
      </c>
      <c r="B309" s="2">
        <v>45842</v>
      </c>
      <c r="C309" t="s">
        <v>1395</v>
      </c>
      <c r="D309" t="s">
        <v>1728</v>
      </c>
      <c r="E309" t="str">
        <f ca="1">TRIM(Sales_fact[[#This Row],[Store_ID]])</f>
        <v>STORE1</v>
      </c>
      <c r="F309">
        <v>3</v>
      </c>
      <c r="G309">
        <f>IF(ISBLANK(F309),MODE($F$2:$F$2001),F309)</f>
        <v>3</v>
      </c>
      <c r="H309">
        <v>135.94</v>
      </c>
      <c r="I309">
        <f>IF(ISBLANK(H309),AVERAGE($H$2:$H$2001),H309)</f>
        <v>135.94</v>
      </c>
      <c r="J309">
        <v>0.2</v>
      </c>
      <c r="K309">
        <f>IF(ISBLANK(J309),MODE($J$2:$J$2001),J309)</f>
        <v>0.2</v>
      </c>
      <c r="L309" t="s">
        <v>1824</v>
      </c>
      <c r="M309">
        <v>326.25599999999997</v>
      </c>
      <c r="N309">
        <f t="shared" si="4"/>
        <v>326.25600000000003</v>
      </c>
      <c r="O309" t="str">
        <f>_xlfn.XLOOKUP(Sales_fact[[#This Row],[Customer_ID]],'Customer_Dim'!A:A,'Customer_Dim'!K:K,"Not Found")</f>
        <v>Gold</v>
      </c>
      <c r="P309">
        <f>_xlfn.XLOOKUP(Sales_fact[[#This Row],[Customer_ID]],'Customer_Dim'!A:A, 'Customer_Dim'!E:E, "Not Found")</f>
        <v>46</v>
      </c>
      <c r="Q309" t="str">
        <f>VLOOKUP(Sales_fact[[#This Row],[Customer_ID]], 'Customer_Dim'!A:F, 6, FALSE)</f>
        <v>Male</v>
      </c>
      <c r="R309" s="13" t="str">
        <f>_xlfn.XLOOKUP(Sales_fact[[#This Row],[Product_ID]],Product_Dim!A:A,Product_Dim!C:C,"OTHERS")</f>
        <v>Electronics</v>
      </c>
    </row>
    <row r="310" spans="1:18" x14ac:dyDescent="0.3">
      <c r="A310" t="s">
        <v>2134</v>
      </c>
      <c r="B310" s="2">
        <v>45796</v>
      </c>
      <c r="C310" t="s">
        <v>1475</v>
      </c>
      <c r="D310" t="s">
        <v>1696</v>
      </c>
      <c r="E310" t="str">
        <f ca="1">TRIM(Sales_fact[[#This Row],[Store_ID]])</f>
        <v>STORE1</v>
      </c>
      <c r="F310">
        <v>4</v>
      </c>
      <c r="G310">
        <f>IF(ISBLANK(F310),MODE($F$2:$F$2001),F310)</f>
        <v>4</v>
      </c>
      <c r="H310">
        <v>396.53</v>
      </c>
      <c r="I310">
        <f>IF(ISBLANK(H310),AVERAGE($H$2:$H$2001),H310)</f>
        <v>396.53</v>
      </c>
      <c r="J310">
        <v>7.0000000000000007E-2</v>
      </c>
      <c r="K310">
        <f>IF(ISBLANK(J310),MODE($J$2:$J$2001),J310)</f>
        <v>7.0000000000000007E-2</v>
      </c>
      <c r="L310" t="s">
        <v>1826</v>
      </c>
      <c r="M310">
        <v>1475.0916</v>
      </c>
      <c r="N310">
        <f t="shared" si="4"/>
        <v>1475.0915999999997</v>
      </c>
      <c r="O310" t="str">
        <f>_xlfn.XLOOKUP(Sales_fact[[#This Row],[Customer_ID]],'Customer_Dim'!A:A,'Customer_Dim'!K:K,"Not Found")</f>
        <v>Bronze</v>
      </c>
      <c r="P310">
        <f>_xlfn.XLOOKUP(Sales_fact[[#This Row],[Customer_ID]],'Customer_Dim'!A:A, 'Customer_Dim'!E:E, "Not Found")</f>
        <v>40</v>
      </c>
      <c r="Q310" t="str">
        <f>VLOOKUP(Sales_fact[[#This Row],[Customer_ID]], 'Customer_Dim'!A:F, 6, FALSE)</f>
        <v>Male</v>
      </c>
      <c r="R310" s="13" t="str">
        <f>_xlfn.XLOOKUP(Sales_fact[[#This Row],[Product_ID]],Product_Dim!A:A,Product_Dim!C:C,"OTHERS")</f>
        <v>Electronics</v>
      </c>
    </row>
    <row r="311" spans="1:18" x14ac:dyDescent="0.3">
      <c r="A311" t="s">
        <v>2135</v>
      </c>
      <c r="B311" s="2">
        <v>45264</v>
      </c>
      <c r="C311" t="s">
        <v>713</v>
      </c>
      <c r="D311" t="s">
        <v>1606</v>
      </c>
      <c r="E311" t="str">
        <f ca="1">TRIM(Sales_fact[[#This Row],[Store_ID]])</f>
        <v>STORE14</v>
      </c>
      <c r="F311">
        <v>2</v>
      </c>
      <c r="G311">
        <f>IF(ISBLANK(F311),MODE($F$2:$F$2001),F311)</f>
        <v>2</v>
      </c>
      <c r="H311">
        <v>722.45</v>
      </c>
      <c r="I311">
        <f>IF(ISBLANK(H311),AVERAGE($H$2:$H$2001),H311)</f>
        <v>722.45</v>
      </c>
      <c r="J311">
        <v>0.22</v>
      </c>
      <c r="K311">
        <f>IF(ISBLANK(J311),MODE($J$2:$J$2001),J311)</f>
        <v>0.22</v>
      </c>
      <c r="L311" t="s">
        <v>1826</v>
      </c>
      <c r="M311">
        <v>1127.0219999999999</v>
      </c>
      <c r="N311">
        <f t="shared" si="4"/>
        <v>1127.0220000000002</v>
      </c>
      <c r="O311" t="str">
        <f>_xlfn.XLOOKUP(Sales_fact[[#This Row],[Customer_ID]],'Customer_Dim'!A:A,'Customer_Dim'!K:K,"Not Found")</f>
        <v>Bronze</v>
      </c>
      <c r="P311">
        <f>_xlfn.XLOOKUP(Sales_fact[[#This Row],[Customer_ID]],'Customer_Dim'!A:A, 'Customer_Dim'!E:E, "Not Found")</f>
        <v>50</v>
      </c>
      <c r="Q311" t="str">
        <f>VLOOKUP(Sales_fact[[#This Row],[Customer_ID]], 'Customer_Dim'!A:F, 6, FALSE)</f>
        <v>Female</v>
      </c>
      <c r="R311" s="13" t="str">
        <f>_xlfn.XLOOKUP(Sales_fact[[#This Row],[Product_ID]],Product_Dim!A:A,Product_Dim!C:C,"OTHERS")</f>
        <v>Home</v>
      </c>
    </row>
    <row r="312" spans="1:18" x14ac:dyDescent="0.3">
      <c r="A312" t="s">
        <v>2136</v>
      </c>
      <c r="B312" s="2">
        <v>45504</v>
      </c>
      <c r="C312" t="s">
        <v>181</v>
      </c>
      <c r="D312" t="s">
        <v>1676</v>
      </c>
      <c r="E312" t="str">
        <f ca="1">TRIM(Sales_fact[[#This Row],[Store_ID]])</f>
        <v>STORE2</v>
      </c>
      <c r="F312">
        <v>2</v>
      </c>
      <c r="G312">
        <f>IF(ISBLANK(F312),MODE($F$2:$F$2001),F312)</f>
        <v>2</v>
      </c>
      <c r="H312">
        <v>138.41</v>
      </c>
      <c r="I312">
        <f>IF(ISBLANK(H312),AVERAGE($H$2:$H$2001),H312)</f>
        <v>138.41</v>
      </c>
      <c r="J312">
        <v>0.02</v>
      </c>
      <c r="K312">
        <f>IF(ISBLANK(J312),MODE($J$2:$J$2001),J312)</f>
        <v>0.02</v>
      </c>
      <c r="L312" t="s">
        <v>1824</v>
      </c>
      <c r="M312">
        <v>271.28359999999998</v>
      </c>
      <c r="N312">
        <f t="shared" si="4"/>
        <v>271.28359999999998</v>
      </c>
      <c r="O312" t="str">
        <f>_xlfn.XLOOKUP(Sales_fact[[#This Row],[Customer_ID]],'Customer_Dim'!A:A,'Customer_Dim'!K:K,"Not Found")</f>
        <v>Silver</v>
      </c>
      <c r="P312">
        <f>_xlfn.XLOOKUP(Sales_fact[[#This Row],[Customer_ID]],'Customer_Dim'!A:A, 'Customer_Dim'!E:E, "Not Found")</f>
        <v>54</v>
      </c>
      <c r="Q312" t="str">
        <f>VLOOKUP(Sales_fact[[#This Row],[Customer_ID]], 'Customer_Dim'!A:F, 6, FALSE)</f>
        <v>Female</v>
      </c>
      <c r="R312" s="13" t="str">
        <f>_xlfn.XLOOKUP(Sales_fact[[#This Row],[Product_ID]],Product_Dim!A:A,Product_Dim!C:C,"OTHERS")</f>
        <v>Beauty</v>
      </c>
    </row>
    <row r="313" spans="1:18" x14ac:dyDescent="0.3">
      <c r="A313" t="s">
        <v>2137</v>
      </c>
      <c r="B313" s="2">
        <v>45679</v>
      </c>
      <c r="C313" t="s">
        <v>435</v>
      </c>
      <c r="D313" t="s">
        <v>1708</v>
      </c>
      <c r="E313" t="str">
        <f ca="1">TRIM(Sales_fact[[#This Row],[Store_ID]])</f>
        <v>STORE2</v>
      </c>
      <c r="F313">
        <v>4</v>
      </c>
      <c r="G313">
        <f>IF(ISBLANK(F313),MODE($F$2:$F$2001),F313)</f>
        <v>4</v>
      </c>
      <c r="H313">
        <v>741.51</v>
      </c>
      <c r="I313">
        <f>IF(ISBLANK(H313),AVERAGE($H$2:$H$2001),H313)</f>
        <v>741.51</v>
      </c>
      <c r="J313">
        <v>0.09</v>
      </c>
      <c r="K313">
        <f>IF(ISBLANK(J313),MODE($J$2:$J$2001),J313)</f>
        <v>0.09</v>
      </c>
      <c r="L313" t="s">
        <v>1829</v>
      </c>
      <c r="M313">
        <v>2699.0963999999999</v>
      </c>
      <c r="N313">
        <f t="shared" si="4"/>
        <v>2699.0963999999999</v>
      </c>
      <c r="O313" t="str">
        <f>_xlfn.XLOOKUP(Sales_fact[[#This Row],[Customer_ID]],'Customer_Dim'!A:A,'Customer_Dim'!K:K,"Not Found")</f>
        <v>Gold</v>
      </c>
      <c r="P313">
        <f>_xlfn.XLOOKUP(Sales_fact[[#This Row],[Customer_ID]],'Customer_Dim'!A:A, 'Customer_Dim'!E:E, "Not Found")</f>
        <v>62</v>
      </c>
      <c r="Q313" t="str">
        <f>VLOOKUP(Sales_fact[[#This Row],[Customer_ID]], 'Customer_Dim'!A:F, 6, FALSE)</f>
        <v>Female</v>
      </c>
      <c r="R313" s="13" t="str">
        <f>_xlfn.XLOOKUP(Sales_fact[[#This Row],[Product_ID]],Product_Dim!A:A,Product_Dim!C:C,"OTHERS")</f>
        <v>Home</v>
      </c>
    </row>
    <row r="314" spans="1:18" x14ac:dyDescent="0.3">
      <c r="A314" t="s">
        <v>2138</v>
      </c>
      <c r="B314" s="2">
        <v>45611</v>
      </c>
      <c r="C314" t="s">
        <v>100</v>
      </c>
      <c r="D314" t="s">
        <v>1708</v>
      </c>
      <c r="E314" t="str">
        <f ca="1">TRIM(Sales_fact[[#This Row],[Store_ID]])</f>
        <v>STORE17</v>
      </c>
      <c r="F314">
        <v>2</v>
      </c>
      <c r="G314">
        <f>IF(ISBLANK(F314),MODE($F$2:$F$2001),F314)</f>
        <v>2</v>
      </c>
      <c r="H314">
        <v>588.9</v>
      </c>
      <c r="I314">
        <f>IF(ISBLANK(H314),AVERAGE($H$2:$H$2001),H314)</f>
        <v>588.9</v>
      </c>
      <c r="J314">
        <v>0.19</v>
      </c>
      <c r="K314">
        <f>IF(ISBLANK(J314),MODE($J$2:$J$2001),J314)</f>
        <v>0.19</v>
      </c>
      <c r="L314" t="s">
        <v>1826</v>
      </c>
      <c r="M314">
        <v>954.01800000000003</v>
      </c>
      <c r="N314">
        <f t="shared" si="4"/>
        <v>954.01800000000003</v>
      </c>
      <c r="O314" t="str">
        <f>_xlfn.XLOOKUP(Sales_fact[[#This Row],[Customer_ID]],'Customer_Dim'!A:A,'Customer_Dim'!K:K,"Not Found")</f>
        <v>Silver</v>
      </c>
      <c r="P314">
        <f>_xlfn.XLOOKUP(Sales_fact[[#This Row],[Customer_ID]],'Customer_Dim'!A:A, 'Customer_Dim'!E:E, "Not Found")</f>
        <v>52</v>
      </c>
      <c r="Q314" t="str">
        <f>VLOOKUP(Sales_fact[[#This Row],[Customer_ID]], 'Customer_Dim'!A:F, 6, FALSE)</f>
        <v>Female</v>
      </c>
      <c r="R314" s="13" t="str">
        <f>_xlfn.XLOOKUP(Sales_fact[[#This Row],[Product_ID]],Product_Dim!A:A,Product_Dim!C:C,"OTHERS")</f>
        <v>Home</v>
      </c>
    </row>
    <row r="315" spans="1:18" x14ac:dyDescent="0.3">
      <c r="A315" t="s">
        <v>2139</v>
      </c>
      <c r="B315" s="2">
        <v>45389</v>
      </c>
      <c r="C315" t="s">
        <v>960</v>
      </c>
      <c r="D315" t="s">
        <v>1648</v>
      </c>
      <c r="E315" t="str">
        <f ca="1">TRIM(Sales_fact[[#This Row],[Store_ID]])</f>
        <v>STORE2</v>
      </c>
      <c r="F315">
        <v>1</v>
      </c>
      <c r="G315">
        <f>IF(ISBLANK(F315),MODE($F$2:$F$2001),F315)</f>
        <v>1</v>
      </c>
      <c r="H315">
        <v>88.92</v>
      </c>
      <c r="I315">
        <f>IF(ISBLANK(H315),AVERAGE($H$2:$H$2001),H315)</f>
        <v>88.92</v>
      </c>
      <c r="J315">
        <v>0.19</v>
      </c>
      <c r="K315">
        <f>IF(ISBLANK(J315),MODE($J$2:$J$2001),J315)</f>
        <v>0.19</v>
      </c>
      <c r="L315" t="s">
        <v>1826</v>
      </c>
      <c r="M315">
        <v>72.025200000000012</v>
      </c>
      <c r="N315">
        <f t="shared" si="4"/>
        <v>72.025200000000012</v>
      </c>
      <c r="O315" t="str">
        <f>_xlfn.XLOOKUP(Sales_fact[[#This Row],[Customer_ID]],'Customer_Dim'!A:A,'Customer_Dim'!K:K,"Not Found")</f>
        <v>Silver</v>
      </c>
      <c r="P315">
        <f>_xlfn.XLOOKUP(Sales_fact[[#This Row],[Customer_ID]],'Customer_Dim'!A:A, 'Customer_Dim'!E:E, "Not Found")</f>
        <v>41</v>
      </c>
      <c r="Q315" t="str">
        <f>VLOOKUP(Sales_fact[[#This Row],[Customer_ID]], 'Customer_Dim'!A:F, 6, FALSE)</f>
        <v>Male</v>
      </c>
      <c r="R315" s="13" t="str">
        <f>_xlfn.XLOOKUP(Sales_fact[[#This Row],[Product_ID]],Product_Dim!A:A,Product_Dim!C:C,"OTHERS")</f>
        <v>Sports</v>
      </c>
    </row>
    <row r="316" spans="1:18" x14ac:dyDescent="0.3">
      <c r="A316" t="s">
        <v>2140</v>
      </c>
      <c r="B316" s="2">
        <v>45339</v>
      </c>
      <c r="C316" t="s">
        <v>411</v>
      </c>
      <c r="D316" t="s">
        <v>1670</v>
      </c>
      <c r="E316" t="str">
        <f ca="1">TRIM(Sales_fact[[#This Row],[Store_ID]])</f>
        <v>STORE16</v>
      </c>
      <c r="F316">
        <v>1</v>
      </c>
      <c r="G316">
        <f>IF(ISBLANK(F316),MODE($F$2:$F$2001),F316)</f>
        <v>1</v>
      </c>
      <c r="H316">
        <v>299.13</v>
      </c>
      <c r="I316">
        <f>IF(ISBLANK(H316),AVERAGE($H$2:$H$2001),H316)</f>
        <v>299.13</v>
      </c>
      <c r="J316">
        <v>0.1</v>
      </c>
      <c r="K316">
        <f>IF(ISBLANK(J316),MODE($J$2:$J$2001),J316)</f>
        <v>0.1</v>
      </c>
      <c r="L316" t="s">
        <v>1829</v>
      </c>
      <c r="M316">
        <v>269.21699999999998</v>
      </c>
      <c r="N316">
        <f t="shared" si="4"/>
        <v>269.21699999999998</v>
      </c>
      <c r="O316" t="str">
        <f>_xlfn.XLOOKUP(Sales_fact[[#This Row],[Customer_ID]],'Customer_Dim'!A:A,'Customer_Dim'!K:K,"Not Found")</f>
        <v>Platinum</v>
      </c>
      <c r="P316">
        <f>_xlfn.XLOOKUP(Sales_fact[[#This Row],[Customer_ID]],'Customer_Dim'!A:A, 'Customer_Dim'!E:E, "Not Found")</f>
        <v>36</v>
      </c>
      <c r="Q316" t="str">
        <f>VLOOKUP(Sales_fact[[#This Row],[Customer_ID]], 'Customer_Dim'!A:F, 6, FALSE)</f>
        <v>Male</v>
      </c>
      <c r="R316" s="13" t="str">
        <f>_xlfn.XLOOKUP(Sales_fact[[#This Row],[Product_ID]],Product_Dim!A:A,Product_Dim!C:C,"OTHERS")</f>
        <v>Sports</v>
      </c>
    </row>
    <row r="317" spans="1:18" x14ac:dyDescent="0.3">
      <c r="A317" t="s">
        <v>2141</v>
      </c>
      <c r="B317" s="2">
        <v>45433</v>
      </c>
      <c r="C317" t="s">
        <v>405</v>
      </c>
      <c r="D317" t="s">
        <v>1702</v>
      </c>
      <c r="E317" t="str">
        <f ca="1">TRIM(Sales_fact[[#This Row],[Store_ID]])</f>
        <v>STORE3</v>
      </c>
      <c r="F317">
        <v>2</v>
      </c>
      <c r="G317">
        <f>IF(ISBLANK(F317),MODE($F$2:$F$2001),F317)</f>
        <v>2</v>
      </c>
      <c r="H317">
        <v>548.29999999999995</v>
      </c>
      <c r="I317">
        <f>IF(ISBLANK(H317),AVERAGE($H$2:$H$2001),H317)</f>
        <v>548.29999999999995</v>
      </c>
      <c r="J317">
        <v>0.23</v>
      </c>
      <c r="K317">
        <f>IF(ISBLANK(J317),MODE($J$2:$J$2001),J317)</f>
        <v>0.23</v>
      </c>
      <c r="L317" t="s">
        <v>1824</v>
      </c>
      <c r="M317">
        <v>844.38199999999995</v>
      </c>
      <c r="N317">
        <f t="shared" si="4"/>
        <v>844.38199999999995</v>
      </c>
      <c r="O317" t="str">
        <f>_xlfn.XLOOKUP(Sales_fact[[#This Row],[Customer_ID]],'Customer_Dim'!A:A,'Customer_Dim'!K:K,"Not Found")</f>
        <v>Platinum</v>
      </c>
      <c r="P317">
        <f>_xlfn.XLOOKUP(Sales_fact[[#This Row],[Customer_ID]],'Customer_Dim'!A:A, 'Customer_Dim'!E:E, "Not Found")</f>
        <v>18</v>
      </c>
      <c r="Q317" t="str">
        <f>VLOOKUP(Sales_fact[[#This Row],[Customer_ID]], 'Customer_Dim'!A:F, 6, FALSE)</f>
        <v>Female</v>
      </c>
      <c r="R317" s="13" t="str">
        <f>_xlfn.XLOOKUP(Sales_fact[[#This Row],[Product_ID]],Product_Dim!A:A,Product_Dim!C:C,"OTHERS")</f>
        <v>Electronics</v>
      </c>
    </row>
    <row r="318" spans="1:18" x14ac:dyDescent="0.3">
      <c r="A318" t="s">
        <v>2142</v>
      </c>
      <c r="B318" s="2">
        <v>45435</v>
      </c>
      <c r="C318" t="s">
        <v>836</v>
      </c>
      <c r="D318" t="s">
        <v>1656</v>
      </c>
      <c r="E318" t="str">
        <f ca="1">TRIM(Sales_fact[[#This Row],[Store_ID]])</f>
        <v>STORE10</v>
      </c>
      <c r="F318">
        <v>3</v>
      </c>
      <c r="G318">
        <f>IF(ISBLANK(F318),MODE($F$2:$F$2001),F318)</f>
        <v>3</v>
      </c>
      <c r="H318">
        <v>977.55</v>
      </c>
      <c r="I318">
        <f>IF(ISBLANK(H318),AVERAGE($H$2:$H$2001),H318)</f>
        <v>977.55</v>
      </c>
      <c r="J318">
        <v>0.02</v>
      </c>
      <c r="K318">
        <f>IF(ISBLANK(J318),MODE($J$2:$J$2001),J318)</f>
        <v>0.02</v>
      </c>
      <c r="L318" t="s">
        <v>1826</v>
      </c>
      <c r="M318">
        <v>2873.9969999999989</v>
      </c>
      <c r="N318">
        <f t="shared" si="4"/>
        <v>2873.9969999999994</v>
      </c>
      <c r="O318" t="str">
        <f>_xlfn.XLOOKUP(Sales_fact[[#This Row],[Customer_ID]],'Customer_Dim'!A:A,'Customer_Dim'!K:K,"Not Found")</f>
        <v>Silver</v>
      </c>
      <c r="P318">
        <f>_xlfn.XLOOKUP(Sales_fact[[#This Row],[Customer_ID]],'Customer_Dim'!A:A, 'Customer_Dim'!E:E, "Not Found")</f>
        <v>60</v>
      </c>
      <c r="Q318" t="str">
        <f>VLOOKUP(Sales_fact[[#This Row],[Customer_ID]], 'Customer_Dim'!A:F, 6, FALSE)</f>
        <v>Female</v>
      </c>
      <c r="R318" s="13" t="str">
        <f>_xlfn.XLOOKUP(Sales_fact[[#This Row],[Product_ID]],Product_Dim!A:A,Product_Dim!C:C,"OTHERS")</f>
        <v>Sports</v>
      </c>
    </row>
    <row r="319" spans="1:18" x14ac:dyDescent="0.3">
      <c r="A319" t="s">
        <v>2143</v>
      </c>
      <c r="B319" s="2">
        <v>45823</v>
      </c>
      <c r="C319" t="s">
        <v>1086</v>
      </c>
      <c r="D319" t="s">
        <v>1636</v>
      </c>
      <c r="E319" t="str">
        <f ca="1">TRIM(Sales_fact[[#This Row],[Store_ID]])</f>
        <v>STORE18</v>
      </c>
      <c r="F319">
        <v>1</v>
      </c>
      <c r="G319">
        <f>IF(ISBLANK(F319),MODE($F$2:$F$2001),F319)</f>
        <v>1</v>
      </c>
      <c r="H319">
        <v>459.42</v>
      </c>
      <c r="I319">
        <f>IF(ISBLANK(H319),AVERAGE($H$2:$H$2001),H319)</f>
        <v>459.42</v>
      </c>
      <c r="J319">
        <v>0.28000000000000003</v>
      </c>
      <c r="K319">
        <f>IF(ISBLANK(J319),MODE($J$2:$J$2001),J319)</f>
        <v>0.28000000000000003</v>
      </c>
      <c r="L319" t="s">
        <v>1829</v>
      </c>
      <c r="M319">
        <v>330.7824</v>
      </c>
      <c r="N319">
        <f t="shared" si="4"/>
        <v>330.7824</v>
      </c>
      <c r="O319" t="str">
        <f>_xlfn.XLOOKUP(Sales_fact[[#This Row],[Customer_ID]],'Customer_Dim'!A:A,'Customer_Dim'!K:K,"Not Found")</f>
        <v>Platinum</v>
      </c>
      <c r="P319">
        <f>_xlfn.XLOOKUP(Sales_fact[[#This Row],[Customer_ID]],'Customer_Dim'!A:A, 'Customer_Dim'!E:E, "Not Found")</f>
        <v>58</v>
      </c>
      <c r="Q319" t="str">
        <f>VLOOKUP(Sales_fact[[#This Row],[Customer_ID]], 'Customer_Dim'!A:F, 6, FALSE)</f>
        <v>Female</v>
      </c>
      <c r="R319" s="13" t="str">
        <f>_xlfn.XLOOKUP(Sales_fact[[#This Row],[Product_ID]],Product_Dim!A:A,Product_Dim!C:C,"OTHERS")</f>
        <v>Sports</v>
      </c>
    </row>
    <row r="320" spans="1:18" x14ac:dyDescent="0.3">
      <c r="A320" t="s">
        <v>2144</v>
      </c>
      <c r="B320" s="2">
        <v>45663</v>
      </c>
      <c r="C320" t="s">
        <v>318</v>
      </c>
      <c r="D320" t="s">
        <v>1549</v>
      </c>
      <c r="E320" t="str">
        <f ca="1">TRIM(Sales_fact[[#This Row],[Store_ID]])</f>
        <v>STORE4</v>
      </c>
      <c r="F320">
        <v>2</v>
      </c>
      <c r="G320">
        <f>IF(ISBLANK(F320),MODE($F$2:$F$2001),F320)</f>
        <v>2</v>
      </c>
      <c r="H320">
        <v>123.19</v>
      </c>
      <c r="I320">
        <f>IF(ISBLANK(H320),AVERAGE($H$2:$H$2001),H320)</f>
        <v>123.19</v>
      </c>
      <c r="J320">
        <v>0.19</v>
      </c>
      <c r="K320">
        <f>IF(ISBLANK(J320),MODE($J$2:$J$2001),J320)</f>
        <v>0.19</v>
      </c>
      <c r="L320" t="s">
        <v>1824</v>
      </c>
      <c r="M320">
        <v>199.56780000000001</v>
      </c>
      <c r="N320">
        <f t="shared" si="4"/>
        <v>199.56780000000001</v>
      </c>
      <c r="O320" t="str">
        <f>_xlfn.XLOOKUP(Sales_fact[[#This Row],[Customer_ID]],'Customer_Dim'!A:A,'Customer_Dim'!K:K,"Not Found")</f>
        <v>Silver</v>
      </c>
      <c r="P320">
        <f>_xlfn.XLOOKUP(Sales_fact[[#This Row],[Customer_ID]],'Customer_Dim'!A:A, 'Customer_Dim'!E:E, "Not Found")</f>
        <v>58</v>
      </c>
      <c r="Q320" t="str">
        <f>VLOOKUP(Sales_fact[[#This Row],[Customer_ID]], 'Customer_Dim'!A:F, 6, FALSE)</f>
        <v>Male</v>
      </c>
      <c r="R320" s="13" t="str">
        <f>_xlfn.XLOOKUP(Sales_fact[[#This Row],[Product_ID]],Product_Dim!A:A,Product_Dim!C:C,"OTHERS")</f>
        <v>Clothing</v>
      </c>
    </row>
    <row r="321" spans="1:18" x14ac:dyDescent="0.3">
      <c r="A321" t="s">
        <v>2145</v>
      </c>
      <c r="B321" s="2">
        <v>45879</v>
      </c>
      <c r="C321" t="s">
        <v>1121</v>
      </c>
      <c r="D321" t="s">
        <v>1658</v>
      </c>
      <c r="E321" t="str">
        <f ca="1">TRIM(Sales_fact[[#This Row],[Store_ID]])</f>
        <v>STORE19</v>
      </c>
      <c r="F321">
        <v>1</v>
      </c>
      <c r="G321">
        <f>IF(ISBLANK(F321),MODE($F$2:$F$2001),F321)</f>
        <v>1</v>
      </c>
      <c r="H321">
        <v>222.95</v>
      </c>
      <c r="I321">
        <f>IF(ISBLANK(H321),AVERAGE($H$2:$H$2001),H321)</f>
        <v>222.95</v>
      </c>
      <c r="J321">
        <v>0.02</v>
      </c>
      <c r="K321">
        <f>IF(ISBLANK(J321),MODE($J$2:$J$2001),J321)</f>
        <v>0.02</v>
      </c>
      <c r="L321" t="s">
        <v>1826</v>
      </c>
      <c r="M321">
        <v>218.49100000000001</v>
      </c>
      <c r="N321">
        <f t="shared" si="4"/>
        <v>218.49099999999999</v>
      </c>
      <c r="O321" t="str">
        <f>_xlfn.XLOOKUP(Sales_fact[[#This Row],[Customer_ID]],'Customer_Dim'!A:A,'Customer_Dim'!K:K,"Not Found")</f>
        <v>Gold</v>
      </c>
      <c r="P321">
        <f>_xlfn.XLOOKUP(Sales_fact[[#This Row],[Customer_ID]],'Customer_Dim'!A:A, 'Customer_Dim'!E:E, "Not Found")</f>
        <v>60</v>
      </c>
      <c r="Q321" t="str">
        <f>VLOOKUP(Sales_fact[[#This Row],[Customer_ID]], 'Customer_Dim'!A:F, 6, FALSE)</f>
        <v>Female</v>
      </c>
      <c r="R321" s="13" t="str">
        <f>_xlfn.XLOOKUP(Sales_fact[[#This Row],[Product_ID]],Product_Dim!A:A,Product_Dim!C:C,"OTHERS")</f>
        <v>Home</v>
      </c>
    </row>
    <row r="322" spans="1:18" x14ac:dyDescent="0.3">
      <c r="A322" t="s">
        <v>2146</v>
      </c>
      <c r="B322" s="2">
        <v>45840</v>
      </c>
      <c r="C322" t="s">
        <v>1044</v>
      </c>
      <c r="D322" t="s">
        <v>1612</v>
      </c>
      <c r="E322" t="str">
        <f ca="1">TRIM(Sales_fact[[#This Row],[Store_ID]])</f>
        <v>STORE4</v>
      </c>
      <c r="F322">
        <v>3</v>
      </c>
      <c r="G322">
        <f>IF(ISBLANK(F322),MODE($F$2:$F$2001),F322)</f>
        <v>3</v>
      </c>
      <c r="H322">
        <v>601.92999999999995</v>
      </c>
      <c r="I322">
        <f>IF(ISBLANK(H322),AVERAGE($H$2:$H$2001),H322)</f>
        <v>601.92999999999995</v>
      </c>
      <c r="J322">
        <v>0.14000000000000001</v>
      </c>
      <c r="K322">
        <f>IF(ISBLANK(J322),MODE($J$2:$J$2001),J322)</f>
        <v>0.14000000000000001</v>
      </c>
      <c r="L322" t="s">
        <v>1824</v>
      </c>
      <c r="M322">
        <v>1552.9793999999999</v>
      </c>
      <c r="N322">
        <f t="shared" si="4"/>
        <v>1552.9793999999999</v>
      </c>
      <c r="O322" t="str">
        <f>_xlfn.XLOOKUP(Sales_fact[[#This Row],[Customer_ID]],'Customer_Dim'!A:A,'Customer_Dim'!K:K,"Not Found")</f>
        <v>Bronze</v>
      </c>
      <c r="P322">
        <f>_xlfn.XLOOKUP(Sales_fact[[#This Row],[Customer_ID]],'Customer_Dim'!A:A, 'Customer_Dim'!E:E, "Not Found")</f>
        <v>34</v>
      </c>
      <c r="Q322" t="str">
        <f>VLOOKUP(Sales_fact[[#This Row],[Customer_ID]], 'Customer_Dim'!A:F, 6, FALSE)</f>
        <v>Female</v>
      </c>
      <c r="R322" s="13" t="str">
        <f>_xlfn.XLOOKUP(Sales_fact[[#This Row],[Product_ID]],Product_Dim!A:A,Product_Dim!C:C,"OTHERS")</f>
        <v>Beauty</v>
      </c>
    </row>
    <row r="323" spans="1:18" x14ac:dyDescent="0.3">
      <c r="A323" t="s">
        <v>2147</v>
      </c>
      <c r="B323" s="2">
        <v>45380</v>
      </c>
      <c r="C323" t="s">
        <v>939</v>
      </c>
      <c r="D323" t="s">
        <v>1686</v>
      </c>
      <c r="E323" t="str">
        <f ca="1">TRIM(Sales_fact[[#This Row],[Store_ID]])</f>
        <v>STORE2</v>
      </c>
      <c r="F323">
        <v>1</v>
      </c>
      <c r="G323">
        <f>IF(ISBLANK(F323),MODE($F$2:$F$2001),F323)</f>
        <v>1</v>
      </c>
      <c r="H323">
        <v>564.1</v>
      </c>
      <c r="I323">
        <f>IF(ISBLANK(H323),AVERAGE($H$2:$H$2001),H323)</f>
        <v>564.1</v>
      </c>
      <c r="J323">
        <v>0.03</v>
      </c>
      <c r="K323">
        <f>IF(ISBLANK(J323),MODE($J$2:$J$2001),J323)</f>
        <v>0.03</v>
      </c>
      <c r="L323" t="s">
        <v>1824</v>
      </c>
      <c r="M323">
        <v>547.17700000000002</v>
      </c>
      <c r="N323">
        <f t="shared" ref="N323:N386" si="5">G323*I323*(1-K323)</f>
        <v>547.17700000000002</v>
      </c>
      <c r="O323" t="str">
        <f>_xlfn.XLOOKUP(Sales_fact[[#This Row],[Customer_ID]],'Customer_Dim'!A:A,'Customer_Dim'!K:K,"Not Found")</f>
        <v>Silver</v>
      </c>
      <c r="P323">
        <f>_xlfn.XLOOKUP(Sales_fact[[#This Row],[Customer_ID]],'Customer_Dim'!A:A, 'Customer_Dim'!E:E, "Not Found")</f>
        <v>47</v>
      </c>
      <c r="Q323" t="str">
        <f>VLOOKUP(Sales_fact[[#This Row],[Customer_ID]], 'Customer_Dim'!A:F, 6, FALSE)</f>
        <v>Female</v>
      </c>
      <c r="R323" s="13" t="str">
        <f>_xlfn.XLOOKUP(Sales_fact[[#This Row],[Product_ID]],Product_Dim!A:A,Product_Dim!C:C,"OTHERS")</f>
        <v>Clothing</v>
      </c>
    </row>
    <row r="324" spans="1:18" x14ac:dyDescent="0.3">
      <c r="A324" t="s">
        <v>2148</v>
      </c>
      <c r="B324" s="2">
        <v>45672</v>
      </c>
      <c r="C324" t="s">
        <v>341</v>
      </c>
      <c r="D324" t="s">
        <v>1708</v>
      </c>
      <c r="E324" t="str">
        <f ca="1">TRIM(Sales_fact[[#This Row],[Store_ID]])</f>
        <v>STORE5</v>
      </c>
      <c r="F324">
        <v>1</v>
      </c>
      <c r="G324">
        <f>IF(ISBLANK(F324),MODE($F$2:$F$2001),F324)</f>
        <v>1</v>
      </c>
      <c r="H324">
        <v>516.62</v>
      </c>
      <c r="I324">
        <f>IF(ISBLANK(H324),AVERAGE($H$2:$H$2001),H324)</f>
        <v>516.62</v>
      </c>
      <c r="J324">
        <v>0.18</v>
      </c>
      <c r="K324">
        <f>IF(ISBLANK(J324),MODE($J$2:$J$2001),J324)</f>
        <v>0.18</v>
      </c>
      <c r="L324" t="s">
        <v>1824</v>
      </c>
      <c r="M324">
        <v>423.62840000000011</v>
      </c>
      <c r="N324">
        <f t="shared" si="5"/>
        <v>423.62840000000006</v>
      </c>
      <c r="O324" t="str">
        <f>_xlfn.XLOOKUP(Sales_fact[[#This Row],[Customer_ID]],'Customer_Dim'!A:A,'Customer_Dim'!K:K,"Not Found")</f>
        <v>Platinum</v>
      </c>
      <c r="P324">
        <f>_xlfn.XLOOKUP(Sales_fact[[#This Row],[Customer_ID]],'Customer_Dim'!A:A, 'Customer_Dim'!E:E, "Not Found")</f>
        <v>62</v>
      </c>
      <c r="Q324" t="str">
        <f>VLOOKUP(Sales_fact[[#This Row],[Customer_ID]], 'Customer_Dim'!A:F, 6, FALSE)</f>
        <v>Female</v>
      </c>
      <c r="R324" s="13" t="str">
        <f>_xlfn.XLOOKUP(Sales_fact[[#This Row],[Product_ID]],Product_Dim!A:A,Product_Dim!C:C,"OTHERS")</f>
        <v>Home</v>
      </c>
    </row>
    <row r="325" spans="1:18" x14ac:dyDescent="0.3">
      <c r="A325" t="s">
        <v>2149</v>
      </c>
      <c r="B325" s="2">
        <v>45497</v>
      </c>
      <c r="C325" t="s">
        <v>1357</v>
      </c>
      <c r="D325" t="s">
        <v>1674</v>
      </c>
      <c r="E325" t="str">
        <f ca="1">TRIM(Sales_fact[[#This Row],[Store_ID]])</f>
        <v>STORE12</v>
      </c>
      <c r="F325">
        <v>1</v>
      </c>
      <c r="G325">
        <f>IF(ISBLANK(F325),MODE($F$2:$F$2001),F325)</f>
        <v>1</v>
      </c>
      <c r="H325">
        <v>934.75</v>
      </c>
      <c r="I325">
        <f>IF(ISBLANK(H325),AVERAGE($H$2:$H$2001),H325)</f>
        <v>934.75</v>
      </c>
      <c r="J325">
        <v>0.11</v>
      </c>
      <c r="K325">
        <f>IF(ISBLANK(J325),MODE($J$2:$J$2001),J325)</f>
        <v>0.11</v>
      </c>
      <c r="L325" t="s">
        <v>1826</v>
      </c>
      <c r="M325">
        <v>831.92750000000001</v>
      </c>
      <c r="N325">
        <f t="shared" si="5"/>
        <v>831.92750000000001</v>
      </c>
      <c r="O325" t="str">
        <f>_xlfn.XLOOKUP(Sales_fact[[#This Row],[Customer_ID]],'Customer_Dim'!A:A,'Customer_Dim'!K:K,"Not Found")</f>
        <v>Platinum</v>
      </c>
      <c r="P325">
        <f>_xlfn.XLOOKUP(Sales_fact[[#This Row],[Customer_ID]],'Customer_Dim'!A:A, 'Customer_Dim'!E:E, "Not Found")</f>
        <v>59</v>
      </c>
      <c r="Q325" t="str">
        <f>VLOOKUP(Sales_fact[[#This Row],[Customer_ID]], 'Customer_Dim'!A:F, 6, FALSE)</f>
        <v>Female</v>
      </c>
      <c r="R325" s="13" t="str">
        <f>_xlfn.XLOOKUP(Sales_fact[[#This Row],[Product_ID]],Product_Dim!A:A,Product_Dim!C:C,"OTHERS")</f>
        <v>Beauty</v>
      </c>
    </row>
    <row r="326" spans="1:18" x14ac:dyDescent="0.3">
      <c r="A326" t="s">
        <v>2150</v>
      </c>
      <c r="B326" s="2">
        <v>45407</v>
      </c>
      <c r="C326" t="s">
        <v>752</v>
      </c>
      <c r="D326" t="s">
        <v>1744</v>
      </c>
      <c r="E326" t="str">
        <f ca="1">TRIM(Sales_fact[[#This Row],[Store_ID]])</f>
        <v>STORE7</v>
      </c>
      <c r="F326">
        <v>4</v>
      </c>
      <c r="G326">
        <f>IF(ISBLANK(F326),MODE($F$2:$F$2001),F326)</f>
        <v>4</v>
      </c>
      <c r="H326">
        <v>548.44000000000005</v>
      </c>
      <c r="I326">
        <f>IF(ISBLANK(H326),AVERAGE($H$2:$H$2001),H326)</f>
        <v>548.44000000000005</v>
      </c>
      <c r="J326">
        <v>0.05</v>
      </c>
      <c r="K326">
        <f>IF(ISBLANK(J326),MODE($J$2:$J$2001),J326)</f>
        <v>0.05</v>
      </c>
      <c r="L326" t="s">
        <v>1826</v>
      </c>
      <c r="M326">
        <v>2084.0720000000001</v>
      </c>
      <c r="N326">
        <f t="shared" si="5"/>
        <v>2084.0720000000001</v>
      </c>
      <c r="O326" t="str">
        <f>_xlfn.XLOOKUP(Sales_fact[[#This Row],[Customer_ID]],'Customer_Dim'!A:A,'Customer_Dim'!K:K,"Not Found")</f>
        <v>Gold</v>
      </c>
      <c r="P326">
        <f>_xlfn.XLOOKUP(Sales_fact[[#This Row],[Customer_ID]],'Customer_Dim'!A:A, 'Customer_Dim'!E:E, "Not Found")</f>
        <v>43</v>
      </c>
      <c r="Q326" t="str">
        <f>VLOOKUP(Sales_fact[[#This Row],[Customer_ID]], 'Customer_Dim'!A:F, 6, FALSE)</f>
        <v>Female</v>
      </c>
      <c r="R326" s="13" t="str">
        <f>_xlfn.XLOOKUP(Sales_fact[[#This Row],[Product_ID]],Product_Dim!A:A,Product_Dim!C:C,"OTHERS")</f>
        <v>Electronics</v>
      </c>
    </row>
    <row r="327" spans="1:18" x14ac:dyDescent="0.3">
      <c r="A327" t="s">
        <v>2151</v>
      </c>
      <c r="B327" s="2">
        <v>45764</v>
      </c>
      <c r="C327" t="s">
        <v>63</v>
      </c>
      <c r="D327" t="s">
        <v>1622</v>
      </c>
      <c r="E327" t="str">
        <f ca="1">TRIM(Sales_fact[[#This Row],[Store_ID]])</f>
        <v>STORE3</v>
      </c>
      <c r="F327">
        <v>3</v>
      </c>
      <c r="G327">
        <f>IF(ISBLANK(F327),MODE($F$2:$F$2001),F327)</f>
        <v>3</v>
      </c>
      <c r="H327">
        <v>361.11</v>
      </c>
      <c r="I327">
        <f>IF(ISBLANK(H327),AVERAGE($H$2:$H$2001),H327)</f>
        <v>361.11</v>
      </c>
      <c r="J327">
        <v>0.06</v>
      </c>
      <c r="K327">
        <f>IF(ISBLANK(J327),MODE($J$2:$J$2001),J327)</f>
        <v>0.06</v>
      </c>
      <c r="L327" t="s">
        <v>1824</v>
      </c>
      <c r="M327">
        <v>1018.3302</v>
      </c>
      <c r="N327">
        <f t="shared" si="5"/>
        <v>1018.3301999999999</v>
      </c>
      <c r="O327" t="str">
        <f>_xlfn.XLOOKUP(Sales_fact[[#This Row],[Customer_ID]],'Customer_Dim'!A:A,'Customer_Dim'!K:K,"Not Found")</f>
        <v>Silver</v>
      </c>
      <c r="P327">
        <f>_xlfn.XLOOKUP(Sales_fact[[#This Row],[Customer_ID]],'Customer_Dim'!A:A, 'Customer_Dim'!E:E, "Not Found")</f>
        <v>32</v>
      </c>
      <c r="Q327" t="str">
        <f>VLOOKUP(Sales_fact[[#This Row],[Customer_ID]], 'Customer_Dim'!A:F, 6, FALSE)</f>
        <v>Female</v>
      </c>
      <c r="R327" s="13" t="str">
        <f>_xlfn.XLOOKUP(Sales_fact[[#This Row],[Product_ID]],Product_Dim!A:A,Product_Dim!C:C,"OTHERS")</f>
        <v>Clothing</v>
      </c>
    </row>
    <row r="328" spans="1:18" x14ac:dyDescent="0.3">
      <c r="A328" t="s">
        <v>2152</v>
      </c>
      <c r="B328" s="2">
        <v>45924</v>
      </c>
      <c r="C328" t="s">
        <v>616</v>
      </c>
      <c r="D328" t="s">
        <v>1574</v>
      </c>
      <c r="E328" t="str">
        <f ca="1">TRIM(Sales_fact[[#This Row],[Store_ID]])</f>
        <v>STORE1</v>
      </c>
      <c r="F328">
        <v>2</v>
      </c>
      <c r="G328">
        <f>IF(ISBLANK(F328),MODE($F$2:$F$2001),F328)</f>
        <v>2</v>
      </c>
      <c r="H328">
        <v>610.37</v>
      </c>
      <c r="I328">
        <f>IF(ISBLANK(H328),AVERAGE($H$2:$H$2001),H328)</f>
        <v>610.37</v>
      </c>
      <c r="J328">
        <v>0.1</v>
      </c>
      <c r="K328">
        <f>IF(ISBLANK(J328),MODE($J$2:$J$2001),J328)</f>
        <v>0.1</v>
      </c>
      <c r="L328" t="s">
        <v>1826</v>
      </c>
      <c r="M328">
        <v>1098.6659999999999</v>
      </c>
      <c r="N328">
        <f t="shared" si="5"/>
        <v>1098.6659999999999</v>
      </c>
      <c r="O328" t="str">
        <f>_xlfn.XLOOKUP(Sales_fact[[#This Row],[Customer_ID]],'Customer_Dim'!A:A,'Customer_Dim'!K:K,"Not Found")</f>
        <v>Platinum</v>
      </c>
      <c r="P328">
        <f>_xlfn.XLOOKUP(Sales_fact[[#This Row],[Customer_ID]],'Customer_Dim'!A:A, 'Customer_Dim'!E:E, "Not Found")</f>
        <v>60</v>
      </c>
      <c r="Q328" t="str">
        <f>VLOOKUP(Sales_fact[[#This Row],[Customer_ID]], 'Customer_Dim'!A:F, 6, FALSE)</f>
        <v>Female</v>
      </c>
      <c r="R328" s="13" t="str">
        <f>_xlfn.XLOOKUP(Sales_fact[[#This Row],[Product_ID]],Product_Dim!A:A,Product_Dim!C:C,"OTHERS")</f>
        <v>Electronics</v>
      </c>
    </row>
    <row r="329" spans="1:18" x14ac:dyDescent="0.3">
      <c r="A329" t="s">
        <v>2153</v>
      </c>
      <c r="B329" s="2">
        <v>45240</v>
      </c>
      <c r="C329" t="s">
        <v>1050</v>
      </c>
      <c r="D329" t="s">
        <v>1650</v>
      </c>
      <c r="E329" t="str">
        <f ca="1">TRIM(Sales_fact[[#This Row],[Store_ID]])</f>
        <v>STORE16</v>
      </c>
      <c r="F329">
        <v>1</v>
      </c>
      <c r="G329">
        <f>IF(ISBLANK(F329),MODE($F$2:$F$2001),F329)</f>
        <v>1</v>
      </c>
      <c r="H329">
        <v>272.2</v>
      </c>
      <c r="I329">
        <f>IF(ISBLANK(H329),AVERAGE($H$2:$H$2001),H329)</f>
        <v>272.2</v>
      </c>
      <c r="J329">
        <v>0.3</v>
      </c>
      <c r="K329">
        <f>IF(ISBLANK(J329),MODE($J$2:$J$2001),J329)</f>
        <v>0.3</v>
      </c>
      <c r="L329" t="s">
        <v>1824</v>
      </c>
      <c r="M329">
        <v>190.54</v>
      </c>
      <c r="N329">
        <f t="shared" si="5"/>
        <v>190.54</v>
      </c>
      <c r="O329" t="str">
        <f>_xlfn.XLOOKUP(Sales_fact[[#This Row],[Customer_ID]],'Customer_Dim'!A:A,'Customer_Dim'!K:K,"Not Found")</f>
        <v>Silver</v>
      </c>
      <c r="P329">
        <f>_xlfn.XLOOKUP(Sales_fact[[#This Row],[Customer_ID]],'Customer_Dim'!A:A, 'Customer_Dim'!E:E, "Not Found")</f>
        <v>50</v>
      </c>
      <c r="Q329" t="str">
        <f>VLOOKUP(Sales_fact[[#This Row],[Customer_ID]], 'Customer_Dim'!A:F, 6, FALSE)</f>
        <v>Female</v>
      </c>
      <c r="R329" s="13" t="str">
        <f>_xlfn.XLOOKUP(Sales_fact[[#This Row],[Product_ID]],Product_Dim!A:A,Product_Dim!C:C,"OTHERS")</f>
        <v>Electronics</v>
      </c>
    </row>
    <row r="330" spans="1:18" x14ac:dyDescent="0.3">
      <c r="A330" t="s">
        <v>2154</v>
      </c>
      <c r="B330" s="2">
        <v>45349</v>
      </c>
      <c r="C330" t="s">
        <v>1357</v>
      </c>
      <c r="D330" t="s">
        <v>1702</v>
      </c>
      <c r="E330" t="str">
        <f ca="1">TRIM(Sales_fact[[#This Row],[Store_ID]])</f>
        <v>STORE6</v>
      </c>
      <c r="F330">
        <v>3</v>
      </c>
      <c r="G330">
        <f>IF(ISBLANK(F330),MODE($F$2:$F$2001),F330)</f>
        <v>3</v>
      </c>
      <c r="H330">
        <v>573.1</v>
      </c>
      <c r="I330">
        <f>IF(ISBLANK(H330),AVERAGE($H$2:$H$2001),H330)</f>
        <v>573.1</v>
      </c>
      <c r="J330">
        <v>0.16</v>
      </c>
      <c r="K330">
        <f>IF(ISBLANK(J330),MODE($J$2:$J$2001),J330)</f>
        <v>0.16</v>
      </c>
      <c r="L330" t="s">
        <v>1829</v>
      </c>
      <c r="M330">
        <v>1444.212</v>
      </c>
      <c r="N330">
        <f t="shared" si="5"/>
        <v>1444.212</v>
      </c>
      <c r="O330" t="str">
        <f>_xlfn.XLOOKUP(Sales_fact[[#This Row],[Customer_ID]],'Customer_Dim'!A:A,'Customer_Dim'!K:K,"Not Found")</f>
        <v>Platinum</v>
      </c>
      <c r="P330">
        <f>_xlfn.XLOOKUP(Sales_fact[[#This Row],[Customer_ID]],'Customer_Dim'!A:A, 'Customer_Dim'!E:E, "Not Found")</f>
        <v>59</v>
      </c>
      <c r="Q330" t="str">
        <f>VLOOKUP(Sales_fact[[#This Row],[Customer_ID]], 'Customer_Dim'!A:F, 6, FALSE)</f>
        <v>Female</v>
      </c>
      <c r="R330" s="13" t="str">
        <f>_xlfn.XLOOKUP(Sales_fact[[#This Row],[Product_ID]],Product_Dim!A:A,Product_Dim!C:C,"OTHERS")</f>
        <v>Electronics</v>
      </c>
    </row>
    <row r="331" spans="1:18" x14ac:dyDescent="0.3">
      <c r="A331" t="s">
        <v>2155</v>
      </c>
      <c r="B331" s="2">
        <v>45756</v>
      </c>
      <c r="C331" t="s">
        <v>1014</v>
      </c>
      <c r="D331" t="s">
        <v>1557</v>
      </c>
      <c r="E331" t="str">
        <f ca="1">TRIM(Sales_fact[[#This Row],[Store_ID]])</f>
        <v>STORE0</v>
      </c>
      <c r="F331">
        <v>4</v>
      </c>
      <c r="G331">
        <f>IF(ISBLANK(F331),MODE($F$2:$F$2001),F331)</f>
        <v>4</v>
      </c>
      <c r="H331">
        <v>24.72</v>
      </c>
      <c r="I331">
        <f>IF(ISBLANK(H331),AVERAGE($H$2:$H$2001),H331)</f>
        <v>24.72</v>
      </c>
      <c r="J331">
        <v>0.28000000000000003</v>
      </c>
      <c r="K331">
        <f>IF(ISBLANK(J331),MODE($J$2:$J$2001),J331)</f>
        <v>0.28000000000000003</v>
      </c>
      <c r="L331" t="s">
        <v>1824</v>
      </c>
      <c r="M331">
        <v>71.193599999999989</v>
      </c>
      <c r="N331">
        <f t="shared" si="5"/>
        <v>71.193599999999989</v>
      </c>
      <c r="O331" t="str">
        <f>_xlfn.XLOOKUP(Sales_fact[[#This Row],[Customer_ID]],'Customer_Dim'!A:A,'Customer_Dim'!K:K,"Not Found")</f>
        <v>Bronze</v>
      </c>
      <c r="P331">
        <f>_xlfn.XLOOKUP(Sales_fact[[#This Row],[Customer_ID]],'Customer_Dim'!A:A, 'Customer_Dim'!E:E, "Not Found")</f>
        <v>54</v>
      </c>
      <c r="Q331" t="str">
        <f>VLOOKUP(Sales_fact[[#This Row],[Customer_ID]], 'Customer_Dim'!A:F, 6, FALSE)</f>
        <v>Male</v>
      </c>
      <c r="R331" s="13" t="str">
        <f>_xlfn.XLOOKUP(Sales_fact[[#This Row],[Product_ID]],Product_Dim!A:A,Product_Dim!C:C,"OTHERS")</f>
        <v>Beauty</v>
      </c>
    </row>
    <row r="332" spans="1:18" x14ac:dyDescent="0.3">
      <c r="A332" t="s">
        <v>2156</v>
      </c>
      <c r="B332" s="2">
        <v>45478</v>
      </c>
      <c r="C332" t="s">
        <v>803</v>
      </c>
      <c r="D332" t="s">
        <v>1565</v>
      </c>
      <c r="E332" t="str">
        <f ca="1">TRIM(Sales_fact[[#This Row],[Store_ID]])</f>
        <v>STORE9</v>
      </c>
      <c r="F332">
        <v>3</v>
      </c>
      <c r="G332">
        <f>IF(ISBLANK(F332),MODE($F$2:$F$2001),F332)</f>
        <v>3</v>
      </c>
      <c r="H332">
        <v>268.89</v>
      </c>
      <c r="I332">
        <f>IF(ISBLANK(H332),AVERAGE($H$2:$H$2001),H332)</f>
        <v>268.89</v>
      </c>
      <c r="J332">
        <v>7.0000000000000007E-2</v>
      </c>
      <c r="K332">
        <f>IF(ISBLANK(J332),MODE($J$2:$J$2001),J332)</f>
        <v>7.0000000000000007E-2</v>
      </c>
      <c r="L332" t="s">
        <v>1829</v>
      </c>
      <c r="M332">
        <v>750.20309999999995</v>
      </c>
      <c r="N332">
        <f t="shared" si="5"/>
        <v>750.20309999999995</v>
      </c>
      <c r="O332" t="str">
        <f>_xlfn.XLOOKUP(Sales_fact[[#This Row],[Customer_ID]],'Customer_Dim'!A:A,'Customer_Dim'!K:K,"Not Found")</f>
        <v>Silver</v>
      </c>
      <c r="P332">
        <f>_xlfn.XLOOKUP(Sales_fact[[#This Row],[Customer_ID]],'Customer_Dim'!A:A, 'Customer_Dim'!E:E, "Not Found")</f>
        <v>64</v>
      </c>
      <c r="Q332" t="str">
        <f>VLOOKUP(Sales_fact[[#This Row],[Customer_ID]], 'Customer_Dim'!A:F, 6, FALSE)</f>
        <v>Male</v>
      </c>
      <c r="R332" s="13" t="str">
        <f>_xlfn.XLOOKUP(Sales_fact[[#This Row],[Product_ID]],Product_Dim!A:A,Product_Dim!C:C,"OTHERS")</f>
        <v>Sports</v>
      </c>
    </row>
    <row r="333" spans="1:18" x14ac:dyDescent="0.3">
      <c r="A333" t="s">
        <v>2157</v>
      </c>
      <c r="B333" s="2">
        <v>45890</v>
      </c>
      <c r="C333" t="s">
        <v>821</v>
      </c>
      <c r="D333" t="s">
        <v>1684</v>
      </c>
      <c r="E333" t="str">
        <f ca="1">TRIM(Sales_fact[[#This Row],[Store_ID]])</f>
        <v>STORE9</v>
      </c>
      <c r="F333">
        <v>1</v>
      </c>
      <c r="G333">
        <f>IF(ISBLANK(F333),MODE($F$2:$F$2001),F333)</f>
        <v>1</v>
      </c>
      <c r="H333">
        <v>78.5</v>
      </c>
      <c r="I333">
        <f>IF(ISBLANK(H333),AVERAGE($H$2:$H$2001),H333)</f>
        <v>78.5</v>
      </c>
      <c r="J333">
        <v>0.17</v>
      </c>
      <c r="K333">
        <f>IF(ISBLANK(J333),MODE($J$2:$J$2001),J333)</f>
        <v>0.17</v>
      </c>
      <c r="L333" t="s">
        <v>1829</v>
      </c>
      <c r="M333">
        <v>65.155000000000001</v>
      </c>
      <c r="N333">
        <f t="shared" si="5"/>
        <v>65.155000000000001</v>
      </c>
      <c r="O333" t="str">
        <f>_xlfn.XLOOKUP(Sales_fact[[#This Row],[Customer_ID]],'Customer_Dim'!A:A,'Customer_Dim'!K:K,"Not Found")</f>
        <v>Silver</v>
      </c>
      <c r="P333">
        <f>_xlfn.XLOOKUP(Sales_fact[[#This Row],[Customer_ID]],'Customer_Dim'!A:A, 'Customer_Dim'!E:E, "Not Found")</f>
        <v>42</v>
      </c>
      <c r="Q333" t="str">
        <f>VLOOKUP(Sales_fact[[#This Row],[Customer_ID]], 'Customer_Dim'!A:F, 6, FALSE)</f>
        <v>Male</v>
      </c>
      <c r="R333" s="13" t="str">
        <f>_xlfn.XLOOKUP(Sales_fact[[#This Row],[Product_ID]],Product_Dim!A:A,Product_Dim!C:C,"OTHERS")</f>
        <v>Home</v>
      </c>
    </row>
    <row r="334" spans="1:18" x14ac:dyDescent="0.3">
      <c r="A334" t="s">
        <v>2158</v>
      </c>
      <c r="B334" s="2">
        <v>45815</v>
      </c>
      <c r="C334" t="s">
        <v>455</v>
      </c>
      <c r="D334" t="s">
        <v>1620</v>
      </c>
      <c r="E334" t="str">
        <f ca="1">TRIM(Sales_fact[[#This Row],[Store_ID]])</f>
        <v>STORE4</v>
      </c>
      <c r="F334">
        <v>3</v>
      </c>
      <c r="G334">
        <f>IF(ISBLANK(F334),MODE($F$2:$F$2001),F334)</f>
        <v>3</v>
      </c>
      <c r="H334">
        <v>399.42</v>
      </c>
      <c r="I334">
        <f>IF(ISBLANK(H334),AVERAGE($H$2:$H$2001),H334)</f>
        <v>399.42</v>
      </c>
      <c r="J334">
        <v>0.02</v>
      </c>
      <c r="K334">
        <f>IF(ISBLANK(J334),MODE($J$2:$J$2001),J334)</f>
        <v>0.02</v>
      </c>
      <c r="L334" t="s">
        <v>1824</v>
      </c>
      <c r="M334">
        <v>1174.2947999999999</v>
      </c>
      <c r="N334">
        <f t="shared" si="5"/>
        <v>1174.2947999999999</v>
      </c>
      <c r="O334" t="str">
        <f>_xlfn.XLOOKUP(Sales_fact[[#This Row],[Customer_ID]],'Customer_Dim'!A:A,'Customer_Dim'!K:K,"Not Found")</f>
        <v>Bronze</v>
      </c>
      <c r="P334">
        <f>_xlfn.XLOOKUP(Sales_fact[[#This Row],[Customer_ID]],'Customer_Dim'!A:A, 'Customer_Dim'!E:E, "Not Found")</f>
        <v>62</v>
      </c>
      <c r="Q334" t="str">
        <f>VLOOKUP(Sales_fact[[#This Row],[Customer_ID]], 'Customer_Dim'!A:F, 6, FALSE)</f>
        <v>Female</v>
      </c>
      <c r="R334" s="13" t="str">
        <f>_xlfn.XLOOKUP(Sales_fact[[#This Row],[Product_ID]],Product_Dim!A:A,Product_Dim!C:C,"OTHERS")</f>
        <v>Clothing</v>
      </c>
    </row>
    <row r="335" spans="1:18" x14ac:dyDescent="0.3">
      <c r="A335" t="s">
        <v>2159</v>
      </c>
      <c r="B335" s="2">
        <v>45891</v>
      </c>
      <c r="C335" t="s">
        <v>307</v>
      </c>
      <c r="D335" t="s">
        <v>1610</v>
      </c>
      <c r="E335" t="str">
        <f ca="1">TRIM(Sales_fact[[#This Row],[Store_ID]])</f>
        <v>STORE19</v>
      </c>
      <c r="F335">
        <v>3</v>
      </c>
      <c r="G335">
        <f>IF(ISBLANK(F335),MODE($F$2:$F$2001),F335)</f>
        <v>3</v>
      </c>
      <c r="H335">
        <v>455.82</v>
      </c>
      <c r="I335">
        <f>IF(ISBLANK(H335),AVERAGE($H$2:$H$2001),H335)</f>
        <v>455.82</v>
      </c>
      <c r="J335">
        <v>0.01</v>
      </c>
      <c r="K335">
        <f>IF(ISBLANK(J335),MODE($J$2:$J$2001),J335)</f>
        <v>0.01</v>
      </c>
      <c r="L335" t="s">
        <v>1826</v>
      </c>
      <c r="M335">
        <v>1353.7854</v>
      </c>
      <c r="N335">
        <f t="shared" si="5"/>
        <v>1353.7854</v>
      </c>
      <c r="O335" t="str">
        <f>_xlfn.XLOOKUP(Sales_fact[[#This Row],[Customer_ID]],'Customer_Dim'!A:A,'Customer_Dim'!K:K,"Not Found")</f>
        <v>Silver</v>
      </c>
      <c r="P335">
        <f>_xlfn.XLOOKUP(Sales_fact[[#This Row],[Customer_ID]],'Customer_Dim'!A:A, 'Customer_Dim'!E:E, "Not Found")</f>
        <v>36</v>
      </c>
      <c r="Q335" t="str">
        <f>VLOOKUP(Sales_fact[[#This Row],[Customer_ID]], 'Customer_Dim'!A:F, 6, FALSE)</f>
        <v>Male</v>
      </c>
      <c r="R335" s="13" t="str">
        <f>_xlfn.XLOOKUP(Sales_fact[[#This Row],[Product_ID]],Product_Dim!A:A,Product_Dim!C:C,"OTHERS")</f>
        <v>Sports</v>
      </c>
    </row>
    <row r="336" spans="1:18" x14ac:dyDescent="0.3">
      <c r="A336" t="s">
        <v>2160</v>
      </c>
      <c r="B336" s="2">
        <v>45609</v>
      </c>
      <c r="C336" t="s">
        <v>1095</v>
      </c>
      <c r="D336" t="s">
        <v>1648</v>
      </c>
      <c r="E336" t="str">
        <f ca="1">TRIM(Sales_fact[[#This Row],[Store_ID]])</f>
        <v>STORE5</v>
      </c>
      <c r="F336">
        <v>2</v>
      </c>
      <c r="G336">
        <f>IF(ISBLANK(F336),MODE($F$2:$F$2001),F336)</f>
        <v>2</v>
      </c>
      <c r="H336">
        <v>613.23</v>
      </c>
      <c r="I336">
        <f>IF(ISBLANK(H336),AVERAGE($H$2:$H$2001),H336)</f>
        <v>613.23</v>
      </c>
      <c r="J336">
        <v>0.15</v>
      </c>
      <c r="K336">
        <f>IF(ISBLANK(J336),MODE($J$2:$J$2001),J336)</f>
        <v>0.15</v>
      </c>
      <c r="L336" t="s">
        <v>1826</v>
      </c>
      <c r="M336">
        <v>1042.491</v>
      </c>
      <c r="N336">
        <f t="shared" si="5"/>
        <v>1042.491</v>
      </c>
      <c r="O336" t="str">
        <f>_xlfn.XLOOKUP(Sales_fact[[#This Row],[Customer_ID]],'Customer_Dim'!A:A,'Customer_Dim'!K:K,"Not Found")</f>
        <v>Bronze</v>
      </c>
      <c r="P336">
        <f>_xlfn.XLOOKUP(Sales_fact[[#This Row],[Customer_ID]],'Customer_Dim'!A:A, 'Customer_Dim'!E:E, "Not Found")</f>
        <v>31</v>
      </c>
      <c r="Q336" t="str">
        <f>VLOOKUP(Sales_fact[[#This Row],[Customer_ID]], 'Customer_Dim'!A:F, 6, FALSE)</f>
        <v>Male</v>
      </c>
      <c r="R336" s="13" t="str">
        <f>_xlfn.XLOOKUP(Sales_fact[[#This Row],[Product_ID]],Product_Dim!A:A,Product_Dim!C:C,"OTHERS")</f>
        <v>Sports</v>
      </c>
    </row>
    <row r="337" spans="1:18" x14ac:dyDescent="0.3">
      <c r="A337" t="s">
        <v>2161</v>
      </c>
      <c r="B337" s="2">
        <v>45309</v>
      </c>
      <c r="C337" t="s">
        <v>1414</v>
      </c>
      <c r="D337" t="s">
        <v>1549</v>
      </c>
      <c r="E337" t="str">
        <f ca="1">TRIM(Sales_fact[[#This Row],[Store_ID]])</f>
        <v>STORE14</v>
      </c>
      <c r="F337">
        <v>4</v>
      </c>
      <c r="G337">
        <f>IF(ISBLANK(F337),MODE($F$2:$F$2001),F337)</f>
        <v>4</v>
      </c>
      <c r="H337">
        <v>971.9</v>
      </c>
      <c r="I337">
        <f>IF(ISBLANK(H337),AVERAGE($H$2:$H$2001),H337)</f>
        <v>971.9</v>
      </c>
      <c r="J337">
        <v>0.28000000000000003</v>
      </c>
      <c r="K337">
        <f>IF(ISBLANK(J337),MODE($J$2:$J$2001),J337)</f>
        <v>0.28000000000000003</v>
      </c>
      <c r="L337" t="s">
        <v>1826</v>
      </c>
      <c r="M337">
        <v>2799.0720000000001</v>
      </c>
      <c r="N337">
        <f t="shared" si="5"/>
        <v>2799.0719999999997</v>
      </c>
      <c r="O337" t="str">
        <f>_xlfn.XLOOKUP(Sales_fact[[#This Row],[Customer_ID]],'Customer_Dim'!A:A,'Customer_Dim'!K:K,"Not Found")</f>
        <v>Silver</v>
      </c>
      <c r="P337">
        <f>_xlfn.XLOOKUP(Sales_fact[[#This Row],[Customer_ID]],'Customer_Dim'!A:A, 'Customer_Dim'!E:E, "Not Found")</f>
        <v>62</v>
      </c>
      <c r="Q337" t="str">
        <f>VLOOKUP(Sales_fact[[#This Row],[Customer_ID]], 'Customer_Dim'!A:F, 6, FALSE)</f>
        <v>Female</v>
      </c>
      <c r="R337" s="13" t="str">
        <f>_xlfn.XLOOKUP(Sales_fact[[#This Row],[Product_ID]],Product_Dim!A:A,Product_Dim!C:C,"OTHERS")</f>
        <v>Clothing</v>
      </c>
    </row>
    <row r="338" spans="1:18" x14ac:dyDescent="0.3">
      <c r="A338" t="s">
        <v>2162</v>
      </c>
      <c r="B338" s="2">
        <v>45519</v>
      </c>
      <c r="C338" t="s">
        <v>137</v>
      </c>
      <c r="D338" t="s">
        <v>1604</v>
      </c>
      <c r="E338" t="str">
        <f ca="1">TRIM(Sales_fact[[#This Row],[Store_ID]])</f>
        <v>STORE7</v>
      </c>
      <c r="F338">
        <v>3</v>
      </c>
      <c r="G338">
        <f>IF(ISBLANK(F338),MODE($F$2:$F$2001),F338)</f>
        <v>3</v>
      </c>
      <c r="H338">
        <v>884.92</v>
      </c>
      <c r="I338">
        <f>IF(ISBLANK(H338),AVERAGE($H$2:$H$2001),H338)</f>
        <v>884.92</v>
      </c>
      <c r="J338">
        <v>0.06</v>
      </c>
      <c r="K338">
        <f>IF(ISBLANK(J338),MODE($J$2:$J$2001),J338)</f>
        <v>0.06</v>
      </c>
      <c r="L338" t="s">
        <v>1826</v>
      </c>
      <c r="M338">
        <v>2495.4744000000001</v>
      </c>
      <c r="N338">
        <f t="shared" si="5"/>
        <v>2495.4743999999996</v>
      </c>
      <c r="O338" t="str">
        <f>_xlfn.XLOOKUP(Sales_fact[[#This Row],[Customer_ID]],'Customer_Dim'!A:A,'Customer_Dim'!K:K,"Not Found")</f>
        <v>Platinum</v>
      </c>
      <c r="P338">
        <f>_xlfn.XLOOKUP(Sales_fact[[#This Row],[Customer_ID]],'Customer_Dim'!A:A, 'Customer_Dim'!E:E, "Not Found")</f>
        <v>27</v>
      </c>
      <c r="Q338" t="str">
        <f>VLOOKUP(Sales_fact[[#This Row],[Customer_ID]], 'Customer_Dim'!A:F, 6, FALSE)</f>
        <v>Female</v>
      </c>
      <c r="R338" s="13" t="str">
        <f>_xlfn.XLOOKUP(Sales_fact[[#This Row],[Product_ID]],Product_Dim!A:A,Product_Dim!C:C,"OTHERS")</f>
        <v>Sports</v>
      </c>
    </row>
    <row r="339" spans="1:18" x14ac:dyDescent="0.3">
      <c r="A339" t="s">
        <v>2163</v>
      </c>
      <c r="B339" s="2">
        <v>45921</v>
      </c>
      <c r="C339" t="s">
        <v>314</v>
      </c>
      <c r="D339" t="s">
        <v>1562</v>
      </c>
      <c r="E339" t="str">
        <f ca="1">TRIM(Sales_fact[[#This Row],[Store_ID]])</f>
        <v>STORE9</v>
      </c>
      <c r="F339">
        <v>1</v>
      </c>
      <c r="G339">
        <f>IF(ISBLANK(F339),MODE($F$2:$F$2001),F339)</f>
        <v>1</v>
      </c>
      <c r="H339">
        <v>125</v>
      </c>
      <c r="I339">
        <f>IF(ISBLANK(H339),AVERAGE($H$2:$H$2001),H339)</f>
        <v>125</v>
      </c>
      <c r="J339">
        <v>0.23</v>
      </c>
      <c r="K339">
        <f>IF(ISBLANK(J339),MODE($J$2:$J$2001),J339)</f>
        <v>0.23</v>
      </c>
      <c r="L339" t="s">
        <v>1824</v>
      </c>
      <c r="M339">
        <v>96.25</v>
      </c>
      <c r="N339">
        <f t="shared" si="5"/>
        <v>96.25</v>
      </c>
      <c r="O339" t="str">
        <f>_xlfn.XLOOKUP(Sales_fact[[#This Row],[Customer_ID]],'Customer_Dim'!A:A,'Customer_Dim'!K:K,"Not Found")</f>
        <v>Bronze</v>
      </c>
      <c r="P339">
        <f>_xlfn.XLOOKUP(Sales_fact[[#This Row],[Customer_ID]],'Customer_Dim'!A:A, 'Customer_Dim'!E:E, "Not Found")</f>
        <v>58</v>
      </c>
      <c r="Q339" t="str">
        <f>VLOOKUP(Sales_fact[[#This Row],[Customer_ID]], 'Customer_Dim'!A:F, 6, FALSE)</f>
        <v>Female</v>
      </c>
      <c r="R339" s="13" t="str">
        <f>_xlfn.XLOOKUP(Sales_fact[[#This Row],[Product_ID]],Product_Dim!A:A,Product_Dim!C:C,"OTHERS")</f>
        <v>Electronics</v>
      </c>
    </row>
    <row r="340" spans="1:18" x14ac:dyDescent="0.3">
      <c r="A340" t="s">
        <v>2164</v>
      </c>
      <c r="B340" s="2">
        <v>45465</v>
      </c>
      <c r="C340" t="s">
        <v>441</v>
      </c>
      <c r="D340" t="s">
        <v>1568</v>
      </c>
      <c r="E340" t="str">
        <f ca="1">TRIM(Sales_fact[[#This Row],[Store_ID]])</f>
        <v>STORE15</v>
      </c>
      <c r="F340">
        <v>2</v>
      </c>
      <c r="G340">
        <f>IF(ISBLANK(F340),MODE($F$2:$F$2001),F340)</f>
        <v>2</v>
      </c>
      <c r="H340">
        <v>188.25</v>
      </c>
      <c r="I340">
        <f>IF(ISBLANK(H340),AVERAGE($H$2:$H$2001),H340)</f>
        <v>188.25</v>
      </c>
      <c r="J340">
        <v>0.08</v>
      </c>
      <c r="K340">
        <f>IF(ISBLANK(J340),MODE($J$2:$J$2001),J340)</f>
        <v>0.08</v>
      </c>
      <c r="L340" t="s">
        <v>1826</v>
      </c>
      <c r="M340">
        <v>346.38</v>
      </c>
      <c r="N340">
        <f t="shared" si="5"/>
        <v>346.38</v>
      </c>
      <c r="O340" t="str">
        <f>_xlfn.XLOOKUP(Sales_fact[[#This Row],[Customer_ID]],'Customer_Dim'!A:A,'Customer_Dim'!K:K,"Not Found")</f>
        <v>Silver</v>
      </c>
      <c r="P340">
        <f>_xlfn.XLOOKUP(Sales_fact[[#This Row],[Customer_ID]],'Customer_Dim'!A:A, 'Customer_Dim'!E:E, "Not Found")</f>
        <v>45</v>
      </c>
      <c r="Q340" t="str">
        <f>VLOOKUP(Sales_fact[[#This Row],[Customer_ID]], 'Customer_Dim'!A:F, 6, FALSE)</f>
        <v>Male</v>
      </c>
      <c r="R340" s="13" t="str">
        <f>_xlfn.XLOOKUP(Sales_fact[[#This Row],[Product_ID]],Product_Dim!A:A,Product_Dim!C:C,"OTHERS")</f>
        <v>Home</v>
      </c>
    </row>
    <row r="341" spans="1:18" x14ac:dyDescent="0.3">
      <c r="A341" t="s">
        <v>2165</v>
      </c>
      <c r="B341" s="2">
        <v>45303</v>
      </c>
      <c r="C341" t="s">
        <v>719</v>
      </c>
      <c r="D341" t="s">
        <v>1640</v>
      </c>
      <c r="E341" t="str">
        <f ca="1">TRIM(Sales_fact[[#This Row],[Store_ID]])</f>
        <v>STORE6</v>
      </c>
      <c r="F341">
        <v>4</v>
      </c>
      <c r="G341">
        <f>IF(ISBLANK(F341),MODE($F$2:$F$2001),F341)</f>
        <v>4</v>
      </c>
      <c r="H341">
        <v>344.12</v>
      </c>
      <c r="I341">
        <f>IF(ISBLANK(H341),AVERAGE($H$2:$H$2001),H341)</f>
        <v>344.12</v>
      </c>
      <c r="J341">
        <v>0.25</v>
      </c>
      <c r="K341">
        <f>IF(ISBLANK(J341),MODE($J$2:$J$2001),J341)</f>
        <v>0.25</v>
      </c>
      <c r="L341" t="s">
        <v>1826</v>
      </c>
      <c r="M341">
        <v>1032.3599999999999</v>
      </c>
      <c r="N341">
        <f t="shared" si="5"/>
        <v>1032.3600000000001</v>
      </c>
      <c r="O341" t="str">
        <f>_xlfn.XLOOKUP(Sales_fact[[#This Row],[Customer_ID]],'Customer_Dim'!A:A,'Customer_Dim'!K:K,"Not Found")</f>
        <v>Platinum</v>
      </c>
      <c r="P341">
        <f>_xlfn.XLOOKUP(Sales_fact[[#This Row],[Customer_ID]],'Customer_Dim'!A:A, 'Customer_Dim'!E:E, "Not Found")</f>
        <v>35</v>
      </c>
      <c r="Q341" t="str">
        <f>VLOOKUP(Sales_fact[[#This Row],[Customer_ID]], 'Customer_Dim'!A:F, 6, FALSE)</f>
        <v>Male</v>
      </c>
      <c r="R341" s="13" t="str">
        <f>_xlfn.XLOOKUP(Sales_fact[[#This Row],[Product_ID]],Product_Dim!A:A,Product_Dim!C:C,"OTHERS")</f>
        <v>Clothing</v>
      </c>
    </row>
    <row r="342" spans="1:18" x14ac:dyDescent="0.3">
      <c r="A342" t="s">
        <v>2166</v>
      </c>
      <c r="B342" s="2">
        <v>45218</v>
      </c>
      <c r="C342" t="s">
        <v>181</v>
      </c>
      <c r="D342" t="s">
        <v>1582</v>
      </c>
      <c r="E342" t="str">
        <f ca="1">TRIM(Sales_fact[[#This Row],[Store_ID]])</f>
        <v>STORE19</v>
      </c>
      <c r="F342">
        <v>3</v>
      </c>
      <c r="G342">
        <f>IF(ISBLANK(F342),MODE($F$2:$F$2001),F342)</f>
        <v>3</v>
      </c>
      <c r="H342">
        <v>997.95</v>
      </c>
      <c r="I342">
        <f>IF(ISBLANK(H342),AVERAGE($H$2:$H$2001),H342)</f>
        <v>997.95</v>
      </c>
      <c r="J342">
        <v>0.09</v>
      </c>
      <c r="K342">
        <f>IF(ISBLANK(J342),MODE($J$2:$J$2001),J342)</f>
        <v>0.09</v>
      </c>
      <c r="L342" t="s">
        <v>1829</v>
      </c>
      <c r="M342">
        <v>2724.4034999999999</v>
      </c>
      <c r="N342">
        <f t="shared" si="5"/>
        <v>2724.4035000000003</v>
      </c>
      <c r="O342" t="str">
        <f>_xlfn.XLOOKUP(Sales_fact[[#This Row],[Customer_ID]],'Customer_Dim'!A:A,'Customer_Dim'!K:K,"Not Found")</f>
        <v>Silver</v>
      </c>
      <c r="P342">
        <f>_xlfn.XLOOKUP(Sales_fact[[#This Row],[Customer_ID]],'Customer_Dim'!A:A, 'Customer_Dim'!E:E, "Not Found")</f>
        <v>54</v>
      </c>
      <c r="Q342" t="str">
        <f>VLOOKUP(Sales_fact[[#This Row],[Customer_ID]], 'Customer_Dim'!A:F, 6, FALSE)</f>
        <v>Female</v>
      </c>
      <c r="R342" s="13" t="str">
        <f>_xlfn.XLOOKUP(Sales_fact[[#This Row],[Product_ID]],Product_Dim!A:A,Product_Dim!C:C,"OTHERS")</f>
        <v>Sports</v>
      </c>
    </row>
    <row r="343" spans="1:18" x14ac:dyDescent="0.3">
      <c r="A343" t="s">
        <v>2167</v>
      </c>
      <c r="B343" s="2">
        <v>45727</v>
      </c>
      <c r="C343" t="s">
        <v>505</v>
      </c>
      <c r="D343" t="s">
        <v>1570</v>
      </c>
      <c r="E343" t="str">
        <f ca="1">TRIM(Sales_fact[[#This Row],[Store_ID]])</f>
        <v>STORE15</v>
      </c>
      <c r="F343">
        <v>3</v>
      </c>
      <c r="G343">
        <f>IF(ISBLANK(F343),MODE($F$2:$F$2001),F343)</f>
        <v>3</v>
      </c>
      <c r="H343">
        <v>121.64</v>
      </c>
      <c r="I343">
        <f>IF(ISBLANK(H343),AVERAGE($H$2:$H$2001),H343)</f>
        <v>121.64</v>
      </c>
      <c r="J343">
        <v>7.0000000000000007E-2</v>
      </c>
      <c r="K343">
        <f>IF(ISBLANK(J343),MODE($J$2:$J$2001),J343)</f>
        <v>7.0000000000000007E-2</v>
      </c>
      <c r="L343" t="s">
        <v>1826</v>
      </c>
      <c r="M343">
        <v>339.37560000000002</v>
      </c>
      <c r="N343">
        <f t="shared" si="5"/>
        <v>339.37560000000002</v>
      </c>
      <c r="O343" t="str">
        <f>_xlfn.XLOOKUP(Sales_fact[[#This Row],[Customer_ID]],'Customer_Dim'!A:A,'Customer_Dim'!K:K,"Not Found")</f>
        <v>Gold</v>
      </c>
      <c r="P343">
        <f>_xlfn.XLOOKUP(Sales_fact[[#This Row],[Customer_ID]],'Customer_Dim'!A:A, 'Customer_Dim'!E:E, "Not Found")</f>
        <v>24</v>
      </c>
      <c r="Q343" t="str">
        <f>VLOOKUP(Sales_fact[[#This Row],[Customer_ID]], 'Customer_Dim'!A:F, 6, FALSE)</f>
        <v>Male</v>
      </c>
      <c r="R343" s="13" t="str">
        <f>_xlfn.XLOOKUP(Sales_fact[[#This Row],[Product_ID]],Product_Dim!A:A,Product_Dim!C:C,"OTHERS")</f>
        <v>Electronics</v>
      </c>
    </row>
    <row r="344" spans="1:18" x14ac:dyDescent="0.3">
      <c r="A344" t="s">
        <v>2168</v>
      </c>
      <c r="B344" s="2">
        <v>45557</v>
      </c>
      <c r="C344" t="s">
        <v>716</v>
      </c>
      <c r="D344" t="s">
        <v>1684</v>
      </c>
      <c r="E344" t="str">
        <f ca="1">TRIM(Sales_fact[[#This Row],[Store_ID]])</f>
        <v>STORE10</v>
      </c>
      <c r="F344">
        <v>2</v>
      </c>
      <c r="G344">
        <f>IF(ISBLANK(F344),MODE($F$2:$F$2001),F344)</f>
        <v>2</v>
      </c>
      <c r="H344">
        <v>692.72</v>
      </c>
      <c r="I344">
        <f>IF(ISBLANK(H344),AVERAGE($H$2:$H$2001),H344)</f>
        <v>692.72</v>
      </c>
      <c r="J344">
        <v>0.13</v>
      </c>
      <c r="K344">
        <f>IF(ISBLANK(J344),MODE($J$2:$J$2001),J344)</f>
        <v>0.13</v>
      </c>
      <c r="L344" t="s">
        <v>1826</v>
      </c>
      <c r="M344">
        <v>1205.3327999999999</v>
      </c>
      <c r="N344">
        <f t="shared" si="5"/>
        <v>1205.3328000000001</v>
      </c>
      <c r="O344" t="str">
        <f>_xlfn.XLOOKUP(Sales_fact[[#This Row],[Customer_ID]],'Customer_Dim'!A:A,'Customer_Dim'!K:K,"Not Found")</f>
        <v>Platinum</v>
      </c>
      <c r="P344">
        <f>_xlfn.XLOOKUP(Sales_fact[[#This Row],[Customer_ID]],'Customer_Dim'!A:A, 'Customer_Dim'!E:E, "Not Found")</f>
        <v>38</v>
      </c>
      <c r="Q344" t="str">
        <f>VLOOKUP(Sales_fact[[#This Row],[Customer_ID]], 'Customer_Dim'!A:F, 6, FALSE)</f>
        <v>Male</v>
      </c>
      <c r="R344" s="13" t="str">
        <f>_xlfn.XLOOKUP(Sales_fact[[#This Row],[Product_ID]],Product_Dim!A:A,Product_Dim!C:C,"OTHERS")</f>
        <v>Home</v>
      </c>
    </row>
    <row r="345" spans="1:18" x14ac:dyDescent="0.3">
      <c r="A345" t="s">
        <v>2169</v>
      </c>
      <c r="B345" s="2">
        <v>45623</v>
      </c>
      <c r="C345" t="s">
        <v>114</v>
      </c>
      <c r="D345" t="s">
        <v>1596</v>
      </c>
      <c r="E345" t="str">
        <f ca="1">TRIM(Sales_fact[[#This Row],[Store_ID]])</f>
        <v>STORE19</v>
      </c>
      <c r="F345">
        <v>3</v>
      </c>
      <c r="G345">
        <f>IF(ISBLANK(F345),MODE($F$2:$F$2001),F345)</f>
        <v>3</v>
      </c>
      <c r="H345">
        <v>794.59</v>
      </c>
      <c r="I345">
        <f>IF(ISBLANK(H345),AVERAGE($H$2:$H$2001),H345)</f>
        <v>794.59</v>
      </c>
      <c r="J345">
        <v>0.03</v>
      </c>
      <c r="K345">
        <f>IF(ISBLANK(J345),MODE($J$2:$J$2001),J345)</f>
        <v>0.03</v>
      </c>
      <c r="L345" t="s">
        <v>1826</v>
      </c>
      <c r="M345">
        <v>2312.2568999999999</v>
      </c>
      <c r="N345">
        <f t="shared" si="5"/>
        <v>2312.2568999999999</v>
      </c>
      <c r="O345" t="str">
        <f>_xlfn.XLOOKUP(Sales_fact[[#This Row],[Customer_ID]],'Customer_Dim'!A:A,'Customer_Dim'!K:K,"Not Found")</f>
        <v>UNKNOWN</v>
      </c>
      <c r="P345">
        <f>_xlfn.XLOOKUP(Sales_fact[[#This Row],[Customer_ID]],'Customer_Dim'!A:A, 'Customer_Dim'!E:E, "Not Found")</f>
        <v>31</v>
      </c>
      <c r="Q345" t="str">
        <f>VLOOKUP(Sales_fact[[#This Row],[Customer_ID]], 'Customer_Dim'!A:F, 6, FALSE)</f>
        <v>Male</v>
      </c>
      <c r="R345" s="13" t="str">
        <f>_xlfn.XLOOKUP(Sales_fact[[#This Row],[Product_ID]],Product_Dim!A:A,Product_Dim!C:C,"OTHERS")</f>
        <v>Sports</v>
      </c>
    </row>
    <row r="346" spans="1:18" x14ac:dyDescent="0.3">
      <c r="A346" t="s">
        <v>2170</v>
      </c>
      <c r="B346" s="2">
        <v>45224</v>
      </c>
      <c r="C346" t="s">
        <v>67</v>
      </c>
      <c r="D346" t="s">
        <v>1600</v>
      </c>
      <c r="E346" t="str">
        <f ca="1">TRIM(Sales_fact[[#This Row],[Store_ID]])</f>
        <v>STORE9</v>
      </c>
      <c r="F346">
        <v>1</v>
      </c>
      <c r="G346">
        <f>IF(ISBLANK(F346),MODE($F$2:$F$2001),F346)</f>
        <v>1</v>
      </c>
      <c r="H346">
        <v>907.95</v>
      </c>
      <c r="I346">
        <f>IF(ISBLANK(H346),AVERAGE($H$2:$H$2001),H346)</f>
        <v>907.95</v>
      </c>
      <c r="J346">
        <v>0.1</v>
      </c>
      <c r="K346">
        <f>IF(ISBLANK(J346),MODE($J$2:$J$2001),J346)</f>
        <v>0.1</v>
      </c>
      <c r="L346" t="s">
        <v>1826</v>
      </c>
      <c r="M346">
        <v>817.15500000000009</v>
      </c>
      <c r="N346">
        <f t="shared" si="5"/>
        <v>817.15500000000009</v>
      </c>
      <c r="O346" t="str">
        <f>_xlfn.XLOOKUP(Sales_fact[[#This Row],[Customer_ID]],'Customer_Dim'!A:A,'Customer_Dim'!K:K,"Not Found")</f>
        <v>Silver</v>
      </c>
      <c r="P346">
        <f>_xlfn.XLOOKUP(Sales_fact[[#This Row],[Customer_ID]],'Customer_Dim'!A:A, 'Customer_Dim'!E:E, "Not Found")</f>
        <v>53</v>
      </c>
      <c r="Q346" t="str">
        <f>VLOOKUP(Sales_fact[[#This Row],[Customer_ID]], 'Customer_Dim'!A:F, 6, FALSE)</f>
        <v>Female</v>
      </c>
      <c r="R346" s="13" t="str">
        <f>_xlfn.XLOOKUP(Sales_fact[[#This Row],[Product_ID]],Product_Dim!A:A,Product_Dim!C:C,"OTHERS")</f>
        <v>Electronics</v>
      </c>
    </row>
    <row r="347" spans="1:18" x14ac:dyDescent="0.3">
      <c r="A347" t="s">
        <v>2171</v>
      </c>
      <c r="B347" s="2">
        <v>45940</v>
      </c>
      <c r="C347" t="s">
        <v>911</v>
      </c>
      <c r="D347" t="s">
        <v>1648</v>
      </c>
      <c r="E347" t="str">
        <f ca="1">TRIM(Sales_fact[[#This Row],[Store_ID]])</f>
        <v>STORE0</v>
      </c>
      <c r="F347">
        <v>2</v>
      </c>
      <c r="G347">
        <f>IF(ISBLANK(F347),MODE($F$2:$F$2001),F347)</f>
        <v>2</v>
      </c>
      <c r="H347">
        <v>660.81</v>
      </c>
      <c r="I347">
        <f>IF(ISBLANK(H347),AVERAGE($H$2:$H$2001),H347)</f>
        <v>660.81</v>
      </c>
      <c r="J347">
        <v>0.18</v>
      </c>
      <c r="K347">
        <f>IF(ISBLANK(J347),MODE($J$2:$J$2001),J347)</f>
        <v>0.18</v>
      </c>
      <c r="L347" t="s">
        <v>1824</v>
      </c>
      <c r="M347">
        <v>1083.7284</v>
      </c>
      <c r="N347">
        <f t="shared" si="5"/>
        <v>1083.7284</v>
      </c>
      <c r="O347" t="str">
        <f>_xlfn.XLOOKUP(Sales_fact[[#This Row],[Customer_ID]],'Customer_Dim'!A:A,'Customer_Dim'!K:K,"Not Found")</f>
        <v>Gold</v>
      </c>
      <c r="P347">
        <f>_xlfn.XLOOKUP(Sales_fact[[#This Row],[Customer_ID]],'Customer_Dim'!A:A, 'Customer_Dim'!E:E, "Not Found")</f>
        <v>22</v>
      </c>
      <c r="Q347" t="str">
        <f>VLOOKUP(Sales_fact[[#This Row],[Customer_ID]], 'Customer_Dim'!A:F, 6, FALSE)</f>
        <v>Female</v>
      </c>
      <c r="R347" s="13" t="str">
        <f>_xlfn.XLOOKUP(Sales_fact[[#This Row],[Product_ID]],Product_Dim!A:A,Product_Dim!C:C,"OTHERS")</f>
        <v>Sports</v>
      </c>
    </row>
    <row r="348" spans="1:18" x14ac:dyDescent="0.3">
      <c r="A348" t="s">
        <v>2172</v>
      </c>
      <c r="B348" s="2">
        <v>45915</v>
      </c>
      <c r="C348" t="s">
        <v>227</v>
      </c>
      <c r="D348" t="s">
        <v>1650</v>
      </c>
      <c r="E348" t="str">
        <f ca="1">TRIM(Sales_fact[[#This Row],[Store_ID]])</f>
        <v>STORE8</v>
      </c>
      <c r="F348">
        <v>3</v>
      </c>
      <c r="G348">
        <f>IF(ISBLANK(F348),MODE($F$2:$F$2001),F348)</f>
        <v>3</v>
      </c>
      <c r="H348">
        <v>564.94000000000005</v>
      </c>
      <c r="I348">
        <f>IF(ISBLANK(H348),AVERAGE($H$2:$H$2001),H348)</f>
        <v>564.94000000000005</v>
      </c>
      <c r="J348">
        <v>0.22</v>
      </c>
      <c r="K348">
        <f>IF(ISBLANK(J348),MODE($J$2:$J$2001),J348)</f>
        <v>0.22</v>
      </c>
      <c r="L348" t="s">
        <v>1829</v>
      </c>
      <c r="M348">
        <v>1321.9595999999999</v>
      </c>
      <c r="N348">
        <f t="shared" si="5"/>
        <v>1321.9596000000001</v>
      </c>
      <c r="O348" t="str">
        <f>_xlfn.XLOOKUP(Sales_fact[[#This Row],[Customer_ID]],'Customer_Dim'!A:A,'Customer_Dim'!K:K,"Not Found")</f>
        <v>Silver</v>
      </c>
      <c r="P348">
        <f>_xlfn.XLOOKUP(Sales_fact[[#This Row],[Customer_ID]],'Customer_Dim'!A:A, 'Customer_Dim'!E:E, "Not Found")</f>
        <v>23</v>
      </c>
      <c r="Q348" t="str">
        <f>VLOOKUP(Sales_fact[[#This Row],[Customer_ID]], 'Customer_Dim'!A:F, 6, FALSE)</f>
        <v>Male</v>
      </c>
      <c r="R348" s="13" t="str">
        <f>_xlfn.XLOOKUP(Sales_fact[[#This Row],[Product_ID]],Product_Dim!A:A,Product_Dim!C:C,"OTHERS")</f>
        <v>Electronics</v>
      </c>
    </row>
    <row r="349" spans="1:18" x14ac:dyDescent="0.3">
      <c r="A349" t="s">
        <v>2173</v>
      </c>
      <c r="B349" s="2">
        <v>45541</v>
      </c>
      <c r="C349" t="s">
        <v>205</v>
      </c>
      <c r="D349" t="s">
        <v>1578</v>
      </c>
      <c r="E349" t="str">
        <f ca="1">TRIM(Sales_fact[[#This Row],[Store_ID]])</f>
        <v>STORE15</v>
      </c>
      <c r="F349">
        <v>2</v>
      </c>
      <c r="G349">
        <f>IF(ISBLANK(F349),MODE($F$2:$F$2001),F349)</f>
        <v>2</v>
      </c>
      <c r="H349">
        <v>280.37</v>
      </c>
      <c r="I349">
        <f>IF(ISBLANK(H349),AVERAGE($H$2:$H$2001),H349)</f>
        <v>280.37</v>
      </c>
      <c r="J349">
        <v>0.22</v>
      </c>
      <c r="K349">
        <f>IF(ISBLANK(J349),MODE($J$2:$J$2001),J349)</f>
        <v>0.22</v>
      </c>
      <c r="L349" t="s">
        <v>1829</v>
      </c>
      <c r="M349">
        <v>437.37720000000002</v>
      </c>
      <c r="N349">
        <f t="shared" si="5"/>
        <v>437.37720000000002</v>
      </c>
      <c r="O349" t="str">
        <f>_xlfn.XLOOKUP(Sales_fact[[#This Row],[Customer_ID]],'Customer_Dim'!A:A,'Customer_Dim'!K:K,"Not Found")</f>
        <v>Platinum</v>
      </c>
      <c r="P349">
        <f>_xlfn.XLOOKUP(Sales_fact[[#This Row],[Customer_ID]],'Customer_Dim'!A:A, 'Customer_Dim'!E:E, "Not Found")</f>
        <v>24</v>
      </c>
      <c r="Q349" t="str">
        <f>VLOOKUP(Sales_fact[[#This Row],[Customer_ID]], 'Customer_Dim'!A:F, 6, FALSE)</f>
        <v>Male</v>
      </c>
      <c r="R349" s="13" t="str">
        <f>_xlfn.XLOOKUP(Sales_fact[[#This Row],[Product_ID]],Product_Dim!A:A,Product_Dim!C:C,"OTHERS")</f>
        <v>Electronics</v>
      </c>
    </row>
    <row r="350" spans="1:18" x14ac:dyDescent="0.3">
      <c r="A350" t="s">
        <v>2174</v>
      </c>
      <c r="B350" s="2">
        <v>45489</v>
      </c>
      <c r="C350" t="s">
        <v>1163</v>
      </c>
      <c r="D350" t="s">
        <v>1648</v>
      </c>
      <c r="E350" t="str">
        <f ca="1">TRIM(Sales_fact[[#This Row],[Store_ID]])</f>
        <v>STORE3</v>
      </c>
      <c r="F350">
        <v>2</v>
      </c>
      <c r="G350">
        <f>IF(ISBLANK(F350),MODE($F$2:$F$2001),F350)</f>
        <v>2</v>
      </c>
      <c r="H350">
        <v>85.23</v>
      </c>
      <c r="I350">
        <f>IF(ISBLANK(H350),AVERAGE($H$2:$H$2001),H350)</f>
        <v>85.23</v>
      </c>
      <c r="J350">
        <v>0.13</v>
      </c>
      <c r="K350">
        <f>IF(ISBLANK(J350),MODE($J$2:$J$2001),J350)</f>
        <v>0.13</v>
      </c>
      <c r="L350" t="s">
        <v>1824</v>
      </c>
      <c r="M350">
        <v>148.30019999999999</v>
      </c>
      <c r="N350">
        <f t="shared" si="5"/>
        <v>148.30020000000002</v>
      </c>
      <c r="O350" t="str">
        <f>_xlfn.XLOOKUP(Sales_fact[[#This Row],[Customer_ID]],'Customer_Dim'!A:A,'Customer_Dim'!K:K,"Not Found")</f>
        <v>Bronze</v>
      </c>
      <c r="P350">
        <f>_xlfn.XLOOKUP(Sales_fact[[#This Row],[Customer_ID]],'Customer_Dim'!A:A, 'Customer_Dim'!E:E, "Not Found")</f>
        <v>28</v>
      </c>
      <c r="Q350" t="str">
        <f>VLOOKUP(Sales_fact[[#This Row],[Customer_ID]], 'Customer_Dim'!A:F, 6, FALSE)</f>
        <v>Male</v>
      </c>
      <c r="R350" s="13" t="str">
        <f>_xlfn.XLOOKUP(Sales_fact[[#This Row],[Product_ID]],Product_Dim!A:A,Product_Dim!C:C,"OTHERS")</f>
        <v>Sports</v>
      </c>
    </row>
    <row r="351" spans="1:18" x14ac:dyDescent="0.3">
      <c r="A351" t="s">
        <v>2175</v>
      </c>
      <c r="B351" s="2">
        <v>45748</v>
      </c>
      <c r="C351" t="s">
        <v>984</v>
      </c>
      <c r="D351" t="s">
        <v>1602</v>
      </c>
      <c r="E351" t="str">
        <f ca="1">TRIM(Sales_fact[[#This Row],[Store_ID]])</f>
        <v>STORE13</v>
      </c>
      <c r="F351">
        <v>2</v>
      </c>
      <c r="G351">
        <f>IF(ISBLANK(F351),MODE($F$2:$F$2001),F351)</f>
        <v>2</v>
      </c>
      <c r="H351">
        <v>563.29999999999995</v>
      </c>
      <c r="I351">
        <f>IF(ISBLANK(H351),AVERAGE($H$2:$H$2001),H351)</f>
        <v>563.29999999999995</v>
      </c>
      <c r="J351">
        <v>0.26</v>
      </c>
      <c r="K351">
        <f>IF(ISBLANK(J351),MODE($J$2:$J$2001),J351)</f>
        <v>0.26</v>
      </c>
      <c r="L351" t="s">
        <v>1824</v>
      </c>
      <c r="M351">
        <v>833.68399999999997</v>
      </c>
      <c r="N351">
        <f t="shared" si="5"/>
        <v>833.68399999999997</v>
      </c>
      <c r="O351" t="str">
        <f>_xlfn.XLOOKUP(Sales_fact[[#This Row],[Customer_ID]],'Customer_Dim'!A:A,'Customer_Dim'!K:K,"Not Found")</f>
        <v>Silver</v>
      </c>
      <c r="P351">
        <f>_xlfn.XLOOKUP(Sales_fact[[#This Row],[Customer_ID]],'Customer_Dim'!A:A, 'Customer_Dim'!E:E, "Not Found")</f>
        <v>47</v>
      </c>
      <c r="Q351" t="str">
        <f>VLOOKUP(Sales_fact[[#This Row],[Customer_ID]], 'Customer_Dim'!A:F, 6, FALSE)</f>
        <v>Female</v>
      </c>
      <c r="R351" s="13" t="str">
        <f>_xlfn.XLOOKUP(Sales_fact[[#This Row],[Product_ID]],Product_Dim!A:A,Product_Dim!C:C,"OTHERS")</f>
        <v>Home</v>
      </c>
    </row>
    <row r="352" spans="1:18" x14ac:dyDescent="0.3">
      <c r="A352" t="s">
        <v>2176</v>
      </c>
      <c r="B352" s="2">
        <v>45309</v>
      </c>
      <c r="C352" t="s">
        <v>134</v>
      </c>
      <c r="D352" t="s">
        <v>1708</v>
      </c>
      <c r="E352" t="str">
        <f ca="1">TRIM(Sales_fact[[#This Row],[Store_ID]])</f>
        <v>STORE18</v>
      </c>
      <c r="F352">
        <v>2</v>
      </c>
      <c r="G352">
        <f>IF(ISBLANK(F352),MODE($F$2:$F$2001),F352)</f>
        <v>2</v>
      </c>
      <c r="H352">
        <v>827.81</v>
      </c>
      <c r="I352">
        <f>IF(ISBLANK(H352),AVERAGE($H$2:$H$2001),H352)</f>
        <v>827.81</v>
      </c>
      <c r="J352">
        <v>0.04</v>
      </c>
      <c r="K352">
        <f>IF(ISBLANK(J352),MODE($J$2:$J$2001),J352)</f>
        <v>0.04</v>
      </c>
      <c r="L352" t="s">
        <v>1826</v>
      </c>
      <c r="M352">
        <v>1589.3951999999999</v>
      </c>
      <c r="N352">
        <f t="shared" si="5"/>
        <v>1589.3951999999999</v>
      </c>
      <c r="O352" t="str">
        <f>_xlfn.XLOOKUP(Sales_fact[[#This Row],[Customer_ID]],'Customer_Dim'!A:A,'Customer_Dim'!K:K,"Not Found")</f>
        <v>Platinum</v>
      </c>
      <c r="P352">
        <f>_xlfn.XLOOKUP(Sales_fact[[#This Row],[Customer_ID]],'Customer_Dim'!A:A, 'Customer_Dim'!E:E, "Not Found")</f>
        <v>25</v>
      </c>
      <c r="Q352" t="str">
        <f>VLOOKUP(Sales_fact[[#This Row],[Customer_ID]], 'Customer_Dim'!A:F, 6, FALSE)</f>
        <v>Male</v>
      </c>
      <c r="R352" s="13" t="str">
        <f>_xlfn.XLOOKUP(Sales_fact[[#This Row],[Product_ID]],Product_Dim!A:A,Product_Dim!C:C,"OTHERS")</f>
        <v>Home</v>
      </c>
    </row>
    <row r="353" spans="1:18" x14ac:dyDescent="0.3">
      <c r="A353" t="s">
        <v>2177</v>
      </c>
      <c r="B353" s="2">
        <v>45621</v>
      </c>
      <c r="C353" t="s">
        <v>696</v>
      </c>
      <c r="D353" t="s">
        <v>1572</v>
      </c>
      <c r="E353" t="str">
        <f ca="1">TRIM(Sales_fact[[#This Row],[Store_ID]])</f>
        <v>STORE18</v>
      </c>
      <c r="F353">
        <v>3</v>
      </c>
      <c r="G353">
        <f>IF(ISBLANK(F353),MODE($F$2:$F$2001),F353)</f>
        <v>3</v>
      </c>
      <c r="H353">
        <v>877.71</v>
      </c>
      <c r="I353">
        <f>IF(ISBLANK(H353),AVERAGE($H$2:$H$2001),H353)</f>
        <v>877.71</v>
      </c>
      <c r="J353">
        <v>0.12</v>
      </c>
      <c r="K353">
        <f>IF(ISBLANK(J353),MODE($J$2:$J$2001),J353)</f>
        <v>0.12</v>
      </c>
      <c r="L353" t="s">
        <v>1826</v>
      </c>
      <c r="M353">
        <v>2317.1543999999999</v>
      </c>
      <c r="N353">
        <f t="shared" si="5"/>
        <v>2317.1543999999999</v>
      </c>
      <c r="O353" t="str">
        <f>_xlfn.XLOOKUP(Sales_fact[[#This Row],[Customer_ID]],'Customer_Dim'!A:A,'Customer_Dim'!K:K,"Not Found")</f>
        <v>Gold</v>
      </c>
      <c r="P353">
        <f>_xlfn.XLOOKUP(Sales_fact[[#This Row],[Customer_ID]],'Customer_Dim'!A:A, 'Customer_Dim'!E:E, "Not Found")</f>
        <v>61</v>
      </c>
      <c r="Q353" t="str">
        <f>VLOOKUP(Sales_fact[[#This Row],[Customer_ID]], 'Customer_Dim'!A:F, 6, FALSE)</f>
        <v>Male</v>
      </c>
      <c r="R353" s="13" t="str">
        <f>_xlfn.XLOOKUP(Sales_fact[[#This Row],[Product_ID]],Product_Dim!A:A,Product_Dim!C:C,"OTHERS")</f>
        <v>Beauty</v>
      </c>
    </row>
    <row r="354" spans="1:18" x14ac:dyDescent="0.3">
      <c r="A354" t="s">
        <v>2178</v>
      </c>
      <c r="B354" s="2">
        <v>45603</v>
      </c>
      <c r="C354" t="s">
        <v>821</v>
      </c>
      <c r="D354" t="s">
        <v>1662</v>
      </c>
      <c r="E354" t="str">
        <f ca="1">TRIM(Sales_fact[[#This Row],[Store_ID]])</f>
        <v>STORE9</v>
      </c>
      <c r="F354">
        <v>4</v>
      </c>
      <c r="G354">
        <f>IF(ISBLANK(F354),MODE($F$2:$F$2001),F354)</f>
        <v>4</v>
      </c>
      <c r="H354">
        <v>488.56</v>
      </c>
      <c r="I354">
        <f>IF(ISBLANK(H354),AVERAGE($H$2:$H$2001),H354)</f>
        <v>488.56</v>
      </c>
      <c r="J354">
        <v>0.26</v>
      </c>
      <c r="K354">
        <f>IF(ISBLANK(J354),MODE($J$2:$J$2001),J354)</f>
        <v>0.26</v>
      </c>
      <c r="L354" t="s">
        <v>1829</v>
      </c>
      <c r="M354">
        <v>1446.1376</v>
      </c>
      <c r="N354">
        <f t="shared" si="5"/>
        <v>1446.1376</v>
      </c>
      <c r="O354" t="str">
        <f>_xlfn.XLOOKUP(Sales_fact[[#This Row],[Customer_ID]],'Customer_Dim'!A:A,'Customer_Dim'!K:K,"Not Found")</f>
        <v>Silver</v>
      </c>
      <c r="P354">
        <f>_xlfn.XLOOKUP(Sales_fact[[#This Row],[Customer_ID]],'Customer_Dim'!A:A, 'Customer_Dim'!E:E, "Not Found")</f>
        <v>42</v>
      </c>
      <c r="Q354" t="str">
        <f>VLOOKUP(Sales_fact[[#This Row],[Customer_ID]], 'Customer_Dim'!A:F, 6, FALSE)</f>
        <v>Male</v>
      </c>
      <c r="R354" s="13" t="str">
        <f>_xlfn.XLOOKUP(Sales_fact[[#This Row],[Product_ID]],Product_Dim!A:A,Product_Dim!C:C,"OTHERS")</f>
        <v>Sports</v>
      </c>
    </row>
    <row r="355" spans="1:18" x14ac:dyDescent="0.3">
      <c r="A355" t="s">
        <v>2179</v>
      </c>
      <c r="B355" s="2">
        <v>45501</v>
      </c>
      <c r="C355" t="s">
        <v>369</v>
      </c>
      <c r="D355" t="s">
        <v>1598</v>
      </c>
      <c r="E355" t="str">
        <f ca="1">TRIM(Sales_fact[[#This Row],[Store_ID]])</f>
        <v>STORE12</v>
      </c>
      <c r="F355">
        <v>4</v>
      </c>
      <c r="G355">
        <f>IF(ISBLANK(F355),MODE($F$2:$F$2001),F355)</f>
        <v>4</v>
      </c>
      <c r="H355">
        <v>175.91</v>
      </c>
      <c r="I355">
        <f>IF(ISBLANK(H355),AVERAGE($H$2:$H$2001),H355)</f>
        <v>175.91</v>
      </c>
      <c r="J355">
        <v>0.13</v>
      </c>
      <c r="K355">
        <f>IF(ISBLANK(J355),MODE($J$2:$J$2001),J355)</f>
        <v>0.13</v>
      </c>
      <c r="L355" t="s">
        <v>1826</v>
      </c>
      <c r="M355">
        <v>612.16679999999997</v>
      </c>
      <c r="N355">
        <f t="shared" si="5"/>
        <v>612.16679999999997</v>
      </c>
      <c r="O355" t="str">
        <f>_xlfn.XLOOKUP(Sales_fact[[#This Row],[Customer_ID]],'Customer_Dim'!A:A,'Customer_Dim'!K:K,"Not Found")</f>
        <v>Silver</v>
      </c>
      <c r="P355">
        <f>_xlfn.XLOOKUP(Sales_fact[[#This Row],[Customer_ID]],'Customer_Dim'!A:A, 'Customer_Dim'!E:E, "Not Found")</f>
        <v>64</v>
      </c>
      <c r="Q355" t="str">
        <f>VLOOKUP(Sales_fact[[#This Row],[Customer_ID]], 'Customer_Dim'!A:F, 6, FALSE)</f>
        <v>Male</v>
      </c>
      <c r="R355" s="13" t="str">
        <f>_xlfn.XLOOKUP(Sales_fact[[#This Row],[Product_ID]],Product_Dim!A:A,Product_Dim!C:C,"OTHERS")</f>
        <v>Clothing</v>
      </c>
    </row>
    <row r="356" spans="1:18" x14ac:dyDescent="0.3">
      <c r="A356" t="s">
        <v>2180</v>
      </c>
      <c r="B356" s="2">
        <v>45398</v>
      </c>
      <c r="C356" t="s">
        <v>794</v>
      </c>
      <c r="D356" t="s">
        <v>1722</v>
      </c>
      <c r="E356" t="str">
        <f ca="1">TRIM(Sales_fact[[#This Row],[Store_ID]])</f>
        <v>STORE8</v>
      </c>
      <c r="F356">
        <v>4</v>
      </c>
      <c r="G356">
        <f>IF(ISBLANK(F356),MODE($F$2:$F$2001),F356)</f>
        <v>4</v>
      </c>
      <c r="H356">
        <v>289.66000000000003</v>
      </c>
      <c r="I356">
        <f>IF(ISBLANK(H356),AVERAGE($H$2:$H$2001),H356)</f>
        <v>289.66000000000003</v>
      </c>
      <c r="J356">
        <v>0.25</v>
      </c>
      <c r="K356">
        <f>IF(ISBLANK(J356),MODE($J$2:$J$2001),J356)</f>
        <v>0.25</v>
      </c>
      <c r="L356" t="s">
        <v>1829</v>
      </c>
      <c r="M356">
        <v>868.98</v>
      </c>
      <c r="N356">
        <f t="shared" si="5"/>
        <v>868.98</v>
      </c>
      <c r="O356" t="str">
        <f>_xlfn.XLOOKUP(Sales_fact[[#This Row],[Customer_ID]],'Customer_Dim'!A:A,'Customer_Dim'!K:K,"Not Found")</f>
        <v>Gold</v>
      </c>
      <c r="P356">
        <f>_xlfn.XLOOKUP(Sales_fact[[#This Row],[Customer_ID]],'Customer_Dim'!A:A, 'Customer_Dim'!E:E, "Not Found")</f>
        <v>19</v>
      </c>
      <c r="Q356" t="str">
        <f>VLOOKUP(Sales_fact[[#This Row],[Customer_ID]], 'Customer_Dim'!A:F, 6, FALSE)</f>
        <v>Male</v>
      </c>
      <c r="R356" s="13" t="str">
        <f>_xlfn.XLOOKUP(Sales_fact[[#This Row],[Product_ID]],Product_Dim!A:A,Product_Dim!C:C,"OTHERS")</f>
        <v>Home</v>
      </c>
    </row>
    <row r="357" spans="1:18" x14ac:dyDescent="0.3">
      <c r="A357" t="s">
        <v>2181</v>
      </c>
      <c r="B357" s="2">
        <v>45304</v>
      </c>
      <c r="C357" t="s">
        <v>773</v>
      </c>
      <c r="D357" t="s">
        <v>1578</v>
      </c>
      <c r="E357" t="str">
        <f ca="1">TRIM(Sales_fact[[#This Row],[Store_ID]])</f>
        <v>STORE15</v>
      </c>
      <c r="F357">
        <v>2</v>
      </c>
      <c r="G357">
        <f>IF(ISBLANK(F357),MODE($F$2:$F$2001),F357)</f>
        <v>2</v>
      </c>
      <c r="H357">
        <v>899.27</v>
      </c>
      <c r="I357">
        <f>IF(ISBLANK(H357),AVERAGE($H$2:$H$2001),H357)</f>
        <v>899.27</v>
      </c>
      <c r="J357">
        <v>0.17</v>
      </c>
      <c r="K357">
        <f>IF(ISBLANK(J357),MODE($J$2:$J$2001),J357)</f>
        <v>0.17</v>
      </c>
      <c r="L357" t="s">
        <v>1824</v>
      </c>
      <c r="M357">
        <v>1492.7882</v>
      </c>
      <c r="N357">
        <f t="shared" si="5"/>
        <v>1492.7882</v>
      </c>
      <c r="O357" t="str">
        <f>_xlfn.XLOOKUP(Sales_fact[[#This Row],[Customer_ID]],'Customer_Dim'!A:A,'Customer_Dim'!K:K,"Not Found")</f>
        <v>Platinum</v>
      </c>
      <c r="P357">
        <f>_xlfn.XLOOKUP(Sales_fact[[#This Row],[Customer_ID]],'Customer_Dim'!A:A, 'Customer_Dim'!E:E, "Not Found")</f>
        <v>31</v>
      </c>
      <c r="Q357" t="str">
        <f>VLOOKUP(Sales_fact[[#This Row],[Customer_ID]], 'Customer_Dim'!A:F, 6, FALSE)</f>
        <v>Male</v>
      </c>
      <c r="R357" s="13" t="str">
        <f>_xlfn.XLOOKUP(Sales_fact[[#This Row],[Product_ID]],Product_Dim!A:A,Product_Dim!C:C,"OTHERS")</f>
        <v>Electronics</v>
      </c>
    </row>
    <row r="358" spans="1:18" x14ac:dyDescent="0.3">
      <c r="A358" t="s">
        <v>2182</v>
      </c>
      <c r="B358" s="2">
        <v>45299</v>
      </c>
      <c r="C358" t="s">
        <v>241</v>
      </c>
      <c r="D358" t="s">
        <v>1584</v>
      </c>
      <c r="E358" t="str">
        <f ca="1">TRIM(Sales_fact[[#This Row],[Store_ID]])</f>
        <v>STORE1</v>
      </c>
      <c r="F358">
        <v>1</v>
      </c>
      <c r="G358">
        <f>IF(ISBLANK(F358),MODE($F$2:$F$2001),F358)</f>
        <v>1</v>
      </c>
      <c r="H358">
        <v>691.38</v>
      </c>
      <c r="I358">
        <f>IF(ISBLANK(H358),AVERAGE($H$2:$H$2001),H358)</f>
        <v>691.38</v>
      </c>
      <c r="J358">
        <v>0.11</v>
      </c>
      <c r="K358">
        <f>IF(ISBLANK(J358),MODE($J$2:$J$2001),J358)</f>
        <v>0.11</v>
      </c>
      <c r="L358" t="s">
        <v>1829</v>
      </c>
      <c r="M358">
        <v>615.32820000000004</v>
      </c>
      <c r="N358">
        <f t="shared" si="5"/>
        <v>615.32820000000004</v>
      </c>
      <c r="O358" t="str">
        <f>_xlfn.XLOOKUP(Sales_fact[[#This Row],[Customer_ID]],'Customer_Dim'!A:A,'Customer_Dim'!K:K,"Not Found")</f>
        <v>Silver</v>
      </c>
      <c r="P358">
        <f>_xlfn.XLOOKUP(Sales_fact[[#This Row],[Customer_ID]],'Customer_Dim'!A:A, 'Customer_Dim'!E:E, "Not Found")</f>
        <v>21</v>
      </c>
      <c r="Q358" t="str">
        <f>VLOOKUP(Sales_fact[[#This Row],[Customer_ID]], 'Customer_Dim'!A:F, 6, FALSE)</f>
        <v>Female</v>
      </c>
      <c r="R358" s="13" t="str">
        <f>_xlfn.XLOOKUP(Sales_fact[[#This Row],[Product_ID]],Product_Dim!A:A,Product_Dim!C:C,"OTHERS")</f>
        <v>Clothing</v>
      </c>
    </row>
    <row r="359" spans="1:18" x14ac:dyDescent="0.3">
      <c r="A359" t="s">
        <v>2183</v>
      </c>
      <c r="B359" s="2">
        <v>45564</v>
      </c>
      <c r="C359" t="s">
        <v>550</v>
      </c>
      <c r="D359" t="s">
        <v>1602</v>
      </c>
      <c r="E359" t="str">
        <f ca="1">TRIM(Sales_fact[[#This Row],[Store_ID]])</f>
        <v>STORE0</v>
      </c>
      <c r="F359">
        <v>3</v>
      </c>
      <c r="G359">
        <f>IF(ISBLANK(F359),MODE($F$2:$F$2001),F359)</f>
        <v>3</v>
      </c>
      <c r="H359">
        <v>158.72</v>
      </c>
      <c r="I359">
        <f>IF(ISBLANK(H359),AVERAGE($H$2:$H$2001),H359)</f>
        <v>158.72</v>
      </c>
      <c r="J359">
        <v>0.13</v>
      </c>
      <c r="K359">
        <f>IF(ISBLANK(J359),MODE($J$2:$J$2001),J359)</f>
        <v>0.13</v>
      </c>
      <c r="L359" t="s">
        <v>1824</v>
      </c>
      <c r="M359">
        <v>414.25920000000002</v>
      </c>
      <c r="N359">
        <f t="shared" si="5"/>
        <v>414.25919999999996</v>
      </c>
      <c r="O359" t="str">
        <f>_xlfn.XLOOKUP(Sales_fact[[#This Row],[Customer_ID]],'Customer_Dim'!A:A,'Customer_Dim'!K:K,"Not Found")</f>
        <v>Platinum</v>
      </c>
      <c r="P359">
        <f>_xlfn.XLOOKUP(Sales_fact[[#This Row],[Customer_ID]],'Customer_Dim'!A:A, 'Customer_Dim'!E:E, "Not Found")</f>
        <v>47</v>
      </c>
      <c r="Q359" t="str">
        <f>VLOOKUP(Sales_fact[[#This Row],[Customer_ID]], 'Customer_Dim'!A:F, 6, FALSE)</f>
        <v>Female</v>
      </c>
      <c r="R359" s="13" t="str">
        <f>_xlfn.XLOOKUP(Sales_fact[[#This Row],[Product_ID]],Product_Dim!A:A,Product_Dim!C:C,"OTHERS")</f>
        <v>Home</v>
      </c>
    </row>
    <row r="360" spans="1:18" x14ac:dyDescent="0.3">
      <c r="A360" t="s">
        <v>2184</v>
      </c>
      <c r="B360" s="2">
        <v>45413</v>
      </c>
      <c r="C360" t="s">
        <v>684</v>
      </c>
      <c r="D360" t="s">
        <v>1668</v>
      </c>
      <c r="E360" t="str">
        <f ca="1">TRIM(Sales_fact[[#This Row],[Store_ID]])</f>
        <v>STORE16</v>
      </c>
      <c r="F360">
        <v>4</v>
      </c>
      <c r="G360">
        <f>IF(ISBLANK(F360),MODE($F$2:$F$2001),F360)</f>
        <v>4</v>
      </c>
      <c r="H360">
        <v>537.15</v>
      </c>
      <c r="I360">
        <f>IF(ISBLANK(H360),AVERAGE($H$2:$H$2001),H360)</f>
        <v>537.15</v>
      </c>
      <c r="J360">
        <v>0.06</v>
      </c>
      <c r="K360">
        <f>IF(ISBLANK(J360),MODE($J$2:$J$2001),J360)</f>
        <v>0.06</v>
      </c>
      <c r="L360" t="s">
        <v>1829</v>
      </c>
      <c r="M360">
        <v>2019.684</v>
      </c>
      <c r="N360">
        <f t="shared" si="5"/>
        <v>2019.6839999999997</v>
      </c>
      <c r="O360" t="str">
        <f>_xlfn.XLOOKUP(Sales_fact[[#This Row],[Customer_ID]],'Customer_Dim'!A:A,'Customer_Dim'!K:K,"Not Found")</f>
        <v>Silver</v>
      </c>
      <c r="P360">
        <f>_xlfn.XLOOKUP(Sales_fact[[#This Row],[Customer_ID]],'Customer_Dim'!A:A, 'Customer_Dim'!E:E, "Not Found")</f>
        <v>48</v>
      </c>
      <c r="Q360" t="str">
        <f>VLOOKUP(Sales_fact[[#This Row],[Customer_ID]], 'Customer_Dim'!A:F, 6, FALSE)</f>
        <v>Male</v>
      </c>
      <c r="R360" s="13" t="str">
        <f>_xlfn.XLOOKUP(Sales_fact[[#This Row],[Product_ID]],Product_Dim!A:A,Product_Dim!C:C,"OTHERS")</f>
        <v>Beauty</v>
      </c>
    </row>
    <row r="361" spans="1:18" x14ac:dyDescent="0.3">
      <c r="A361" t="s">
        <v>2185</v>
      </c>
      <c r="B361" s="2">
        <v>45480</v>
      </c>
      <c r="C361" t="s">
        <v>1295</v>
      </c>
      <c r="D361" t="s">
        <v>1630</v>
      </c>
      <c r="E361" t="str">
        <f ca="1">TRIM(Sales_fact[[#This Row],[Store_ID]])</f>
        <v>STORE9</v>
      </c>
      <c r="F361">
        <v>3</v>
      </c>
      <c r="G361">
        <f>IF(ISBLANK(F361),MODE($F$2:$F$2001),F361)</f>
        <v>3</v>
      </c>
      <c r="H361">
        <v>771.7</v>
      </c>
      <c r="I361">
        <f>IF(ISBLANK(H361),AVERAGE($H$2:$H$2001),H361)</f>
        <v>771.7</v>
      </c>
      <c r="J361">
        <v>0.05</v>
      </c>
      <c r="K361">
        <f>IF(ISBLANK(J361),MODE($J$2:$J$2001),J361)</f>
        <v>0.05</v>
      </c>
      <c r="L361" t="s">
        <v>1829</v>
      </c>
      <c r="M361">
        <v>2199.3449999999998</v>
      </c>
      <c r="N361">
        <f t="shared" si="5"/>
        <v>2199.3450000000003</v>
      </c>
      <c r="O361" t="str">
        <f>_xlfn.XLOOKUP(Sales_fact[[#This Row],[Customer_ID]],'Customer_Dim'!A:A,'Customer_Dim'!K:K,"Not Found")</f>
        <v>Bronze</v>
      </c>
      <c r="P361">
        <f>_xlfn.XLOOKUP(Sales_fact[[#This Row],[Customer_ID]],'Customer_Dim'!A:A, 'Customer_Dim'!E:E, "Not Found")</f>
        <v>64</v>
      </c>
      <c r="Q361" t="str">
        <f>VLOOKUP(Sales_fact[[#This Row],[Customer_ID]], 'Customer_Dim'!A:F, 6, FALSE)</f>
        <v>Female</v>
      </c>
      <c r="R361" s="13" t="str">
        <f>_xlfn.XLOOKUP(Sales_fact[[#This Row],[Product_ID]],Product_Dim!A:A,Product_Dim!C:C,"OTHERS")</f>
        <v>Sports</v>
      </c>
    </row>
    <row r="362" spans="1:18" x14ac:dyDescent="0.3">
      <c r="A362" t="s">
        <v>2186</v>
      </c>
      <c r="B362" s="2">
        <v>45610</v>
      </c>
      <c r="C362" t="s">
        <v>381</v>
      </c>
      <c r="D362" t="s">
        <v>1724</v>
      </c>
      <c r="E362" t="str">
        <f ca="1">TRIM(Sales_fact[[#This Row],[Store_ID]])</f>
        <v>STORE1</v>
      </c>
      <c r="F362">
        <v>4</v>
      </c>
      <c r="G362">
        <f>IF(ISBLANK(F362),MODE($F$2:$F$2001),F362)</f>
        <v>4</v>
      </c>
      <c r="H362">
        <v>677.25</v>
      </c>
      <c r="I362">
        <f>IF(ISBLANK(H362),AVERAGE($H$2:$H$2001),H362)</f>
        <v>677.25</v>
      </c>
      <c r="J362">
        <v>0.14000000000000001</v>
      </c>
      <c r="K362">
        <f>IF(ISBLANK(J362),MODE($J$2:$J$2001),J362)</f>
        <v>0.14000000000000001</v>
      </c>
      <c r="L362" t="s">
        <v>1826</v>
      </c>
      <c r="M362">
        <v>2329.7399999999998</v>
      </c>
      <c r="N362">
        <f t="shared" si="5"/>
        <v>2329.7399999999998</v>
      </c>
      <c r="O362" t="str">
        <f>_xlfn.XLOOKUP(Sales_fact[[#This Row],[Customer_ID]],'Customer_Dim'!A:A,'Customer_Dim'!K:K,"Not Found")</f>
        <v>Bronze</v>
      </c>
      <c r="P362">
        <f>_xlfn.XLOOKUP(Sales_fact[[#This Row],[Customer_ID]],'Customer_Dim'!A:A, 'Customer_Dim'!E:E, "Not Found")</f>
        <v>38</v>
      </c>
      <c r="Q362" t="str">
        <f>VLOOKUP(Sales_fact[[#This Row],[Customer_ID]], 'Customer_Dim'!A:F, 6, FALSE)</f>
        <v>Male</v>
      </c>
      <c r="R362" s="13" t="str">
        <f>_xlfn.XLOOKUP(Sales_fact[[#This Row],[Product_ID]],Product_Dim!A:A,Product_Dim!C:C,"OTHERS")</f>
        <v>Sports</v>
      </c>
    </row>
    <row r="363" spans="1:18" x14ac:dyDescent="0.3">
      <c r="A363" t="s">
        <v>2187</v>
      </c>
      <c r="B363" s="2">
        <v>45763</v>
      </c>
      <c r="C363" t="s">
        <v>363</v>
      </c>
      <c r="D363" t="s">
        <v>1744</v>
      </c>
      <c r="E363" t="str">
        <f ca="1">TRIM(Sales_fact[[#This Row],[Store_ID]])</f>
        <v>STORE11</v>
      </c>
      <c r="F363">
        <v>1</v>
      </c>
      <c r="G363">
        <f>IF(ISBLANK(F363),MODE($F$2:$F$2001),F363)</f>
        <v>1</v>
      </c>
      <c r="H363">
        <v>645.48</v>
      </c>
      <c r="I363">
        <f>IF(ISBLANK(H363),AVERAGE($H$2:$H$2001),H363)</f>
        <v>645.48</v>
      </c>
      <c r="J363">
        <v>0.26</v>
      </c>
      <c r="K363">
        <f>IF(ISBLANK(J363),MODE($J$2:$J$2001),J363)</f>
        <v>0.26</v>
      </c>
      <c r="L363" t="s">
        <v>1829</v>
      </c>
      <c r="M363">
        <v>477.65519999999998</v>
      </c>
      <c r="N363">
        <f t="shared" si="5"/>
        <v>477.65519999999998</v>
      </c>
      <c r="O363" t="str">
        <f>_xlfn.XLOOKUP(Sales_fact[[#This Row],[Customer_ID]],'Customer_Dim'!A:A,'Customer_Dim'!K:K,"Not Found")</f>
        <v>Bronze</v>
      </c>
      <c r="P363">
        <f>_xlfn.XLOOKUP(Sales_fact[[#This Row],[Customer_ID]],'Customer_Dim'!A:A, 'Customer_Dim'!E:E, "Not Found")</f>
        <v>34</v>
      </c>
      <c r="Q363" t="str">
        <f>VLOOKUP(Sales_fact[[#This Row],[Customer_ID]], 'Customer_Dim'!A:F, 6, FALSE)</f>
        <v>Female</v>
      </c>
      <c r="R363" s="13" t="str">
        <f>_xlfn.XLOOKUP(Sales_fact[[#This Row],[Product_ID]],Product_Dim!A:A,Product_Dim!C:C,"OTHERS")</f>
        <v>Electronics</v>
      </c>
    </row>
    <row r="364" spans="1:18" x14ac:dyDescent="0.3">
      <c r="A364" t="s">
        <v>2188</v>
      </c>
      <c r="B364" s="2">
        <v>45856</v>
      </c>
      <c r="C364" t="s">
        <v>1127</v>
      </c>
      <c r="D364" t="s">
        <v>1694</v>
      </c>
      <c r="E364" t="str">
        <f ca="1">TRIM(Sales_fact[[#This Row],[Store_ID]])</f>
        <v>STORE2</v>
      </c>
      <c r="F364">
        <v>2</v>
      </c>
      <c r="G364">
        <f>IF(ISBLANK(F364),MODE($F$2:$F$2001),F364)</f>
        <v>2</v>
      </c>
      <c r="H364">
        <v>934</v>
      </c>
      <c r="I364">
        <f>IF(ISBLANK(H364),AVERAGE($H$2:$H$2001),H364)</f>
        <v>934</v>
      </c>
      <c r="J364">
        <v>0.3</v>
      </c>
      <c r="K364">
        <f>IF(ISBLANK(J364),MODE($J$2:$J$2001),J364)</f>
        <v>0.3</v>
      </c>
      <c r="L364" t="s">
        <v>1829</v>
      </c>
      <c r="M364">
        <v>1307.5999999999999</v>
      </c>
      <c r="N364">
        <f t="shared" si="5"/>
        <v>1307.5999999999999</v>
      </c>
      <c r="O364" t="str">
        <f>_xlfn.XLOOKUP(Sales_fact[[#This Row],[Customer_ID]],'Customer_Dim'!A:A,'Customer_Dim'!K:K,"Not Found")</f>
        <v>Platinum</v>
      </c>
      <c r="P364">
        <f>_xlfn.XLOOKUP(Sales_fact[[#This Row],[Customer_ID]],'Customer_Dim'!A:A, 'Customer_Dim'!E:E, "Not Found")</f>
        <v>34</v>
      </c>
      <c r="Q364" t="str">
        <f>VLOOKUP(Sales_fact[[#This Row],[Customer_ID]], 'Customer_Dim'!A:F, 6, FALSE)</f>
        <v>Male</v>
      </c>
      <c r="R364" s="13" t="str">
        <f>_xlfn.XLOOKUP(Sales_fact[[#This Row],[Product_ID]],Product_Dim!A:A,Product_Dim!C:C,"OTHERS")</f>
        <v>Sports</v>
      </c>
    </row>
    <row r="365" spans="1:18" x14ac:dyDescent="0.3">
      <c r="A365" t="s">
        <v>2189</v>
      </c>
      <c r="B365" s="2">
        <v>45712</v>
      </c>
      <c r="C365" t="s">
        <v>1050</v>
      </c>
      <c r="D365" t="s">
        <v>1640</v>
      </c>
      <c r="E365" t="str">
        <f ca="1">TRIM(Sales_fact[[#This Row],[Store_ID]])</f>
        <v>STORE2</v>
      </c>
      <c r="F365">
        <v>1</v>
      </c>
      <c r="G365">
        <f>IF(ISBLANK(F365),MODE($F$2:$F$2001),F365)</f>
        <v>1</v>
      </c>
      <c r="H365">
        <v>669.53</v>
      </c>
      <c r="I365">
        <f>IF(ISBLANK(H365),AVERAGE($H$2:$H$2001),H365)</f>
        <v>669.53</v>
      </c>
      <c r="J365">
        <v>0.2</v>
      </c>
      <c r="K365">
        <f>IF(ISBLANK(J365),MODE($J$2:$J$2001),J365)</f>
        <v>0.2</v>
      </c>
      <c r="L365" t="s">
        <v>1824</v>
      </c>
      <c r="M365">
        <v>535.62400000000002</v>
      </c>
      <c r="N365">
        <f t="shared" si="5"/>
        <v>535.62400000000002</v>
      </c>
      <c r="O365" t="str">
        <f>_xlfn.XLOOKUP(Sales_fact[[#This Row],[Customer_ID]],'Customer_Dim'!A:A,'Customer_Dim'!K:K,"Not Found")</f>
        <v>Silver</v>
      </c>
      <c r="P365">
        <f>_xlfn.XLOOKUP(Sales_fact[[#This Row],[Customer_ID]],'Customer_Dim'!A:A, 'Customer_Dim'!E:E, "Not Found")</f>
        <v>50</v>
      </c>
      <c r="Q365" t="str">
        <f>VLOOKUP(Sales_fact[[#This Row],[Customer_ID]], 'Customer_Dim'!A:F, 6, FALSE)</f>
        <v>Female</v>
      </c>
      <c r="R365" s="13" t="str">
        <f>_xlfn.XLOOKUP(Sales_fact[[#This Row],[Product_ID]],Product_Dim!A:A,Product_Dim!C:C,"OTHERS")</f>
        <v>Clothing</v>
      </c>
    </row>
    <row r="366" spans="1:18" x14ac:dyDescent="0.3">
      <c r="A366" t="s">
        <v>2190</v>
      </c>
      <c r="B366" s="2">
        <v>45723</v>
      </c>
      <c r="C366" t="s">
        <v>702</v>
      </c>
      <c r="D366" t="s">
        <v>1618</v>
      </c>
      <c r="E366" t="str">
        <f ca="1">TRIM(Sales_fact[[#This Row],[Store_ID]])</f>
        <v>STORE18</v>
      </c>
      <c r="F366">
        <v>1</v>
      </c>
      <c r="G366">
        <f>IF(ISBLANK(F366),MODE($F$2:$F$2001),F366)</f>
        <v>1</v>
      </c>
      <c r="H366">
        <v>213.69</v>
      </c>
      <c r="I366">
        <f>IF(ISBLANK(H366),AVERAGE($H$2:$H$2001),H366)</f>
        <v>213.69</v>
      </c>
      <c r="J366">
        <v>0.28000000000000003</v>
      </c>
      <c r="K366">
        <f>IF(ISBLANK(J366),MODE($J$2:$J$2001),J366)</f>
        <v>0.28000000000000003</v>
      </c>
      <c r="L366" t="s">
        <v>1829</v>
      </c>
      <c r="M366">
        <v>153.85679999999999</v>
      </c>
      <c r="N366">
        <f t="shared" si="5"/>
        <v>153.85679999999999</v>
      </c>
      <c r="O366" t="str">
        <f>_xlfn.XLOOKUP(Sales_fact[[#This Row],[Customer_ID]],'Customer_Dim'!A:A,'Customer_Dim'!K:K,"Not Found")</f>
        <v>Platinum</v>
      </c>
      <c r="P366">
        <f>_xlfn.XLOOKUP(Sales_fact[[#This Row],[Customer_ID]],'Customer_Dim'!A:A, 'Customer_Dim'!E:E, "Not Found")</f>
        <v>44</v>
      </c>
      <c r="Q366" t="str">
        <f>VLOOKUP(Sales_fact[[#This Row],[Customer_ID]], 'Customer_Dim'!A:F, 6, FALSE)</f>
        <v>Male</v>
      </c>
      <c r="R366" s="13" t="str">
        <f>_xlfn.XLOOKUP(Sales_fact[[#This Row],[Product_ID]],Product_Dim!A:A,Product_Dim!C:C,"OTHERS")</f>
        <v>Home</v>
      </c>
    </row>
    <row r="367" spans="1:18" x14ac:dyDescent="0.3">
      <c r="A367" t="s">
        <v>2191</v>
      </c>
      <c r="B367" s="2">
        <v>45706</v>
      </c>
      <c r="C367" t="s">
        <v>281</v>
      </c>
      <c r="D367" t="s">
        <v>1590</v>
      </c>
      <c r="E367" t="str">
        <f ca="1">TRIM(Sales_fact[[#This Row],[Store_ID]])</f>
        <v>STORE19</v>
      </c>
      <c r="F367">
        <v>2</v>
      </c>
      <c r="G367">
        <f>IF(ISBLANK(F367),MODE($F$2:$F$2001),F367)</f>
        <v>2</v>
      </c>
      <c r="H367">
        <v>99.1</v>
      </c>
      <c r="I367">
        <f>IF(ISBLANK(H367),AVERAGE($H$2:$H$2001),H367)</f>
        <v>99.1</v>
      </c>
      <c r="J367">
        <v>0.2</v>
      </c>
      <c r="K367">
        <f>IF(ISBLANK(J367),MODE($J$2:$J$2001),J367)</f>
        <v>0.2</v>
      </c>
      <c r="L367" t="s">
        <v>1826</v>
      </c>
      <c r="M367">
        <v>158.56</v>
      </c>
      <c r="N367">
        <f t="shared" si="5"/>
        <v>158.56</v>
      </c>
      <c r="O367" t="str">
        <f>_xlfn.XLOOKUP(Sales_fact[[#This Row],[Customer_ID]],'Customer_Dim'!A:A,'Customer_Dim'!K:K,"Not Found")</f>
        <v>Gold</v>
      </c>
      <c r="P367">
        <f>_xlfn.XLOOKUP(Sales_fact[[#This Row],[Customer_ID]],'Customer_Dim'!A:A, 'Customer_Dim'!E:E, "Not Found")</f>
        <v>29</v>
      </c>
      <c r="Q367" t="str">
        <f>VLOOKUP(Sales_fact[[#This Row],[Customer_ID]], 'Customer_Dim'!A:F, 6, FALSE)</f>
        <v>Male</v>
      </c>
      <c r="R367" s="13" t="str">
        <f>_xlfn.XLOOKUP(Sales_fact[[#This Row],[Product_ID]],Product_Dim!A:A,Product_Dim!C:C,"OTHERS")</f>
        <v>Home</v>
      </c>
    </row>
    <row r="368" spans="1:18" x14ac:dyDescent="0.3">
      <c r="A368" t="s">
        <v>2192</v>
      </c>
      <c r="B368" s="2">
        <v>45469</v>
      </c>
      <c r="C368" t="s">
        <v>1157</v>
      </c>
      <c r="D368" t="s">
        <v>1622</v>
      </c>
      <c r="E368" t="str">
        <f ca="1">TRIM(Sales_fact[[#This Row],[Store_ID]])</f>
        <v>STORE16</v>
      </c>
      <c r="F368">
        <v>1</v>
      </c>
      <c r="G368">
        <f>IF(ISBLANK(F368),MODE($F$2:$F$2001),F368)</f>
        <v>1</v>
      </c>
      <c r="H368">
        <v>628.98</v>
      </c>
      <c r="I368">
        <f>IF(ISBLANK(H368),AVERAGE($H$2:$H$2001),H368)</f>
        <v>628.98</v>
      </c>
      <c r="J368">
        <v>0.03</v>
      </c>
      <c r="K368">
        <f>IF(ISBLANK(J368),MODE($J$2:$J$2001),J368)</f>
        <v>0.03</v>
      </c>
      <c r="L368" t="s">
        <v>1829</v>
      </c>
      <c r="M368">
        <v>610.11059999999998</v>
      </c>
      <c r="N368">
        <f t="shared" si="5"/>
        <v>610.11059999999998</v>
      </c>
      <c r="O368" t="str">
        <f>_xlfn.XLOOKUP(Sales_fact[[#This Row],[Customer_ID]],'Customer_Dim'!A:A,'Customer_Dim'!K:K,"Not Found")</f>
        <v>Silver</v>
      </c>
      <c r="P368">
        <f>_xlfn.XLOOKUP(Sales_fact[[#This Row],[Customer_ID]],'Customer_Dim'!A:A, 'Customer_Dim'!E:E, "Not Found")</f>
        <v>45</v>
      </c>
      <c r="Q368" t="str">
        <f>VLOOKUP(Sales_fact[[#This Row],[Customer_ID]], 'Customer_Dim'!A:F, 6, FALSE)</f>
        <v>Male</v>
      </c>
      <c r="R368" s="13" t="str">
        <f>_xlfn.XLOOKUP(Sales_fact[[#This Row],[Product_ID]],Product_Dim!A:A,Product_Dim!C:C,"OTHERS")</f>
        <v>Clothing</v>
      </c>
    </row>
    <row r="369" spans="1:18" x14ac:dyDescent="0.3">
      <c r="A369" t="s">
        <v>2193</v>
      </c>
      <c r="B369" s="2">
        <v>45711</v>
      </c>
      <c r="C369" t="s">
        <v>307</v>
      </c>
      <c r="D369" t="s">
        <v>1716</v>
      </c>
      <c r="E369" t="str">
        <f ca="1">TRIM(Sales_fact[[#This Row],[Store_ID]])</f>
        <v>STORE4</v>
      </c>
      <c r="F369">
        <v>3</v>
      </c>
      <c r="G369">
        <f>IF(ISBLANK(F369),MODE($F$2:$F$2001),F369)</f>
        <v>3</v>
      </c>
      <c r="H369">
        <v>944.64</v>
      </c>
      <c r="I369">
        <f>IF(ISBLANK(H369),AVERAGE($H$2:$H$2001),H369)</f>
        <v>944.64</v>
      </c>
      <c r="J369">
        <v>0.26</v>
      </c>
      <c r="K369">
        <f>IF(ISBLANK(J369),MODE($J$2:$J$2001),J369)</f>
        <v>0.26</v>
      </c>
      <c r="L369" t="s">
        <v>1824</v>
      </c>
      <c r="M369">
        <v>2097.1008000000002</v>
      </c>
      <c r="N369">
        <f t="shared" si="5"/>
        <v>2097.1008000000002</v>
      </c>
      <c r="O369" t="str">
        <f>_xlfn.XLOOKUP(Sales_fact[[#This Row],[Customer_ID]],'Customer_Dim'!A:A,'Customer_Dim'!K:K,"Not Found")</f>
        <v>Silver</v>
      </c>
      <c r="P369">
        <f>_xlfn.XLOOKUP(Sales_fact[[#This Row],[Customer_ID]],'Customer_Dim'!A:A, 'Customer_Dim'!E:E, "Not Found")</f>
        <v>36</v>
      </c>
      <c r="Q369" t="str">
        <f>VLOOKUP(Sales_fact[[#This Row],[Customer_ID]], 'Customer_Dim'!A:F, 6, FALSE)</f>
        <v>Male</v>
      </c>
      <c r="R369" s="13" t="str">
        <f>_xlfn.XLOOKUP(Sales_fact[[#This Row],[Product_ID]],Product_Dim!A:A,Product_Dim!C:C,"OTHERS")</f>
        <v>Home</v>
      </c>
    </row>
    <row r="370" spans="1:18" x14ac:dyDescent="0.3">
      <c r="A370" t="s">
        <v>2194</v>
      </c>
      <c r="B370" s="2">
        <v>45823</v>
      </c>
      <c r="C370" t="s">
        <v>1452</v>
      </c>
      <c r="D370" t="s">
        <v>1734</v>
      </c>
      <c r="E370" t="str">
        <f ca="1">TRIM(Sales_fact[[#This Row],[Store_ID]])</f>
        <v>STORE12</v>
      </c>
      <c r="F370">
        <v>2</v>
      </c>
      <c r="G370">
        <f>IF(ISBLANK(F370),MODE($F$2:$F$2001),F370)</f>
        <v>2</v>
      </c>
      <c r="H370">
        <v>121.7</v>
      </c>
      <c r="I370">
        <f>IF(ISBLANK(H370),AVERAGE($H$2:$H$2001),H370)</f>
        <v>121.7</v>
      </c>
      <c r="J370">
        <v>0.06</v>
      </c>
      <c r="K370">
        <f>IF(ISBLANK(J370),MODE($J$2:$J$2001),J370)</f>
        <v>0.06</v>
      </c>
      <c r="L370" t="s">
        <v>1829</v>
      </c>
      <c r="M370">
        <v>228.79599999999999</v>
      </c>
      <c r="N370">
        <f t="shared" si="5"/>
        <v>228.79599999999999</v>
      </c>
      <c r="O370" t="str">
        <f>_xlfn.XLOOKUP(Sales_fact[[#This Row],[Customer_ID]],'Customer_Dim'!A:A,'Customer_Dim'!K:K,"Not Found")</f>
        <v>Platinum</v>
      </c>
      <c r="P370">
        <f>_xlfn.XLOOKUP(Sales_fact[[#This Row],[Customer_ID]],'Customer_Dim'!A:A, 'Customer_Dim'!E:E, "Not Found")</f>
        <v>42</v>
      </c>
      <c r="Q370" t="str">
        <f>VLOOKUP(Sales_fact[[#This Row],[Customer_ID]], 'Customer_Dim'!A:F, 6, FALSE)</f>
        <v>Male</v>
      </c>
      <c r="R370" s="13" t="str">
        <f>_xlfn.XLOOKUP(Sales_fact[[#This Row],[Product_ID]],Product_Dim!A:A,Product_Dim!C:C,"OTHERS")</f>
        <v>Electronics</v>
      </c>
    </row>
    <row r="371" spans="1:18" x14ac:dyDescent="0.3">
      <c r="A371" t="s">
        <v>2195</v>
      </c>
      <c r="B371" s="2">
        <v>45217</v>
      </c>
      <c r="C371" t="s">
        <v>1386</v>
      </c>
      <c r="D371" t="s">
        <v>1678</v>
      </c>
      <c r="E371" t="str">
        <f ca="1">TRIM(Sales_fact[[#This Row],[Store_ID]])</f>
        <v>STORE3</v>
      </c>
      <c r="F371">
        <v>4</v>
      </c>
      <c r="G371">
        <f>IF(ISBLANK(F371),MODE($F$2:$F$2001),F371)</f>
        <v>4</v>
      </c>
      <c r="H371">
        <v>269.49</v>
      </c>
      <c r="I371">
        <f>IF(ISBLANK(H371),AVERAGE($H$2:$H$2001),H371)</f>
        <v>269.49</v>
      </c>
      <c r="J371">
        <v>7.0000000000000007E-2</v>
      </c>
      <c r="K371">
        <f>IF(ISBLANK(J371),MODE($J$2:$J$2001),J371)</f>
        <v>7.0000000000000007E-2</v>
      </c>
      <c r="L371" t="s">
        <v>1826</v>
      </c>
      <c r="M371">
        <v>1002.5028</v>
      </c>
      <c r="N371">
        <f t="shared" si="5"/>
        <v>1002.5028</v>
      </c>
      <c r="O371" t="str">
        <f>_xlfn.XLOOKUP(Sales_fact[[#This Row],[Customer_ID]],'Customer_Dim'!A:A,'Customer_Dim'!K:K,"Not Found")</f>
        <v>Bronze</v>
      </c>
      <c r="P371">
        <f>_xlfn.XLOOKUP(Sales_fact[[#This Row],[Customer_ID]],'Customer_Dim'!A:A, 'Customer_Dim'!E:E, "Not Found")</f>
        <v>64</v>
      </c>
      <c r="Q371" t="str">
        <f>VLOOKUP(Sales_fact[[#This Row],[Customer_ID]], 'Customer_Dim'!A:F, 6, FALSE)</f>
        <v>Female</v>
      </c>
      <c r="R371" s="13" t="str">
        <f>_xlfn.XLOOKUP(Sales_fact[[#This Row],[Product_ID]],Product_Dim!A:A,Product_Dim!C:C,"OTHERS")</f>
        <v>Sports</v>
      </c>
    </row>
    <row r="372" spans="1:18" x14ac:dyDescent="0.3">
      <c r="A372" t="s">
        <v>2196</v>
      </c>
      <c r="B372" s="2">
        <v>45733</v>
      </c>
      <c r="C372" t="s">
        <v>353</v>
      </c>
      <c r="D372" t="s">
        <v>1592</v>
      </c>
      <c r="E372" t="str">
        <f ca="1">TRIM(Sales_fact[[#This Row],[Store_ID]])</f>
        <v>STORE18</v>
      </c>
      <c r="F372">
        <v>1</v>
      </c>
      <c r="G372">
        <f>IF(ISBLANK(F372),MODE($F$2:$F$2001),F372)</f>
        <v>1</v>
      </c>
      <c r="H372">
        <v>678.2</v>
      </c>
      <c r="I372">
        <f>IF(ISBLANK(H372),AVERAGE($H$2:$H$2001),H372)</f>
        <v>678.2</v>
      </c>
      <c r="J372">
        <v>0.14000000000000001</v>
      </c>
      <c r="K372">
        <f>IF(ISBLANK(J372),MODE($J$2:$J$2001),J372)</f>
        <v>0.14000000000000001</v>
      </c>
      <c r="L372" t="s">
        <v>1824</v>
      </c>
      <c r="M372">
        <v>583.25200000000007</v>
      </c>
      <c r="N372">
        <f t="shared" si="5"/>
        <v>583.25200000000007</v>
      </c>
      <c r="O372" t="str">
        <f>_xlfn.XLOOKUP(Sales_fact[[#This Row],[Customer_ID]],'Customer_Dim'!A:A,'Customer_Dim'!K:K,"Not Found")</f>
        <v>Silver</v>
      </c>
      <c r="P372">
        <f>_xlfn.XLOOKUP(Sales_fact[[#This Row],[Customer_ID]],'Customer_Dim'!A:A, 'Customer_Dim'!E:E, "Not Found")</f>
        <v>35</v>
      </c>
      <c r="Q372" t="str">
        <f>VLOOKUP(Sales_fact[[#This Row],[Customer_ID]], 'Customer_Dim'!A:F, 6, FALSE)</f>
        <v>Male</v>
      </c>
      <c r="R372" s="13" t="str">
        <f>_xlfn.XLOOKUP(Sales_fact[[#This Row],[Product_ID]],Product_Dim!A:A,Product_Dim!C:C,"OTHERS")</f>
        <v>Sports</v>
      </c>
    </row>
    <row r="373" spans="1:18" x14ac:dyDescent="0.3">
      <c r="A373" t="s">
        <v>2197</v>
      </c>
      <c r="B373" s="2">
        <v>45520</v>
      </c>
      <c r="C373" t="s">
        <v>743</v>
      </c>
      <c r="D373" t="s">
        <v>1728</v>
      </c>
      <c r="E373" t="str">
        <f ca="1">TRIM(Sales_fact[[#This Row],[Store_ID]])</f>
        <v>STORE13</v>
      </c>
      <c r="F373">
        <v>1</v>
      </c>
      <c r="G373">
        <f>IF(ISBLANK(F373),MODE($F$2:$F$2001),F373)</f>
        <v>1</v>
      </c>
      <c r="H373">
        <v>752.45</v>
      </c>
      <c r="I373">
        <f>IF(ISBLANK(H373),AVERAGE($H$2:$H$2001),H373)</f>
        <v>752.45</v>
      </c>
      <c r="J373">
        <v>0.21</v>
      </c>
      <c r="K373">
        <f>IF(ISBLANK(J373),MODE($J$2:$J$2001),J373)</f>
        <v>0.21</v>
      </c>
      <c r="L373" t="s">
        <v>1829</v>
      </c>
      <c r="M373">
        <v>594.43550000000005</v>
      </c>
      <c r="N373">
        <f t="shared" si="5"/>
        <v>594.43550000000005</v>
      </c>
      <c r="O373" t="str">
        <f>_xlfn.XLOOKUP(Sales_fact[[#This Row],[Customer_ID]],'Customer_Dim'!A:A,'Customer_Dim'!K:K,"Not Found")</f>
        <v>Bronze</v>
      </c>
      <c r="P373">
        <f>_xlfn.XLOOKUP(Sales_fact[[#This Row],[Customer_ID]],'Customer_Dim'!A:A, 'Customer_Dim'!E:E, "Not Found")</f>
        <v>22</v>
      </c>
      <c r="Q373" t="str">
        <f>VLOOKUP(Sales_fact[[#This Row],[Customer_ID]], 'Customer_Dim'!A:F, 6, FALSE)</f>
        <v>Female</v>
      </c>
      <c r="R373" s="13" t="str">
        <f>_xlfn.XLOOKUP(Sales_fact[[#This Row],[Product_ID]],Product_Dim!A:A,Product_Dim!C:C,"OTHERS")</f>
        <v>Electronics</v>
      </c>
    </row>
    <row r="374" spans="1:18" x14ac:dyDescent="0.3">
      <c r="A374" t="s">
        <v>2198</v>
      </c>
      <c r="B374" s="2">
        <v>45373</v>
      </c>
      <c r="C374" t="s">
        <v>147</v>
      </c>
      <c r="D374" t="s">
        <v>1736</v>
      </c>
      <c r="E374" t="str">
        <f ca="1">TRIM(Sales_fact[[#This Row],[Store_ID]])</f>
        <v>STORE13</v>
      </c>
      <c r="F374">
        <v>2</v>
      </c>
      <c r="G374">
        <f>IF(ISBLANK(F374),MODE($F$2:$F$2001),F374)</f>
        <v>2</v>
      </c>
      <c r="H374">
        <v>209.66</v>
      </c>
      <c r="I374">
        <f>IF(ISBLANK(H374),AVERAGE($H$2:$H$2001),H374)</f>
        <v>209.66</v>
      </c>
      <c r="J374">
        <v>0.21</v>
      </c>
      <c r="K374">
        <f>IF(ISBLANK(J374),MODE($J$2:$J$2001),J374)</f>
        <v>0.21</v>
      </c>
      <c r="L374" t="s">
        <v>1824</v>
      </c>
      <c r="M374">
        <v>331.26280000000003</v>
      </c>
      <c r="N374">
        <f t="shared" si="5"/>
        <v>331.26280000000003</v>
      </c>
      <c r="O374" t="str">
        <f>_xlfn.XLOOKUP(Sales_fact[[#This Row],[Customer_ID]],'Customer_Dim'!A:A,'Customer_Dim'!K:K,"Not Found")</f>
        <v>UNKNOWN</v>
      </c>
      <c r="P374">
        <f>_xlfn.XLOOKUP(Sales_fact[[#This Row],[Customer_ID]],'Customer_Dim'!A:A, 'Customer_Dim'!E:E, "Not Found")</f>
        <v>27</v>
      </c>
      <c r="Q374" t="str">
        <f>VLOOKUP(Sales_fact[[#This Row],[Customer_ID]], 'Customer_Dim'!A:F, 6, FALSE)</f>
        <v>Female</v>
      </c>
      <c r="R374" s="13" t="str">
        <f>_xlfn.XLOOKUP(Sales_fact[[#This Row],[Product_ID]],Product_Dim!A:A,Product_Dim!C:C,"OTHERS")</f>
        <v>Beauty</v>
      </c>
    </row>
    <row r="375" spans="1:18" x14ac:dyDescent="0.3">
      <c r="A375" t="s">
        <v>2199</v>
      </c>
      <c r="B375" s="2">
        <v>45688</v>
      </c>
      <c r="C375" t="s">
        <v>538</v>
      </c>
      <c r="D375" t="s">
        <v>1742</v>
      </c>
      <c r="E375" t="str">
        <f ca="1">TRIM(Sales_fact[[#This Row],[Store_ID]])</f>
        <v>STORE19</v>
      </c>
      <c r="F375">
        <v>2</v>
      </c>
      <c r="G375">
        <f>IF(ISBLANK(F375),MODE($F$2:$F$2001),F375)</f>
        <v>2</v>
      </c>
      <c r="H375">
        <v>739.95</v>
      </c>
      <c r="I375">
        <f>IF(ISBLANK(H375),AVERAGE($H$2:$H$2001),H375)</f>
        <v>739.95</v>
      </c>
      <c r="J375">
        <v>0.1</v>
      </c>
      <c r="K375">
        <f>IF(ISBLANK(J375),MODE($J$2:$J$2001),J375)</f>
        <v>0.1</v>
      </c>
      <c r="L375" t="s">
        <v>1829</v>
      </c>
      <c r="M375">
        <v>1331.91</v>
      </c>
      <c r="N375">
        <f t="shared" si="5"/>
        <v>1331.91</v>
      </c>
      <c r="O375" t="str">
        <f>_xlfn.XLOOKUP(Sales_fact[[#This Row],[Customer_ID]],'Customer_Dim'!A:A,'Customer_Dim'!K:K,"Not Found")</f>
        <v>Silver</v>
      </c>
      <c r="P375">
        <f>_xlfn.XLOOKUP(Sales_fact[[#This Row],[Customer_ID]],'Customer_Dim'!A:A, 'Customer_Dim'!E:E, "Not Found")</f>
        <v>18</v>
      </c>
      <c r="Q375" t="str">
        <f>VLOOKUP(Sales_fact[[#This Row],[Customer_ID]], 'Customer_Dim'!A:F, 6, FALSE)</f>
        <v>Female</v>
      </c>
      <c r="R375" s="13" t="str">
        <f>_xlfn.XLOOKUP(Sales_fact[[#This Row],[Product_ID]],Product_Dim!A:A,Product_Dim!C:C,"OTHERS")</f>
        <v>Sports</v>
      </c>
    </row>
    <row r="376" spans="1:18" x14ac:dyDescent="0.3">
      <c r="A376" t="s">
        <v>2200</v>
      </c>
      <c r="B376" s="2">
        <v>45276</v>
      </c>
      <c r="C376" t="s">
        <v>1446</v>
      </c>
      <c r="D376" t="s">
        <v>1638</v>
      </c>
      <c r="E376" t="str">
        <f ca="1">TRIM(Sales_fact[[#This Row],[Store_ID]])</f>
        <v>STORE15</v>
      </c>
      <c r="F376">
        <v>1</v>
      </c>
      <c r="G376">
        <f>IF(ISBLANK(F376),MODE($F$2:$F$2001),F376)</f>
        <v>1</v>
      </c>
      <c r="H376">
        <v>496.19</v>
      </c>
      <c r="I376">
        <f>IF(ISBLANK(H376),AVERAGE($H$2:$H$2001),H376)</f>
        <v>496.19</v>
      </c>
      <c r="J376">
        <v>0.08</v>
      </c>
      <c r="K376">
        <f>IF(ISBLANK(J376),MODE($J$2:$J$2001),J376)</f>
        <v>0.08</v>
      </c>
      <c r="L376" t="s">
        <v>1829</v>
      </c>
      <c r="M376">
        <v>456.4948</v>
      </c>
      <c r="N376">
        <f t="shared" si="5"/>
        <v>456.4948</v>
      </c>
      <c r="O376" t="str">
        <f>_xlfn.XLOOKUP(Sales_fact[[#This Row],[Customer_ID]],'Customer_Dim'!A:A,'Customer_Dim'!K:K,"Not Found")</f>
        <v>Gold</v>
      </c>
      <c r="P376">
        <f>_xlfn.XLOOKUP(Sales_fact[[#This Row],[Customer_ID]],'Customer_Dim'!A:A, 'Customer_Dim'!E:E, "Not Found")</f>
        <v>19</v>
      </c>
      <c r="Q376" t="str">
        <f>VLOOKUP(Sales_fact[[#This Row],[Customer_ID]], 'Customer_Dim'!A:F, 6, FALSE)</f>
        <v>Male</v>
      </c>
      <c r="R376" s="13" t="str">
        <f>_xlfn.XLOOKUP(Sales_fact[[#This Row],[Product_ID]],Product_Dim!A:A,Product_Dim!C:C,"OTHERS")</f>
        <v>Sports</v>
      </c>
    </row>
    <row r="377" spans="1:18" x14ac:dyDescent="0.3">
      <c r="A377" t="s">
        <v>2201</v>
      </c>
      <c r="B377" s="2">
        <v>45756</v>
      </c>
      <c r="C377" t="s">
        <v>172</v>
      </c>
      <c r="D377" t="s">
        <v>1565</v>
      </c>
      <c r="E377" t="str">
        <f ca="1">TRIM(Sales_fact[[#This Row],[Store_ID]])</f>
        <v>STORE12</v>
      </c>
      <c r="F377">
        <v>1</v>
      </c>
      <c r="G377">
        <f>IF(ISBLANK(F377),MODE($F$2:$F$2001),F377)</f>
        <v>1</v>
      </c>
      <c r="H377">
        <v>306.36</v>
      </c>
      <c r="I377">
        <f>IF(ISBLANK(H377),AVERAGE($H$2:$H$2001),H377)</f>
        <v>306.36</v>
      </c>
      <c r="J377">
        <v>0.01</v>
      </c>
      <c r="K377">
        <f>IF(ISBLANK(J377),MODE($J$2:$J$2001),J377)</f>
        <v>0.01</v>
      </c>
      <c r="L377" t="s">
        <v>1826</v>
      </c>
      <c r="M377">
        <v>303.29640000000001</v>
      </c>
      <c r="N377">
        <f t="shared" si="5"/>
        <v>303.29640000000001</v>
      </c>
      <c r="O377" t="str">
        <f>_xlfn.XLOOKUP(Sales_fact[[#This Row],[Customer_ID]],'Customer_Dim'!A:A,'Customer_Dim'!K:K,"Not Found")</f>
        <v>Bronze</v>
      </c>
      <c r="P377">
        <f>_xlfn.XLOOKUP(Sales_fact[[#This Row],[Customer_ID]],'Customer_Dim'!A:A, 'Customer_Dim'!E:E, "Not Found")</f>
        <v>34</v>
      </c>
      <c r="Q377" t="str">
        <f>VLOOKUP(Sales_fact[[#This Row],[Customer_ID]], 'Customer_Dim'!A:F, 6, FALSE)</f>
        <v>Male</v>
      </c>
      <c r="R377" s="13" t="str">
        <f>_xlfn.XLOOKUP(Sales_fact[[#This Row],[Product_ID]],Product_Dim!A:A,Product_Dim!C:C,"OTHERS")</f>
        <v>Sports</v>
      </c>
    </row>
    <row r="378" spans="1:18" x14ac:dyDescent="0.3">
      <c r="A378" t="s">
        <v>2202</v>
      </c>
      <c r="B378" s="2">
        <v>45309</v>
      </c>
      <c r="C378" t="s">
        <v>417</v>
      </c>
      <c r="D378" t="s">
        <v>1694</v>
      </c>
      <c r="E378" t="str">
        <f ca="1">TRIM(Sales_fact[[#This Row],[Store_ID]])</f>
        <v>STORE4</v>
      </c>
      <c r="F378">
        <v>4</v>
      </c>
      <c r="G378">
        <f>IF(ISBLANK(F378),MODE($F$2:$F$2001),F378)</f>
        <v>4</v>
      </c>
      <c r="H378">
        <v>693.16</v>
      </c>
      <c r="I378">
        <f>IF(ISBLANK(H378),AVERAGE($H$2:$H$2001),H378)</f>
        <v>693.16</v>
      </c>
      <c r="J378">
        <v>0.05</v>
      </c>
      <c r="K378">
        <f>IF(ISBLANK(J378),MODE($J$2:$J$2001),J378)</f>
        <v>0.05</v>
      </c>
      <c r="L378" t="s">
        <v>1826</v>
      </c>
      <c r="M378">
        <v>2634.0079999999998</v>
      </c>
      <c r="N378">
        <f t="shared" si="5"/>
        <v>2634.0079999999998</v>
      </c>
      <c r="O378" t="str">
        <f>_xlfn.XLOOKUP(Sales_fact[[#This Row],[Customer_ID]],'Customer_Dim'!A:A,'Customer_Dim'!K:K,"Not Found")</f>
        <v>Platinum</v>
      </c>
      <c r="P378">
        <f>_xlfn.XLOOKUP(Sales_fact[[#This Row],[Customer_ID]],'Customer_Dim'!A:A, 'Customer_Dim'!E:E, "Not Found")</f>
        <v>44</v>
      </c>
      <c r="Q378" t="str">
        <f>VLOOKUP(Sales_fact[[#This Row],[Customer_ID]], 'Customer_Dim'!A:F, 6, FALSE)</f>
        <v>Female</v>
      </c>
      <c r="R378" s="13" t="str">
        <f>_xlfn.XLOOKUP(Sales_fact[[#This Row],[Product_ID]],Product_Dim!A:A,Product_Dim!C:C,"OTHERS")</f>
        <v>Sports</v>
      </c>
    </row>
    <row r="379" spans="1:18" x14ac:dyDescent="0.3">
      <c r="A379" t="s">
        <v>2203</v>
      </c>
      <c r="B379" s="2">
        <v>45744</v>
      </c>
      <c r="C379" t="s">
        <v>1405</v>
      </c>
      <c r="D379" t="s">
        <v>1714</v>
      </c>
      <c r="E379" t="str">
        <f ca="1">TRIM(Sales_fact[[#This Row],[Store_ID]])</f>
        <v>STORE10</v>
      </c>
      <c r="F379">
        <v>1</v>
      </c>
      <c r="G379">
        <f>IF(ISBLANK(F379),MODE($F$2:$F$2001),F379)</f>
        <v>1</v>
      </c>
      <c r="H379">
        <v>995.52</v>
      </c>
      <c r="I379">
        <f>IF(ISBLANK(H379),AVERAGE($H$2:$H$2001),H379)</f>
        <v>995.52</v>
      </c>
      <c r="J379">
        <v>0.22</v>
      </c>
      <c r="K379">
        <f>IF(ISBLANK(J379),MODE($J$2:$J$2001),J379)</f>
        <v>0.22</v>
      </c>
      <c r="L379" t="s">
        <v>1826</v>
      </c>
      <c r="M379">
        <v>776.50559999999996</v>
      </c>
      <c r="N379">
        <f t="shared" si="5"/>
        <v>776.50559999999996</v>
      </c>
      <c r="O379" t="str">
        <f>_xlfn.XLOOKUP(Sales_fact[[#This Row],[Customer_ID]],'Customer_Dim'!A:A,'Customer_Dim'!K:K,"Not Found")</f>
        <v>Gold</v>
      </c>
      <c r="P379">
        <f>_xlfn.XLOOKUP(Sales_fact[[#This Row],[Customer_ID]],'Customer_Dim'!A:A, 'Customer_Dim'!E:E, "Not Found")</f>
        <v>54</v>
      </c>
      <c r="Q379" t="str">
        <f>VLOOKUP(Sales_fact[[#This Row],[Customer_ID]], 'Customer_Dim'!A:F, 6, FALSE)</f>
        <v>Male</v>
      </c>
      <c r="R379" s="13" t="str">
        <f>_xlfn.XLOOKUP(Sales_fact[[#This Row],[Product_ID]],Product_Dim!A:A,Product_Dim!C:C,"OTHERS")</f>
        <v>Beauty</v>
      </c>
    </row>
    <row r="380" spans="1:18" x14ac:dyDescent="0.3">
      <c r="A380" t="s">
        <v>2204</v>
      </c>
      <c r="B380" s="2">
        <v>45535</v>
      </c>
      <c r="C380" t="s">
        <v>431</v>
      </c>
      <c r="D380" t="s">
        <v>1560</v>
      </c>
      <c r="E380" t="str">
        <f ca="1">TRIM(Sales_fact[[#This Row],[Store_ID]])</f>
        <v>STORE18</v>
      </c>
      <c r="F380">
        <v>4</v>
      </c>
      <c r="G380">
        <f>IF(ISBLANK(F380),MODE($F$2:$F$2001),F380)</f>
        <v>4</v>
      </c>
      <c r="H380">
        <v>241.32</v>
      </c>
      <c r="I380">
        <f>IF(ISBLANK(H380),AVERAGE($H$2:$H$2001),H380)</f>
        <v>241.32</v>
      </c>
      <c r="J380">
        <v>0.28999999999999998</v>
      </c>
      <c r="K380">
        <f>IF(ISBLANK(J380),MODE($J$2:$J$2001),J380)</f>
        <v>0.28999999999999998</v>
      </c>
      <c r="L380" t="s">
        <v>1829</v>
      </c>
      <c r="M380">
        <v>685.34879999999998</v>
      </c>
      <c r="N380">
        <f t="shared" si="5"/>
        <v>685.34879999999998</v>
      </c>
      <c r="O380" t="str">
        <f>_xlfn.XLOOKUP(Sales_fact[[#This Row],[Customer_ID]],'Customer_Dim'!A:A,'Customer_Dim'!K:K,"Not Found")</f>
        <v>Platinum</v>
      </c>
      <c r="P380">
        <f>_xlfn.XLOOKUP(Sales_fact[[#This Row],[Customer_ID]],'Customer_Dim'!A:A, 'Customer_Dim'!E:E, "Not Found")</f>
        <v>64</v>
      </c>
      <c r="Q380" t="str">
        <f>VLOOKUP(Sales_fact[[#This Row],[Customer_ID]], 'Customer_Dim'!A:F, 6, FALSE)</f>
        <v>Female</v>
      </c>
      <c r="R380" s="13" t="str">
        <f>_xlfn.XLOOKUP(Sales_fact[[#This Row],[Product_ID]],Product_Dim!A:A,Product_Dim!C:C,"OTHERS")</f>
        <v>Home</v>
      </c>
    </row>
    <row r="381" spans="1:18" x14ac:dyDescent="0.3">
      <c r="A381" t="s">
        <v>2205</v>
      </c>
      <c r="B381" s="2">
        <v>45240</v>
      </c>
      <c r="C381" t="s">
        <v>767</v>
      </c>
      <c r="D381" t="s">
        <v>1704</v>
      </c>
      <c r="E381" t="str">
        <f ca="1">TRIM(Sales_fact[[#This Row],[Store_ID]])</f>
        <v>STORE1</v>
      </c>
      <c r="F381">
        <v>3</v>
      </c>
      <c r="G381">
        <f>IF(ISBLANK(F381),MODE($F$2:$F$2001),F381)</f>
        <v>3</v>
      </c>
      <c r="H381">
        <v>636.03</v>
      </c>
      <c r="I381">
        <f>IF(ISBLANK(H381),AVERAGE($H$2:$H$2001),H381)</f>
        <v>636.03</v>
      </c>
      <c r="J381">
        <v>0.06</v>
      </c>
      <c r="K381">
        <f>IF(ISBLANK(J381),MODE($J$2:$J$2001),J381)</f>
        <v>0.06</v>
      </c>
      <c r="L381" t="s">
        <v>1829</v>
      </c>
      <c r="M381">
        <v>1793.6045999999999</v>
      </c>
      <c r="N381">
        <f t="shared" si="5"/>
        <v>1793.6045999999999</v>
      </c>
      <c r="O381" t="str">
        <f>_xlfn.XLOOKUP(Sales_fact[[#This Row],[Customer_ID]],'Customer_Dim'!A:A,'Customer_Dim'!K:K,"Not Found")</f>
        <v>Platinum</v>
      </c>
      <c r="P381">
        <f>_xlfn.XLOOKUP(Sales_fact[[#This Row],[Customer_ID]],'Customer_Dim'!A:A, 'Customer_Dim'!E:E, "Not Found")</f>
        <v>58</v>
      </c>
      <c r="Q381" t="str">
        <f>VLOOKUP(Sales_fact[[#This Row],[Customer_ID]], 'Customer_Dim'!A:F, 6, FALSE)</f>
        <v>Female</v>
      </c>
      <c r="R381" s="13" t="str">
        <f>_xlfn.XLOOKUP(Sales_fact[[#This Row],[Product_ID]],Product_Dim!A:A,Product_Dim!C:C,"OTHERS")</f>
        <v>Home</v>
      </c>
    </row>
    <row r="382" spans="1:18" x14ac:dyDescent="0.3">
      <c r="A382" t="s">
        <v>2206</v>
      </c>
      <c r="B382" s="2">
        <v>45275</v>
      </c>
      <c r="C382" t="s">
        <v>344</v>
      </c>
      <c r="D382" t="s">
        <v>1553</v>
      </c>
      <c r="E382" t="str">
        <f ca="1">TRIM(Sales_fact[[#This Row],[Store_ID]])</f>
        <v>STORE19</v>
      </c>
      <c r="F382">
        <v>4</v>
      </c>
      <c r="G382">
        <f>IF(ISBLANK(F382),MODE($F$2:$F$2001),F382)</f>
        <v>4</v>
      </c>
      <c r="H382">
        <v>603.30999999999995</v>
      </c>
      <c r="I382">
        <f>IF(ISBLANK(H382),AVERAGE($H$2:$H$2001),H382)</f>
        <v>603.30999999999995</v>
      </c>
      <c r="J382">
        <v>0.15</v>
      </c>
      <c r="K382">
        <f>IF(ISBLANK(J382),MODE($J$2:$J$2001),J382)</f>
        <v>0.15</v>
      </c>
      <c r="L382" t="s">
        <v>1824</v>
      </c>
      <c r="M382">
        <v>2051.2539999999999</v>
      </c>
      <c r="N382">
        <f t="shared" si="5"/>
        <v>2051.2539999999999</v>
      </c>
      <c r="O382" t="str">
        <f>_xlfn.XLOOKUP(Sales_fact[[#This Row],[Customer_ID]],'Customer_Dim'!A:A,'Customer_Dim'!K:K,"Not Found")</f>
        <v>Platinum</v>
      </c>
      <c r="P382">
        <f>_xlfn.XLOOKUP(Sales_fact[[#This Row],[Customer_ID]],'Customer_Dim'!A:A, 'Customer_Dim'!E:E, "Not Found")</f>
        <v>30</v>
      </c>
      <c r="Q382" t="str">
        <f>VLOOKUP(Sales_fact[[#This Row],[Customer_ID]], 'Customer_Dim'!A:F, 6, FALSE)</f>
        <v>Female</v>
      </c>
      <c r="R382" s="13" t="str">
        <f>_xlfn.XLOOKUP(Sales_fact[[#This Row],[Product_ID]],Product_Dim!A:A,Product_Dim!C:C,"OTHERS")</f>
        <v>Clothing</v>
      </c>
    </row>
    <row r="383" spans="1:18" x14ac:dyDescent="0.3">
      <c r="A383" t="s">
        <v>2207</v>
      </c>
      <c r="B383" s="2">
        <v>45427</v>
      </c>
      <c r="C383" t="s">
        <v>275</v>
      </c>
      <c r="D383" t="s">
        <v>1726</v>
      </c>
      <c r="E383" t="str">
        <f ca="1">TRIM(Sales_fact[[#This Row],[Store_ID]])</f>
        <v>STORE10</v>
      </c>
      <c r="F383">
        <v>3</v>
      </c>
      <c r="G383">
        <f>IF(ISBLANK(F383),MODE($F$2:$F$2001),F383)</f>
        <v>3</v>
      </c>
      <c r="H383">
        <v>437.96</v>
      </c>
      <c r="I383">
        <f>IF(ISBLANK(H383),AVERAGE($H$2:$H$2001),H383)</f>
        <v>437.96</v>
      </c>
      <c r="J383">
        <v>0.27</v>
      </c>
      <c r="K383">
        <f>IF(ISBLANK(J383),MODE($J$2:$J$2001),J383)</f>
        <v>0.27</v>
      </c>
      <c r="L383" t="s">
        <v>1829</v>
      </c>
      <c r="M383">
        <v>959.13239999999985</v>
      </c>
      <c r="N383">
        <f t="shared" si="5"/>
        <v>959.13239999999985</v>
      </c>
      <c r="O383" t="str">
        <f>_xlfn.XLOOKUP(Sales_fact[[#This Row],[Customer_ID]],'Customer_Dim'!A:A,'Customer_Dim'!K:K,"Not Found")</f>
        <v>Gold</v>
      </c>
      <c r="P383">
        <f>_xlfn.XLOOKUP(Sales_fact[[#This Row],[Customer_ID]],'Customer_Dim'!A:A, 'Customer_Dim'!E:E, "Not Found")</f>
        <v>61</v>
      </c>
      <c r="Q383" t="str">
        <f>VLOOKUP(Sales_fact[[#This Row],[Customer_ID]], 'Customer_Dim'!A:F, 6, FALSE)</f>
        <v>Female</v>
      </c>
      <c r="R383" s="13" t="str">
        <f>_xlfn.XLOOKUP(Sales_fact[[#This Row],[Product_ID]],Product_Dim!A:A,Product_Dim!C:C,"OTHERS")</f>
        <v>Beauty</v>
      </c>
    </row>
    <row r="384" spans="1:18" x14ac:dyDescent="0.3">
      <c r="A384" t="s">
        <v>2208</v>
      </c>
      <c r="B384" s="2">
        <v>45322</v>
      </c>
      <c r="C384" t="s">
        <v>678</v>
      </c>
      <c r="D384" t="s">
        <v>1616</v>
      </c>
      <c r="E384" t="str">
        <f ca="1">TRIM(Sales_fact[[#This Row],[Store_ID]])</f>
        <v>STORE4</v>
      </c>
      <c r="F384">
        <v>2</v>
      </c>
      <c r="G384">
        <f>IF(ISBLANK(F384),MODE($F$2:$F$2001),F384)</f>
        <v>2</v>
      </c>
      <c r="H384">
        <v>56.91</v>
      </c>
      <c r="I384">
        <f>IF(ISBLANK(H384),AVERAGE($H$2:$H$2001),H384)</f>
        <v>56.91</v>
      </c>
      <c r="J384">
        <v>0.08</v>
      </c>
      <c r="K384">
        <f>IF(ISBLANK(J384),MODE($J$2:$J$2001),J384)</f>
        <v>0.08</v>
      </c>
      <c r="L384" t="s">
        <v>1829</v>
      </c>
      <c r="M384">
        <v>104.7144</v>
      </c>
      <c r="N384">
        <f t="shared" si="5"/>
        <v>104.7144</v>
      </c>
      <c r="O384" t="str">
        <f>_xlfn.XLOOKUP(Sales_fact[[#This Row],[Customer_ID]],'Customer_Dim'!A:A,'Customer_Dim'!K:K,"Not Found")</f>
        <v>Platinum</v>
      </c>
      <c r="P384">
        <f>_xlfn.XLOOKUP(Sales_fact[[#This Row],[Customer_ID]],'Customer_Dim'!A:A, 'Customer_Dim'!E:E, "Not Found")</f>
        <v>54</v>
      </c>
      <c r="Q384" t="str">
        <f>VLOOKUP(Sales_fact[[#This Row],[Customer_ID]], 'Customer_Dim'!A:F, 6, FALSE)</f>
        <v>Male</v>
      </c>
      <c r="R384" s="13" t="str">
        <f>_xlfn.XLOOKUP(Sales_fact[[#This Row],[Product_ID]],Product_Dim!A:A,Product_Dim!C:C,"OTHERS")</f>
        <v>Electronics</v>
      </c>
    </row>
    <row r="385" spans="1:18" x14ac:dyDescent="0.3">
      <c r="A385" t="s">
        <v>2209</v>
      </c>
      <c r="B385" s="2">
        <v>45266</v>
      </c>
      <c r="C385" t="s">
        <v>1050</v>
      </c>
      <c r="D385" t="s">
        <v>1700</v>
      </c>
      <c r="E385" t="str">
        <f ca="1">TRIM(Sales_fact[[#This Row],[Store_ID]])</f>
        <v>STORE6</v>
      </c>
      <c r="F385">
        <v>1</v>
      </c>
      <c r="G385">
        <f>IF(ISBLANK(F385),MODE($F$2:$F$2001),F385)</f>
        <v>1</v>
      </c>
      <c r="H385">
        <v>141.79</v>
      </c>
      <c r="I385">
        <f>IF(ISBLANK(H385),AVERAGE($H$2:$H$2001),H385)</f>
        <v>141.79</v>
      </c>
      <c r="J385">
        <v>0.1</v>
      </c>
      <c r="K385">
        <f>IF(ISBLANK(J385),MODE($J$2:$J$2001),J385)</f>
        <v>0.1</v>
      </c>
      <c r="L385" t="s">
        <v>1824</v>
      </c>
      <c r="M385">
        <v>127.611</v>
      </c>
      <c r="N385">
        <f t="shared" si="5"/>
        <v>127.61099999999999</v>
      </c>
      <c r="O385" t="str">
        <f>_xlfn.XLOOKUP(Sales_fact[[#This Row],[Customer_ID]],'Customer_Dim'!A:A,'Customer_Dim'!K:K,"Not Found")</f>
        <v>Silver</v>
      </c>
      <c r="P385">
        <f>_xlfn.XLOOKUP(Sales_fact[[#This Row],[Customer_ID]],'Customer_Dim'!A:A, 'Customer_Dim'!E:E, "Not Found")</f>
        <v>50</v>
      </c>
      <c r="Q385" t="str">
        <f>VLOOKUP(Sales_fact[[#This Row],[Customer_ID]], 'Customer_Dim'!A:F, 6, FALSE)</f>
        <v>Female</v>
      </c>
      <c r="R385" s="13" t="str">
        <f>_xlfn.XLOOKUP(Sales_fact[[#This Row],[Product_ID]],Product_Dim!A:A,Product_Dim!C:C,"OTHERS")</f>
        <v>Electronics</v>
      </c>
    </row>
    <row r="386" spans="1:18" x14ac:dyDescent="0.3">
      <c r="A386" t="s">
        <v>2210</v>
      </c>
      <c r="B386" s="2">
        <v>45302</v>
      </c>
      <c r="C386" t="s">
        <v>1487</v>
      </c>
      <c r="D386" t="s">
        <v>1565</v>
      </c>
      <c r="E386" t="str">
        <f ca="1">TRIM(Sales_fact[[#This Row],[Store_ID]])</f>
        <v>STORE15</v>
      </c>
      <c r="F386">
        <v>4</v>
      </c>
      <c r="G386">
        <f>IF(ISBLANK(F386),MODE($F$2:$F$2001),F386)</f>
        <v>4</v>
      </c>
      <c r="H386">
        <v>355.14</v>
      </c>
      <c r="I386">
        <f>IF(ISBLANK(H386),AVERAGE($H$2:$H$2001),H386)</f>
        <v>355.14</v>
      </c>
      <c r="J386">
        <v>0.16</v>
      </c>
      <c r="K386">
        <f>IF(ISBLANK(J386),MODE($J$2:$J$2001),J386)</f>
        <v>0.16</v>
      </c>
      <c r="L386" t="s">
        <v>1829</v>
      </c>
      <c r="M386">
        <v>1193.2704000000001</v>
      </c>
      <c r="N386">
        <f t="shared" si="5"/>
        <v>1193.2703999999999</v>
      </c>
      <c r="O386" t="str">
        <f>_xlfn.XLOOKUP(Sales_fact[[#This Row],[Customer_ID]],'Customer_Dim'!A:A,'Customer_Dim'!K:K,"Not Found")</f>
        <v>Gold</v>
      </c>
      <c r="P386">
        <f>_xlfn.XLOOKUP(Sales_fact[[#This Row],[Customer_ID]],'Customer_Dim'!A:A, 'Customer_Dim'!E:E, "Not Found")</f>
        <v>48</v>
      </c>
      <c r="Q386" t="str">
        <f>VLOOKUP(Sales_fact[[#This Row],[Customer_ID]], 'Customer_Dim'!A:F, 6, FALSE)</f>
        <v>Male</v>
      </c>
      <c r="R386" s="13" t="str">
        <f>_xlfn.XLOOKUP(Sales_fact[[#This Row],[Product_ID]],Product_Dim!A:A,Product_Dim!C:C,"OTHERS")</f>
        <v>Sports</v>
      </c>
    </row>
    <row r="387" spans="1:18" x14ac:dyDescent="0.3">
      <c r="A387" t="s">
        <v>2211</v>
      </c>
      <c r="B387" s="2">
        <v>45907</v>
      </c>
      <c r="C387" t="s">
        <v>687</v>
      </c>
      <c r="D387" t="s">
        <v>1624</v>
      </c>
      <c r="E387" t="str">
        <f ca="1">TRIM(Sales_fact[[#This Row],[Store_ID]])</f>
        <v>STORE6</v>
      </c>
      <c r="F387">
        <v>4</v>
      </c>
      <c r="G387">
        <f>IF(ISBLANK(F387),MODE($F$2:$F$2001),F387)</f>
        <v>4</v>
      </c>
      <c r="H387">
        <v>960.38</v>
      </c>
      <c r="I387">
        <f>IF(ISBLANK(H387),AVERAGE($H$2:$H$2001),H387)</f>
        <v>960.38</v>
      </c>
      <c r="J387">
        <v>0.15</v>
      </c>
      <c r="K387">
        <f>IF(ISBLANK(J387),MODE($J$2:$J$2001),J387)</f>
        <v>0.15</v>
      </c>
      <c r="L387" t="s">
        <v>1829</v>
      </c>
      <c r="M387">
        <v>3265.2919999999999</v>
      </c>
      <c r="N387">
        <f t="shared" ref="N387:N450" si="6">G387*I387*(1-K387)</f>
        <v>3265.2919999999999</v>
      </c>
      <c r="O387" t="str">
        <f>_xlfn.XLOOKUP(Sales_fact[[#This Row],[Customer_ID]],'Customer_Dim'!A:A,'Customer_Dim'!K:K,"Not Found")</f>
        <v>Silver</v>
      </c>
      <c r="P387">
        <f>_xlfn.XLOOKUP(Sales_fact[[#This Row],[Customer_ID]],'Customer_Dim'!A:A, 'Customer_Dim'!E:E, "Not Found")</f>
        <v>20</v>
      </c>
      <c r="Q387" t="str">
        <f>VLOOKUP(Sales_fact[[#This Row],[Customer_ID]], 'Customer_Dim'!A:F, 6, FALSE)</f>
        <v>Female</v>
      </c>
      <c r="R387" s="13" t="str">
        <f>_xlfn.XLOOKUP(Sales_fact[[#This Row],[Product_ID]],Product_Dim!A:A,Product_Dim!C:C,"OTHERS")</f>
        <v>Sports</v>
      </c>
    </row>
    <row r="388" spans="1:18" x14ac:dyDescent="0.3">
      <c r="A388" t="s">
        <v>2212</v>
      </c>
      <c r="B388" s="2">
        <v>45433</v>
      </c>
      <c r="C388" t="s">
        <v>1304</v>
      </c>
      <c r="D388" t="s">
        <v>1686</v>
      </c>
      <c r="E388" t="str">
        <f ca="1">TRIM(Sales_fact[[#This Row],[Store_ID]])</f>
        <v>STORE16</v>
      </c>
      <c r="F388">
        <v>3</v>
      </c>
      <c r="G388">
        <f>IF(ISBLANK(F388),MODE($F$2:$F$2001),F388)</f>
        <v>3</v>
      </c>
      <c r="H388">
        <v>847.21</v>
      </c>
      <c r="I388">
        <f>IF(ISBLANK(H388),AVERAGE($H$2:$H$2001),H388)</f>
        <v>847.21</v>
      </c>
      <c r="J388">
        <v>0.06</v>
      </c>
      <c r="K388">
        <f>IF(ISBLANK(J388),MODE($J$2:$J$2001),J388)</f>
        <v>0.06</v>
      </c>
      <c r="L388" t="s">
        <v>1826</v>
      </c>
      <c r="M388">
        <v>2389.1322</v>
      </c>
      <c r="N388">
        <f t="shared" si="6"/>
        <v>2389.1322</v>
      </c>
      <c r="O388" t="str">
        <f>_xlfn.XLOOKUP(Sales_fact[[#This Row],[Customer_ID]],'Customer_Dim'!A:A,'Customer_Dim'!K:K,"Not Found")</f>
        <v>Bronze</v>
      </c>
      <c r="P388">
        <f>_xlfn.XLOOKUP(Sales_fact[[#This Row],[Customer_ID]],'Customer_Dim'!A:A, 'Customer_Dim'!E:E, "Not Found")</f>
        <v>60</v>
      </c>
      <c r="Q388" t="str">
        <f>VLOOKUP(Sales_fact[[#This Row],[Customer_ID]], 'Customer_Dim'!A:F, 6, FALSE)</f>
        <v>Male</v>
      </c>
      <c r="R388" s="13" t="str">
        <f>_xlfn.XLOOKUP(Sales_fact[[#This Row],[Product_ID]],Product_Dim!A:A,Product_Dim!C:C,"OTHERS")</f>
        <v>Clothing</v>
      </c>
    </row>
    <row r="389" spans="1:18" x14ac:dyDescent="0.3">
      <c r="A389" t="s">
        <v>2213</v>
      </c>
      <c r="B389" s="2">
        <v>45892</v>
      </c>
      <c r="C389" t="s">
        <v>244</v>
      </c>
      <c r="D389" t="s">
        <v>1708</v>
      </c>
      <c r="E389" t="str">
        <f ca="1">TRIM(Sales_fact[[#This Row],[Store_ID]])</f>
        <v>STORE10</v>
      </c>
      <c r="F389">
        <v>4</v>
      </c>
      <c r="G389">
        <f>IF(ISBLANK(F389),MODE($F$2:$F$2001),F389)</f>
        <v>4</v>
      </c>
      <c r="H389">
        <v>773.81</v>
      </c>
      <c r="I389">
        <f>IF(ISBLANK(H389),AVERAGE($H$2:$H$2001),H389)</f>
        <v>773.81</v>
      </c>
      <c r="J389">
        <v>0.08</v>
      </c>
      <c r="K389">
        <f>IF(ISBLANK(J389),MODE($J$2:$J$2001),J389)</f>
        <v>0.08</v>
      </c>
      <c r="L389" t="s">
        <v>1829</v>
      </c>
      <c r="M389">
        <v>2847.6208000000001</v>
      </c>
      <c r="N389">
        <f t="shared" si="6"/>
        <v>2847.6208000000001</v>
      </c>
      <c r="O389" t="str">
        <f>_xlfn.XLOOKUP(Sales_fact[[#This Row],[Customer_ID]],'Customer_Dim'!A:A,'Customer_Dim'!K:K,"Not Found")</f>
        <v>Silver</v>
      </c>
      <c r="P389">
        <f>_xlfn.XLOOKUP(Sales_fact[[#This Row],[Customer_ID]],'Customer_Dim'!A:A, 'Customer_Dim'!E:E, "Not Found")</f>
        <v>27</v>
      </c>
      <c r="Q389" t="str">
        <f>VLOOKUP(Sales_fact[[#This Row],[Customer_ID]], 'Customer_Dim'!A:F, 6, FALSE)</f>
        <v>Female</v>
      </c>
      <c r="R389" s="13" t="str">
        <f>_xlfn.XLOOKUP(Sales_fact[[#This Row],[Product_ID]],Product_Dim!A:A,Product_Dim!C:C,"OTHERS")</f>
        <v>Home</v>
      </c>
    </row>
    <row r="390" spans="1:18" x14ac:dyDescent="0.3">
      <c r="A390" t="s">
        <v>2214</v>
      </c>
      <c r="B390" s="2">
        <v>45780</v>
      </c>
      <c r="C390" t="s">
        <v>8</v>
      </c>
      <c r="D390" t="s">
        <v>1674</v>
      </c>
      <c r="E390" t="str">
        <f ca="1">TRIM(Sales_fact[[#This Row],[Store_ID]])</f>
        <v>STORE16</v>
      </c>
      <c r="F390">
        <v>1</v>
      </c>
      <c r="G390">
        <f>IF(ISBLANK(F390),MODE($F$2:$F$2001),F390)</f>
        <v>1</v>
      </c>
      <c r="H390">
        <v>664.71</v>
      </c>
      <c r="I390">
        <f>IF(ISBLANK(H390),AVERAGE($H$2:$H$2001),H390)</f>
        <v>664.71</v>
      </c>
      <c r="J390">
        <v>0.1</v>
      </c>
      <c r="K390">
        <f>IF(ISBLANK(J390),MODE($J$2:$J$2001),J390)</f>
        <v>0.1</v>
      </c>
      <c r="L390" t="s">
        <v>1826</v>
      </c>
      <c r="M390">
        <v>598.23900000000003</v>
      </c>
      <c r="N390">
        <f t="shared" si="6"/>
        <v>598.23900000000003</v>
      </c>
      <c r="O390" t="str">
        <f>_xlfn.XLOOKUP(Sales_fact[[#This Row],[Customer_ID]],'Customer_Dim'!A:A,'Customer_Dim'!K:K,"Not Found")</f>
        <v>UNKNOWN</v>
      </c>
      <c r="P390">
        <f>_xlfn.XLOOKUP(Sales_fact[[#This Row],[Customer_ID]],'Customer_Dim'!A:A, 'Customer_Dim'!E:E, "Not Found")</f>
        <v>55</v>
      </c>
      <c r="Q390" t="str">
        <f>VLOOKUP(Sales_fact[[#This Row],[Customer_ID]], 'Customer_Dim'!A:F, 6, FALSE)</f>
        <v>Male</v>
      </c>
      <c r="R390" s="13" t="str">
        <f>_xlfn.XLOOKUP(Sales_fact[[#This Row],[Product_ID]],Product_Dim!A:A,Product_Dim!C:C,"OTHERS")</f>
        <v>Beauty</v>
      </c>
    </row>
    <row r="391" spans="1:18" x14ac:dyDescent="0.3">
      <c r="A391" t="s">
        <v>2215</v>
      </c>
      <c r="B391" s="2">
        <v>45233</v>
      </c>
      <c r="C391" t="s">
        <v>1089</v>
      </c>
      <c r="D391" t="s">
        <v>1622</v>
      </c>
      <c r="E391" t="str">
        <f ca="1">TRIM(Sales_fact[[#This Row],[Store_ID]])</f>
        <v>STORE7</v>
      </c>
      <c r="F391">
        <v>4</v>
      </c>
      <c r="G391">
        <f>IF(ISBLANK(F391),MODE($F$2:$F$2001),F391)</f>
        <v>4</v>
      </c>
      <c r="H391">
        <v>482.06</v>
      </c>
      <c r="I391">
        <f>IF(ISBLANK(H391),AVERAGE($H$2:$H$2001),H391)</f>
        <v>482.06</v>
      </c>
      <c r="J391">
        <v>7.0000000000000007E-2</v>
      </c>
      <c r="K391">
        <f>IF(ISBLANK(J391),MODE($J$2:$J$2001),J391)</f>
        <v>7.0000000000000007E-2</v>
      </c>
      <c r="L391" t="s">
        <v>1826</v>
      </c>
      <c r="M391">
        <v>1793.2632000000001</v>
      </c>
      <c r="N391">
        <f t="shared" si="6"/>
        <v>1793.2631999999999</v>
      </c>
      <c r="O391" t="str">
        <f>_xlfn.XLOOKUP(Sales_fact[[#This Row],[Customer_ID]],'Customer_Dim'!A:A,'Customer_Dim'!K:K,"Not Found")</f>
        <v>Gold</v>
      </c>
      <c r="P391">
        <f>_xlfn.XLOOKUP(Sales_fact[[#This Row],[Customer_ID]],'Customer_Dim'!A:A, 'Customer_Dim'!E:E, "Not Found")</f>
        <v>39</v>
      </c>
      <c r="Q391" t="str">
        <f>VLOOKUP(Sales_fact[[#This Row],[Customer_ID]], 'Customer_Dim'!A:F, 6, FALSE)</f>
        <v>Female</v>
      </c>
      <c r="R391" s="13" t="str">
        <f>_xlfn.XLOOKUP(Sales_fact[[#This Row],[Product_ID]],Product_Dim!A:A,Product_Dim!C:C,"OTHERS")</f>
        <v>Clothing</v>
      </c>
    </row>
    <row r="392" spans="1:18" x14ac:dyDescent="0.3">
      <c r="A392" t="s">
        <v>2216</v>
      </c>
      <c r="B392" s="2">
        <v>45742</v>
      </c>
      <c r="C392" t="s">
        <v>321</v>
      </c>
      <c r="D392" t="s">
        <v>1662</v>
      </c>
      <c r="E392" t="str">
        <f ca="1">TRIM(Sales_fact[[#This Row],[Store_ID]])</f>
        <v>STORE3</v>
      </c>
      <c r="F392">
        <v>4</v>
      </c>
      <c r="G392">
        <f>IF(ISBLANK(F392),MODE($F$2:$F$2001),F392)</f>
        <v>4</v>
      </c>
      <c r="H392">
        <v>995.55</v>
      </c>
      <c r="I392">
        <f>IF(ISBLANK(H392),AVERAGE($H$2:$H$2001),H392)</f>
        <v>995.55</v>
      </c>
      <c r="J392">
        <v>0.19</v>
      </c>
      <c r="K392">
        <f>IF(ISBLANK(J392),MODE($J$2:$J$2001),J392)</f>
        <v>0.19</v>
      </c>
      <c r="L392" t="s">
        <v>1826</v>
      </c>
      <c r="M392">
        <v>3225.5819999999999</v>
      </c>
      <c r="N392">
        <f t="shared" si="6"/>
        <v>3225.5819999999999</v>
      </c>
      <c r="O392" t="str">
        <f>_xlfn.XLOOKUP(Sales_fact[[#This Row],[Customer_ID]],'Customer_Dim'!A:A,'Customer_Dim'!K:K,"Not Found")</f>
        <v>Platinum</v>
      </c>
      <c r="P392">
        <f>_xlfn.XLOOKUP(Sales_fact[[#This Row],[Customer_ID]],'Customer_Dim'!A:A, 'Customer_Dim'!E:E, "Not Found")</f>
        <v>43</v>
      </c>
      <c r="Q392" t="str">
        <f>VLOOKUP(Sales_fact[[#This Row],[Customer_ID]], 'Customer_Dim'!A:F, 6, FALSE)</f>
        <v>Male</v>
      </c>
      <c r="R392" s="13" t="str">
        <f>_xlfn.XLOOKUP(Sales_fact[[#This Row],[Product_ID]],Product_Dim!A:A,Product_Dim!C:C,"OTHERS")</f>
        <v>Sports</v>
      </c>
    </row>
    <row r="393" spans="1:18" x14ac:dyDescent="0.3">
      <c r="A393" t="s">
        <v>2217</v>
      </c>
      <c r="B393" s="2">
        <v>45478</v>
      </c>
      <c r="C393" t="s">
        <v>478</v>
      </c>
      <c r="D393" t="s">
        <v>1734</v>
      </c>
      <c r="E393" t="str">
        <f ca="1">TRIM(Sales_fact[[#This Row],[Store_ID]])</f>
        <v>STORE13</v>
      </c>
      <c r="F393">
        <v>2</v>
      </c>
      <c r="G393">
        <f>IF(ISBLANK(F393),MODE($F$2:$F$2001),F393)</f>
        <v>2</v>
      </c>
      <c r="H393">
        <v>153.84</v>
      </c>
      <c r="I393">
        <f>IF(ISBLANK(H393),AVERAGE($H$2:$H$2001),H393)</f>
        <v>153.84</v>
      </c>
      <c r="J393">
        <v>0.27</v>
      </c>
      <c r="K393">
        <f>IF(ISBLANK(J393),MODE($J$2:$J$2001),J393)</f>
        <v>0.27</v>
      </c>
      <c r="L393" t="s">
        <v>1826</v>
      </c>
      <c r="M393">
        <v>224.60640000000001</v>
      </c>
      <c r="N393">
        <f t="shared" si="6"/>
        <v>224.60640000000001</v>
      </c>
      <c r="O393" t="str">
        <f>_xlfn.XLOOKUP(Sales_fact[[#This Row],[Customer_ID]],'Customer_Dim'!A:A,'Customer_Dim'!K:K,"Not Found")</f>
        <v>Bronze</v>
      </c>
      <c r="P393">
        <f>_xlfn.XLOOKUP(Sales_fact[[#This Row],[Customer_ID]],'Customer_Dim'!A:A, 'Customer_Dim'!E:E, "Not Found")</f>
        <v>30</v>
      </c>
      <c r="Q393" t="str">
        <f>VLOOKUP(Sales_fact[[#This Row],[Customer_ID]], 'Customer_Dim'!A:F, 6, FALSE)</f>
        <v>Male</v>
      </c>
      <c r="R393" s="13" t="str">
        <f>_xlfn.XLOOKUP(Sales_fact[[#This Row],[Product_ID]],Product_Dim!A:A,Product_Dim!C:C,"OTHERS")</f>
        <v>Electronics</v>
      </c>
    </row>
    <row r="394" spans="1:18" x14ac:dyDescent="0.3">
      <c r="A394" t="s">
        <v>2218</v>
      </c>
      <c r="B394" s="2">
        <v>45789</v>
      </c>
      <c r="C394" t="s">
        <v>514</v>
      </c>
      <c r="D394" t="s">
        <v>1704</v>
      </c>
      <c r="E394" t="str">
        <f ca="1">TRIM(Sales_fact[[#This Row],[Store_ID]])</f>
        <v>STORE6</v>
      </c>
      <c r="F394">
        <v>3</v>
      </c>
      <c r="G394">
        <f>IF(ISBLANK(F394),MODE($F$2:$F$2001),F394)</f>
        <v>3</v>
      </c>
      <c r="H394">
        <v>362.11</v>
      </c>
      <c r="I394">
        <f>IF(ISBLANK(H394),AVERAGE($H$2:$H$2001),H394)</f>
        <v>362.11</v>
      </c>
      <c r="J394">
        <v>0.23</v>
      </c>
      <c r="K394">
        <f>IF(ISBLANK(J394),MODE($J$2:$J$2001),J394)</f>
        <v>0.23</v>
      </c>
      <c r="L394" t="s">
        <v>1829</v>
      </c>
      <c r="M394">
        <v>836.47409999999991</v>
      </c>
      <c r="N394">
        <f t="shared" si="6"/>
        <v>836.47409999999991</v>
      </c>
      <c r="O394" t="str">
        <f>_xlfn.XLOOKUP(Sales_fact[[#This Row],[Customer_ID]],'Customer_Dim'!A:A,'Customer_Dim'!K:K,"Not Found")</f>
        <v>Bronze</v>
      </c>
      <c r="P394">
        <f>_xlfn.XLOOKUP(Sales_fact[[#This Row],[Customer_ID]],'Customer_Dim'!A:A, 'Customer_Dim'!E:E, "Not Found")</f>
        <v>31</v>
      </c>
      <c r="Q394" t="str">
        <f>VLOOKUP(Sales_fact[[#This Row],[Customer_ID]], 'Customer_Dim'!A:F, 6, FALSE)</f>
        <v>Male</v>
      </c>
      <c r="R394" s="13" t="str">
        <f>_xlfn.XLOOKUP(Sales_fact[[#This Row],[Product_ID]],Product_Dim!A:A,Product_Dim!C:C,"OTHERS")</f>
        <v>Home</v>
      </c>
    </row>
    <row r="395" spans="1:18" x14ac:dyDescent="0.3">
      <c r="A395" t="s">
        <v>2219</v>
      </c>
      <c r="B395" s="2">
        <v>45561</v>
      </c>
      <c r="C395" t="s">
        <v>1455</v>
      </c>
      <c r="D395" t="s">
        <v>1634</v>
      </c>
      <c r="E395" t="str">
        <f ca="1">TRIM(Sales_fact[[#This Row],[Store_ID]])</f>
        <v>STORE8</v>
      </c>
      <c r="F395">
        <v>3</v>
      </c>
      <c r="G395">
        <f>IF(ISBLANK(F395),MODE($F$2:$F$2001),F395)</f>
        <v>3</v>
      </c>
      <c r="H395">
        <v>112.26</v>
      </c>
      <c r="I395">
        <f>IF(ISBLANK(H395),AVERAGE($H$2:$H$2001),H395)</f>
        <v>112.26</v>
      </c>
      <c r="J395">
        <v>0.11</v>
      </c>
      <c r="K395">
        <f>IF(ISBLANK(J395),MODE($J$2:$J$2001),J395)</f>
        <v>0.11</v>
      </c>
      <c r="L395" t="s">
        <v>1824</v>
      </c>
      <c r="M395">
        <v>299.73419999999999</v>
      </c>
      <c r="N395">
        <f t="shared" si="6"/>
        <v>299.73420000000004</v>
      </c>
      <c r="O395" t="str">
        <f>_xlfn.XLOOKUP(Sales_fact[[#This Row],[Customer_ID]],'Customer_Dim'!A:A,'Customer_Dim'!K:K,"Not Found")</f>
        <v>Silver</v>
      </c>
      <c r="P395">
        <f>_xlfn.XLOOKUP(Sales_fact[[#This Row],[Customer_ID]],'Customer_Dim'!A:A, 'Customer_Dim'!E:E, "Not Found")</f>
        <v>42</v>
      </c>
      <c r="Q395" t="str">
        <f>VLOOKUP(Sales_fact[[#This Row],[Customer_ID]], 'Customer_Dim'!A:F, 6, FALSE)</f>
        <v>Male</v>
      </c>
      <c r="R395" s="13" t="str">
        <f>_xlfn.XLOOKUP(Sales_fact[[#This Row],[Product_ID]],Product_Dim!A:A,Product_Dim!C:C,"OTHERS")</f>
        <v>Electronics</v>
      </c>
    </row>
    <row r="396" spans="1:18" x14ac:dyDescent="0.3">
      <c r="A396" t="s">
        <v>2220</v>
      </c>
      <c r="B396" s="2">
        <v>45378</v>
      </c>
      <c r="C396" t="s">
        <v>663</v>
      </c>
      <c r="D396" t="s">
        <v>1736</v>
      </c>
      <c r="E396" t="str">
        <f ca="1">TRIM(Sales_fact[[#This Row],[Store_ID]])</f>
        <v>STORE19</v>
      </c>
      <c r="F396">
        <v>2</v>
      </c>
      <c r="G396">
        <f>IF(ISBLANK(F396),MODE($F$2:$F$2001),F396)</f>
        <v>2</v>
      </c>
      <c r="H396">
        <v>962.81</v>
      </c>
      <c r="I396">
        <f>IF(ISBLANK(H396),AVERAGE($H$2:$H$2001),H396)</f>
        <v>962.81</v>
      </c>
      <c r="J396">
        <v>0.06</v>
      </c>
      <c r="K396">
        <f>IF(ISBLANK(J396),MODE($J$2:$J$2001),J396)</f>
        <v>0.06</v>
      </c>
      <c r="L396" t="s">
        <v>1829</v>
      </c>
      <c r="M396">
        <v>1810.0827999999999</v>
      </c>
      <c r="N396">
        <f t="shared" si="6"/>
        <v>1810.0827999999999</v>
      </c>
      <c r="O396" t="str">
        <f>_xlfn.XLOOKUP(Sales_fact[[#This Row],[Customer_ID]],'Customer_Dim'!A:A,'Customer_Dim'!K:K,"Not Found")</f>
        <v>Platinum</v>
      </c>
      <c r="P396">
        <f>_xlfn.XLOOKUP(Sales_fact[[#This Row],[Customer_ID]],'Customer_Dim'!A:A, 'Customer_Dim'!E:E, "Not Found")</f>
        <v>47</v>
      </c>
      <c r="Q396" t="str">
        <f>VLOOKUP(Sales_fact[[#This Row],[Customer_ID]], 'Customer_Dim'!A:F, 6, FALSE)</f>
        <v>Male</v>
      </c>
      <c r="R396" s="13" t="str">
        <f>_xlfn.XLOOKUP(Sales_fact[[#This Row],[Product_ID]],Product_Dim!A:A,Product_Dim!C:C,"OTHERS")</f>
        <v>Beauty</v>
      </c>
    </row>
    <row r="397" spans="1:18" x14ac:dyDescent="0.3">
      <c r="A397" t="s">
        <v>2221</v>
      </c>
      <c r="B397" s="2">
        <v>45308</v>
      </c>
      <c r="C397" t="s">
        <v>693</v>
      </c>
      <c r="D397" t="s">
        <v>1590</v>
      </c>
      <c r="E397" t="str">
        <f ca="1">TRIM(Sales_fact[[#This Row],[Store_ID]])</f>
        <v>STORE0</v>
      </c>
      <c r="F397">
        <v>4</v>
      </c>
      <c r="G397">
        <f>IF(ISBLANK(F397),MODE($F$2:$F$2001),F397)</f>
        <v>4</v>
      </c>
      <c r="H397">
        <v>276.23</v>
      </c>
      <c r="I397">
        <f>IF(ISBLANK(H397),AVERAGE($H$2:$H$2001),H397)</f>
        <v>276.23</v>
      </c>
      <c r="J397">
        <v>0.12</v>
      </c>
      <c r="K397">
        <f>IF(ISBLANK(J397),MODE($J$2:$J$2001),J397)</f>
        <v>0.12</v>
      </c>
      <c r="L397" t="s">
        <v>1824</v>
      </c>
      <c r="M397">
        <v>972.32960000000003</v>
      </c>
      <c r="N397">
        <f t="shared" si="6"/>
        <v>972.32960000000003</v>
      </c>
      <c r="O397" t="str">
        <f>_xlfn.XLOOKUP(Sales_fact[[#This Row],[Customer_ID]],'Customer_Dim'!A:A,'Customer_Dim'!K:K,"Not Found")</f>
        <v>Platinum</v>
      </c>
      <c r="P397">
        <f>_xlfn.XLOOKUP(Sales_fact[[#This Row],[Customer_ID]],'Customer_Dim'!A:A, 'Customer_Dim'!E:E, "Not Found")</f>
        <v>42</v>
      </c>
      <c r="Q397" t="str">
        <f>VLOOKUP(Sales_fact[[#This Row],[Customer_ID]], 'Customer_Dim'!A:F, 6, FALSE)</f>
        <v>Female</v>
      </c>
      <c r="R397" s="13" t="str">
        <f>_xlfn.XLOOKUP(Sales_fact[[#This Row],[Product_ID]],Product_Dim!A:A,Product_Dim!C:C,"OTHERS")</f>
        <v>Home</v>
      </c>
    </row>
    <row r="398" spans="1:18" x14ac:dyDescent="0.3">
      <c r="A398" t="s">
        <v>2222</v>
      </c>
      <c r="B398" s="2">
        <v>45407</v>
      </c>
      <c r="C398" t="s">
        <v>71</v>
      </c>
      <c r="D398" t="s">
        <v>1584</v>
      </c>
      <c r="E398" t="str">
        <f ca="1">TRIM(Sales_fact[[#This Row],[Store_ID]])</f>
        <v>STORE14</v>
      </c>
      <c r="F398">
        <v>3</v>
      </c>
      <c r="G398">
        <f>IF(ISBLANK(F398),MODE($F$2:$F$2001),F398)</f>
        <v>3</v>
      </c>
      <c r="H398">
        <v>991.37</v>
      </c>
      <c r="I398">
        <f>IF(ISBLANK(H398),AVERAGE($H$2:$H$2001),H398)</f>
        <v>991.37</v>
      </c>
      <c r="J398">
        <v>0.1</v>
      </c>
      <c r="K398">
        <f>IF(ISBLANK(J398),MODE($J$2:$J$2001),J398)</f>
        <v>0.1</v>
      </c>
      <c r="L398" t="s">
        <v>1826</v>
      </c>
      <c r="M398">
        <v>2676.6990000000001</v>
      </c>
      <c r="N398">
        <f t="shared" si="6"/>
        <v>2676.6990000000001</v>
      </c>
      <c r="O398" t="str">
        <f>_xlfn.XLOOKUP(Sales_fact[[#This Row],[Customer_ID]],'Customer_Dim'!A:A,'Customer_Dim'!K:K,"Not Found")</f>
        <v>Platinum</v>
      </c>
      <c r="P398">
        <f>_xlfn.XLOOKUP(Sales_fact[[#This Row],[Customer_ID]],'Customer_Dim'!A:A, 'Customer_Dim'!E:E, "Not Found")</f>
        <v>49</v>
      </c>
      <c r="Q398" t="str">
        <f>VLOOKUP(Sales_fact[[#This Row],[Customer_ID]], 'Customer_Dim'!A:F, 6, FALSE)</f>
        <v>Female</v>
      </c>
      <c r="R398" s="13" t="str">
        <f>_xlfn.XLOOKUP(Sales_fact[[#This Row],[Product_ID]],Product_Dim!A:A,Product_Dim!C:C,"OTHERS")</f>
        <v>Clothing</v>
      </c>
    </row>
    <row r="399" spans="1:18" x14ac:dyDescent="0.3">
      <c r="A399" t="s">
        <v>2223</v>
      </c>
      <c r="B399" s="2">
        <v>45929</v>
      </c>
      <c r="C399" t="s">
        <v>559</v>
      </c>
      <c r="D399" t="s">
        <v>1590</v>
      </c>
      <c r="E399" t="str">
        <f ca="1">TRIM(Sales_fact[[#This Row],[Store_ID]])</f>
        <v>STORE13</v>
      </c>
      <c r="F399">
        <v>3</v>
      </c>
      <c r="G399">
        <f>IF(ISBLANK(F399),MODE($F$2:$F$2001),F399)</f>
        <v>3</v>
      </c>
      <c r="H399">
        <v>977.47</v>
      </c>
      <c r="I399">
        <f>IF(ISBLANK(H399),AVERAGE($H$2:$H$2001),H399)</f>
        <v>977.47</v>
      </c>
      <c r="J399">
        <v>0.05</v>
      </c>
      <c r="K399">
        <f>IF(ISBLANK(J399),MODE($J$2:$J$2001),J399)</f>
        <v>0.05</v>
      </c>
      <c r="L399" t="s">
        <v>1824</v>
      </c>
      <c r="M399">
        <v>2785.7894999999999</v>
      </c>
      <c r="N399">
        <f t="shared" si="6"/>
        <v>2785.7894999999999</v>
      </c>
      <c r="O399" t="str">
        <f>_xlfn.XLOOKUP(Sales_fact[[#This Row],[Customer_ID]],'Customer_Dim'!A:A,'Customer_Dim'!K:K,"Not Found")</f>
        <v>Platinum</v>
      </c>
      <c r="P399">
        <f>_xlfn.XLOOKUP(Sales_fact[[#This Row],[Customer_ID]],'Customer_Dim'!A:A, 'Customer_Dim'!E:E, "Not Found")</f>
        <v>36</v>
      </c>
      <c r="Q399" t="str">
        <f>VLOOKUP(Sales_fact[[#This Row],[Customer_ID]], 'Customer_Dim'!A:F, 6, FALSE)</f>
        <v>Female</v>
      </c>
      <c r="R399" s="13" t="str">
        <f>_xlfn.XLOOKUP(Sales_fact[[#This Row],[Product_ID]],Product_Dim!A:A,Product_Dim!C:C,"OTHERS")</f>
        <v>Home</v>
      </c>
    </row>
    <row r="400" spans="1:18" x14ac:dyDescent="0.3">
      <c r="A400" t="s">
        <v>2224</v>
      </c>
      <c r="B400" s="2">
        <v>45844</v>
      </c>
      <c r="C400" t="s">
        <v>672</v>
      </c>
      <c r="D400" t="s">
        <v>1736</v>
      </c>
      <c r="E400" t="str">
        <f ca="1">TRIM(Sales_fact[[#This Row],[Store_ID]])</f>
        <v>STORE12</v>
      </c>
      <c r="F400">
        <v>2</v>
      </c>
      <c r="G400">
        <f>IF(ISBLANK(F400),MODE($F$2:$F$2001),F400)</f>
        <v>2</v>
      </c>
      <c r="H400">
        <v>308.7</v>
      </c>
      <c r="I400">
        <f>IF(ISBLANK(H400),AVERAGE($H$2:$H$2001),H400)</f>
        <v>308.7</v>
      </c>
      <c r="J400">
        <v>0.2</v>
      </c>
      <c r="K400">
        <f>IF(ISBLANK(J400),MODE($J$2:$J$2001),J400)</f>
        <v>0.2</v>
      </c>
      <c r="L400" t="s">
        <v>1826</v>
      </c>
      <c r="M400">
        <v>493.92</v>
      </c>
      <c r="N400">
        <f t="shared" si="6"/>
        <v>493.92</v>
      </c>
      <c r="O400" t="str">
        <f>_xlfn.XLOOKUP(Sales_fact[[#This Row],[Customer_ID]],'Customer_Dim'!A:A,'Customer_Dim'!K:K,"Not Found")</f>
        <v>Silver</v>
      </c>
      <c r="P400">
        <f>_xlfn.XLOOKUP(Sales_fact[[#This Row],[Customer_ID]],'Customer_Dim'!A:A, 'Customer_Dim'!E:E, "Not Found")</f>
        <v>26</v>
      </c>
      <c r="Q400" t="str">
        <f>VLOOKUP(Sales_fact[[#This Row],[Customer_ID]], 'Customer_Dim'!A:F, 6, FALSE)</f>
        <v>Female</v>
      </c>
      <c r="R400" s="13" t="str">
        <f>_xlfn.XLOOKUP(Sales_fact[[#This Row],[Product_ID]],Product_Dim!A:A,Product_Dim!C:C,"OTHERS")</f>
        <v>Beauty</v>
      </c>
    </row>
    <row r="401" spans="1:18" x14ac:dyDescent="0.3">
      <c r="A401" t="s">
        <v>2225</v>
      </c>
      <c r="B401" s="2">
        <v>45579</v>
      </c>
      <c r="C401" t="s">
        <v>147</v>
      </c>
      <c r="D401" t="s">
        <v>1557</v>
      </c>
      <c r="E401" t="str">
        <f ca="1">TRIM(Sales_fact[[#This Row],[Store_ID]])</f>
        <v>STORE16</v>
      </c>
      <c r="F401">
        <v>2</v>
      </c>
      <c r="G401">
        <f>IF(ISBLANK(F401),MODE($F$2:$F$2001),F401)</f>
        <v>2</v>
      </c>
      <c r="H401">
        <v>733.87</v>
      </c>
      <c r="I401">
        <f>IF(ISBLANK(H401),AVERAGE($H$2:$H$2001),H401)</f>
        <v>733.87</v>
      </c>
      <c r="J401">
        <v>0.1</v>
      </c>
      <c r="K401">
        <f>IF(ISBLANK(J401),MODE($J$2:$J$2001),J401)</f>
        <v>0.1</v>
      </c>
      <c r="L401" t="s">
        <v>1826</v>
      </c>
      <c r="M401">
        <v>1320.9659999999999</v>
      </c>
      <c r="N401">
        <f t="shared" si="6"/>
        <v>1320.9660000000001</v>
      </c>
      <c r="O401" t="str">
        <f>_xlfn.XLOOKUP(Sales_fact[[#This Row],[Customer_ID]],'Customer_Dim'!A:A,'Customer_Dim'!K:K,"Not Found")</f>
        <v>UNKNOWN</v>
      </c>
      <c r="P401">
        <f>_xlfn.XLOOKUP(Sales_fact[[#This Row],[Customer_ID]],'Customer_Dim'!A:A, 'Customer_Dim'!E:E, "Not Found")</f>
        <v>27</v>
      </c>
      <c r="Q401" t="str">
        <f>VLOOKUP(Sales_fact[[#This Row],[Customer_ID]], 'Customer_Dim'!A:F, 6, FALSE)</f>
        <v>Female</v>
      </c>
      <c r="R401" s="13" t="str">
        <f>_xlfn.XLOOKUP(Sales_fact[[#This Row],[Product_ID]],Product_Dim!A:A,Product_Dim!C:C,"OTHERS")</f>
        <v>Beauty</v>
      </c>
    </row>
    <row r="402" spans="1:18" x14ac:dyDescent="0.3">
      <c r="A402" t="s">
        <v>2226</v>
      </c>
      <c r="B402" s="2">
        <v>45227</v>
      </c>
      <c r="C402" t="s">
        <v>341</v>
      </c>
      <c r="D402" t="s">
        <v>1586</v>
      </c>
      <c r="E402" t="str">
        <f ca="1">TRIM(Sales_fact[[#This Row],[Store_ID]])</f>
        <v>STORE16</v>
      </c>
      <c r="F402">
        <v>2</v>
      </c>
      <c r="G402">
        <f>IF(ISBLANK(F402),MODE($F$2:$F$2001),F402)</f>
        <v>2</v>
      </c>
      <c r="H402">
        <v>22.47</v>
      </c>
      <c r="I402">
        <f>IF(ISBLANK(H402),AVERAGE($H$2:$H$2001),H402)</f>
        <v>22.47</v>
      </c>
      <c r="J402">
        <v>0.22</v>
      </c>
      <c r="K402">
        <f>IF(ISBLANK(J402),MODE($J$2:$J$2001),J402)</f>
        <v>0.22</v>
      </c>
      <c r="L402" t="s">
        <v>1826</v>
      </c>
      <c r="M402">
        <v>35.053199999999997</v>
      </c>
      <c r="N402">
        <f t="shared" si="6"/>
        <v>35.053199999999997</v>
      </c>
      <c r="O402" t="str">
        <f>_xlfn.XLOOKUP(Sales_fact[[#This Row],[Customer_ID]],'Customer_Dim'!A:A,'Customer_Dim'!K:K,"Not Found")</f>
        <v>Platinum</v>
      </c>
      <c r="P402">
        <f>_xlfn.XLOOKUP(Sales_fact[[#This Row],[Customer_ID]],'Customer_Dim'!A:A, 'Customer_Dim'!E:E, "Not Found")</f>
        <v>62</v>
      </c>
      <c r="Q402" t="str">
        <f>VLOOKUP(Sales_fact[[#This Row],[Customer_ID]], 'Customer_Dim'!A:F, 6, FALSE)</f>
        <v>Female</v>
      </c>
      <c r="R402" s="13" t="str">
        <f>_xlfn.XLOOKUP(Sales_fact[[#This Row],[Product_ID]],Product_Dim!A:A,Product_Dim!C:C,"OTHERS")</f>
        <v>Sports</v>
      </c>
    </row>
    <row r="403" spans="1:18" x14ac:dyDescent="0.3">
      <c r="A403" t="s">
        <v>2227</v>
      </c>
      <c r="B403" s="2">
        <v>45380</v>
      </c>
      <c r="C403" t="s">
        <v>1092</v>
      </c>
      <c r="D403" t="s">
        <v>1662</v>
      </c>
      <c r="E403" t="str">
        <f ca="1">TRIM(Sales_fact[[#This Row],[Store_ID]])</f>
        <v>STORE13</v>
      </c>
      <c r="F403">
        <v>4</v>
      </c>
      <c r="G403">
        <f>IF(ISBLANK(F403),MODE($F$2:$F$2001),F403)</f>
        <v>4</v>
      </c>
      <c r="H403">
        <v>651.36</v>
      </c>
      <c r="I403">
        <f>IF(ISBLANK(H403),AVERAGE($H$2:$H$2001),H403)</f>
        <v>651.36</v>
      </c>
      <c r="J403">
        <v>0.13</v>
      </c>
      <c r="K403">
        <f>IF(ISBLANK(J403),MODE($J$2:$J$2001),J403)</f>
        <v>0.13</v>
      </c>
      <c r="L403" t="s">
        <v>1824</v>
      </c>
      <c r="M403">
        <v>2266.7328000000002</v>
      </c>
      <c r="N403">
        <f t="shared" si="6"/>
        <v>2266.7328000000002</v>
      </c>
      <c r="O403" t="str">
        <f>_xlfn.XLOOKUP(Sales_fact[[#This Row],[Customer_ID]],'Customer_Dim'!A:A,'Customer_Dim'!K:K,"Not Found")</f>
        <v>Silver</v>
      </c>
      <c r="P403">
        <f>_xlfn.XLOOKUP(Sales_fact[[#This Row],[Customer_ID]],'Customer_Dim'!A:A, 'Customer_Dim'!E:E, "Not Found")</f>
        <v>55</v>
      </c>
      <c r="Q403" t="str">
        <f>VLOOKUP(Sales_fact[[#This Row],[Customer_ID]], 'Customer_Dim'!A:F, 6, FALSE)</f>
        <v>Male</v>
      </c>
      <c r="R403" s="13" t="str">
        <f>_xlfn.XLOOKUP(Sales_fact[[#This Row],[Product_ID]],Product_Dim!A:A,Product_Dim!C:C,"OTHERS")</f>
        <v>Sports</v>
      </c>
    </row>
    <row r="404" spans="1:18" x14ac:dyDescent="0.3">
      <c r="A404" t="s">
        <v>2228</v>
      </c>
      <c r="B404" s="2">
        <v>45817</v>
      </c>
      <c r="C404" t="s">
        <v>937</v>
      </c>
      <c r="D404" t="s">
        <v>1576</v>
      </c>
      <c r="E404" t="str">
        <f ca="1">TRIM(Sales_fact[[#This Row],[Store_ID]])</f>
        <v>STORE10</v>
      </c>
      <c r="F404">
        <v>1</v>
      </c>
      <c r="G404">
        <f>IF(ISBLANK(F404),MODE($F$2:$F$2001),F404)</f>
        <v>1</v>
      </c>
      <c r="H404">
        <v>753.39</v>
      </c>
      <c r="I404">
        <f>IF(ISBLANK(H404),AVERAGE($H$2:$H$2001),H404)</f>
        <v>753.39</v>
      </c>
      <c r="J404">
        <v>0.04</v>
      </c>
      <c r="K404">
        <f>IF(ISBLANK(J404),MODE($J$2:$J$2001),J404)</f>
        <v>0.04</v>
      </c>
      <c r="L404" t="s">
        <v>1829</v>
      </c>
      <c r="M404">
        <v>723.25439999999992</v>
      </c>
      <c r="N404">
        <f t="shared" si="6"/>
        <v>723.25439999999992</v>
      </c>
      <c r="O404" t="str">
        <f>_xlfn.XLOOKUP(Sales_fact[[#This Row],[Customer_ID]],'Customer_Dim'!A:A,'Customer_Dim'!K:K,"Not Found")</f>
        <v>Bronze</v>
      </c>
      <c r="P404">
        <f>_xlfn.XLOOKUP(Sales_fact[[#This Row],[Customer_ID]],'Customer_Dim'!A:A, 'Customer_Dim'!E:E, "Not Found")</f>
        <v>28</v>
      </c>
      <c r="Q404" t="str">
        <f>VLOOKUP(Sales_fact[[#This Row],[Customer_ID]], 'Customer_Dim'!A:F, 6, FALSE)</f>
        <v>Female</v>
      </c>
      <c r="R404" s="13" t="str">
        <f>_xlfn.XLOOKUP(Sales_fact[[#This Row],[Product_ID]],Product_Dim!A:A,Product_Dim!C:C,"OTHERS")</f>
        <v>Home</v>
      </c>
    </row>
    <row r="405" spans="1:18" x14ac:dyDescent="0.3">
      <c r="A405" t="s">
        <v>2229</v>
      </c>
      <c r="B405" s="2">
        <v>45576</v>
      </c>
      <c r="C405" t="s">
        <v>657</v>
      </c>
      <c r="D405" t="s">
        <v>1690</v>
      </c>
      <c r="E405" t="str">
        <f ca="1">TRIM(Sales_fact[[#This Row],[Store_ID]])</f>
        <v>STORE12</v>
      </c>
      <c r="F405">
        <v>4</v>
      </c>
      <c r="G405">
        <f>IF(ISBLANK(F405),MODE($F$2:$F$2001),F405)</f>
        <v>4</v>
      </c>
      <c r="H405">
        <v>849.17</v>
      </c>
      <c r="I405">
        <f>IF(ISBLANK(H405),AVERAGE($H$2:$H$2001),H405)</f>
        <v>849.17</v>
      </c>
      <c r="J405">
        <v>0.12</v>
      </c>
      <c r="K405">
        <f>IF(ISBLANK(J405),MODE($J$2:$J$2001),J405)</f>
        <v>0.12</v>
      </c>
      <c r="L405" t="s">
        <v>1829</v>
      </c>
      <c r="M405">
        <v>2989.0783999999999</v>
      </c>
      <c r="N405">
        <f t="shared" si="6"/>
        <v>2989.0783999999999</v>
      </c>
      <c r="O405" t="str">
        <f>_xlfn.XLOOKUP(Sales_fact[[#This Row],[Customer_ID]],'Customer_Dim'!A:A,'Customer_Dim'!K:K,"Not Found")</f>
        <v>Bronze</v>
      </c>
      <c r="P405">
        <f>_xlfn.XLOOKUP(Sales_fact[[#This Row],[Customer_ID]],'Customer_Dim'!A:A, 'Customer_Dim'!E:E, "Not Found")</f>
        <v>25</v>
      </c>
      <c r="Q405" t="str">
        <f>VLOOKUP(Sales_fact[[#This Row],[Customer_ID]], 'Customer_Dim'!A:F, 6, FALSE)</f>
        <v>Female</v>
      </c>
      <c r="R405" s="13" t="str">
        <f>_xlfn.XLOOKUP(Sales_fact[[#This Row],[Product_ID]],Product_Dim!A:A,Product_Dim!C:C,"OTHERS")</f>
        <v>Beauty</v>
      </c>
    </row>
    <row r="406" spans="1:18" x14ac:dyDescent="0.3">
      <c r="A406" t="s">
        <v>2230</v>
      </c>
      <c r="B406" s="2">
        <v>45495</v>
      </c>
      <c r="C406" t="s">
        <v>1184</v>
      </c>
      <c r="D406" t="s">
        <v>1588</v>
      </c>
      <c r="E406" t="str">
        <f ca="1">TRIM(Sales_fact[[#This Row],[Store_ID]])</f>
        <v>STORE0</v>
      </c>
      <c r="F406">
        <v>4</v>
      </c>
      <c r="G406">
        <f>IF(ISBLANK(F406),MODE($F$2:$F$2001),F406)</f>
        <v>4</v>
      </c>
      <c r="H406">
        <v>585.45000000000005</v>
      </c>
      <c r="I406">
        <f>IF(ISBLANK(H406),AVERAGE($H$2:$H$2001),H406)</f>
        <v>585.45000000000005</v>
      </c>
      <c r="J406">
        <v>0.25</v>
      </c>
      <c r="K406">
        <f>IF(ISBLANK(J406),MODE($J$2:$J$2001),J406)</f>
        <v>0.25</v>
      </c>
      <c r="L406" t="s">
        <v>1829</v>
      </c>
      <c r="M406">
        <v>1756.35</v>
      </c>
      <c r="N406">
        <f t="shared" si="6"/>
        <v>1756.3500000000001</v>
      </c>
      <c r="O406" t="str">
        <f>_xlfn.XLOOKUP(Sales_fact[[#This Row],[Customer_ID]],'Customer_Dim'!A:A,'Customer_Dim'!K:K,"Not Found")</f>
        <v>Gold</v>
      </c>
      <c r="P406">
        <f>_xlfn.XLOOKUP(Sales_fact[[#This Row],[Customer_ID]],'Customer_Dim'!A:A, 'Customer_Dim'!E:E, "Not Found")</f>
        <v>34</v>
      </c>
      <c r="Q406" t="str">
        <f>VLOOKUP(Sales_fact[[#This Row],[Customer_ID]], 'Customer_Dim'!A:F, 6, FALSE)</f>
        <v>Female</v>
      </c>
      <c r="R406" s="13" t="str">
        <f>_xlfn.XLOOKUP(Sales_fact[[#This Row],[Product_ID]],Product_Dim!A:A,Product_Dim!C:C,"OTHERS")</f>
        <v>Sports</v>
      </c>
    </row>
    <row r="407" spans="1:18" x14ac:dyDescent="0.3">
      <c r="A407" t="s">
        <v>2231</v>
      </c>
      <c r="B407" s="2">
        <v>45628</v>
      </c>
      <c r="C407" t="s">
        <v>1466</v>
      </c>
      <c r="D407" t="s">
        <v>1698</v>
      </c>
      <c r="E407" t="str">
        <f ca="1">TRIM(Sales_fact[[#This Row],[Store_ID]])</f>
        <v>STORE16</v>
      </c>
      <c r="F407">
        <v>1</v>
      </c>
      <c r="G407">
        <f>IF(ISBLANK(F407),MODE($F$2:$F$2001),F407)</f>
        <v>1</v>
      </c>
      <c r="H407">
        <v>745.15</v>
      </c>
      <c r="I407">
        <f>IF(ISBLANK(H407),AVERAGE($H$2:$H$2001),H407)</f>
        <v>745.15</v>
      </c>
      <c r="J407">
        <v>0.25</v>
      </c>
      <c r="K407">
        <f>IF(ISBLANK(J407),MODE($J$2:$J$2001),J407)</f>
        <v>0.25</v>
      </c>
      <c r="L407" t="s">
        <v>1829</v>
      </c>
      <c r="M407">
        <v>558.86249999999995</v>
      </c>
      <c r="N407">
        <f t="shared" si="6"/>
        <v>558.86249999999995</v>
      </c>
      <c r="O407" t="str">
        <f>_xlfn.XLOOKUP(Sales_fact[[#This Row],[Customer_ID]],'Customer_Dim'!A:A,'Customer_Dim'!K:K,"Not Found")</f>
        <v>Gold</v>
      </c>
      <c r="P407">
        <f>_xlfn.XLOOKUP(Sales_fact[[#This Row],[Customer_ID]],'Customer_Dim'!A:A, 'Customer_Dim'!E:E, "Not Found")</f>
        <v>33</v>
      </c>
      <c r="Q407" t="str">
        <f>VLOOKUP(Sales_fact[[#This Row],[Customer_ID]], 'Customer_Dim'!A:F, 6, FALSE)</f>
        <v>Female</v>
      </c>
      <c r="R407" s="13" t="str">
        <f>_xlfn.XLOOKUP(Sales_fact[[#This Row],[Product_ID]],Product_Dim!A:A,Product_Dim!C:C,"OTHERS")</f>
        <v>Clothing</v>
      </c>
    </row>
    <row r="408" spans="1:18" x14ac:dyDescent="0.3">
      <c r="A408" t="s">
        <v>2232</v>
      </c>
      <c r="B408" s="2">
        <v>45244</v>
      </c>
      <c r="C408" t="s">
        <v>191</v>
      </c>
      <c r="D408" t="s">
        <v>1746</v>
      </c>
      <c r="E408" t="str">
        <f ca="1">TRIM(Sales_fact[[#This Row],[Store_ID]])</f>
        <v>STORE2</v>
      </c>
      <c r="F408">
        <v>1</v>
      </c>
      <c r="G408">
        <f>IF(ISBLANK(F408),MODE($F$2:$F$2001),F408)</f>
        <v>1</v>
      </c>
      <c r="H408">
        <v>848.69</v>
      </c>
      <c r="I408">
        <f>IF(ISBLANK(H408),AVERAGE($H$2:$H$2001),H408)</f>
        <v>848.69</v>
      </c>
      <c r="J408">
        <v>0.04</v>
      </c>
      <c r="K408">
        <f>IF(ISBLANK(J408),MODE($J$2:$J$2001),J408)</f>
        <v>0.04</v>
      </c>
      <c r="L408" t="s">
        <v>1829</v>
      </c>
      <c r="M408">
        <v>814.74239999999998</v>
      </c>
      <c r="N408">
        <f t="shared" si="6"/>
        <v>814.74239999999998</v>
      </c>
      <c r="O408" t="str">
        <f>_xlfn.XLOOKUP(Sales_fact[[#This Row],[Customer_ID]],'Customer_Dim'!A:A,'Customer_Dim'!K:K,"Not Found")</f>
        <v>Gold</v>
      </c>
      <c r="P408">
        <f>_xlfn.XLOOKUP(Sales_fact[[#This Row],[Customer_ID]],'Customer_Dim'!A:A, 'Customer_Dim'!E:E, "Not Found")</f>
        <v>61</v>
      </c>
      <c r="Q408" t="str">
        <f>VLOOKUP(Sales_fact[[#This Row],[Customer_ID]], 'Customer_Dim'!A:F, 6, FALSE)</f>
        <v>Female</v>
      </c>
      <c r="R408" s="13" t="str">
        <f>_xlfn.XLOOKUP(Sales_fact[[#This Row],[Product_ID]],Product_Dim!A:A,Product_Dim!C:C,"OTHERS")</f>
        <v>Home</v>
      </c>
    </row>
    <row r="409" spans="1:18" x14ac:dyDescent="0.3">
      <c r="A409" t="s">
        <v>2233</v>
      </c>
      <c r="B409" s="2">
        <v>45336</v>
      </c>
      <c r="C409" t="s">
        <v>1283</v>
      </c>
      <c r="D409" t="s">
        <v>1688</v>
      </c>
      <c r="E409" t="str">
        <f ca="1">TRIM(Sales_fact[[#This Row],[Store_ID]])</f>
        <v>STORE14</v>
      </c>
      <c r="F409">
        <v>2</v>
      </c>
      <c r="G409">
        <f>IF(ISBLANK(F409),MODE($F$2:$F$2001),F409)</f>
        <v>2</v>
      </c>
      <c r="H409">
        <v>247.67</v>
      </c>
      <c r="I409">
        <f>IF(ISBLANK(H409),AVERAGE($H$2:$H$2001),H409)</f>
        <v>247.67</v>
      </c>
      <c r="J409">
        <v>0.1</v>
      </c>
      <c r="K409">
        <f>IF(ISBLANK(J409),MODE($J$2:$J$2001),J409)</f>
        <v>0.1</v>
      </c>
      <c r="L409" t="s">
        <v>1826</v>
      </c>
      <c r="M409">
        <v>445.80599999999998</v>
      </c>
      <c r="N409">
        <f t="shared" si="6"/>
        <v>445.80599999999998</v>
      </c>
      <c r="O409" t="str">
        <f>_xlfn.XLOOKUP(Sales_fact[[#This Row],[Customer_ID]],'Customer_Dim'!A:A,'Customer_Dim'!K:K,"Not Found")</f>
        <v>Bronze</v>
      </c>
      <c r="P409">
        <f>_xlfn.XLOOKUP(Sales_fact[[#This Row],[Customer_ID]],'Customer_Dim'!A:A, 'Customer_Dim'!E:E, "Not Found")</f>
        <v>59</v>
      </c>
      <c r="Q409" t="str">
        <f>VLOOKUP(Sales_fact[[#This Row],[Customer_ID]], 'Customer_Dim'!A:F, 6, FALSE)</f>
        <v>Female</v>
      </c>
      <c r="R409" s="13" t="str">
        <f>_xlfn.XLOOKUP(Sales_fact[[#This Row],[Product_ID]],Product_Dim!A:A,Product_Dim!C:C,"OTHERS")</f>
        <v>Home</v>
      </c>
    </row>
    <row r="410" spans="1:18" x14ac:dyDescent="0.3">
      <c r="A410" t="s">
        <v>2234</v>
      </c>
      <c r="B410" s="2">
        <v>45465</v>
      </c>
      <c r="C410" t="s">
        <v>153</v>
      </c>
      <c r="D410" t="s">
        <v>1696</v>
      </c>
      <c r="E410" t="str">
        <f ca="1">TRIM(Sales_fact[[#This Row],[Store_ID]])</f>
        <v>STORE3</v>
      </c>
      <c r="F410">
        <v>3</v>
      </c>
      <c r="G410">
        <f>IF(ISBLANK(F410),MODE($F$2:$F$2001),F410)</f>
        <v>3</v>
      </c>
      <c r="H410">
        <v>220.51</v>
      </c>
      <c r="I410">
        <f>IF(ISBLANK(H410),AVERAGE($H$2:$H$2001),H410)</f>
        <v>220.51</v>
      </c>
      <c r="J410">
        <v>0.02</v>
      </c>
      <c r="K410">
        <f>IF(ISBLANK(J410),MODE($J$2:$J$2001),J410)</f>
        <v>0.02</v>
      </c>
      <c r="L410" t="s">
        <v>1826</v>
      </c>
      <c r="M410">
        <v>648.29939999999999</v>
      </c>
      <c r="N410">
        <f t="shared" si="6"/>
        <v>648.29939999999999</v>
      </c>
      <c r="O410" t="str">
        <f>_xlfn.XLOOKUP(Sales_fact[[#This Row],[Customer_ID]],'Customer_Dim'!A:A,'Customer_Dim'!K:K,"Not Found")</f>
        <v>Gold</v>
      </c>
      <c r="P410">
        <f>_xlfn.XLOOKUP(Sales_fact[[#This Row],[Customer_ID]],'Customer_Dim'!A:A, 'Customer_Dim'!E:E, "Not Found")</f>
        <v>55</v>
      </c>
      <c r="Q410" t="str">
        <f>VLOOKUP(Sales_fact[[#This Row],[Customer_ID]], 'Customer_Dim'!A:F, 6, FALSE)</f>
        <v>Female</v>
      </c>
      <c r="R410" s="13" t="str">
        <f>_xlfn.XLOOKUP(Sales_fact[[#This Row],[Product_ID]],Product_Dim!A:A,Product_Dim!C:C,"OTHERS")</f>
        <v>Electronics</v>
      </c>
    </row>
    <row r="411" spans="1:18" x14ac:dyDescent="0.3">
      <c r="A411" t="s">
        <v>2235</v>
      </c>
      <c r="B411" s="2">
        <v>45837</v>
      </c>
      <c r="C411" t="s">
        <v>1029</v>
      </c>
      <c r="D411" t="s">
        <v>1578</v>
      </c>
      <c r="E411" t="str">
        <f ca="1">TRIM(Sales_fact[[#This Row],[Store_ID]])</f>
        <v>STORE16</v>
      </c>
      <c r="F411">
        <v>4</v>
      </c>
      <c r="G411">
        <f>IF(ISBLANK(F411),MODE($F$2:$F$2001),F411)</f>
        <v>4</v>
      </c>
      <c r="H411">
        <v>370.63</v>
      </c>
      <c r="I411">
        <f>IF(ISBLANK(H411),AVERAGE($H$2:$H$2001),H411)</f>
        <v>370.63</v>
      </c>
      <c r="J411">
        <v>0.08</v>
      </c>
      <c r="K411">
        <f>IF(ISBLANK(J411),MODE($J$2:$J$2001),J411)</f>
        <v>0.08</v>
      </c>
      <c r="L411" t="s">
        <v>1824</v>
      </c>
      <c r="M411">
        <v>1363.9184</v>
      </c>
      <c r="N411">
        <f t="shared" si="6"/>
        <v>1363.9184</v>
      </c>
      <c r="O411" t="str">
        <f>_xlfn.XLOOKUP(Sales_fact[[#This Row],[Customer_ID]],'Customer_Dim'!A:A,'Customer_Dim'!K:K,"Not Found")</f>
        <v>Bronze</v>
      </c>
      <c r="P411">
        <f>_xlfn.XLOOKUP(Sales_fact[[#This Row],[Customer_ID]],'Customer_Dim'!A:A, 'Customer_Dim'!E:E, "Not Found")</f>
        <v>62</v>
      </c>
      <c r="Q411" t="str">
        <f>VLOOKUP(Sales_fact[[#This Row],[Customer_ID]], 'Customer_Dim'!A:F, 6, FALSE)</f>
        <v>Female</v>
      </c>
      <c r="R411" s="13" t="str">
        <f>_xlfn.XLOOKUP(Sales_fact[[#This Row],[Product_ID]],Product_Dim!A:A,Product_Dim!C:C,"OTHERS")</f>
        <v>Electronics</v>
      </c>
    </row>
    <row r="412" spans="1:18" x14ac:dyDescent="0.3">
      <c r="A412" t="s">
        <v>2236</v>
      </c>
      <c r="B412" s="2">
        <v>45706</v>
      </c>
      <c r="C412" t="s">
        <v>1220</v>
      </c>
      <c r="D412" t="s">
        <v>1606</v>
      </c>
      <c r="E412" t="str">
        <f ca="1">TRIM(Sales_fact[[#This Row],[Store_ID]])</f>
        <v>STORE19</v>
      </c>
      <c r="F412">
        <v>4</v>
      </c>
      <c r="G412">
        <f>IF(ISBLANK(F412),MODE($F$2:$F$2001),F412)</f>
        <v>4</v>
      </c>
      <c r="H412">
        <v>349.84</v>
      </c>
      <c r="I412">
        <f>IF(ISBLANK(H412),AVERAGE($H$2:$H$2001),H412)</f>
        <v>349.84</v>
      </c>
      <c r="J412">
        <v>0.11</v>
      </c>
      <c r="K412">
        <f>IF(ISBLANK(J412),MODE($J$2:$J$2001),J412)</f>
        <v>0.11</v>
      </c>
      <c r="L412" t="s">
        <v>1824</v>
      </c>
      <c r="M412">
        <v>1245.4304</v>
      </c>
      <c r="N412">
        <f t="shared" si="6"/>
        <v>1245.4304</v>
      </c>
      <c r="O412" t="str">
        <f>_xlfn.XLOOKUP(Sales_fact[[#This Row],[Customer_ID]],'Customer_Dim'!A:A,'Customer_Dim'!K:K,"Not Found")</f>
        <v>Bronze</v>
      </c>
      <c r="P412">
        <f>_xlfn.XLOOKUP(Sales_fact[[#This Row],[Customer_ID]],'Customer_Dim'!A:A, 'Customer_Dim'!E:E, "Not Found")</f>
        <v>40</v>
      </c>
      <c r="Q412" t="str">
        <f>VLOOKUP(Sales_fact[[#This Row],[Customer_ID]], 'Customer_Dim'!A:F, 6, FALSE)</f>
        <v>Female</v>
      </c>
      <c r="R412" s="13" t="str">
        <f>_xlfn.XLOOKUP(Sales_fact[[#This Row],[Product_ID]],Product_Dim!A:A,Product_Dim!C:C,"OTHERS")</f>
        <v>Home</v>
      </c>
    </row>
    <row r="413" spans="1:18" x14ac:dyDescent="0.3">
      <c r="A413" t="s">
        <v>2237</v>
      </c>
      <c r="B413" s="2">
        <v>45823</v>
      </c>
      <c r="C413" t="s">
        <v>168</v>
      </c>
      <c r="D413" t="s">
        <v>1626</v>
      </c>
      <c r="E413" t="str">
        <f ca="1">TRIM(Sales_fact[[#This Row],[Store_ID]])</f>
        <v>STORE12</v>
      </c>
      <c r="F413">
        <v>1</v>
      </c>
      <c r="G413">
        <f>IF(ISBLANK(F413),MODE($F$2:$F$2001),F413)</f>
        <v>1</v>
      </c>
      <c r="H413">
        <v>770.87</v>
      </c>
      <c r="I413">
        <f>IF(ISBLANK(H413),AVERAGE($H$2:$H$2001),H413)</f>
        <v>770.87</v>
      </c>
      <c r="J413">
        <v>0.1</v>
      </c>
      <c r="K413">
        <f>IF(ISBLANK(J413),MODE($J$2:$J$2001),J413)</f>
        <v>0.1</v>
      </c>
      <c r="L413" t="s">
        <v>1829</v>
      </c>
      <c r="M413">
        <v>693.78300000000002</v>
      </c>
      <c r="N413">
        <f t="shared" si="6"/>
        <v>693.78300000000002</v>
      </c>
      <c r="O413" t="str">
        <f>_xlfn.XLOOKUP(Sales_fact[[#This Row],[Customer_ID]],'Customer_Dim'!A:A,'Customer_Dim'!K:K,"Not Found")</f>
        <v>Gold</v>
      </c>
      <c r="P413">
        <f>_xlfn.XLOOKUP(Sales_fact[[#This Row],[Customer_ID]],'Customer_Dim'!A:A, 'Customer_Dim'!E:E, "Not Found")</f>
        <v>45</v>
      </c>
      <c r="Q413" t="str">
        <f>VLOOKUP(Sales_fact[[#This Row],[Customer_ID]], 'Customer_Dim'!A:F, 6, FALSE)</f>
        <v>Male</v>
      </c>
      <c r="R413" s="13" t="str">
        <f>_xlfn.XLOOKUP(Sales_fact[[#This Row],[Product_ID]],Product_Dim!A:A,Product_Dim!C:C,"OTHERS")</f>
        <v>Electronics</v>
      </c>
    </row>
    <row r="414" spans="1:18" x14ac:dyDescent="0.3">
      <c r="A414" t="s">
        <v>2238</v>
      </c>
      <c r="B414" s="2">
        <v>45518</v>
      </c>
      <c r="C414" t="s">
        <v>1475</v>
      </c>
      <c r="D414" t="s">
        <v>1746</v>
      </c>
      <c r="E414" t="str">
        <f ca="1">TRIM(Sales_fact[[#This Row],[Store_ID]])</f>
        <v>STORE17</v>
      </c>
      <c r="F414">
        <v>3</v>
      </c>
      <c r="G414">
        <f>IF(ISBLANK(F414),MODE($F$2:$F$2001),F414)</f>
        <v>3</v>
      </c>
      <c r="H414">
        <v>507.33</v>
      </c>
      <c r="I414">
        <f>IF(ISBLANK(H414),AVERAGE($H$2:$H$2001),H414)</f>
        <v>507.33</v>
      </c>
      <c r="J414">
        <v>0.06</v>
      </c>
      <c r="K414">
        <f>IF(ISBLANK(J414),MODE($J$2:$J$2001),J414)</f>
        <v>0.06</v>
      </c>
      <c r="L414" t="s">
        <v>1826</v>
      </c>
      <c r="M414">
        <v>1430.6705999999999</v>
      </c>
      <c r="N414">
        <f t="shared" si="6"/>
        <v>1430.6705999999999</v>
      </c>
      <c r="O414" t="str">
        <f>_xlfn.XLOOKUP(Sales_fact[[#This Row],[Customer_ID]],'Customer_Dim'!A:A,'Customer_Dim'!K:K,"Not Found")</f>
        <v>Bronze</v>
      </c>
      <c r="P414">
        <f>_xlfn.XLOOKUP(Sales_fact[[#This Row],[Customer_ID]],'Customer_Dim'!A:A, 'Customer_Dim'!E:E, "Not Found")</f>
        <v>40</v>
      </c>
      <c r="Q414" t="str">
        <f>VLOOKUP(Sales_fact[[#This Row],[Customer_ID]], 'Customer_Dim'!A:F, 6, FALSE)</f>
        <v>Male</v>
      </c>
      <c r="R414" s="13" t="str">
        <f>_xlfn.XLOOKUP(Sales_fact[[#This Row],[Product_ID]],Product_Dim!A:A,Product_Dim!C:C,"OTHERS")</f>
        <v>Home</v>
      </c>
    </row>
    <row r="415" spans="1:18" x14ac:dyDescent="0.3">
      <c r="A415" t="s">
        <v>2239</v>
      </c>
      <c r="B415" s="2">
        <v>45863</v>
      </c>
      <c r="C415" t="s">
        <v>610</v>
      </c>
      <c r="D415" t="s">
        <v>1680</v>
      </c>
      <c r="E415" t="str">
        <f ca="1">TRIM(Sales_fact[[#This Row],[Store_ID]])</f>
        <v>STORE9</v>
      </c>
      <c r="F415">
        <v>1</v>
      </c>
      <c r="G415">
        <f>IF(ISBLANK(F415),MODE($F$2:$F$2001),F415)</f>
        <v>1</v>
      </c>
      <c r="H415">
        <v>87.78</v>
      </c>
      <c r="I415">
        <f>IF(ISBLANK(H415),AVERAGE($H$2:$H$2001),H415)</f>
        <v>87.78</v>
      </c>
      <c r="J415">
        <v>0.06</v>
      </c>
      <c r="K415">
        <f>IF(ISBLANK(J415),MODE($J$2:$J$2001),J415)</f>
        <v>0.06</v>
      </c>
      <c r="L415" t="s">
        <v>1824</v>
      </c>
      <c r="M415">
        <v>82.513199999999998</v>
      </c>
      <c r="N415">
        <f t="shared" si="6"/>
        <v>82.513199999999998</v>
      </c>
      <c r="O415" t="str">
        <f>_xlfn.XLOOKUP(Sales_fact[[#This Row],[Customer_ID]],'Customer_Dim'!A:A,'Customer_Dim'!K:K,"Not Found")</f>
        <v>Platinum</v>
      </c>
      <c r="P415">
        <f>_xlfn.XLOOKUP(Sales_fact[[#This Row],[Customer_ID]],'Customer_Dim'!A:A, 'Customer_Dim'!E:E, "Not Found")</f>
        <v>54</v>
      </c>
      <c r="Q415" t="str">
        <f>VLOOKUP(Sales_fact[[#This Row],[Customer_ID]], 'Customer_Dim'!A:F, 6, FALSE)</f>
        <v>Female</v>
      </c>
      <c r="R415" s="13" t="str">
        <f>_xlfn.XLOOKUP(Sales_fact[[#This Row],[Product_ID]],Product_Dim!A:A,Product_Dim!C:C,"OTHERS")</f>
        <v>Beauty</v>
      </c>
    </row>
    <row r="416" spans="1:18" x14ac:dyDescent="0.3">
      <c r="A416" t="s">
        <v>2240</v>
      </c>
      <c r="B416" s="2">
        <v>45666</v>
      </c>
      <c r="C416" t="s">
        <v>36</v>
      </c>
      <c r="D416" t="s">
        <v>1734</v>
      </c>
      <c r="E416" t="str">
        <f ca="1">TRIM(Sales_fact[[#This Row],[Store_ID]])</f>
        <v>STORE4</v>
      </c>
      <c r="F416">
        <v>2</v>
      </c>
      <c r="G416">
        <f>IF(ISBLANK(F416),MODE($F$2:$F$2001),F416)</f>
        <v>2</v>
      </c>
      <c r="H416">
        <v>772.24</v>
      </c>
      <c r="I416">
        <f>IF(ISBLANK(H416),AVERAGE($H$2:$H$2001),H416)</f>
        <v>772.24</v>
      </c>
      <c r="J416">
        <v>0.22</v>
      </c>
      <c r="K416">
        <f>IF(ISBLANK(J416),MODE($J$2:$J$2001),J416)</f>
        <v>0.22</v>
      </c>
      <c r="L416" t="s">
        <v>1824</v>
      </c>
      <c r="M416">
        <v>1204.6944000000001</v>
      </c>
      <c r="N416">
        <f t="shared" si="6"/>
        <v>1204.6944000000001</v>
      </c>
      <c r="O416" t="str">
        <f>_xlfn.XLOOKUP(Sales_fact[[#This Row],[Customer_ID]],'Customer_Dim'!A:A,'Customer_Dim'!K:K,"Not Found")</f>
        <v>Platinum</v>
      </c>
      <c r="P416">
        <f>_xlfn.XLOOKUP(Sales_fact[[#This Row],[Customer_ID]],'Customer_Dim'!A:A, 'Customer_Dim'!E:E, "Not Found")</f>
        <v>29</v>
      </c>
      <c r="Q416" t="str">
        <f>VLOOKUP(Sales_fact[[#This Row],[Customer_ID]], 'Customer_Dim'!A:F, 6, FALSE)</f>
        <v>Female</v>
      </c>
      <c r="R416" s="13" t="str">
        <f>_xlfn.XLOOKUP(Sales_fact[[#This Row],[Product_ID]],Product_Dim!A:A,Product_Dim!C:C,"OTHERS")</f>
        <v>Electronics</v>
      </c>
    </row>
    <row r="417" spans="1:18" x14ac:dyDescent="0.3">
      <c r="A417" t="s">
        <v>2241</v>
      </c>
      <c r="B417" s="2">
        <v>45813</v>
      </c>
      <c r="C417" t="s">
        <v>181</v>
      </c>
      <c r="D417" t="s">
        <v>1688</v>
      </c>
      <c r="E417" t="str">
        <f ca="1">TRIM(Sales_fact[[#This Row],[Store_ID]])</f>
        <v>STORE14</v>
      </c>
      <c r="F417">
        <v>1</v>
      </c>
      <c r="G417">
        <f>IF(ISBLANK(F417),MODE($F$2:$F$2001),F417)</f>
        <v>1</v>
      </c>
      <c r="H417">
        <v>108.27</v>
      </c>
      <c r="I417">
        <f>IF(ISBLANK(H417),AVERAGE($H$2:$H$2001),H417)</f>
        <v>108.27</v>
      </c>
      <c r="J417">
        <v>0.1</v>
      </c>
      <c r="K417">
        <f>IF(ISBLANK(J417),MODE($J$2:$J$2001),J417)</f>
        <v>0.1</v>
      </c>
      <c r="L417" t="s">
        <v>1829</v>
      </c>
      <c r="M417">
        <v>97.442999999999998</v>
      </c>
      <c r="N417">
        <f t="shared" si="6"/>
        <v>97.442999999999998</v>
      </c>
      <c r="O417" t="str">
        <f>_xlfn.XLOOKUP(Sales_fact[[#This Row],[Customer_ID]],'Customer_Dim'!A:A,'Customer_Dim'!K:K,"Not Found")</f>
        <v>Silver</v>
      </c>
      <c r="P417">
        <f>_xlfn.XLOOKUP(Sales_fact[[#This Row],[Customer_ID]],'Customer_Dim'!A:A, 'Customer_Dim'!E:E, "Not Found")</f>
        <v>54</v>
      </c>
      <c r="Q417" t="str">
        <f>VLOOKUP(Sales_fact[[#This Row],[Customer_ID]], 'Customer_Dim'!A:F, 6, FALSE)</f>
        <v>Female</v>
      </c>
      <c r="R417" s="13" t="str">
        <f>_xlfn.XLOOKUP(Sales_fact[[#This Row],[Product_ID]],Product_Dim!A:A,Product_Dim!C:C,"OTHERS")</f>
        <v>Home</v>
      </c>
    </row>
    <row r="418" spans="1:18" x14ac:dyDescent="0.3">
      <c r="A418" t="s">
        <v>2242</v>
      </c>
      <c r="B418" s="2">
        <v>45633</v>
      </c>
      <c r="C418" t="s">
        <v>1089</v>
      </c>
      <c r="D418" t="s">
        <v>1624</v>
      </c>
      <c r="E418" t="str">
        <f ca="1">TRIM(Sales_fact[[#This Row],[Store_ID]])</f>
        <v>STORE17</v>
      </c>
      <c r="F418">
        <v>2</v>
      </c>
      <c r="G418">
        <f>IF(ISBLANK(F418),MODE($F$2:$F$2001),F418)</f>
        <v>2</v>
      </c>
      <c r="H418">
        <v>839.24</v>
      </c>
      <c r="I418">
        <f>IF(ISBLANK(H418),AVERAGE($H$2:$H$2001),H418)</f>
        <v>839.24</v>
      </c>
      <c r="J418">
        <v>0.21</v>
      </c>
      <c r="K418">
        <f>IF(ISBLANK(J418),MODE($J$2:$J$2001),J418)</f>
        <v>0.21</v>
      </c>
      <c r="L418" t="s">
        <v>1826</v>
      </c>
      <c r="M418">
        <v>1325.9992</v>
      </c>
      <c r="N418">
        <f t="shared" si="6"/>
        <v>1325.9992</v>
      </c>
      <c r="O418" t="str">
        <f>_xlfn.XLOOKUP(Sales_fact[[#This Row],[Customer_ID]],'Customer_Dim'!A:A,'Customer_Dim'!K:K,"Not Found")</f>
        <v>Gold</v>
      </c>
      <c r="P418">
        <f>_xlfn.XLOOKUP(Sales_fact[[#This Row],[Customer_ID]],'Customer_Dim'!A:A, 'Customer_Dim'!E:E, "Not Found")</f>
        <v>39</v>
      </c>
      <c r="Q418" t="str">
        <f>VLOOKUP(Sales_fact[[#This Row],[Customer_ID]], 'Customer_Dim'!A:F, 6, FALSE)</f>
        <v>Female</v>
      </c>
      <c r="R418" s="13" t="str">
        <f>_xlfn.XLOOKUP(Sales_fact[[#This Row],[Product_ID]],Product_Dim!A:A,Product_Dim!C:C,"OTHERS")</f>
        <v>Sports</v>
      </c>
    </row>
    <row r="419" spans="1:18" x14ac:dyDescent="0.3">
      <c r="A419" t="s">
        <v>2243</v>
      </c>
      <c r="B419" s="2">
        <v>45331</v>
      </c>
      <c r="C419" t="s">
        <v>1196</v>
      </c>
      <c r="D419" t="s">
        <v>1664</v>
      </c>
      <c r="E419" t="str">
        <f ca="1">TRIM(Sales_fact[[#This Row],[Store_ID]])</f>
        <v>STORE10</v>
      </c>
      <c r="F419">
        <v>2</v>
      </c>
      <c r="G419">
        <f>IF(ISBLANK(F419),MODE($F$2:$F$2001),F419)</f>
        <v>2</v>
      </c>
      <c r="H419">
        <v>466.27</v>
      </c>
      <c r="I419">
        <f>IF(ISBLANK(H419),AVERAGE($H$2:$H$2001),H419)</f>
        <v>466.27</v>
      </c>
      <c r="J419">
        <v>0.11</v>
      </c>
      <c r="K419">
        <f>IF(ISBLANK(J419),MODE($J$2:$J$2001),J419)</f>
        <v>0.11</v>
      </c>
      <c r="L419" t="s">
        <v>1826</v>
      </c>
      <c r="M419">
        <v>829.9606</v>
      </c>
      <c r="N419">
        <f t="shared" si="6"/>
        <v>829.9606</v>
      </c>
      <c r="O419" t="str">
        <f>_xlfn.XLOOKUP(Sales_fact[[#This Row],[Customer_ID]],'Customer_Dim'!A:A,'Customer_Dim'!K:K,"Not Found")</f>
        <v>Silver</v>
      </c>
      <c r="P419">
        <f>_xlfn.XLOOKUP(Sales_fact[[#This Row],[Customer_ID]],'Customer_Dim'!A:A, 'Customer_Dim'!E:E, "Not Found")</f>
        <v>27</v>
      </c>
      <c r="Q419" t="str">
        <f>VLOOKUP(Sales_fact[[#This Row],[Customer_ID]], 'Customer_Dim'!A:F, 6, FALSE)</f>
        <v>Female</v>
      </c>
      <c r="R419" s="13" t="str">
        <f>_xlfn.XLOOKUP(Sales_fact[[#This Row],[Product_ID]],Product_Dim!A:A,Product_Dim!C:C,"OTHERS")</f>
        <v>Clothing</v>
      </c>
    </row>
    <row r="420" spans="1:18" x14ac:dyDescent="0.3">
      <c r="A420" t="s">
        <v>2244</v>
      </c>
      <c r="B420" s="2">
        <v>45942</v>
      </c>
      <c r="C420" t="s">
        <v>1240</v>
      </c>
      <c r="D420" t="s">
        <v>1672</v>
      </c>
      <c r="E420" t="str">
        <f ca="1">TRIM(Sales_fact[[#This Row],[Store_ID]])</f>
        <v>STORE14</v>
      </c>
      <c r="F420">
        <v>3</v>
      </c>
      <c r="G420">
        <f>IF(ISBLANK(F420),MODE($F$2:$F$2001),F420)</f>
        <v>3</v>
      </c>
      <c r="H420">
        <v>969.83</v>
      </c>
      <c r="I420">
        <f>IF(ISBLANK(H420),AVERAGE($H$2:$H$2001),H420)</f>
        <v>969.83</v>
      </c>
      <c r="J420">
        <v>0.02</v>
      </c>
      <c r="K420">
        <f>IF(ISBLANK(J420),MODE($J$2:$J$2001),J420)</f>
        <v>0.02</v>
      </c>
      <c r="L420" t="s">
        <v>1824</v>
      </c>
      <c r="M420">
        <v>2851.3002000000001</v>
      </c>
      <c r="N420">
        <f t="shared" si="6"/>
        <v>2851.3002000000001</v>
      </c>
      <c r="O420" t="str">
        <f>_xlfn.XLOOKUP(Sales_fact[[#This Row],[Customer_ID]],'Customer_Dim'!A:A,'Customer_Dim'!K:K,"Not Found")</f>
        <v>Bronze</v>
      </c>
      <c r="P420">
        <f>_xlfn.XLOOKUP(Sales_fact[[#This Row],[Customer_ID]],'Customer_Dim'!A:A, 'Customer_Dim'!E:E, "Not Found")</f>
        <v>54</v>
      </c>
      <c r="Q420" t="str">
        <f>VLOOKUP(Sales_fact[[#This Row],[Customer_ID]], 'Customer_Dim'!A:F, 6, FALSE)</f>
        <v>Male</v>
      </c>
      <c r="R420" s="13" t="str">
        <f>_xlfn.XLOOKUP(Sales_fact[[#This Row],[Product_ID]],Product_Dim!A:A,Product_Dim!C:C,"OTHERS")</f>
        <v>Electronics</v>
      </c>
    </row>
    <row r="421" spans="1:18" x14ac:dyDescent="0.3">
      <c r="A421" t="s">
        <v>2245</v>
      </c>
      <c r="B421" s="2">
        <v>45824</v>
      </c>
      <c r="C421" t="s">
        <v>1295</v>
      </c>
      <c r="D421" t="s">
        <v>1730</v>
      </c>
      <c r="E421" t="str">
        <f ca="1">TRIM(Sales_fact[[#This Row],[Store_ID]])</f>
        <v>STORE19</v>
      </c>
      <c r="F421">
        <v>2</v>
      </c>
      <c r="G421">
        <f>IF(ISBLANK(F421),MODE($F$2:$F$2001),F421)</f>
        <v>2</v>
      </c>
      <c r="H421">
        <v>782.11</v>
      </c>
      <c r="I421">
        <f>IF(ISBLANK(H421),AVERAGE($H$2:$H$2001),H421)</f>
        <v>782.11</v>
      </c>
      <c r="J421">
        <v>0.17</v>
      </c>
      <c r="K421">
        <f>IF(ISBLANK(J421),MODE($J$2:$J$2001),J421)</f>
        <v>0.17</v>
      </c>
      <c r="L421" t="s">
        <v>1826</v>
      </c>
      <c r="M421">
        <v>1298.3026</v>
      </c>
      <c r="N421">
        <f t="shared" si="6"/>
        <v>1298.3026</v>
      </c>
      <c r="O421" t="str">
        <f>_xlfn.XLOOKUP(Sales_fact[[#This Row],[Customer_ID]],'Customer_Dim'!A:A,'Customer_Dim'!K:K,"Not Found")</f>
        <v>Bronze</v>
      </c>
      <c r="P421">
        <f>_xlfn.XLOOKUP(Sales_fact[[#This Row],[Customer_ID]],'Customer_Dim'!A:A, 'Customer_Dim'!E:E, "Not Found")</f>
        <v>64</v>
      </c>
      <c r="Q421" t="str">
        <f>VLOOKUP(Sales_fact[[#This Row],[Customer_ID]], 'Customer_Dim'!A:F, 6, FALSE)</f>
        <v>Female</v>
      </c>
      <c r="R421" s="13" t="str">
        <f>_xlfn.XLOOKUP(Sales_fact[[#This Row],[Product_ID]],Product_Dim!A:A,Product_Dim!C:C,"OTHERS")</f>
        <v>Clothing</v>
      </c>
    </row>
    <row r="422" spans="1:18" x14ac:dyDescent="0.3">
      <c r="A422" t="s">
        <v>2246</v>
      </c>
      <c r="B422" s="2">
        <v>45921</v>
      </c>
      <c r="C422" t="s">
        <v>1395</v>
      </c>
      <c r="D422" t="s">
        <v>1628</v>
      </c>
      <c r="E422" t="str">
        <f ca="1">TRIM(Sales_fact[[#This Row],[Store_ID]])</f>
        <v>STORE11</v>
      </c>
      <c r="F422">
        <v>2</v>
      </c>
      <c r="G422">
        <f>IF(ISBLANK(F422),MODE($F$2:$F$2001),F422)</f>
        <v>2</v>
      </c>
      <c r="H422">
        <v>74.63</v>
      </c>
      <c r="I422">
        <f>IF(ISBLANK(H422),AVERAGE($H$2:$H$2001),H422)</f>
        <v>74.63</v>
      </c>
      <c r="J422">
        <v>0.01</v>
      </c>
      <c r="K422">
        <f>IF(ISBLANK(J422),MODE($J$2:$J$2001),J422)</f>
        <v>0.01</v>
      </c>
      <c r="L422" t="s">
        <v>1826</v>
      </c>
      <c r="M422">
        <v>147.76740000000001</v>
      </c>
      <c r="N422">
        <f t="shared" si="6"/>
        <v>147.76739999999998</v>
      </c>
      <c r="O422" t="str">
        <f>_xlfn.XLOOKUP(Sales_fact[[#This Row],[Customer_ID]],'Customer_Dim'!A:A,'Customer_Dim'!K:K,"Not Found")</f>
        <v>Gold</v>
      </c>
      <c r="P422">
        <f>_xlfn.XLOOKUP(Sales_fact[[#This Row],[Customer_ID]],'Customer_Dim'!A:A, 'Customer_Dim'!E:E, "Not Found")</f>
        <v>46</v>
      </c>
      <c r="Q422" t="str">
        <f>VLOOKUP(Sales_fact[[#This Row],[Customer_ID]], 'Customer_Dim'!A:F, 6, FALSE)</f>
        <v>Male</v>
      </c>
      <c r="R422" s="13" t="str">
        <f>_xlfn.XLOOKUP(Sales_fact[[#This Row],[Product_ID]],Product_Dim!A:A,Product_Dim!C:C,"OTHERS")</f>
        <v>Electronics</v>
      </c>
    </row>
    <row r="423" spans="1:18" x14ac:dyDescent="0.3">
      <c r="A423" t="s">
        <v>2247</v>
      </c>
      <c r="B423" s="2">
        <v>45909</v>
      </c>
      <c r="C423" t="s">
        <v>160</v>
      </c>
      <c r="D423" t="s">
        <v>1718</v>
      </c>
      <c r="E423" t="str">
        <f ca="1">TRIM(Sales_fact[[#This Row],[Store_ID]])</f>
        <v>STORE6</v>
      </c>
      <c r="F423">
        <v>3</v>
      </c>
      <c r="G423">
        <f>IF(ISBLANK(F423),MODE($F$2:$F$2001),F423)</f>
        <v>3</v>
      </c>
      <c r="H423">
        <v>522.78</v>
      </c>
      <c r="I423">
        <f>IF(ISBLANK(H423),AVERAGE($H$2:$H$2001),H423)</f>
        <v>522.78</v>
      </c>
      <c r="J423">
        <v>0.25</v>
      </c>
      <c r="K423">
        <f>IF(ISBLANK(J423),MODE($J$2:$J$2001),J423)</f>
        <v>0.25</v>
      </c>
      <c r="L423" t="s">
        <v>1826</v>
      </c>
      <c r="M423">
        <v>1176.2550000000001</v>
      </c>
      <c r="N423">
        <f t="shared" si="6"/>
        <v>1176.2549999999999</v>
      </c>
      <c r="O423" t="str">
        <f>_xlfn.XLOOKUP(Sales_fact[[#This Row],[Customer_ID]],'Customer_Dim'!A:A,'Customer_Dim'!K:K,"Not Found")</f>
        <v>Platinum</v>
      </c>
      <c r="P423">
        <f>_xlfn.XLOOKUP(Sales_fact[[#This Row],[Customer_ID]],'Customer_Dim'!A:A, 'Customer_Dim'!E:E, "Not Found")</f>
        <v>21</v>
      </c>
      <c r="Q423" t="str">
        <f>VLOOKUP(Sales_fact[[#This Row],[Customer_ID]], 'Customer_Dim'!A:F, 6, FALSE)</f>
        <v>Male</v>
      </c>
      <c r="R423" s="13" t="str">
        <f>_xlfn.XLOOKUP(Sales_fact[[#This Row],[Product_ID]],Product_Dim!A:A,Product_Dim!C:C,"OTHERS")</f>
        <v>Clothing</v>
      </c>
    </row>
    <row r="424" spans="1:18" x14ac:dyDescent="0.3">
      <c r="A424" t="s">
        <v>2248</v>
      </c>
      <c r="B424" s="2">
        <v>45853</v>
      </c>
      <c r="C424" t="s">
        <v>1062</v>
      </c>
      <c r="D424" t="s">
        <v>1574</v>
      </c>
      <c r="E424" t="str">
        <f ca="1">TRIM(Sales_fact[[#This Row],[Store_ID]])</f>
        <v>STORE15</v>
      </c>
      <c r="F424">
        <v>1</v>
      </c>
      <c r="G424">
        <f>IF(ISBLANK(F424),MODE($F$2:$F$2001),F424)</f>
        <v>1</v>
      </c>
      <c r="H424">
        <v>206.45</v>
      </c>
      <c r="I424">
        <f>IF(ISBLANK(H424),AVERAGE($H$2:$H$2001),H424)</f>
        <v>206.45</v>
      </c>
      <c r="J424">
        <v>0.15</v>
      </c>
      <c r="K424">
        <f>IF(ISBLANK(J424),MODE($J$2:$J$2001),J424)</f>
        <v>0.15</v>
      </c>
      <c r="L424" t="s">
        <v>1826</v>
      </c>
      <c r="M424">
        <v>175.48249999999999</v>
      </c>
      <c r="N424">
        <f t="shared" si="6"/>
        <v>175.48249999999999</v>
      </c>
      <c r="O424" t="str">
        <f>_xlfn.XLOOKUP(Sales_fact[[#This Row],[Customer_ID]],'Customer_Dim'!A:A,'Customer_Dim'!K:K,"Not Found")</f>
        <v>Silver</v>
      </c>
      <c r="P424">
        <f>_xlfn.XLOOKUP(Sales_fact[[#This Row],[Customer_ID]],'Customer_Dim'!A:A, 'Customer_Dim'!E:E, "Not Found")</f>
        <v>46</v>
      </c>
      <c r="Q424" t="str">
        <f>VLOOKUP(Sales_fact[[#This Row],[Customer_ID]], 'Customer_Dim'!A:F, 6, FALSE)</f>
        <v>Female</v>
      </c>
      <c r="R424" s="13" t="str">
        <f>_xlfn.XLOOKUP(Sales_fact[[#This Row],[Product_ID]],Product_Dim!A:A,Product_Dim!C:C,"OTHERS")</f>
        <v>Electronics</v>
      </c>
    </row>
    <row r="425" spans="1:18" x14ac:dyDescent="0.3">
      <c r="A425" t="s">
        <v>2249</v>
      </c>
      <c r="B425" s="2">
        <v>45580</v>
      </c>
      <c r="C425" t="s">
        <v>490</v>
      </c>
      <c r="D425" t="s">
        <v>1686</v>
      </c>
      <c r="E425" t="str">
        <f ca="1">TRIM(Sales_fact[[#This Row],[Store_ID]])</f>
        <v>STORE5</v>
      </c>
      <c r="F425">
        <v>1</v>
      </c>
      <c r="G425">
        <f>IF(ISBLANK(F425),MODE($F$2:$F$2001),F425)</f>
        <v>1</v>
      </c>
      <c r="H425">
        <v>815.53</v>
      </c>
      <c r="I425">
        <f>IF(ISBLANK(H425),AVERAGE($H$2:$H$2001),H425)</f>
        <v>815.53</v>
      </c>
      <c r="J425">
        <v>0.3</v>
      </c>
      <c r="K425">
        <f>IF(ISBLANK(J425),MODE($J$2:$J$2001),J425)</f>
        <v>0.3</v>
      </c>
      <c r="L425" t="s">
        <v>1826</v>
      </c>
      <c r="M425">
        <v>570.87099999999998</v>
      </c>
      <c r="N425">
        <f t="shared" si="6"/>
        <v>570.87099999999998</v>
      </c>
      <c r="O425" t="str">
        <f>_xlfn.XLOOKUP(Sales_fact[[#This Row],[Customer_ID]],'Customer_Dim'!A:A,'Customer_Dim'!K:K,"Not Found")</f>
        <v>Platinum</v>
      </c>
      <c r="P425">
        <f>_xlfn.XLOOKUP(Sales_fact[[#This Row],[Customer_ID]],'Customer_Dim'!A:A, 'Customer_Dim'!E:E, "Not Found")</f>
        <v>46</v>
      </c>
      <c r="Q425" t="str">
        <f>VLOOKUP(Sales_fact[[#This Row],[Customer_ID]], 'Customer_Dim'!A:F, 6, FALSE)</f>
        <v>Male</v>
      </c>
      <c r="R425" s="13" t="str">
        <f>_xlfn.XLOOKUP(Sales_fact[[#This Row],[Product_ID]],Product_Dim!A:A,Product_Dim!C:C,"OTHERS")</f>
        <v>Clothing</v>
      </c>
    </row>
    <row r="426" spans="1:18" x14ac:dyDescent="0.3">
      <c r="A426" t="s">
        <v>2250</v>
      </c>
      <c r="B426" s="2">
        <v>45220</v>
      </c>
      <c r="C426" t="s">
        <v>147</v>
      </c>
      <c r="D426" t="s">
        <v>1706</v>
      </c>
      <c r="E426" t="str">
        <f ca="1">TRIM(Sales_fact[[#This Row],[Store_ID]])</f>
        <v>STORE13</v>
      </c>
      <c r="F426">
        <v>1</v>
      </c>
      <c r="G426">
        <f>IF(ISBLANK(F426),MODE($F$2:$F$2001),F426)</f>
        <v>1</v>
      </c>
      <c r="H426">
        <v>823.61</v>
      </c>
      <c r="I426">
        <f>IF(ISBLANK(H426),AVERAGE($H$2:$H$2001),H426)</f>
        <v>823.61</v>
      </c>
      <c r="J426">
        <v>0.28000000000000003</v>
      </c>
      <c r="K426">
        <f>IF(ISBLANK(J426),MODE($J$2:$J$2001),J426)</f>
        <v>0.28000000000000003</v>
      </c>
      <c r="L426" t="s">
        <v>1829</v>
      </c>
      <c r="M426">
        <v>592.99919999999997</v>
      </c>
      <c r="N426">
        <f t="shared" si="6"/>
        <v>592.99919999999997</v>
      </c>
      <c r="O426" t="str">
        <f>_xlfn.XLOOKUP(Sales_fact[[#This Row],[Customer_ID]],'Customer_Dim'!A:A,'Customer_Dim'!K:K,"Not Found")</f>
        <v>UNKNOWN</v>
      </c>
      <c r="P426">
        <f>_xlfn.XLOOKUP(Sales_fact[[#This Row],[Customer_ID]],'Customer_Dim'!A:A, 'Customer_Dim'!E:E, "Not Found")</f>
        <v>27</v>
      </c>
      <c r="Q426" t="str">
        <f>VLOOKUP(Sales_fact[[#This Row],[Customer_ID]], 'Customer_Dim'!A:F, 6, FALSE)</f>
        <v>Female</v>
      </c>
      <c r="R426" s="13" t="str">
        <f>_xlfn.XLOOKUP(Sales_fact[[#This Row],[Product_ID]],Product_Dim!A:A,Product_Dim!C:C,"OTHERS")</f>
        <v>Home</v>
      </c>
    </row>
    <row r="427" spans="1:18" x14ac:dyDescent="0.3">
      <c r="A427" t="s">
        <v>2251</v>
      </c>
      <c r="B427" s="2">
        <v>45807</v>
      </c>
      <c r="C427" t="s">
        <v>1472</v>
      </c>
      <c r="D427" t="s">
        <v>1722</v>
      </c>
      <c r="E427" t="str">
        <f ca="1">TRIM(Sales_fact[[#This Row],[Store_ID]])</f>
        <v>STORE9</v>
      </c>
      <c r="F427">
        <v>2</v>
      </c>
      <c r="G427">
        <f>IF(ISBLANK(F427),MODE($F$2:$F$2001),F427)</f>
        <v>2</v>
      </c>
      <c r="H427">
        <v>209.96</v>
      </c>
      <c r="I427">
        <f>IF(ISBLANK(H427),AVERAGE($H$2:$H$2001),H427)</f>
        <v>209.96</v>
      </c>
      <c r="J427">
        <v>0</v>
      </c>
      <c r="K427">
        <f>IF(ISBLANK(J427),MODE($J$2:$J$2001),J427)</f>
        <v>0</v>
      </c>
      <c r="L427" t="s">
        <v>1824</v>
      </c>
      <c r="M427">
        <v>419.92</v>
      </c>
      <c r="N427">
        <f t="shared" si="6"/>
        <v>419.92</v>
      </c>
      <c r="O427" t="str">
        <f>_xlfn.XLOOKUP(Sales_fact[[#This Row],[Customer_ID]],'Customer_Dim'!A:A,'Customer_Dim'!K:K,"Not Found")</f>
        <v>Gold</v>
      </c>
      <c r="P427">
        <f>_xlfn.XLOOKUP(Sales_fact[[#This Row],[Customer_ID]],'Customer_Dim'!A:A, 'Customer_Dim'!E:E, "Not Found")</f>
        <v>59</v>
      </c>
      <c r="Q427" t="str">
        <f>VLOOKUP(Sales_fact[[#This Row],[Customer_ID]], 'Customer_Dim'!A:F, 6, FALSE)</f>
        <v>Male</v>
      </c>
      <c r="R427" s="13" t="str">
        <f>_xlfn.XLOOKUP(Sales_fact[[#This Row],[Product_ID]],Product_Dim!A:A,Product_Dim!C:C,"OTHERS")</f>
        <v>Home</v>
      </c>
    </row>
    <row r="428" spans="1:18" x14ac:dyDescent="0.3">
      <c r="A428" t="s">
        <v>2252</v>
      </c>
      <c r="B428" s="2">
        <v>45462</v>
      </c>
      <c r="C428" t="s">
        <v>579</v>
      </c>
      <c r="D428" t="s">
        <v>1543</v>
      </c>
      <c r="E428" t="str">
        <f ca="1">TRIM(Sales_fact[[#This Row],[Store_ID]])</f>
        <v>STORE16</v>
      </c>
      <c r="F428">
        <v>4</v>
      </c>
      <c r="G428">
        <f>IF(ISBLANK(F428),MODE($F$2:$F$2001),F428)</f>
        <v>4</v>
      </c>
      <c r="H428">
        <v>897.93</v>
      </c>
      <c r="I428">
        <f>IF(ISBLANK(H428),AVERAGE($H$2:$H$2001),H428)</f>
        <v>897.93</v>
      </c>
      <c r="J428">
        <v>0.05</v>
      </c>
      <c r="K428">
        <f>IF(ISBLANK(J428),MODE($J$2:$J$2001),J428)</f>
        <v>0.05</v>
      </c>
      <c r="L428" t="s">
        <v>1829</v>
      </c>
      <c r="M428">
        <v>3412.134</v>
      </c>
      <c r="N428">
        <f t="shared" si="6"/>
        <v>3412.1339999999996</v>
      </c>
      <c r="O428" t="str">
        <f>_xlfn.XLOOKUP(Sales_fact[[#This Row],[Customer_ID]],'Customer_Dim'!A:A,'Customer_Dim'!K:K,"Not Found")</f>
        <v>Platinum</v>
      </c>
      <c r="P428">
        <f>_xlfn.XLOOKUP(Sales_fact[[#This Row],[Customer_ID]],'Customer_Dim'!A:A, 'Customer_Dim'!E:E, "Not Found")</f>
        <v>56</v>
      </c>
      <c r="Q428" t="str">
        <f>VLOOKUP(Sales_fact[[#This Row],[Customer_ID]], 'Customer_Dim'!A:F, 6, FALSE)</f>
        <v>Male</v>
      </c>
      <c r="R428" s="13" t="str">
        <f>_xlfn.XLOOKUP(Sales_fact[[#This Row],[Product_ID]],Product_Dim!A:A,Product_Dim!C:C,"OTHERS")</f>
        <v>Electronics</v>
      </c>
    </row>
    <row r="429" spans="1:18" x14ac:dyDescent="0.3">
      <c r="A429" t="s">
        <v>2253</v>
      </c>
      <c r="B429" s="2">
        <v>45646</v>
      </c>
      <c r="C429" t="s">
        <v>598</v>
      </c>
      <c r="D429" t="s">
        <v>1674</v>
      </c>
      <c r="E429" t="str">
        <f ca="1">TRIM(Sales_fact[[#This Row],[Store_ID]])</f>
        <v>STORE0</v>
      </c>
      <c r="F429">
        <v>4</v>
      </c>
      <c r="G429">
        <f>IF(ISBLANK(F429),MODE($F$2:$F$2001),F429)</f>
        <v>4</v>
      </c>
      <c r="H429">
        <v>925.95</v>
      </c>
      <c r="I429">
        <f>IF(ISBLANK(H429),AVERAGE($H$2:$H$2001),H429)</f>
        <v>925.95</v>
      </c>
      <c r="J429">
        <v>0.16</v>
      </c>
      <c r="K429">
        <f>IF(ISBLANK(J429),MODE($J$2:$J$2001),J429)</f>
        <v>0.16</v>
      </c>
      <c r="L429" t="s">
        <v>1829</v>
      </c>
      <c r="M429">
        <v>3111.192</v>
      </c>
      <c r="N429">
        <f t="shared" si="6"/>
        <v>3111.192</v>
      </c>
      <c r="O429" t="str">
        <f>_xlfn.XLOOKUP(Sales_fact[[#This Row],[Customer_ID]],'Customer_Dim'!A:A,'Customer_Dim'!K:K,"Not Found")</f>
        <v>Bronze</v>
      </c>
      <c r="P429">
        <f>_xlfn.XLOOKUP(Sales_fact[[#This Row],[Customer_ID]],'Customer_Dim'!A:A, 'Customer_Dim'!E:E, "Not Found")</f>
        <v>60</v>
      </c>
      <c r="Q429" t="str">
        <f>VLOOKUP(Sales_fact[[#This Row],[Customer_ID]], 'Customer_Dim'!A:F, 6, FALSE)</f>
        <v>Male</v>
      </c>
      <c r="R429" s="13" t="str">
        <f>_xlfn.XLOOKUP(Sales_fact[[#This Row],[Product_ID]],Product_Dim!A:A,Product_Dim!C:C,"OTHERS")</f>
        <v>Beauty</v>
      </c>
    </row>
    <row r="430" spans="1:18" x14ac:dyDescent="0.3">
      <c r="A430" t="s">
        <v>2254</v>
      </c>
      <c r="B430" s="2">
        <v>45520</v>
      </c>
      <c r="C430" t="s">
        <v>304</v>
      </c>
      <c r="D430" t="s">
        <v>1650</v>
      </c>
      <c r="E430" t="str">
        <f ca="1">TRIM(Sales_fact[[#This Row],[Store_ID]])</f>
        <v>STORE6</v>
      </c>
      <c r="F430">
        <v>2</v>
      </c>
      <c r="G430">
        <f>IF(ISBLANK(F430),MODE($F$2:$F$2001),F430)</f>
        <v>2</v>
      </c>
      <c r="H430">
        <v>573.09</v>
      </c>
      <c r="I430">
        <f>IF(ISBLANK(H430),AVERAGE($H$2:$H$2001),H430)</f>
        <v>573.09</v>
      </c>
      <c r="J430">
        <v>0.03</v>
      </c>
      <c r="K430">
        <f>IF(ISBLANK(J430),MODE($J$2:$J$2001),J430)</f>
        <v>0.03</v>
      </c>
      <c r="L430" t="s">
        <v>1829</v>
      </c>
      <c r="M430">
        <v>1111.7945999999999</v>
      </c>
      <c r="N430">
        <f t="shared" si="6"/>
        <v>1111.7945999999999</v>
      </c>
      <c r="O430" t="str">
        <f>_xlfn.XLOOKUP(Sales_fact[[#This Row],[Customer_ID]],'Customer_Dim'!A:A,'Customer_Dim'!K:K,"Not Found")</f>
        <v>Platinum</v>
      </c>
      <c r="P430">
        <f>_xlfn.XLOOKUP(Sales_fact[[#This Row],[Customer_ID]],'Customer_Dim'!A:A, 'Customer_Dim'!E:E, "Not Found")</f>
        <v>26</v>
      </c>
      <c r="Q430" t="str">
        <f>VLOOKUP(Sales_fact[[#This Row],[Customer_ID]], 'Customer_Dim'!A:F, 6, FALSE)</f>
        <v>Female</v>
      </c>
      <c r="R430" s="13" t="str">
        <f>_xlfn.XLOOKUP(Sales_fact[[#This Row],[Product_ID]],Product_Dim!A:A,Product_Dim!C:C,"OTHERS")</f>
        <v>Electronics</v>
      </c>
    </row>
    <row r="431" spans="1:18" x14ac:dyDescent="0.3">
      <c r="A431" t="s">
        <v>2255</v>
      </c>
      <c r="B431" s="2">
        <v>45731</v>
      </c>
      <c r="C431" t="s">
        <v>604</v>
      </c>
      <c r="D431" t="s">
        <v>1560</v>
      </c>
      <c r="E431" t="str">
        <f ca="1">TRIM(Sales_fact[[#This Row],[Store_ID]])</f>
        <v>STORE4</v>
      </c>
      <c r="F431">
        <v>4</v>
      </c>
      <c r="G431">
        <f>IF(ISBLANK(F431),MODE($F$2:$F$2001),F431)</f>
        <v>4</v>
      </c>
      <c r="H431">
        <v>149.83000000000001</v>
      </c>
      <c r="I431">
        <f>IF(ISBLANK(H431),AVERAGE($H$2:$H$2001),H431)</f>
        <v>149.83000000000001</v>
      </c>
      <c r="J431">
        <v>0.02</v>
      </c>
      <c r="K431">
        <f>IF(ISBLANK(J431),MODE($J$2:$J$2001),J431)</f>
        <v>0.02</v>
      </c>
      <c r="L431" t="s">
        <v>1824</v>
      </c>
      <c r="M431">
        <v>587.33360000000005</v>
      </c>
      <c r="N431">
        <f t="shared" si="6"/>
        <v>587.33360000000005</v>
      </c>
      <c r="O431" t="str">
        <f>_xlfn.XLOOKUP(Sales_fact[[#This Row],[Customer_ID]],'Customer_Dim'!A:A,'Customer_Dim'!K:K,"Not Found")</f>
        <v>Platinum</v>
      </c>
      <c r="P431">
        <f>_xlfn.XLOOKUP(Sales_fact[[#This Row],[Customer_ID]],'Customer_Dim'!A:A, 'Customer_Dim'!E:E, "Not Found")</f>
        <v>18</v>
      </c>
      <c r="Q431" t="str">
        <f>VLOOKUP(Sales_fact[[#This Row],[Customer_ID]], 'Customer_Dim'!A:F, 6, FALSE)</f>
        <v>Male</v>
      </c>
      <c r="R431" s="13" t="str">
        <f>_xlfn.XLOOKUP(Sales_fact[[#This Row],[Product_ID]],Product_Dim!A:A,Product_Dim!C:C,"OTHERS")</f>
        <v>Home</v>
      </c>
    </row>
    <row r="432" spans="1:18" x14ac:dyDescent="0.3">
      <c r="A432" t="s">
        <v>2256</v>
      </c>
      <c r="B432" s="2">
        <v>45445</v>
      </c>
      <c r="C432" t="s">
        <v>14</v>
      </c>
      <c r="D432" t="s">
        <v>1650</v>
      </c>
      <c r="E432" t="str">
        <f ca="1">TRIM(Sales_fact[[#This Row],[Store_ID]])</f>
        <v>STORE14</v>
      </c>
      <c r="F432">
        <v>3</v>
      </c>
      <c r="G432">
        <f>IF(ISBLANK(F432),MODE($F$2:$F$2001),F432)</f>
        <v>3</v>
      </c>
      <c r="H432">
        <v>287.70999999999998</v>
      </c>
      <c r="I432">
        <f>IF(ISBLANK(H432),AVERAGE($H$2:$H$2001),H432)</f>
        <v>287.70999999999998</v>
      </c>
      <c r="J432">
        <v>0.03</v>
      </c>
      <c r="K432">
        <f>IF(ISBLANK(J432),MODE($J$2:$J$2001),J432)</f>
        <v>0.03</v>
      </c>
      <c r="L432" t="s">
        <v>1829</v>
      </c>
      <c r="M432">
        <v>837.23609999999985</v>
      </c>
      <c r="N432">
        <f t="shared" si="6"/>
        <v>837.23609999999985</v>
      </c>
      <c r="O432" t="str">
        <f>_xlfn.XLOOKUP(Sales_fact[[#This Row],[Customer_ID]],'Customer_Dim'!A:A,'Customer_Dim'!K:K,"Not Found")</f>
        <v>Platinum</v>
      </c>
      <c r="P432">
        <f>_xlfn.XLOOKUP(Sales_fact[[#This Row],[Customer_ID]],'Customer_Dim'!A:A, 'Customer_Dim'!E:E, "Not Found")</f>
        <v>26</v>
      </c>
      <c r="Q432" t="str">
        <f>VLOOKUP(Sales_fact[[#This Row],[Customer_ID]], 'Customer_Dim'!A:F, 6, FALSE)</f>
        <v>Female</v>
      </c>
      <c r="R432" s="13" t="str">
        <f>_xlfn.XLOOKUP(Sales_fact[[#This Row],[Product_ID]],Product_Dim!A:A,Product_Dim!C:C,"OTHERS")</f>
        <v>Electronics</v>
      </c>
    </row>
    <row r="433" spans="1:18" x14ac:dyDescent="0.3">
      <c r="A433" t="s">
        <v>2257</v>
      </c>
      <c r="B433" s="2">
        <v>45860</v>
      </c>
      <c r="C433" t="s">
        <v>338</v>
      </c>
      <c r="D433" t="s">
        <v>1682</v>
      </c>
      <c r="E433" t="str">
        <f ca="1">TRIM(Sales_fact[[#This Row],[Store_ID]])</f>
        <v>STORE6</v>
      </c>
      <c r="F433">
        <v>2</v>
      </c>
      <c r="G433">
        <f>IF(ISBLANK(F433),MODE($F$2:$F$2001),F433)</f>
        <v>2</v>
      </c>
      <c r="H433">
        <v>849.8</v>
      </c>
      <c r="I433">
        <f>IF(ISBLANK(H433),AVERAGE($H$2:$H$2001),H433)</f>
        <v>849.8</v>
      </c>
      <c r="J433">
        <v>0.06</v>
      </c>
      <c r="K433">
        <f>IF(ISBLANK(J433),MODE($J$2:$J$2001),J433)</f>
        <v>0.06</v>
      </c>
      <c r="L433" t="s">
        <v>1829</v>
      </c>
      <c r="M433">
        <v>1597.624</v>
      </c>
      <c r="N433">
        <f t="shared" si="6"/>
        <v>1597.6239999999998</v>
      </c>
      <c r="O433" t="str">
        <f>_xlfn.XLOOKUP(Sales_fact[[#This Row],[Customer_ID]],'Customer_Dim'!A:A,'Customer_Dim'!K:K,"Not Found")</f>
        <v>Gold</v>
      </c>
      <c r="P433">
        <f>_xlfn.XLOOKUP(Sales_fact[[#This Row],[Customer_ID]],'Customer_Dim'!A:A, 'Customer_Dim'!E:E, "Not Found")</f>
        <v>43</v>
      </c>
      <c r="Q433" t="str">
        <f>VLOOKUP(Sales_fact[[#This Row],[Customer_ID]], 'Customer_Dim'!A:F, 6, FALSE)</f>
        <v>Female</v>
      </c>
      <c r="R433" s="13" t="str">
        <f>_xlfn.XLOOKUP(Sales_fact[[#This Row],[Product_ID]],Product_Dim!A:A,Product_Dim!C:C,"OTHERS")</f>
        <v>Electronics</v>
      </c>
    </row>
    <row r="434" spans="1:18" x14ac:dyDescent="0.3">
      <c r="A434" t="s">
        <v>2258</v>
      </c>
      <c r="B434" s="2">
        <v>45725</v>
      </c>
      <c r="C434" t="s">
        <v>75</v>
      </c>
      <c r="D434" t="s">
        <v>1630</v>
      </c>
      <c r="E434" t="str">
        <f ca="1">TRIM(Sales_fact[[#This Row],[Store_ID]])</f>
        <v>STORE3</v>
      </c>
      <c r="F434">
        <v>3</v>
      </c>
      <c r="G434">
        <f>IF(ISBLANK(F434),MODE($F$2:$F$2001),F434)</f>
        <v>3</v>
      </c>
      <c r="H434">
        <v>482.58</v>
      </c>
      <c r="I434">
        <f>IF(ISBLANK(H434),AVERAGE($H$2:$H$2001),H434)</f>
        <v>482.58</v>
      </c>
      <c r="J434">
        <v>0.28000000000000003</v>
      </c>
      <c r="K434">
        <f>IF(ISBLANK(J434),MODE($J$2:$J$2001),J434)</f>
        <v>0.28000000000000003</v>
      </c>
      <c r="L434" t="s">
        <v>1826</v>
      </c>
      <c r="M434">
        <v>1042.3728000000001</v>
      </c>
      <c r="N434">
        <f t="shared" si="6"/>
        <v>1042.3727999999999</v>
      </c>
      <c r="O434" t="str">
        <f>_xlfn.XLOOKUP(Sales_fact[[#This Row],[Customer_ID]],'Customer_Dim'!A:A,'Customer_Dim'!K:K,"Not Found")</f>
        <v>Bronze</v>
      </c>
      <c r="P434">
        <f>_xlfn.XLOOKUP(Sales_fact[[#This Row],[Customer_ID]],'Customer_Dim'!A:A, 'Customer_Dim'!E:E, "Not Found")</f>
        <v>24</v>
      </c>
      <c r="Q434" t="str">
        <f>VLOOKUP(Sales_fact[[#This Row],[Customer_ID]], 'Customer_Dim'!A:F, 6, FALSE)</f>
        <v>Female</v>
      </c>
      <c r="R434" s="13" t="str">
        <f>_xlfn.XLOOKUP(Sales_fact[[#This Row],[Product_ID]],Product_Dim!A:A,Product_Dim!C:C,"OTHERS")</f>
        <v>Sports</v>
      </c>
    </row>
    <row r="435" spans="1:18" x14ac:dyDescent="0.3">
      <c r="A435" t="s">
        <v>2259</v>
      </c>
      <c r="B435" s="2">
        <v>45699</v>
      </c>
      <c r="C435" t="s">
        <v>399</v>
      </c>
      <c r="D435" t="s">
        <v>1666</v>
      </c>
      <c r="E435" t="str">
        <f ca="1">TRIM(Sales_fact[[#This Row],[Store_ID]])</f>
        <v>STORE2</v>
      </c>
      <c r="F435">
        <v>2</v>
      </c>
      <c r="G435">
        <f>IF(ISBLANK(F435),MODE($F$2:$F$2001),F435)</f>
        <v>2</v>
      </c>
      <c r="H435">
        <v>64.7</v>
      </c>
      <c r="I435">
        <f>IF(ISBLANK(H435),AVERAGE($H$2:$H$2001),H435)</f>
        <v>64.7</v>
      </c>
      <c r="J435">
        <v>0</v>
      </c>
      <c r="K435">
        <f>IF(ISBLANK(J435),MODE($J$2:$J$2001),J435)</f>
        <v>0</v>
      </c>
      <c r="L435" t="s">
        <v>1824</v>
      </c>
      <c r="M435">
        <v>129.4</v>
      </c>
      <c r="N435">
        <f t="shared" si="6"/>
        <v>129.4</v>
      </c>
      <c r="O435" t="str">
        <f>_xlfn.XLOOKUP(Sales_fact[[#This Row],[Customer_ID]],'Customer_Dim'!A:A,'Customer_Dim'!K:K,"Not Found")</f>
        <v>Bronze</v>
      </c>
      <c r="P435">
        <f>_xlfn.XLOOKUP(Sales_fact[[#This Row],[Customer_ID]],'Customer_Dim'!A:A, 'Customer_Dim'!E:E, "Not Found")</f>
        <v>30</v>
      </c>
      <c r="Q435" t="str">
        <f>VLOOKUP(Sales_fact[[#This Row],[Customer_ID]], 'Customer_Dim'!A:F, 6, FALSE)</f>
        <v>Male</v>
      </c>
      <c r="R435" s="13" t="str">
        <f>_xlfn.XLOOKUP(Sales_fact[[#This Row],[Product_ID]],Product_Dim!A:A,Product_Dim!C:C,"OTHERS")</f>
        <v>Beauty</v>
      </c>
    </row>
    <row r="436" spans="1:18" x14ac:dyDescent="0.3">
      <c r="A436" t="s">
        <v>2260</v>
      </c>
      <c r="B436" s="2">
        <v>45266</v>
      </c>
      <c r="C436" t="s">
        <v>499</v>
      </c>
      <c r="D436" t="s">
        <v>1555</v>
      </c>
      <c r="E436" t="str">
        <f ca="1">TRIM(Sales_fact[[#This Row],[Store_ID]])</f>
        <v>STORE5</v>
      </c>
      <c r="F436">
        <v>3</v>
      </c>
      <c r="G436">
        <f>IF(ISBLANK(F436),MODE($F$2:$F$2001),F436)</f>
        <v>3</v>
      </c>
      <c r="H436">
        <v>589.83000000000004</v>
      </c>
      <c r="I436">
        <f>IF(ISBLANK(H436),AVERAGE($H$2:$H$2001),H436)</f>
        <v>589.83000000000004</v>
      </c>
      <c r="J436">
        <v>0.26</v>
      </c>
      <c r="K436">
        <f>IF(ISBLANK(J436),MODE($J$2:$J$2001),J436)</f>
        <v>0.26</v>
      </c>
      <c r="L436" t="s">
        <v>1824</v>
      </c>
      <c r="M436">
        <v>1309.4226000000001</v>
      </c>
      <c r="N436">
        <f t="shared" si="6"/>
        <v>1309.4226000000001</v>
      </c>
      <c r="O436" t="str">
        <f>_xlfn.XLOOKUP(Sales_fact[[#This Row],[Customer_ID]],'Customer_Dim'!A:A,'Customer_Dim'!K:K,"Not Found")</f>
        <v>Bronze</v>
      </c>
      <c r="P436">
        <f>_xlfn.XLOOKUP(Sales_fact[[#This Row],[Customer_ID]],'Customer_Dim'!A:A, 'Customer_Dim'!E:E, "Not Found")</f>
        <v>42</v>
      </c>
      <c r="Q436" t="str">
        <f>VLOOKUP(Sales_fact[[#This Row],[Customer_ID]], 'Customer_Dim'!A:F, 6, FALSE)</f>
        <v>Female</v>
      </c>
      <c r="R436" s="13" t="str">
        <f>_xlfn.XLOOKUP(Sales_fact[[#This Row],[Product_ID]],Product_Dim!A:A,Product_Dim!C:C,"OTHERS")</f>
        <v>Clothing</v>
      </c>
    </row>
    <row r="437" spans="1:18" x14ac:dyDescent="0.3">
      <c r="A437" t="s">
        <v>2261</v>
      </c>
      <c r="B437" s="2">
        <v>45889</v>
      </c>
      <c r="C437" t="s">
        <v>914</v>
      </c>
      <c r="D437" t="s">
        <v>1551</v>
      </c>
      <c r="E437" t="str">
        <f ca="1">TRIM(Sales_fact[[#This Row],[Store_ID]])</f>
        <v>STORE9</v>
      </c>
      <c r="F437">
        <v>4</v>
      </c>
      <c r="G437">
        <f>IF(ISBLANK(F437),MODE($F$2:$F$2001),F437)</f>
        <v>4</v>
      </c>
      <c r="H437">
        <v>758.49</v>
      </c>
      <c r="I437">
        <f>IF(ISBLANK(H437),AVERAGE($H$2:$H$2001),H437)</f>
        <v>758.49</v>
      </c>
      <c r="J437">
        <v>0.16</v>
      </c>
      <c r="K437">
        <f>IF(ISBLANK(J437),MODE($J$2:$J$2001),J437)</f>
        <v>0.16</v>
      </c>
      <c r="L437" t="s">
        <v>1829</v>
      </c>
      <c r="M437">
        <v>2548.5264000000002</v>
      </c>
      <c r="N437">
        <f t="shared" si="6"/>
        <v>2548.5263999999997</v>
      </c>
      <c r="O437" t="str">
        <f>_xlfn.XLOOKUP(Sales_fact[[#This Row],[Customer_ID]],'Customer_Dim'!A:A,'Customer_Dim'!K:K,"Not Found")</f>
        <v>Gold</v>
      </c>
      <c r="P437">
        <f>_xlfn.XLOOKUP(Sales_fact[[#This Row],[Customer_ID]],'Customer_Dim'!A:A, 'Customer_Dim'!E:E, "Not Found")</f>
        <v>58</v>
      </c>
      <c r="Q437" t="str">
        <f>VLOOKUP(Sales_fact[[#This Row],[Customer_ID]], 'Customer_Dim'!A:F, 6, FALSE)</f>
        <v>Male</v>
      </c>
      <c r="R437" s="13" t="str">
        <f>_xlfn.XLOOKUP(Sales_fact[[#This Row],[Product_ID]],Product_Dim!A:A,Product_Dim!C:C,"OTHERS")</f>
        <v>OTHERS</v>
      </c>
    </row>
    <row r="438" spans="1:18" x14ac:dyDescent="0.3">
      <c r="A438" t="s">
        <v>2262</v>
      </c>
      <c r="B438" s="2">
        <v>45555</v>
      </c>
      <c r="C438" t="s">
        <v>202</v>
      </c>
      <c r="D438" t="s">
        <v>1622</v>
      </c>
      <c r="E438" t="str">
        <f ca="1">TRIM(Sales_fact[[#This Row],[Store_ID]])</f>
        <v>STORE12</v>
      </c>
      <c r="F438">
        <v>4</v>
      </c>
      <c r="G438">
        <f>IF(ISBLANK(F438),MODE($F$2:$F$2001),F438)</f>
        <v>4</v>
      </c>
      <c r="H438">
        <v>747.56</v>
      </c>
      <c r="I438">
        <f>IF(ISBLANK(H438),AVERAGE($H$2:$H$2001),H438)</f>
        <v>747.56</v>
      </c>
      <c r="J438">
        <v>0.09</v>
      </c>
      <c r="K438">
        <f>IF(ISBLANK(J438),MODE($J$2:$J$2001),J438)</f>
        <v>0.09</v>
      </c>
      <c r="L438" t="s">
        <v>1829</v>
      </c>
      <c r="M438">
        <v>2721.1183999999998</v>
      </c>
      <c r="N438">
        <f t="shared" si="6"/>
        <v>2721.1183999999998</v>
      </c>
      <c r="O438" t="str">
        <f>_xlfn.XLOOKUP(Sales_fact[[#This Row],[Customer_ID]],'Customer_Dim'!A:A,'Customer_Dim'!K:K,"Not Found")</f>
        <v>Gold</v>
      </c>
      <c r="P438">
        <f>_xlfn.XLOOKUP(Sales_fact[[#This Row],[Customer_ID]],'Customer_Dim'!A:A, 'Customer_Dim'!E:E, "Not Found")</f>
        <v>37</v>
      </c>
      <c r="Q438" t="str">
        <f>VLOOKUP(Sales_fact[[#This Row],[Customer_ID]], 'Customer_Dim'!A:F, 6, FALSE)</f>
        <v>Female</v>
      </c>
      <c r="R438" s="13" t="str">
        <f>_xlfn.XLOOKUP(Sales_fact[[#This Row],[Product_ID]],Product_Dim!A:A,Product_Dim!C:C,"OTHERS")</f>
        <v>Clothing</v>
      </c>
    </row>
    <row r="439" spans="1:18" x14ac:dyDescent="0.3">
      <c r="A439" t="s">
        <v>2263</v>
      </c>
      <c r="B439" s="2">
        <v>45813</v>
      </c>
      <c r="C439" t="s">
        <v>809</v>
      </c>
      <c r="D439" t="s">
        <v>1628</v>
      </c>
      <c r="E439" t="str">
        <f ca="1">TRIM(Sales_fact[[#This Row],[Store_ID]])</f>
        <v>STORE17</v>
      </c>
      <c r="F439">
        <v>3</v>
      </c>
      <c r="G439">
        <f>IF(ISBLANK(F439),MODE($F$2:$F$2001),F439)</f>
        <v>3</v>
      </c>
      <c r="H439">
        <v>551.22</v>
      </c>
      <c r="I439">
        <f>IF(ISBLANK(H439),AVERAGE($H$2:$H$2001),H439)</f>
        <v>551.22</v>
      </c>
      <c r="J439">
        <v>0.12</v>
      </c>
      <c r="K439">
        <f>IF(ISBLANK(J439),MODE($J$2:$J$2001),J439)</f>
        <v>0.12</v>
      </c>
      <c r="L439" t="s">
        <v>1826</v>
      </c>
      <c r="M439">
        <v>1455.2208000000001</v>
      </c>
      <c r="N439">
        <f t="shared" si="6"/>
        <v>1455.2208000000001</v>
      </c>
      <c r="O439" t="str">
        <f>_xlfn.XLOOKUP(Sales_fact[[#This Row],[Customer_ID]],'Customer_Dim'!A:A,'Customer_Dim'!K:K,"Not Found")</f>
        <v>Bronze</v>
      </c>
      <c r="P439">
        <f>_xlfn.XLOOKUP(Sales_fact[[#This Row],[Customer_ID]],'Customer_Dim'!A:A, 'Customer_Dim'!E:E, "Not Found")</f>
        <v>32</v>
      </c>
      <c r="Q439" t="str">
        <f>VLOOKUP(Sales_fact[[#This Row],[Customer_ID]], 'Customer_Dim'!A:F, 6, FALSE)</f>
        <v>Male</v>
      </c>
      <c r="R439" s="13" t="str">
        <f>_xlfn.XLOOKUP(Sales_fact[[#This Row],[Product_ID]],Product_Dim!A:A,Product_Dim!C:C,"OTHERS")</f>
        <v>Electronics</v>
      </c>
    </row>
    <row r="440" spans="1:18" x14ac:dyDescent="0.3">
      <c r="A440" t="s">
        <v>2264</v>
      </c>
      <c r="B440" s="2">
        <v>45811</v>
      </c>
      <c r="C440" t="s">
        <v>532</v>
      </c>
      <c r="D440" t="s">
        <v>1686</v>
      </c>
      <c r="E440" t="str">
        <f ca="1">TRIM(Sales_fact[[#This Row],[Store_ID]])</f>
        <v>STORE14</v>
      </c>
      <c r="F440">
        <v>2</v>
      </c>
      <c r="G440">
        <f>IF(ISBLANK(F440),MODE($F$2:$F$2001),F440)</f>
        <v>2</v>
      </c>
      <c r="H440">
        <v>527.05999999999995</v>
      </c>
      <c r="I440">
        <f>IF(ISBLANK(H440),AVERAGE($H$2:$H$2001),H440)</f>
        <v>527.05999999999995</v>
      </c>
      <c r="J440">
        <v>0.17</v>
      </c>
      <c r="K440">
        <f>IF(ISBLANK(J440),MODE($J$2:$J$2001),J440)</f>
        <v>0.17</v>
      </c>
      <c r="L440" t="s">
        <v>1826</v>
      </c>
      <c r="M440">
        <v>874.91959999999983</v>
      </c>
      <c r="N440">
        <f t="shared" si="6"/>
        <v>874.91959999999983</v>
      </c>
      <c r="O440" t="str">
        <f>_xlfn.XLOOKUP(Sales_fact[[#This Row],[Customer_ID]],'Customer_Dim'!A:A,'Customer_Dim'!K:K,"Not Found")</f>
        <v>Gold</v>
      </c>
      <c r="P440">
        <f>_xlfn.XLOOKUP(Sales_fact[[#This Row],[Customer_ID]],'Customer_Dim'!A:A, 'Customer_Dim'!E:E, "Not Found")</f>
        <v>46</v>
      </c>
      <c r="Q440" t="str">
        <f>VLOOKUP(Sales_fact[[#This Row],[Customer_ID]], 'Customer_Dim'!A:F, 6, FALSE)</f>
        <v>Female</v>
      </c>
      <c r="R440" s="13" t="str">
        <f>_xlfn.XLOOKUP(Sales_fact[[#This Row],[Product_ID]],Product_Dim!A:A,Product_Dim!C:C,"OTHERS")</f>
        <v>Clothing</v>
      </c>
    </row>
    <row r="441" spans="1:18" x14ac:dyDescent="0.3">
      <c r="A441" t="s">
        <v>2265</v>
      </c>
      <c r="B441" s="2">
        <v>45670</v>
      </c>
      <c r="C441" t="s">
        <v>350</v>
      </c>
      <c r="D441" t="s">
        <v>1672</v>
      </c>
      <c r="E441" t="str">
        <f ca="1">TRIM(Sales_fact[[#This Row],[Store_ID]])</f>
        <v>STORE5</v>
      </c>
      <c r="F441">
        <v>4</v>
      </c>
      <c r="G441">
        <f>IF(ISBLANK(F441),MODE($F$2:$F$2001),F441)</f>
        <v>4</v>
      </c>
      <c r="H441">
        <v>875.41</v>
      </c>
      <c r="I441">
        <f>IF(ISBLANK(H441),AVERAGE($H$2:$H$2001),H441)</f>
        <v>875.41</v>
      </c>
      <c r="J441">
        <v>0.27</v>
      </c>
      <c r="K441">
        <f>IF(ISBLANK(J441),MODE($J$2:$J$2001),J441)</f>
        <v>0.27</v>
      </c>
      <c r="L441" t="s">
        <v>1824</v>
      </c>
      <c r="M441">
        <v>2556.1972000000001</v>
      </c>
      <c r="N441">
        <f t="shared" si="6"/>
        <v>2556.1972000000001</v>
      </c>
      <c r="O441" t="str">
        <f>_xlfn.XLOOKUP(Sales_fact[[#This Row],[Customer_ID]],'Customer_Dim'!A:A,'Customer_Dim'!K:K,"Not Found")</f>
        <v>Gold</v>
      </c>
      <c r="P441">
        <f>_xlfn.XLOOKUP(Sales_fact[[#This Row],[Customer_ID]],'Customer_Dim'!A:A, 'Customer_Dim'!E:E, "Not Found")</f>
        <v>24</v>
      </c>
      <c r="Q441" t="str">
        <f>VLOOKUP(Sales_fact[[#This Row],[Customer_ID]], 'Customer_Dim'!A:F, 6, FALSE)</f>
        <v>Male</v>
      </c>
      <c r="R441" s="13" t="str">
        <f>_xlfn.XLOOKUP(Sales_fact[[#This Row],[Product_ID]],Product_Dim!A:A,Product_Dim!C:C,"OTHERS")</f>
        <v>Electronics</v>
      </c>
    </row>
    <row r="442" spans="1:18" x14ac:dyDescent="0.3">
      <c r="A442" t="s">
        <v>2266</v>
      </c>
      <c r="B442" s="2">
        <v>45736</v>
      </c>
      <c r="C442" t="s">
        <v>40</v>
      </c>
      <c r="D442" t="s">
        <v>1718</v>
      </c>
      <c r="E442" t="str">
        <f ca="1">TRIM(Sales_fact[[#This Row],[Store_ID]])</f>
        <v>STORE0</v>
      </c>
      <c r="F442">
        <v>2</v>
      </c>
      <c r="G442">
        <f>IF(ISBLANK(F442),MODE($F$2:$F$2001),F442)</f>
        <v>2</v>
      </c>
      <c r="H442">
        <v>226.43</v>
      </c>
      <c r="I442">
        <f>IF(ISBLANK(H442),AVERAGE($H$2:$H$2001),H442)</f>
        <v>226.43</v>
      </c>
      <c r="J442">
        <v>0.03</v>
      </c>
      <c r="K442">
        <f>IF(ISBLANK(J442),MODE($J$2:$J$2001),J442)</f>
        <v>0.03</v>
      </c>
      <c r="L442" t="s">
        <v>1824</v>
      </c>
      <c r="M442">
        <v>439.27420000000001</v>
      </c>
      <c r="N442">
        <f t="shared" si="6"/>
        <v>439.27420000000001</v>
      </c>
      <c r="O442" t="str">
        <f>_xlfn.XLOOKUP(Sales_fact[[#This Row],[Customer_ID]],'Customer_Dim'!A:A,'Customer_Dim'!K:K,"Not Found")</f>
        <v>Bronze</v>
      </c>
      <c r="P442">
        <f>_xlfn.XLOOKUP(Sales_fact[[#This Row],[Customer_ID]],'Customer_Dim'!A:A, 'Customer_Dim'!E:E, "Not Found")</f>
        <v>29</v>
      </c>
      <c r="Q442" t="str">
        <f>VLOOKUP(Sales_fact[[#This Row],[Customer_ID]], 'Customer_Dim'!A:F, 6, FALSE)</f>
        <v>Female</v>
      </c>
      <c r="R442" s="13" t="str">
        <f>_xlfn.XLOOKUP(Sales_fact[[#This Row],[Product_ID]],Product_Dim!A:A,Product_Dim!C:C,"OTHERS")</f>
        <v>Clothing</v>
      </c>
    </row>
    <row r="443" spans="1:18" x14ac:dyDescent="0.3">
      <c r="A443" t="s">
        <v>2267</v>
      </c>
      <c r="B443" s="2">
        <v>45480</v>
      </c>
      <c r="C443" t="s">
        <v>141</v>
      </c>
      <c r="D443" t="s">
        <v>1706</v>
      </c>
      <c r="E443" t="str">
        <f ca="1">TRIM(Sales_fact[[#This Row],[Store_ID]])</f>
        <v>STORE5</v>
      </c>
      <c r="F443">
        <v>2</v>
      </c>
      <c r="G443">
        <f>IF(ISBLANK(F443),MODE($F$2:$F$2001),F443)</f>
        <v>2</v>
      </c>
      <c r="H443">
        <v>285.39</v>
      </c>
      <c r="I443">
        <f>IF(ISBLANK(H443),AVERAGE($H$2:$H$2001),H443)</f>
        <v>285.39</v>
      </c>
      <c r="J443">
        <v>0.1</v>
      </c>
      <c r="K443">
        <f>IF(ISBLANK(J443),MODE($J$2:$J$2001),J443)</f>
        <v>0.1</v>
      </c>
      <c r="L443" t="s">
        <v>1824</v>
      </c>
      <c r="M443">
        <v>513.702</v>
      </c>
      <c r="N443">
        <f t="shared" si="6"/>
        <v>513.702</v>
      </c>
      <c r="O443" t="str">
        <f>_xlfn.XLOOKUP(Sales_fact[[#This Row],[Customer_ID]],'Customer_Dim'!A:A,'Customer_Dim'!K:K,"Not Found")</f>
        <v>Silver</v>
      </c>
      <c r="P443">
        <f>_xlfn.XLOOKUP(Sales_fact[[#This Row],[Customer_ID]],'Customer_Dim'!A:A, 'Customer_Dim'!E:E, "Not Found")</f>
        <v>52</v>
      </c>
      <c r="Q443" t="str">
        <f>VLOOKUP(Sales_fact[[#This Row],[Customer_ID]], 'Customer_Dim'!A:F, 6, FALSE)</f>
        <v>Male</v>
      </c>
      <c r="R443" s="13" t="str">
        <f>_xlfn.XLOOKUP(Sales_fact[[#This Row],[Product_ID]],Product_Dim!A:A,Product_Dim!C:C,"OTHERS")</f>
        <v>Home</v>
      </c>
    </row>
    <row r="444" spans="1:18" x14ac:dyDescent="0.3">
      <c r="A444" t="s">
        <v>2268</v>
      </c>
      <c r="B444" s="2">
        <v>45929</v>
      </c>
      <c r="C444" t="s">
        <v>1050</v>
      </c>
      <c r="D444" t="s">
        <v>1570</v>
      </c>
      <c r="E444" t="str">
        <f ca="1">TRIM(Sales_fact[[#This Row],[Store_ID]])</f>
        <v>STORE15</v>
      </c>
      <c r="F444">
        <v>2</v>
      </c>
      <c r="G444">
        <f>IF(ISBLANK(F444),MODE($F$2:$F$2001),F444)</f>
        <v>2</v>
      </c>
      <c r="H444">
        <v>298.01</v>
      </c>
      <c r="I444">
        <f>IF(ISBLANK(H444),AVERAGE($H$2:$H$2001),H444)</f>
        <v>298.01</v>
      </c>
      <c r="J444">
        <v>0.05</v>
      </c>
      <c r="K444">
        <f>IF(ISBLANK(J444),MODE($J$2:$J$2001),J444)</f>
        <v>0.05</v>
      </c>
      <c r="L444" t="s">
        <v>1824</v>
      </c>
      <c r="M444">
        <v>566.21899999999994</v>
      </c>
      <c r="N444">
        <f t="shared" si="6"/>
        <v>566.21899999999994</v>
      </c>
      <c r="O444" t="str">
        <f>_xlfn.XLOOKUP(Sales_fact[[#This Row],[Customer_ID]],'Customer_Dim'!A:A,'Customer_Dim'!K:K,"Not Found")</f>
        <v>Silver</v>
      </c>
      <c r="P444">
        <f>_xlfn.XLOOKUP(Sales_fact[[#This Row],[Customer_ID]],'Customer_Dim'!A:A, 'Customer_Dim'!E:E, "Not Found")</f>
        <v>50</v>
      </c>
      <c r="Q444" t="str">
        <f>VLOOKUP(Sales_fact[[#This Row],[Customer_ID]], 'Customer_Dim'!A:F, 6, FALSE)</f>
        <v>Female</v>
      </c>
      <c r="R444" s="13" t="str">
        <f>_xlfn.XLOOKUP(Sales_fact[[#This Row],[Product_ID]],Product_Dim!A:A,Product_Dim!C:C,"OTHERS")</f>
        <v>Electronics</v>
      </c>
    </row>
    <row r="445" spans="1:18" x14ac:dyDescent="0.3">
      <c r="A445" t="s">
        <v>2269</v>
      </c>
      <c r="B445" s="2">
        <v>45626</v>
      </c>
      <c r="C445" t="s">
        <v>532</v>
      </c>
      <c r="D445" t="s">
        <v>1628</v>
      </c>
      <c r="E445" t="str">
        <f ca="1">TRIM(Sales_fact[[#This Row],[Store_ID]])</f>
        <v>STORE4</v>
      </c>
      <c r="F445">
        <v>4</v>
      </c>
      <c r="G445">
        <f>IF(ISBLANK(F445),MODE($F$2:$F$2001),F445)</f>
        <v>4</v>
      </c>
      <c r="H445">
        <v>753.49</v>
      </c>
      <c r="I445">
        <f>IF(ISBLANK(H445),AVERAGE($H$2:$H$2001),H445)</f>
        <v>753.49</v>
      </c>
      <c r="J445">
        <v>0.26</v>
      </c>
      <c r="K445">
        <f>IF(ISBLANK(J445),MODE($J$2:$J$2001),J445)</f>
        <v>0.26</v>
      </c>
      <c r="L445" t="s">
        <v>1829</v>
      </c>
      <c r="M445">
        <v>2230.3303999999998</v>
      </c>
      <c r="N445">
        <f t="shared" si="6"/>
        <v>2230.3303999999998</v>
      </c>
      <c r="O445" t="str">
        <f>_xlfn.XLOOKUP(Sales_fact[[#This Row],[Customer_ID]],'Customer_Dim'!A:A,'Customer_Dim'!K:K,"Not Found")</f>
        <v>Gold</v>
      </c>
      <c r="P445">
        <f>_xlfn.XLOOKUP(Sales_fact[[#This Row],[Customer_ID]],'Customer_Dim'!A:A, 'Customer_Dim'!E:E, "Not Found")</f>
        <v>46</v>
      </c>
      <c r="Q445" t="str">
        <f>VLOOKUP(Sales_fact[[#This Row],[Customer_ID]], 'Customer_Dim'!A:F, 6, FALSE)</f>
        <v>Female</v>
      </c>
      <c r="R445" s="13" t="str">
        <f>_xlfn.XLOOKUP(Sales_fact[[#This Row],[Product_ID]],Product_Dim!A:A,Product_Dim!C:C,"OTHERS")</f>
        <v>Electronics</v>
      </c>
    </row>
    <row r="446" spans="1:18" x14ac:dyDescent="0.3">
      <c r="A446" t="s">
        <v>2270</v>
      </c>
      <c r="B446" s="2">
        <v>45460</v>
      </c>
      <c r="C446" t="s">
        <v>1501</v>
      </c>
      <c r="D446" t="s">
        <v>1704</v>
      </c>
      <c r="E446" t="str">
        <f ca="1">TRIM(Sales_fact[[#This Row],[Store_ID]])</f>
        <v>STORE12</v>
      </c>
      <c r="F446">
        <v>2</v>
      </c>
      <c r="G446">
        <f>IF(ISBLANK(F446),MODE($F$2:$F$2001),F446)</f>
        <v>2</v>
      </c>
      <c r="H446">
        <v>130.38999999999999</v>
      </c>
      <c r="I446">
        <f>IF(ISBLANK(H446),AVERAGE($H$2:$H$2001),H446)</f>
        <v>130.38999999999999</v>
      </c>
      <c r="J446">
        <v>0.17</v>
      </c>
      <c r="K446">
        <f>IF(ISBLANK(J446),MODE($J$2:$J$2001),J446)</f>
        <v>0.17</v>
      </c>
      <c r="L446" t="s">
        <v>1826</v>
      </c>
      <c r="M446">
        <v>216.44739999999999</v>
      </c>
      <c r="N446">
        <f t="shared" si="6"/>
        <v>216.44739999999996</v>
      </c>
      <c r="O446" t="str">
        <f>_xlfn.XLOOKUP(Sales_fact[[#This Row],[Customer_ID]],'Customer_Dim'!A:A,'Customer_Dim'!K:K,"Not Found")</f>
        <v>Platinum</v>
      </c>
      <c r="P446">
        <f>_xlfn.XLOOKUP(Sales_fact[[#This Row],[Customer_ID]],'Customer_Dim'!A:A, 'Customer_Dim'!E:E, "Not Found")</f>
        <v>23</v>
      </c>
      <c r="Q446" t="str">
        <f>VLOOKUP(Sales_fact[[#This Row],[Customer_ID]], 'Customer_Dim'!A:F, 6, FALSE)</f>
        <v>Female</v>
      </c>
      <c r="R446" s="13" t="str">
        <f>_xlfn.XLOOKUP(Sales_fact[[#This Row],[Product_ID]],Product_Dim!A:A,Product_Dim!C:C,"OTHERS")</f>
        <v>Home</v>
      </c>
    </row>
    <row r="447" spans="1:18" x14ac:dyDescent="0.3">
      <c r="A447" t="s">
        <v>2271</v>
      </c>
      <c r="B447" s="2">
        <v>45709</v>
      </c>
      <c r="C447" t="s">
        <v>1083</v>
      </c>
      <c r="D447" t="s">
        <v>1592</v>
      </c>
      <c r="E447" t="str">
        <f ca="1">TRIM(Sales_fact[[#This Row],[Store_ID]])</f>
        <v>STORE9</v>
      </c>
      <c r="F447">
        <v>4</v>
      </c>
      <c r="G447">
        <f>IF(ISBLANK(F447),MODE($F$2:$F$2001),F447)</f>
        <v>4</v>
      </c>
      <c r="H447">
        <v>164.02</v>
      </c>
      <c r="I447">
        <f>IF(ISBLANK(H447),AVERAGE($H$2:$H$2001),H447)</f>
        <v>164.02</v>
      </c>
      <c r="J447">
        <v>0.01</v>
      </c>
      <c r="K447">
        <f>IF(ISBLANK(J447),MODE($J$2:$J$2001),J447)</f>
        <v>0.01</v>
      </c>
      <c r="L447" t="s">
        <v>1826</v>
      </c>
      <c r="M447">
        <v>649.51920000000007</v>
      </c>
      <c r="N447">
        <f t="shared" si="6"/>
        <v>649.51920000000007</v>
      </c>
      <c r="O447" t="str">
        <f>_xlfn.XLOOKUP(Sales_fact[[#This Row],[Customer_ID]],'Customer_Dim'!A:A,'Customer_Dim'!K:K,"Not Found")</f>
        <v>Bronze</v>
      </c>
      <c r="P447">
        <f>_xlfn.XLOOKUP(Sales_fact[[#This Row],[Customer_ID]],'Customer_Dim'!A:A, 'Customer_Dim'!E:E, "Not Found")</f>
        <v>33</v>
      </c>
      <c r="Q447" t="str">
        <f>VLOOKUP(Sales_fact[[#This Row],[Customer_ID]], 'Customer_Dim'!A:F, 6, FALSE)</f>
        <v>Male</v>
      </c>
      <c r="R447" s="13" t="str">
        <f>_xlfn.XLOOKUP(Sales_fact[[#This Row],[Product_ID]],Product_Dim!A:A,Product_Dim!C:C,"OTHERS")</f>
        <v>Sports</v>
      </c>
    </row>
    <row r="448" spans="1:18" x14ac:dyDescent="0.3">
      <c r="A448" t="s">
        <v>2272</v>
      </c>
      <c r="B448" s="2">
        <v>45551</v>
      </c>
      <c r="C448" t="s">
        <v>547</v>
      </c>
      <c r="D448" t="s">
        <v>1606</v>
      </c>
      <c r="E448" t="str">
        <f ca="1">TRIM(Sales_fact[[#This Row],[Store_ID]])</f>
        <v>STORE4</v>
      </c>
      <c r="F448">
        <v>2</v>
      </c>
      <c r="G448">
        <f>IF(ISBLANK(F448),MODE($F$2:$F$2001),F448)</f>
        <v>2</v>
      </c>
      <c r="H448">
        <v>527.51</v>
      </c>
      <c r="I448">
        <f>IF(ISBLANK(H448),AVERAGE($H$2:$H$2001),H448)</f>
        <v>527.51</v>
      </c>
      <c r="J448">
        <v>0.18</v>
      </c>
      <c r="K448">
        <f>IF(ISBLANK(J448),MODE($J$2:$J$2001),J448)</f>
        <v>0.18</v>
      </c>
      <c r="L448" t="s">
        <v>1826</v>
      </c>
      <c r="M448">
        <v>865.1164</v>
      </c>
      <c r="N448">
        <f t="shared" si="6"/>
        <v>865.1164</v>
      </c>
      <c r="O448" t="str">
        <f>_xlfn.XLOOKUP(Sales_fact[[#This Row],[Customer_ID]],'Customer_Dim'!A:A,'Customer_Dim'!K:K,"Not Found")</f>
        <v>Silver</v>
      </c>
      <c r="P448">
        <f>_xlfn.XLOOKUP(Sales_fact[[#This Row],[Customer_ID]],'Customer_Dim'!A:A, 'Customer_Dim'!E:E, "Not Found")</f>
        <v>39</v>
      </c>
      <c r="Q448" t="str">
        <f>VLOOKUP(Sales_fact[[#This Row],[Customer_ID]], 'Customer_Dim'!A:F, 6, FALSE)</f>
        <v>Female</v>
      </c>
      <c r="R448" s="13" t="str">
        <f>_xlfn.XLOOKUP(Sales_fact[[#This Row],[Product_ID]],Product_Dim!A:A,Product_Dim!C:C,"OTHERS")</f>
        <v>Home</v>
      </c>
    </row>
    <row r="449" spans="1:18" x14ac:dyDescent="0.3">
      <c r="A449" t="s">
        <v>2273</v>
      </c>
      <c r="B449" s="2">
        <v>45939</v>
      </c>
      <c r="C449" t="s">
        <v>809</v>
      </c>
      <c r="D449" t="s">
        <v>1662</v>
      </c>
      <c r="E449" t="str">
        <f ca="1">TRIM(Sales_fact[[#This Row],[Store_ID]])</f>
        <v>STORE13</v>
      </c>
      <c r="F449">
        <v>3</v>
      </c>
      <c r="G449">
        <f>IF(ISBLANK(F449),MODE($F$2:$F$2001),F449)</f>
        <v>3</v>
      </c>
      <c r="H449">
        <v>628.17999999999995</v>
      </c>
      <c r="I449">
        <f>IF(ISBLANK(H449),AVERAGE($H$2:$H$2001),H449)</f>
        <v>628.17999999999995</v>
      </c>
      <c r="J449">
        <v>0.26</v>
      </c>
      <c r="K449">
        <f>IF(ISBLANK(J449),MODE($J$2:$J$2001),J449)</f>
        <v>0.26</v>
      </c>
      <c r="L449" t="s">
        <v>1824</v>
      </c>
      <c r="M449">
        <v>1394.5596</v>
      </c>
      <c r="N449">
        <f t="shared" si="6"/>
        <v>1394.5596</v>
      </c>
      <c r="O449" t="str">
        <f>_xlfn.XLOOKUP(Sales_fact[[#This Row],[Customer_ID]],'Customer_Dim'!A:A,'Customer_Dim'!K:K,"Not Found")</f>
        <v>Bronze</v>
      </c>
      <c r="P449">
        <f>_xlfn.XLOOKUP(Sales_fact[[#This Row],[Customer_ID]],'Customer_Dim'!A:A, 'Customer_Dim'!E:E, "Not Found")</f>
        <v>32</v>
      </c>
      <c r="Q449" t="str">
        <f>VLOOKUP(Sales_fact[[#This Row],[Customer_ID]], 'Customer_Dim'!A:F, 6, FALSE)</f>
        <v>Male</v>
      </c>
      <c r="R449" s="13" t="str">
        <f>_xlfn.XLOOKUP(Sales_fact[[#This Row],[Product_ID]],Product_Dim!A:A,Product_Dim!C:C,"OTHERS")</f>
        <v>Sports</v>
      </c>
    </row>
    <row r="450" spans="1:18" x14ac:dyDescent="0.3">
      <c r="A450" t="s">
        <v>2274</v>
      </c>
      <c r="B450" s="2">
        <v>45553</v>
      </c>
      <c r="C450" t="s">
        <v>857</v>
      </c>
      <c r="D450" t="s">
        <v>1660</v>
      </c>
      <c r="E450" t="str">
        <f ca="1">TRIM(Sales_fact[[#This Row],[Store_ID]])</f>
        <v>STORE3</v>
      </c>
      <c r="F450">
        <v>1</v>
      </c>
      <c r="G450">
        <f>IF(ISBLANK(F450),MODE($F$2:$F$2001),F450)</f>
        <v>1</v>
      </c>
      <c r="H450">
        <v>862.31</v>
      </c>
      <c r="I450">
        <f>IF(ISBLANK(H450),AVERAGE($H$2:$H$2001),H450)</f>
        <v>862.31</v>
      </c>
      <c r="J450">
        <v>0.06</v>
      </c>
      <c r="K450">
        <f>IF(ISBLANK(J450),MODE($J$2:$J$2001),J450)</f>
        <v>0.06</v>
      </c>
      <c r="L450" t="s">
        <v>1824</v>
      </c>
      <c r="M450">
        <v>810.57139999999993</v>
      </c>
      <c r="N450">
        <f t="shared" si="6"/>
        <v>810.57139999999993</v>
      </c>
      <c r="O450" t="str">
        <f>_xlfn.XLOOKUP(Sales_fact[[#This Row],[Customer_ID]],'Customer_Dim'!A:A,'Customer_Dim'!K:K,"Not Found")</f>
        <v>Silver</v>
      </c>
      <c r="P450">
        <f>_xlfn.XLOOKUP(Sales_fact[[#This Row],[Customer_ID]],'Customer_Dim'!A:A, 'Customer_Dim'!E:E, "Not Found")</f>
        <v>45</v>
      </c>
      <c r="Q450" t="str">
        <f>VLOOKUP(Sales_fact[[#This Row],[Customer_ID]], 'Customer_Dim'!A:F, 6, FALSE)</f>
        <v>Female</v>
      </c>
      <c r="R450" s="13" t="str">
        <f>_xlfn.XLOOKUP(Sales_fact[[#This Row],[Product_ID]],Product_Dim!A:A,Product_Dim!C:C,"OTHERS")</f>
        <v>Home</v>
      </c>
    </row>
    <row r="451" spans="1:18" x14ac:dyDescent="0.3">
      <c r="A451" t="s">
        <v>2275</v>
      </c>
      <c r="B451" s="2">
        <v>45806</v>
      </c>
      <c r="C451" t="s">
        <v>261</v>
      </c>
      <c r="D451" t="s">
        <v>1714</v>
      </c>
      <c r="E451" t="str">
        <f ca="1">TRIM(Sales_fact[[#This Row],[Store_ID]])</f>
        <v>STORE14</v>
      </c>
      <c r="F451">
        <v>2</v>
      </c>
      <c r="G451">
        <f>IF(ISBLANK(F451),MODE($F$2:$F$2001),F451)</f>
        <v>2</v>
      </c>
      <c r="H451">
        <v>541.39</v>
      </c>
      <c r="I451">
        <f>IF(ISBLANK(H451),AVERAGE($H$2:$H$2001),H451)</f>
        <v>541.39</v>
      </c>
      <c r="J451">
        <v>0.03</v>
      </c>
      <c r="K451">
        <f>IF(ISBLANK(J451),MODE($J$2:$J$2001),J451)</f>
        <v>0.03</v>
      </c>
      <c r="L451" t="s">
        <v>1829</v>
      </c>
      <c r="M451">
        <v>1050.2965999999999</v>
      </c>
      <c r="N451">
        <f t="shared" ref="N451:N514" si="7">G451*I451*(1-K451)</f>
        <v>1050.2965999999999</v>
      </c>
      <c r="O451" t="str">
        <f>_xlfn.XLOOKUP(Sales_fact[[#This Row],[Customer_ID]],'Customer_Dim'!A:A,'Customer_Dim'!K:K,"Not Found")</f>
        <v>Gold</v>
      </c>
      <c r="P451">
        <f>_xlfn.XLOOKUP(Sales_fact[[#This Row],[Customer_ID]],'Customer_Dim'!A:A, 'Customer_Dim'!E:E, "Not Found")</f>
        <v>61</v>
      </c>
      <c r="Q451" t="str">
        <f>VLOOKUP(Sales_fact[[#This Row],[Customer_ID]], 'Customer_Dim'!A:F, 6, FALSE)</f>
        <v>Female</v>
      </c>
      <c r="R451" s="13" t="str">
        <f>_xlfn.XLOOKUP(Sales_fact[[#This Row],[Product_ID]],Product_Dim!A:A,Product_Dim!C:C,"OTHERS")</f>
        <v>Beauty</v>
      </c>
    </row>
    <row r="452" spans="1:18" x14ac:dyDescent="0.3">
      <c r="A452" t="s">
        <v>2276</v>
      </c>
      <c r="B452" s="2">
        <v>45811</v>
      </c>
      <c r="C452" t="s">
        <v>1469</v>
      </c>
      <c r="D452" t="s">
        <v>1700</v>
      </c>
      <c r="E452" t="str">
        <f ca="1">TRIM(Sales_fact[[#This Row],[Store_ID]])</f>
        <v>STORE16</v>
      </c>
      <c r="F452">
        <v>3</v>
      </c>
      <c r="G452">
        <f>IF(ISBLANK(F452),MODE($F$2:$F$2001),F452)</f>
        <v>3</v>
      </c>
      <c r="H452">
        <v>761.8</v>
      </c>
      <c r="I452">
        <f>IF(ISBLANK(H452),AVERAGE($H$2:$H$2001),H452)</f>
        <v>761.8</v>
      </c>
      <c r="J452">
        <v>0.06</v>
      </c>
      <c r="K452">
        <f>IF(ISBLANK(J452),MODE($J$2:$J$2001),J452)</f>
        <v>0.06</v>
      </c>
      <c r="L452" t="s">
        <v>1829</v>
      </c>
      <c r="M452">
        <v>2148.2759999999989</v>
      </c>
      <c r="N452">
        <f t="shared" si="7"/>
        <v>2148.2759999999994</v>
      </c>
      <c r="O452" t="str">
        <f>_xlfn.XLOOKUP(Sales_fact[[#This Row],[Customer_ID]],'Customer_Dim'!A:A,'Customer_Dim'!K:K,"Not Found")</f>
        <v>Platinum</v>
      </c>
      <c r="P452">
        <f>_xlfn.XLOOKUP(Sales_fact[[#This Row],[Customer_ID]],'Customer_Dim'!A:A, 'Customer_Dim'!E:E, "Not Found")</f>
        <v>41</v>
      </c>
      <c r="Q452" t="str">
        <f>VLOOKUP(Sales_fact[[#This Row],[Customer_ID]], 'Customer_Dim'!A:F, 6, FALSE)</f>
        <v>Female</v>
      </c>
      <c r="R452" s="13" t="str">
        <f>_xlfn.XLOOKUP(Sales_fact[[#This Row],[Product_ID]],Product_Dim!A:A,Product_Dim!C:C,"OTHERS")</f>
        <v>Electronics</v>
      </c>
    </row>
    <row r="453" spans="1:18" x14ac:dyDescent="0.3">
      <c r="A453" t="s">
        <v>2277</v>
      </c>
      <c r="B453" s="2">
        <v>45508</v>
      </c>
      <c r="C453" t="s">
        <v>1310</v>
      </c>
      <c r="D453" t="s">
        <v>1646</v>
      </c>
      <c r="E453" t="str">
        <f ca="1">TRIM(Sales_fact[[#This Row],[Store_ID]])</f>
        <v>STORE2</v>
      </c>
      <c r="F453">
        <v>4</v>
      </c>
      <c r="G453">
        <f>IF(ISBLANK(F453),MODE($F$2:$F$2001),F453)</f>
        <v>4</v>
      </c>
      <c r="H453">
        <v>829.36</v>
      </c>
      <c r="I453">
        <f>IF(ISBLANK(H453),AVERAGE($H$2:$H$2001),H453)</f>
        <v>829.36</v>
      </c>
      <c r="J453">
        <v>0.11</v>
      </c>
      <c r="K453">
        <f>IF(ISBLANK(J453),MODE($J$2:$J$2001),J453)</f>
        <v>0.11</v>
      </c>
      <c r="L453" t="s">
        <v>1826</v>
      </c>
      <c r="M453">
        <v>2952.5216</v>
      </c>
      <c r="N453">
        <f t="shared" si="7"/>
        <v>2952.5216</v>
      </c>
      <c r="O453" t="str">
        <f>_xlfn.XLOOKUP(Sales_fact[[#This Row],[Customer_ID]],'Customer_Dim'!A:A,'Customer_Dim'!K:K,"Not Found")</f>
        <v>Platinum</v>
      </c>
      <c r="P453">
        <f>_xlfn.XLOOKUP(Sales_fact[[#This Row],[Customer_ID]],'Customer_Dim'!A:A, 'Customer_Dim'!E:E, "Not Found")</f>
        <v>42</v>
      </c>
      <c r="Q453" t="str">
        <f>VLOOKUP(Sales_fact[[#This Row],[Customer_ID]], 'Customer_Dim'!A:F, 6, FALSE)</f>
        <v>Female</v>
      </c>
      <c r="R453" s="13" t="str">
        <f>_xlfn.XLOOKUP(Sales_fact[[#This Row],[Product_ID]],Product_Dim!A:A,Product_Dim!C:C,"OTHERS")</f>
        <v>Beauty</v>
      </c>
    </row>
    <row r="454" spans="1:18" x14ac:dyDescent="0.3">
      <c r="A454" t="s">
        <v>2278</v>
      </c>
      <c r="B454" s="2">
        <v>45460</v>
      </c>
      <c r="C454" t="s">
        <v>1257</v>
      </c>
      <c r="D454" t="s">
        <v>1594</v>
      </c>
      <c r="E454" t="str">
        <f ca="1">TRIM(Sales_fact[[#This Row],[Store_ID]])</f>
        <v>STORE16</v>
      </c>
      <c r="F454">
        <v>2</v>
      </c>
      <c r="G454">
        <f>IF(ISBLANK(F454),MODE($F$2:$F$2001),F454)</f>
        <v>2</v>
      </c>
      <c r="H454">
        <v>425.06</v>
      </c>
      <c r="I454">
        <f>IF(ISBLANK(H454),AVERAGE($H$2:$H$2001),H454)</f>
        <v>425.06</v>
      </c>
      <c r="J454">
        <v>0.09</v>
      </c>
      <c r="K454">
        <f>IF(ISBLANK(J454),MODE($J$2:$J$2001),J454)</f>
        <v>0.09</v>
      </c>
      <c r="L454" t="s">
        <v>1826</v>
      </c>
      <c r="M454">
        <v>773.60919999999999</v>
      </c>
      <c r="N454">
        <f t="shared" si="7"/>
        <v>773.60919999999999</v>
      </c>
      <c r="O454" t="str">
        <f>_xlfn.XLOOKUP(Sales_fact[[#This Row],[Customer_ID]],'Customer_Dim'!A:A,'Customer_Dim'!K:K,"Not Found")</f>
        <v>Silver</v>
      </c>
      <c r="P454">
        <f>_xlfn.XLOOKUP(Sales_fact[[#This Row],[Customer_ID]],'Customer_Dim'!A:A, 'Customer_Dim'!E:E, "Not Found")</f>
        <v>22</v>
      </c>
      <c r="Q454" t="str">
        <f>VLOOKUP(Sales_fact[[#This Row],[Customer_ID]], 'Customer_Dim'!A:F, 6, FALSE)</f>
        <v>Female</v>
      </c>
      <c r="R454" s="13" t="str">
        <f>_xlfn.XLOOKUP(Sales_fact[[#This Row],[Product_ID]],Product_Dim!A:A,Product_Dim!C:C,"OTHERS")</f>
        <v>Clothing</v>
      </c>
    </row>
    <row r="455" spans="1:18" x14ac:dyDescent="0.3">
      <c r="A455" t="s">
        <v>2279</v>
      </c>
      <c r="B455" s="2">
        <v>45311</v>
      </c>
      <c r="C455" t="s">
        <v>438</v>
      </c>
      <c r="D455" t="s">
        <v>1658</v>
      </c>
      <c r="E455" t="str">
        <f ca="1">TRIM(Sales_fact[[#This Row],[Store_ID]])</f>
        <v>STORE0</v>
      </c>
      <c r="F455">
        <v>2</v>
      </c>
      <c r="G455">
        <f>IF(ISBLANK(F455),MODE($F$2:$F$2001),F455)</f>
        <v>2</v>
      </c>
      <c r="H455">
        <v>911.14</v>
      </c>
      <c r="I455">
        <f>IF(ISBLANK(H455),AVERAGE($H$2:$H$2001),H455)</f>
        <v>911.14</v>
      </c>
      <c r="J455">
        <v>0.1</v>
      </c>
      <c r="K455">
        <f>IF(ISBLANK(J455),MODE($J$2:$J$2001),J455)</f>
        <v>0.1</v>
      </c>
      <c r="L455" t="s">
        <v>1824</v>
      </c>
      <c r="M455">
        <v>1640.0519999999999</v>
      </c>
      <c r="N455">
        <f t="shared" si="7"/>
        <v>1640.0519999999999</v>
      </c>
      <c r="O455" t="str">
        <f>_xlfn.XLOOKUP(Sales_fact[[#This Row],[Customer_ID]],'Customer_Dim'!A:A,'Customer_Dim'!K:K,"Not Found")</f>
        <v>Platinum</v>
      </c>
      <c r="P455">
        <f>_xlfn.XLOOKUP(Sales_fact[[#This Row],[Customer_ID]],'Customer_Dim'!A:A, 'Customer_Dim'!E:E, "Not Found")</f>
        <v>39</v>
      </c>
      <c r="Q455" t="str">
        <f>VLOOKUP(Sales_fact[[#This Row],[Customer_ID]], 'Customer_Dim'!A:F, 6, FALSE)</f>
        <v>Male</v>
      </c>
      <c r="R455" s="13" t="str">
        <f>_xlfn.XLOOKUP(Sales_fact[[#This Row],[Product_ID]],Product_Dim!A:A,Product_Dim!C:C,"OTHERS")</f>
        <v>Home</v>
      </c>
    </row>
    <row r="456" spans="1:18" x14ac:dyDescent="0.3">
      <c r="A456" t="s">
        <v>2280</v>
      </c>
      <c r="B456" s="2">
        <v>45906</v>
      </c>
      <c r="C456" t="s">
        <v>304</v>
      </c>
      <c r="D456" t="s">
        <v>1684</v>
      </c>
      <c r="E456" t="str">
        <f ca="1">TRIM(Sales_fact[[#This Row],[Store_ID]])</f>
        <v>STORE8</v>
      </c>
      <c r="F456">
        <v>3</v>
      </c>
      <c r="G456">
        <f>IF(ISBLANK(F456),MODE($F$2:$F$2001),F456)</f>
        <v>3</v>
      </c>
      <c r="H456">
        <v>811.96</v>
      </c>
      <c r="I456">
        <f>IF(ISBLANK(H456),AVERAGE($H$2:$H$2001),H456)</f>
        <v>811.96</v>
      </c>
      <c r="J456">
        <v>0.28999999999999998</v>
      </c>
      <c r="K456">
        <f>IF(ISBLANK(J456),MODE($J$2:$J$2001),J456)</f>
        <v>0.28999999999999998</v>
      </c>
      <c r="L456" t="s">
        <v>1824</v>
      </c>
      <c r="M456">
        <v>1729.4748</v>
      </c>
      <c r="N456">
        <f t="shared" si="7"/>
        <v>1729.4748</v>
      </c>
      <c r="O456" t="str">
        <f>_xlfn.XLOOKUP(Sales_fact[[#This Row],[Customer_ID]],'Customer_Dim'!A:A,'Customer_Dim'!K:K,"Not Found")</f>
        <v>Platinum</v>
      </c>
      <c r="P456">
        <f>_xlfn.XLOOKUP(Sales_fact[[#This Row],[Customer_ID]],'Customer_Dim'!A:A, 'Customer_Dim'!E:E, "Not Found")</f>
        <v>26</v>
      </c>
      <c r="Q456" t="str">
        <f>VLOOKUP(Sales_fact[[#This Row],[Customer_ID]], 'Customer_Dim'!A:F, 6, FALSE)</f>
        <v>Female</v>
      </c>
      <c r="R456" s="13" t="str">
        <f>_xlfn.XLOOKUP(Sales_fact[[#This Row],[Product_ID]],Product_Dim!A:A,Product_Dim!C:C,"OTHERS")</f>
        <v>Home</v>
      </c>
    </row>
    <row r="457" spans="1:18" x14ac:dyDescent="0.3">
      <c r="A457" t="s">
        <v>2281</v>
      </c>
      <c r="B457" s="2">
        <v>45380</v>
      </c>
      <c r="C457" t="s">
        <v>869</v>
      </c>
      <c r="D457" t="s">
        <v>1610</v>
      </c>
      <c r="E457" t="str">
        <f ca="1">TRIM(Sales_fact[[#This Row],[Store_ID]])</f>
        <v>STORE10</v>
      </c>
      <c r="F457">
        <v>2</v>
      </c>
      <c r="G457">
        <f>IF(ISBLANK(F457),MODE($F$2:$F$2001),F457)</f>
        <v>2</v>
      </c>
      <c r="H457">
        <v>780.05</v>
      </c>
      <c r="I457">
        <f>IF(ISBLANK(H457),AVERAGE($H$2:$H$2001),H457)</f>
        <v>780.05</v>
      </c>
      <c r="J457">
        <v>0.12</v>
      </c>
      <c r="K457">
        <f>IF(ISBLANK(J457),MODE($J$2:$J$2001),J457)</f>
        <v>0.12</v>
      </c>
      <c r="L457" t="s">
        <v>1829</v>
      </c>
      <c r="M457">
        <v>1372.8879999999999</v>
      </c>
      <c r="N457">
        <f t="shared" si="7"/>
        <v>1372.8879999999999</v>
      </c>
      <c r="O457" t="str">
        <f>_xlfn.XLOOKUP(Sales_fact[[#This Row],[Customer_ID]],'Customer_Dim'!A:A,'Customer_Dim'!K:K,"Not Found")</f>
        <v>Bronze</v>
      </c>
      <c r="P457">
        <f>_xlfn.XLOOKUP(Sales_fact[[#This Row],[Customer_ID]],'Customer_Dim'!A:A, 'Customer_Dim'!E:E, "Not Found")</f>
        <v>23</v>
      </c>
      <c r="Q457" t="str">
        <f>VLOOKUP(Sales_fact[[#This Row],[Customer_ID]], 'Customer_Dim'!A:F, 6, FALSE)</f>
        <v>Male</v>
      </c>
      <c r="R457" s="13" t="str">
        <f>_xlfn.XLOOKUP(Sales_fact[[#This Row],[Product_ID]],Product_Dim!A:A,Product_Dim!C:C,"OTHERS")</f>
        <v>Sports</v>
      </c>
    </row>
    <row r="458" spans="1:18" x14ac:dyDescent="0.3">
      <c r="A458" t="s">
        <v>2282</v>
      </c>
      <c r="B458" s="2">
        <v>45527</v>
      </c>
      <c r="C458" t="s">
        <v>699</v>
      </c>
      <c r="D458" t="s">
        <v>1612</v>
      </c>
      <c r="E458" t="str">
        <f ca="1">TRIM(Sales_fact[[#This Row],[Store_ID]])</f>
        <v>STORE9</v>
      </c>
      <c r="F458">
        <v>4</v>
      </c>
      <c r="G458">
        <f>IF(ISBLANK(F458),MODE($F$2:$F$2001),F458)</f>
        <v>4</v>
      </c>
      <c r="H458">
        <v>315.95</v>
      </c>
      <c r="I458">
        <f>IF(ISBLANK(H458),AVERAGE($H$2:$H$2001),H458)</f>
        <v>315.95</v>
      </c>
      <c r="J458">
        <v>0.19</v>
      </c>
      <c r="K458">
        <f>IF(ISBLANK(J458),MODE($J$2:$J$2001),J458)</f>
        <v>0.19</v>
      </c>
      <c r="L458" t="s">
        <v>1829</v>
      </c>
      <c r="M458">
        <v>1023.678</v>
      </c>
      <c r="N458">
        <f t="shared" si="7"/>
        <v>1023.678</v>
      </c>
      <c r="O458" t="str">
        <f>_xlfn.XLOOKUP(Sales_fact[[#This Row],[Customer_ID]],'Customer_Dim'!A:A,'Customer_Dim'!K:K,"Not Found")</f>
        <v>Gold</v>
      </c>
      <c r="P458">
        <f>_xlfn.XLOOKUP(Sales_fact[[#This Row],[Customer_ID]],'Customer_Dim'!A:A, 'Customer_Dim'!E:E, "Not Found")</f>
        <v>50</v>
      </c>
      <c r="Q458" t="str">
        <f>VLOOKUP(Sales_fact[[#This Row],[Customer_ID]], 'Customer_Dim'!A:F, 6, FALSE)</f>
        <v>Female</v>
      </c>
      <c r="R458" s="13" t="str">
        <f>_xlfn.XLOOKUP(Sales_fact[[#This Row],[Product_ID]],Product_Dim!A:A,Product_Dim!C:C,"OTHERS")</f>
        <v>Beauty</v>
      </c>
    </row>
    <row r="459" spans="1:18" x14ac:dyDescent="0.3">
      <c r="A459" t="s">
        <v>2283</v>
      </c>
      <c r="B459" s="2">
        <v>45796</v>
      </c>
      <c r="C459" t="s">
        <v>737</v>
      </c>
      <c r="D459" t="s">
        <v>1652</v>
      </c>
      <c r="E459" t="str">
        <f ca="1">TRIM(Sales_fact[[#This Row],[Store_ID]])</f>
        <v>STORE9</v>
      </c>
      <c r="F459">
        <v>2</v>
      </c>
      <c r="G459">
        <f>IF(ISBLANK(F459),MODE($F$2:$F$2001),F459)</f>
        <v>2</v>
      </c>
      <c r="H459">
        <v>810.17</v>
      </c>
      <c r="I459">
        <f>IF(ISBLANK(H459),AVERAGE($H$2:$H$2001),H459)</f>
        <v>810.17</v>
      </c>
      <c r="J459">
        <v>0.27</v>
      </c>
      <c r="K459">
        <f>IF(ISBLANK(J459),MODE($J$2:$J$2001),J459)</f>
        <v>0.27</v>
      </c>
      <c r="L459" t="s">
        <v>1824</v>
      </c>
      <c r="M459">
        <v>1182.8481999999999</v>
      </c>
      <c r="N459">
        <f t="shared" si="7"/>
        <v>1182.8481999999999</v>
      </c>
      <c r="O459" t="str">
        <f>_xlfn.XLOOKUP(Sales_fact[[#This Row],[Customer_ID]],'Customer_Dim'!A:A,'Customer_Dim'!K:K,"Not Found")</f>
        <v>Bronze</v>
      </c>
      <c r="P459">
        <f>_xlfn.XLOOKUP(Sales_fact[[#This Row],[Customer_ID]],'Customer_Dim'!A:A, 'Customer_Dim'!E:E, "Not Found")</f>
        <v>32</v>
      </c>
      <c r="Q459" t="str">
        <f>VLOOKUP(Sales_fact[[#This Row],[Customer_ID]], 'Customer_Dim'!A:F, 6, FALSE)</f>
        <v>Female</v>
      </c>
      <c r="R459" s="13" t="str">
        <f>_xlfn.XLOOKUP(Sales_fact[[#This Row],[Product_ID]],Product_Dim!A:A,Product_Dim!C:C,"OTHERS")</f>
        <v>Sports</v>
      </c>
    </row>
    <row r="460" spans="1:18" x14ac:dyDescent="0.3">
      <c r="A460" t="s">
        <v>2284</v>
      </c>
      <c r="B460" s="2">
        <v>45389</v>
      </c>
      <c r="C460" t="s">
        <v>669</v>
      </c>
      <c r="D460" t="s">
        <v>1716</v>
      </c>
      <c r="E460" t="str">
        <f ca="1">TRIM(Sales_fact[[#This Row],[Store_ID]])</f>
        <v>STORE4</v>
      </c>
      <c r="F460">
        <v>3</v>
      </c>
      <c r="G460">
        <f>IF(ISBLANK(F460),MODE($F$2:$F$2001),F460)</f>
        <v>3</v>
      </c>
      <c r="H460">
        <v>505.01</v>
      </c>
      <c r="I460">
        <f>IF(ISBLANK(H460),AVERAGE($H$2:$H$2001),H460)</f>
        <v>505.01</v>
      </c>
      <c r="J460">
        <v>0.02</v>
      </c>
      <c r="K460">
        <f>IF(ISBLANK(J460),MODE($J$2:$J$2001),J460)</f>
        <v>0.02</v>
      </c>
      <c r="L460" t="s">
        <v>1826</v>
      </c>
      <c r="M460">
        <v>1484.7293999999999</v>
      </c>
      <c r="N460">
        <f t="shared" si="7"/>
        <v>1484.7293999999999</v>
      </c>
      <c r="O460" t="str">
        <f>_xlfn.XLOOKUP(Sales_fact[[#This Row],[Customer_ID]],'Customer_Dim'!A:A,'Customer_Dim'!K:K,"Not Found")</f>
        <v>Gold</v>
      </c>
      <c r="P460">
        <f>_xlfn.XLOOKUP(Sales_fact[[#This Row],[Customer_ID]],'Customer_Dim'!A:A, 'Customer_Dim'!E:E, "Not Found")</f>
        <v>44</v>
      </c>
      <c r="Q460" t="str">
        <f>VLOOKUP(Sales_fact[[#This Row],[Customer_ID]], 'Customer_Dim'!A:F, 6, FALSE)</f>
        <v>Female</v>
      </c>
      <c r="R460" s="13" t="str">
        <f>_xlfn.XLOOKUP(Sales_fact[[#This Row],[Product_ID]],Product_Dim!A:A,Product_Dim!C:C,"OTHERS")</f>
        <v>Home</v>
      </c>
    </row>
    <row r="461" spans="1:18" x14ac:dyDescent="0.3">
      <c r="A461" t="s">
        <v>2285</v>
      </c>
      <c r="B461" s="2">
        <v>45315</v>
      </c>
      <c r="C461" t="s">
        <v>1440</v>
      </c>
      <c r="D461" t="s">
        <v>1692</v>
      </c>
      <c r="E461" t="str">
        <f ca="1">TRIM(Sales_fact[[#This Row],[Store_ID]])</f>
        <v>STORE17</v>
      </c>
      <c r="F461">
        <v>2</v>
      </c>
      <c r="G461">
        <f>IF(ISBLANK(F461),MODE($F$2:$F$2001),F461)</f>
        <v>2</v>
      </c>
      <c r="H461">
        <v>736.75</v>
      </c>
      <c r="I461">
        <f>IF(ISBLANK(H461),AVERAGE($H$2:$H$2001),H461)</f>
        <v>736.75</v>
      </c>
      <c r="J461">
        <v>0.18</v>
      </c>
      <c r="K461">
        <f>IF(ISBLANK(J461),MODE($J$2:$J$2001),J461)</f>
        <v>0.18</v>
      </c>
      <c r="L461" t="s">
        <v>1824</v>
      </c>
      <c r="M461">
        <v>1208.27</v>
      </c>
      <c r="N461">
        <f t="shared" si="7"/>
        <v>1208.27</v>
      </c>
      <c r="O461" t="str">
        <f>_xlfn.XLOOKUP(Sales_fact[[#This Row],[Customer_ID]],'Customer_Dim'!A:A,'Customer_Dim'!K:K,"Not Found")</f>
        <v>Gold</v>
      </c>
      <c r="P461">
        <f>_xlfn.XLOOKUP(Sales_fact[[#This Row],[Customer_ID]],'Customer_Dim'!A:A, 'Customer_Dim'!E:E, "Not Found")</f>
        <v>63</v>
      </c>
      <c r="Q461" t="str">
        <f>VLOOKUP(Sales_fact[[#This Row],[Customer_ID]], 'Customer_Dim'!A:F, 6, FALSE)</f>
        <v>Female</v>
      </c>
      <c r="R461" s="13" t="str">
        <f>_xlfn.XLOOKUP(Sales_fact[[#This Row],[Product_ID]],Product_Dim!A:A,Product_Dim!C:C,"OTHERS")</f>
        <v>Sports</v>
      </c>
    </row>
    <row r="462" spans="1:18" x14ac:dyDescent="0.3">
      <c r="A462" t="s">
        <v>2286</v>
      </c>
      <c r="B462" s="2">
        <v>45311</v>
      </c>
      <c r="C462" t="s">
        <v>114</v>
      </c>
      <c r="D462" t="s">
        <v>1702</v>
      </c>
      <c r="E462" t="str">
        <f ca="1">TRIM(Sales_fact[[#This Row],[Store_ID]])</f>
        <v>STORE9</v>
      </c>
      <c r="F462">
        <v>4</v>
      </c>
      <c r="G462">
        <f>IF(ISBLANK(F462),MODE($F$2:$F$2001),F462)</f>
        <v>4</v>
      </c>
      <c r="H462">
        <v>700.31</v>
      </c>
      <c r="I462">
        <f>IF(ISBLANK(H462),AVERAGE($H$2:$H$2001),H462)</f>
        <v>700.31</v>
      </c>
      <c r="J462">
        <v>0.2</v>
      </c>
      <c r="K462">
        <f>IF(ISBLANK(J462),MODE($J$2:$J$2001),J462)</f>
        <v>0.2</v>
      </c>
      <c r="L462" t="s">
        <v>1826</v>
      </c>
      <c r="M462">
        <v>2240.9920000000002</v>
      </c>
      <c r="N462">
        <f t="shared" si="7"/>
        <v>2240.9919999999997</v>
      </c>
      <c r="O462" t="str">
        <f>_xlfn.XLOOKUP(Sales_fact[[#This Row],[Customer_ID]],'Customer_Dim'!A:A,'Customer_Dim'!K:K,"Not Found")</f>
        <v>UNKNOWN</v>
      </c>
      <c r="P462">
        <f>_xlfn.XLOOKUP(Sales_fact[[#This Row],[Customer_ID]],'Customer_Dim'!A:A, 'Customer_Dim'!E:E, "Not Found")</f>
        <v>31</v>
      </c>
      <c r="Q462" t="str">
        <f>VLOOKUP(Sales_fact[[#This Row],[Customer_ID]], 'Customer_Dim'!A:F, 6, FALSE)</f>
        <v>Male</v>
      </c>
      <c r="R462" s="13" t="str">
        <f>_xlfn.XLOOKUP(Sales_fact[[#This Row],[Product_ID]],Product_Dim!A:A,Product_Dim!C:C,"OTHERS")</f>
        <v>Electronics</v>
      </c>
    </row>
    <row r="463" spans="1:18" x14ac:dyDescent="0.3">
      <c r="A463" t="s">
        <v>2287</v>
      </c>
      <c r="B463" s="2">
        <v>45270</v>
      </c>
      <c r="C463" t="s">
        <v>444</v>
      </c>
      <c r="D463" t="s">
        <v>1730</v>
      </c>
      <c r="E463" t="str">
        <f ca="1">TRIM(Sales_fact[[#This Row],[Store_ID]])</f>
        <v>STORE11</v>
      </c>
      <c r="F463">
        <v>4</v>
      </c>
      <c r="G463">
        <f>IF(ISBLANK(F463),MODE($F$2:$F$2001),F463)</f>
        <v>4</v>
      </c>
      <c r="H463">
        <v>202.46</v>
      </c>
      <c r="I463">
        <f>IF(ISBLANK(H463),AVERAGE($H$2:$H$2001),H463)</f>
        <v>202.46</v>
      </c>
      <c r="J463">
        <v>0.24</v>
      </c>
      <c r="K463">
        <f>IF(ISBLANK(J463),MODE($J$2:$J$2001),J463)</f>
        <v>0.24</v>
      </c>
      <c r="L463" t="s">
        <v>1824</v>
      </c>
      <c r="M463">
        <v>615.47840000000008</v>
      </c>
      <c r="N463">
        <f t="shared" si="7"/>
        <v>615.47840000000008</v>
      </c>
      <c r="O463" t="str">
        <f>_xlfn.XLOOKUP(Sales_fact[[#This Row],[Customer_ID]],'Customer_Dim'!A:A,'Customer_Dim'!K:K,"Not Found")</f>
        <v>Silver</v>
      </c>
      <c r="P463">
        <f>_xlfn.XLOOKUP(Sales_fact[[#This Row],[Customer_ID]],'Customer_Dim'!A:A, 'Customer_Dim'!E:E, "Not Found")</f>
        <v>43</v>
      </c>
      <c r="Q463" t="str">
        <f>VLOOKUP(Sales_fact[[#This Row],[Customer_ID]], 'Customer_Dim'!A:F, 6, FALSE)</f>
        <v>Female</v>
      </c>
      <c r="R463" s="13" t="str">
        <f>_xlfn.XLOOKUP(Sales_fact[[#This Row],[Product_ID]],Product_Dim!A:A,Product_Dim!C:C,"OTHERS")</f>
        <v>Clothing</v>
      </c>
    </row>
    <row r="464" spans="1:18" x14ac:dyDescent="0.3">
      <c r="A464" t="s">
        <v>2288</v>
      </c>
      <c r="B464" s="2">
        <v>45279</v>
      </c>
      <c r="C464" t="s">
        <v>846</v>
      </c>
      <c r="D464" t="s">
        <v>1722</v>
      </c>
      <c r="E464" t="str">
        <f ca="1">TRIM(Sales_fact[[#This Row],[Store_ID]])</f>
        <v>STORE1</v>
      </c>
      <c r="F464">
        <v>2</v>
      </c>
      <c r="G464">
        <f>IF(ISBLANK(F464),MODE($F$2:$F$2001),F464)</f>
        <v>2</v>
      </c>
      <c r="H464">
        <v>291.83999999999997</v>
      </c>
      <c r="I464">
        <f>IF(ISBLANK(H464),AVERAGE($H$2:$H$2001),H464)</f>
        <v>291.83999999999997</v>
      </c>
      <c r="J464">
        <v>0.25</v>
      </c>
      <c r="K464">
        <f>IF(ISBLANK(J464),MODE($J$2:$J$2001),J464)</f>
        <v>0.25</v>
      </c>
      <c r="L464" t="s">
        <v>1826</v>
      </c>
      <c r="M464">
        <v>437.76</v>
      </c>
      <c r="N464">
        <f t="shared" si="7"/>
        <v>437.76</v>
      </c>
      <c r="O464" t="str">
        <f>_xlfn.XLOOKUP(Sales_fact[[#This Row],[Customer_ID]],'Customer_Dim'!A:A,'Customer_Dim'!K:K,"Not Found")</f>
        <v>Silver</v>
      </c>
      <c r="P464">
        <f>_xlfn.XLOOKUP(Sales_fact[[#This Row],[Customer_ID]],'Customer_Dim'!A:A, 'Customer_Dim'!E:E, "Not Found")</f>
        <v>38</v>
      </c>
      <c r="Q464" t="str">
        <f>VLOOKUP(Sales_fact[[#This Row],[Customer_ID]], 'Customer_Dim'!A:F, 6, FALSE)</f>
        <v>Male</v>
      </c>
      <c r="R464" s="13" t="str">
        <f>_xlfn.XLOOKUP(Sales_fact[[#This Row],[Product_ID]],Product_Dim!A:A,Product_Dim!C:C,"OTHERS")</f>
        <v>Home</v>
      </c>
    </row>
    <row r="465" spans="1:18" x14ac:dyDescent="0.3">
      <c r="A465" t="s">
        <v>2289</v>
      </c>
      <c r="B465" s="2">
        <v>45252</v>
      </c>
      <c r="C465" t="s">
        <v>544</v>
      </c>
      <c r="D465" t="s">
        <v>1742</v>
      </c>
      <c r="E465" t="str">
        <f ca="1">TRIM(Sales_fact[[#This Row],[Store_ID]])</f>
        <v>STORE5</v>
      </c>
      <c r="F465">
        <v>2</v>
      </c>
      <c r="G465">
        <f>IF(ISBLANK(F465),MODE($F$2:$F$2001),F465)</f>
        <v>2</v>
      </c>
      <c r="H465">
        <v>261.48</v>
      </c>
      <c r="I465">
        <f>IF(ISBLANK(H465),AVERAGE($H$2:$H$2001),H465)</f>
        <v>261.48</v>
      </c>
      <c r="J465">
        <v>0.17</v>
      </c>
      <c r="K465">
        <f>IF(ISBLANK(J465),MODE($J$2:$J$2001),J465)</f>
        <v>0.17</v>
      </c>
      <c r="L465" t="s">
        <v>1824</v>
      </c>
      <c r="M465">
        <v>434.05680000000001</v>
      </c>
      <c r="N465">
        <f t="shared" si="7"/>
        <v>434.05680000000001</v>
      </c>
      <c r="O465" t="str">
        <f>_xlfn.XLOOKUP(Sales_fact[[#This Row],[Customer_ID]],'Customer_Dim'!A:A,'Customer_Dim'!K:K,"Not Found")</f>
        <v>Bronze</v>
      </c>
      <c r="P465">
        <f>_xlfn.XLOOKUP(Sales_fact[[#This Row],[Customer_ID]],'Customer_Dim'!A:A, 'Customer_Dim'!E:E, "Not Found")</f>
        <v>21</v>
      </c>
      <c r="Q465" t="str">
        <f>VLOOKUP(Sales_fact[[#This Row],[Customer_ID]], 'Customer_Dim'!A:F, 6, FALSE)</f>
        <v>Male</v>
      </c>
      <c r="R465" s="13" t="str">
        <f>_xlfn.XLOOKUP(Sales_fact[[#This Row],[Product_ID]],Product_Dim!A:A,Product_Dim!C:C,"OTHERS")</f>
        <v>Sports</v>
      </c>
    </row>
    <row r="466" spans="1:18" x14ac:dyDescent="0.3">
      <c r="A466" t="s">
        <v>2290</v>
      </c>
      <c r="B466" s="2">
        <v>45938</v>
      </c>
      <c r="C466" t="s">
        <v>948</v>
      </c>
      <c r="D466" t="s">
        <v>1620</v>
      </c>
      <c r="E466" t="str">
        <f ca="1">TRIM(Sales_fact[[#This Row],[Store_ID]])</f>
        <v>STORE14</v>
      </c>
      <c r="F466">
        <v>1</v>
      </c>
      <c r="G466">
        <f>IF(ISBLANK(F466),MODE($F$2:$F$2001),F466)</f>
        <v>1</v>
      </c>
      <c r="H466">
        <v>850.83</v>
      </c>
      <c r="I466">
        <f>IF(ISBLANK(H466),AVERAGE($H$2:$H$2001),H466)</f>
        <v>850.83</v>
      </c>
      <c r="J466">
        <v>0.28000000000000003</v>
      </c>
      <c r="K466">
        <f>IF(ISBLANK(J466),MODE($J$2:$J$2001),J466)</f>
        <v>0.28000000000000003</v>
      </c>
      <c r="L466" t="s">
        <v>1826</v>
      </c>
      <c r="M466">
        <v>612.59760000000006</v>
      </c>
      <c r="N466">
        <f t="shared" si="7"/>
        <v>612.59760000000006</v>
      </c>
      <c r="O466" t="str">
        <f>_xlfn.XLOOKUP(Sales_fact[[#This Row],[Customer_ID]],'Customer_Dim'!A:A,'Customer_Dim'!K:K,"Not Found")</f>
        <v>Silver</v>
      </c>
      <c r="P466">
        <f>_xlfn.XLOOKUP(Sales_fact[[#This Row],[Customer_ID]],'Customer_Dim'!A:A, 'Customer_Dim'!E:E, "Not Found")</f>
        <v>29</v>
      </c>
      <c r="Q466" t="str">
        <f>VLOOKUP(Sales_fact[[#This Row],[Customer_ID]], 'Customer_Dim'!A:F, 6, FALSE)</f>
        <v>Male</v>
      </c>
      <c r="R466" s="13" t="str">
        <f>_xlfn.XLOOKUP(Sales_fact[[#This Row],[Product_ID]],Product_Dim!A:A,Product_Dim!C:C,"OTHERS")</f>
        <v>Clothing</v>
      </c>
    </row>
    <row r="467" spans="1:18" x14ac:dyDescent="0.3">
      <c r="A467" t="s">
        <v>2291</v>
      </c>
      <c r="B467" s="2">
        <v>45711</v>
      </c>
      <c r="C467" t="s">
        <v>1260</v>
      </c>
      <c r="D467" t="s">
        <v>1640</v>
      </c>
      <c r="E467" t="str">
        <f ca="1">TRIM(Sales_fact[[#This Row],[Store_ID]])</f>
        <v>STORE9</v>
      </c>
      <c r="F467">
        <v>1</v>
      </c>
      <c r="G467">
        <f>IF(ISBLANK(F467),MODE($F$2:$F$2001),F467)</f>
        <v>1</v>
      </c>
      <c r="H467">
        <v>83.83</v>
      </c>
      <c r="I467">
        <f>IF(ISBLANK(H467),AVERAGE($H$2:$H$2001),H467)</f>
        <v>83.83</v>
      </c>
      <c r="J467">
        <v>0.05</v>
      </c>
      <c r="K467">
        <f>IF(ISBLANK(J467),MODE($J$2:$J$2001),J467)</f>
        <v>0.05</v>
      </c>
      <c r="L467" t="s">
        <v>1824</v>
      </c>
      <c r="M467">
        <v>79.638499999999993</v>
      </c>
      <c r="N467">
        <f t="shared" si="7"/>
        <v>79.638499999999993</v>
      </c>
      <c r="O467" t="str">
        <f>_xlfn.XLOOKUP(Sales_fact[[#This Row],[Customer_ID]],'Customer_Dim'!A:A,'Customer_Dim'!K:K,"Not Found")</f>
        <v>Gold</v>
      </c>
      <c r="P467">
        <f>_xlfn.XLOOKUP(Sales_fact[[#This Row],[Customer_ID]],'Customer_Dim'!A:A, 'Customer_Dim'!E:E, "Not Found")</f>
        <v>18</v>
      </c>
      <c r="Q467" t="str">
        <f>VLOOKUP(Sales_fact[[#This Row],[Customer_ID]], 'Customer_Dim'!A:F, 6, FALSE)</f>
        <v>Female</v>
      </c>
      <c r="R467" s="13" t="str">
        <f>_xlfn.XLOOKUP(Sales_fact[[#This Row],[Product_ID]],Product_Dim!A:A,Product_Dim!C:C,"OTHERS")</f>
        <v>Clothing</v>
      </c>
    </row>
    <row r="468" spans="1:18" x14ac:dyDescent="0.3">
      <c r="A468" t="s">
        <v>2292</v>
      </c>
      <c r="B468" s="2">
        <v>45713</v>
      </c>
      <c r="C468" t="s">
        <v>36</v>
      </c>
      <c r="D468" t="s">
        <v>1724</v>
      </c>
      <c r="E468" t="str">
        <f ca="1">TRIM(Sales_fact[[#This Row],[Store_ID]])</f>
        <v>STORE16</v>
      </c>
      <c r="F468">
        <v>3</v>
      </c>
      <c r="G468">
        <f>IF(ISBLANK(F468),MODE($F$2:$F$2001),F468)</f>
        <v>3</v>
      </c>
      <c r="H468">
        <v>649.95000000000005</v>
      </c>
      <c r="I468">
        <f>IF(ISBLANK(H468),AVERAGE($H$2:$H$2001),H468)</f>
        <v>649.95000000000005</v>
      </c>
      <c r="J468">
        <v>0.28000000000000003</v>
      </c>
      <c r="K468">
        <f>IF(ISBLANK(J468),MODE($J$2:$J$2001),J468)</f>
        <v>0.28000000000000003</v>
      </c>
      <c r="L468" t="s">
        <v>1829</v>
      </c>
      <c r="M468">
        <v>1403.8920000000001</v>
      </c>
      <c r="N468">
        <f t="shared" si="7"/>
        <v>1403.8920000000001</v>
      </c>
      <c r="O468" t="str">
        <f>_xlfn.XLOOKUP(Sales_fact[[#This Row],[Customer_ID]],'Customer_Dim'!A:A,'Customer_Dim'!K:K,"Not Found")</f>
        <v>Platinum</v>
      </c>
      <c r="P468">
        <f>_xlfn.XLOOKUP(Sales_fact[[#This Row],[Customer_ID]],'Customer_Dim'!A:A, 'Customer_Dim'!E:E, "Not Found")</f>
        <v>29</v>
      </c>
      <c r="Q468" t="str">
        <f>VLOOKUP(Sales_fact[[#This Row],[Customer_ID]], 'Customer_Dim'!A:F, 6, FALSE)</f>
        <v>Female</v>
      </c>
      <c r="R468" s="13" t="str">
        <f>_xlfn.XLOOKUP(Sales_fact[[#This Row],[Product_ID]],Product_Dim!A:A,Product_Dim!C:C,"OTHERS")</f>
        <v>Sports</v>
      </c>
    </row>
    <row r="469" spans="1:18" x14ac:dyDescent="0.3">
      <c r="A469" t="s">
        <v>2293</v>
      </c>
      <c r="B469" s="2">
        <v>45565</v>
      </c>
      <c r="C469" t="s">
        <v>1145</v>
      </c>
      <c r="D469" t="s">
        <v>1694</v>
      </c>
      <c r="E469" t="str">
        <f ca="1">TRIM(Sales_fact[[#This Row],[Store_ID]])</f>
        <v>STORE6</v>
      </c>
      <c r="F469">
        <v>4</v>
      </c>
      <c r="G469">
        <f>IF(ISBLANK(F469),MODE($F$2:$F$2001),F469)</f>
        <v>4</v>
      </c>
      <c r="H469">
        <v>934.96</v>
      </c>
      <c r="I469">
        <f>IF(ISBLANK(H469),AVERAGE($H$2:$H$2001),H469)</f>
        <v>934.96</v>
      </c>
      <c r="J469">
        <v>0.18</v>
      </c>
      <c r="K469">
        <f>IF(ISBLANK(J469),MODE($J$2:$J$2001),J469)</f>
        <v>0.18</v>
      </c>
      <c r="L469" t="s">
        <v>1826</v>
      </c>
      <c r="M469">
        <v>3066.6687999999999</v>
      </c>
      <c r="N469">
        <f t="shared" si="7"/>
        <v>3066.6688000000004</v>
      </c>
      <c r="O469" t="str">
        <f>_xlfn.XLOOKUP(Sales_fact[[#This Row],[Customer_ID]],'Customer_Dim'!A:A,'Customer_Dim'!K:K,"Not Found")</f>
        <v>Platinum</v>
      </c>
      <c r="P469">
        <f>_xlfn.XLOOKUP(Sales_fact[[#This Row],[Customer_ID]],'Customer_Dim'!A:A, 'Customer_Dim'!E:E, "Not Found")</f>
        <v>40</v>
      </c>
      <c r="Q469" t="str">
        <f>VLOOKUP(Sales_fact[[#This Row],[Customer_ID]], 'Customer_Dim'!A:F, 6, FALSE)</f>
        <v>Female</v>
      </c>
      <c r="R469" s="13" t="str">
        <f>_xlfn.XLOOKUP(Sales_fact[[#This Row],[Product_ID]],Product_Dim!A:A,Product_Dim!C:C,"OTHERS")</f>
        <v>Sports</v>
      </c>
    </row>
    <row r="470" spans="1:18" x14ac:dyDescent="0.3">
      <c r="A470" t="s">
        <v>2294</v>
      </c>
      <c r="B470" s="2">
        <v>45279</v>
      </c>
      <c r="C470" t="s">
        <v>672</v>
      </c>
      <c r="D470" t="s">
        <v>1582</v>
      </c>
      <c r="E470" t="str">
        <f ca="1">TRIM(Sales_fact[[#This Row],[Store_ID]])</f>
        <v>STORE14</v>
      </c>
      <c r="F470">
        <v>1</v>
      </c>
      <c r="G470">
        <f>IF(ISBLANK(F470),MODE($F$2:$F$2001),F470)</f>
        <v>1</v>
      </c>
      <c r="H470">
        <v>880.89</v>
      </c>
      <c r="I470">
        <f>IF(ISBLANK(H470),AVERAGE($H$2:$H$2001),H470)</f>
        <v>880.89</v>
      </c>
      <c r="J470">
        <v>0.13</v>
      </c>
      <c r="K470">
        <f>IF(ISBLANK(J470),MODE($J$2:$J$2001),J470)</f>
        <v>0.13</v>
      </c>
      <c r="L470" t="s">
        <v>1829</v>
      </c>
      <c r="M470">
        <v>766.37429999999995</v>
      </c>
      <c r="N470">
        <f t="shared" si="7"/>
        <v>766.37429999999995</v>
      </c>
      <c r="O470" t="str">
        <f>_xlfn.XLOOKUP(Sales_fact[[#This Row],[Customer_ID]],'Customer_Dim'!A:A,'Customer_Dim'!K:K,"Not Found")</f>
        <v>Silver</v>
      </c>
      <c r="P470">
        <f>_xlfn.XLOOKUP(Sales_fact[[#This Row],[Customer_ID]],'Customer_Dim'!A:A, 'Customer_Dim'!E:E, "Not Found")</f>
        <v>26</v>
      </c>
      <c r="Q470" t="str">
        <f>VLOOKUP(Sales_fact[[#This Row],[Customer_ID]], 'Customer_Dim'!A:F, 6, FALSE)</f>
        <v>Female</v>
      </c>
      <c r="R470" s="13" t="str">
        <f>_xlfn.XLOOKUP(Sales_fact[[#This Row],[Product_ID]],Product_Dim!A:A,Product_Dim!C:C,"OTHERS")</f>
        <v>Sports</v>
      </c>
    </row>
    <row r="471" spans="1:18" x14ac:dyDescent="0.3">
      <c r="A471" t="s">
        <v>2295</v>
      </c>
      <c r="B471" s="2">
        <v>45614</v>
      </c>
      <c r="C471" t="s">
        <v>1469</v>
      </c>
      <c r="D471" t="s">
        <v>1744</v>
      </c>
      <c r="E471" t="str">
        <f ca="1">TRIM(Sales_fact[[#This Row],[Store_ID]])</f>
        <v>STORE8</v>
      </c>
      <c r="F471">
        <v>4</v>
      </c>
      <c r="G471">
        <f>IF(ISBLANK(F471),MODE($F$2:$F$2001),F471)</f>
        <v>4</v>
      </c>
      <c r="H471">
        <v>610.6</v>
      </c>
      <c r="I471">
        <f>IF(ISBLANK(H471),AVERAGE($H$2:$H$2001),H471)</f>
        <v>610.6</v>
      </c>
      <c r="J471">
        <v>0.1</v>
      </c>
      <c r="K471">
        <f>IF(ISBLANK(J471),MODE($J$2:$J$2001),J471)</f>
        <v>0.1</v>
      </c>
      <c r="L471" t="s">
        <v>1826</v>
      </c>
      <c r="M471">
        <v>2198.16</v>
      </c>
      <c r="N471">
        <f t="shared" si="7"/>
        <v>2198.1600000000003</v>
      </c>
      <c r="O471" t="str">
        <f>_xlfn.XLOOKUP(Sales_fact[[#This Row],[Customer_ID]],'Customer_Dim'!A:A,'Customer_Dim'!K:K,"Not Found")</f>
        <v>Platinum</v>
      </c>
      <c r="P471">
        <f>_xlfn.XLOOKUP(Sales_fact[[#This Row],[Customer_ID]],'Customer_Dim'!A:A, 'Customer_Dim'!E:E, "Not Found")</f>
        <v>41</v>
      </c>
      <c r="Q471" t="str">
        <f>VLOOKUP(Sales_fact[[#This Row],[Customer_ID]], 'Customer_Dim'!A:F, 6, FALSE)</f>
        <v>Female</v>
      </c>
      <c r="R471" s="13" t="str">
        <f>_xlfn.XLOOKUP(Sales_fact[[#This Row],[Product_ID]],Product_Dim!A:A,Product_Dim!C:C,"OTHERS")</f>
        <v>Electronics</v>
      </c>
    </row>
    <row r="472" spans="1:18" x14ac:dyDescent="0.3">
      <c r="A472" t="s">
        <v>2296</v>
      </c>
      <c r="B472" s="2">
        <v>45912</v>
      </c>
      <c r="C472" t="s">
        <v>275</v>
      </c>
      <c r="D472" t="s">
        <v>1604</v>
      </c>
      <c r="E472" t="str">
        <f ca="1">TRIM(Sales_fact[[#This Row],[Store_ID]])</f>
        <v>STORE18</v>
      </c>
      <c r="F472">
        <v>1</v>
      </c>
      <c r="G472">
        <f>IF(ISBLANK(F472),MODE($F$2:$F$2001),F472)</f>
        <v>1</v>
      </c>
      <c r="H472">
        <v>514.19000000000005</v>
      </c>
      <c r="I472">
        <f>IF(ISBLANK(H472),AVERAGE($H$2:$H$2001),H472)</f>
        <v>514.19000000000005</v>
      </c>
      <c r="J472">
        <v>0.2</v>
      </c>
      <c r="K472">
        <f>IF(ISBLANK(J472),MODE($J$2:$J$2001),J472)</f>
        <v>0.2</v>
      </c>
      <c r="L472" t="s">
        <v>1824</v>
      </c>
      <c r="M472">
        <v>411.35200000000009</v>
      </c>
      <c r="N472">
        <f t="shared" si="7"/>
        <v>411.35200000000009</v>
      </c>
      <c r="O472" t="str">
        <f>_xlfn.XLOOKUP(Sales_fact[[#This Row],[Customer_ID]],'Customer_Dim'!A:A,'Customer_Dim'!K:K,"Not Found")</f>
        <v>Gold</v>
      </c>
      <c r="P472">
        <f>_xlfn.XLOOKUP(Sales_fact[[#This Row],[Customer_ID]],'Customer_Dim'!A:A, 'Customer_Dim'!E:E, "Not Found")</f>
        <v>61</v>
      </c>
      <c r="Q472" t="str">
        <f>VLOOKUP(Sales_fact[[#This Row],[Customer_ID]], 'Customer_Dim'!A:F, 6, FALSE)</f>
        <v>Female</v>
      </c>
      <c r="R472" s="13" t="str">
        <f>_xlfn.XLOOKUP(Sales_fact[[#This Row],[Product_ID]],Product_Dim!A:A,Product_Dim!C:C,"OTHERS")</f>
        <v>Sports</v>
      </c>
    </row>
    <row r="473" spans="1:18" x14ac:dyDescent="0.3">
      <c r="A473" t="s">
        <v>2297</v>
      </c>
      <c r="B473" s="2">
        <v>45688</v>
      </c>
      <c r="C473" t="s">
        <v>1243</v>
      </c>
      <c r="D473" t="s">
        <v>1622</v>
      </c>
      <c r="E473" t="str">
        <f ca="1">TRIM(Sales_fact[[#This Row],[Store_ID]])</f>
        <v>STORE13</v>
      </c>
      <c r="F473">
        <v>1</v>
      </c>
      <c r="G473">
        <f>IF(ISBLANK(F473),MODE($F$2:$F$2001),F473)</f>
        <v>1</v>
      </c>
      <c r="H473">
        <v>546.20000000000005</v>
      </c>
      <c r="I473">
        <f>IF(ISBLANK(H473),AVERAGE($H$2:$H$2001),H473)</f>
        <v>546.20000000000005</v>
      </c>
      <c r="J473">
        <v>0.22</v>
      </c>
      <c r="K473">
        <f>IF(ISBLANK(J473),MODE($J$2:$J$2001),J473)</f>
        <v>0.22</v>
      </c>
      <c r="L473" t="s">
        <v>1826</v>
      </c>
      <c r="M473">
        <v>426.03600000000012</v>
      </c>
      <c r="N473">
        <f t="shared" si="7"/>
        <v>426.03600000000006</v>
      </c>
      <c r="O473" t="str">
        <f>_xlfn.XLOOKUP(Sales_fact[[#This Row],[Customer_ID]],'Customer_Dim'!A:A,'Customer_Dim'!K:K,"Not Found")</f>
        <v>Bronze</v>
      </c>
      <c r="P473">
        <f>_xlfn.XLOOKUP(Sales_fact[[#This Row],[Customer_ID]],'Customer_Dim'!A:A, 'Customer_Dim'!E:E, "Not Found")</f>
        <v>27</v>
      </c>
      <c r="Q473" t="str">
        <f>VLOOKUP(Sales_fact[[#This Row],[Customer_ID]], 'Customer_Dim'!A:F, 6, FALSE)</f>
        <v>Male</v>
      </c>
      <c r="R473" s="13" t="str">
        <f>_xlfn.XLOOKUP(Sales_fact[[#This Row],[Product_ID]],Product_Dim!A:A,Product_Dim!C:C,"OTHERS")</f>
        <v>Clothing</v>
      </c>
    </row>
    <row r="474" spans="1:18" x14ac:dyDescent="0.3">
      <c r="A474" t="s">
        <v>2298</v>
      </c>
      <c r="B474" s="2">
        <v>45591</v>
      </c>
      <c r="C474" t="s">
        <v>646</v>
      </c>
      <c r="D474" t="s">
        <v>1622</v>
      </c>
      <c r="E474" t="str">
        <f ca="1">TRIM(Sales_fact[[#This Row],[Store_ID]])</f>
        <v>STORE0</v>
      </c>
      <c r="F474">
        <v>3</v>
      </c>
      <c r="G474">
        <f>IF(ISBLANK(F474),MODE($F$2:$F$2001),F474)</f>
        <v>3</v>
      </c>
      <c r="H474">
        <v>416.01</v>
      </c>
      <c r="I474">
        <f>IF(ISBLANK(H474),AVERAGE($H$2:$H$2001),H474)</f>
        <v>416.01</v>
      </c>
      <c r="J474">
        <v>0.02</v>
      </c>
      <c r="K474">
        <f>IF(ISBLANK(J474),MODE($J$2:$J$2001),J474)</f>
        <v>0.02</v>
      </c>
      <c r="L474" t="s">
        <v>1824</v>
      </c>
      <c r="M474">
        <v>1223.0694000000001</v>
      </c>
      <c r="N474">
        <f t="shared" si="7"/>
        <v>1223.0693999999999</v>
      </c>
      <c r="O474" t="str">
        <f>_xlfn.XLOOKUP(Sales_fact[[#This Row],[Customer_ID]],'Customer_Dim'!A:A,'Customer_Dim'!K:K,"Not Found")</f>
        <v>Platinum</v>
      </c>
      <c r="P474">
        <f>_xlfn.XLOOKUP(Sales_fact[[#This Row],[Customer_ID]],'Customer_Dim'!A:A, 'Customer_Dim'!E:E, "Not Found")</f>
        <v>45</v>
      </c>
      <c r="Q474" t="str">
        <f>VLOOKUP(Sales_fact[[#This Row],[Customer_ID]], 'Customer_Dim'!A:F, 6, FALSE)</f>
        <v>Female</v>
      </c>
      <c r="R474" s="13" t="str">
        <f>_xlfn.XLOOKUP(Sales_fact[[#This Row],[Product_ID]],Product_Dim!A:A,Product_Dim!C:C,"OTHERS")</f>
        <v>Clothing</v>
      </c>
    </row>
    <row r="475" spans="1:18" x14ac:dyDescent="0.3">
      <c r="A475" t="s">
        <v>2299</v>
      </c>
      <c r="B475" s="2">
        <v>45864</v>
      </c>
      <c r="C475" t="s">
        <v>1199</v>
      </c>
      <c r="D475" t="s">
        <v>1696</v>
      </c>
      <c r="E475" t="str">
        <f ca="1">TRIM(Sales_fact[[#This Row],[Store_ID]])</f>
        <v>STORE10</v>
      </c>
      <c r="F475">
        <v>1</v>
      </c>
      <c r="G475">
        <f>IF(ISBLANK(F475),MODE($F$2:$F$2001),F475)</f>
        <v>1</v>
      </c>
      <c r="H475">
        <v>30.94</v>
      </c>
      <c r="I475">
        <f>IF(ISBLANK(H475),AVERAGE($H$2:$H$2001),H475)</f>
        <v>30.94</v>
      </c>
      <c r="J475">
        <v>0.21</v>
      </c>
      <c r="K475">
        <f>IF(ISBLANK(J475),MODE($J$2:$J$2001),J475)</f>
        <v>0.21</v>
      </c>
      <c r="L475" t="s">
        <v>1829</v>
      </c>
      <c r="M475">
        <v>24.442599999999999</v>
      </c>
      <c r="N475">
        <f t="shared" si="7"/>
        <v>24.442600000000002</v>
      </c>
      <c r="O475" t="str">
        <f>_xlfn.XLOOKUP(Sales_fact[[#This Row],[Customer_ID]],'Customer_Dim'!A:A,'Customer_Dim'!K:K,"Not Found")</f>
        <v>Bronze</v>
      </c>
      <c r="P475">
        <f>_xlfn.XLOOKUP(Sales_fact[[#This Row],[Customer_ID]],'Customer_Dim'!A:A, 'Customer_Dim'!E:E, "Not Found")</f>
        <v>52</v>
      </c>
      <c r="Q475" t="str">
        <f>VLOOKUP(Sales_fact[[#This Row],[Customer_ID]], 'Customer_Dim'!A:F, 6, FALSE)</f>
        <v>Female</v>
      </c>
      <c r="R475" s="13" t="str">
        <f>_xlfn.XLOOKUP(Sales_fact[[#This Row],[Product_ID]],Product_Dim!A:A,Product_Dim!C:C,"OTHERS")</f>
        <v>Electronics</v>
      </c>
    </row>
    <row r="476" spans="1:18" x14ac:dyDescent="0.3">
      <c r="A476" t="s">
        <v>2300</v>
      </c>
      <c r="B476" s="2">
        <v>45875</v>
      </c>
      <c r="C476" t="s">
        <v>654</v>
      </c>
      <c r="D476" t="s">
        <v>1664</v>
      </c>
      <c r="E476" t="str">
        <f ca="1">TRIM(Sales_fact[[#This Row],[Store_ID]])</f>
        <v>STORE16</v>
      </c>
      <c r="F476">
        <v>3</v>
      </c>
      <c r="G476">
        <f>IF(ISBLANK(F476),MODE($F$2:$F$2001),F476)</f>
        <v>3</v>
      </c>
      <c r="H476">
        <v>666.39</v>
      </c>
      <c r="I476">
        <f>IF(ISBLANK(H476),AVERAGE($H$2:$H$2001),H476)</f>
        <v>666.39</v>
      </c>
      <c r="J476">
        <v>0.21</v>
      </c>
      <c r="K476">
        <f>IF(ISBLANK(J476),MODE($J$2:$J$2001),J476)</f>
        <v>0.21</v>
      </c>
      <c r="L476" t="s">
        <v>1829</v>
      </c>
      <c r="M476">
        <v>1579.3443</v>
      </c>
      <c r="N476">
        <f t="shared" si="7"/>
        <v>1579.3443000000002</v>
      </c>
      <c r="O476" t="str">
        <f>_xlfn.XLOOKUP(Sales_fact[[#This Row],[Customer_ID]],'Customer_Dim'!A:A,'Customer_Dim'!K:K,"Not Found")</f>
        <v>Platinum</v>
      </c>
      <c r="P476">
        <f>_xlfn.XLOOKUP(Sales_fact[[#This Row],[Customer_ID]],'Customer_Dim'!A:A, 'Customer_Dim'!E:E, "Not Found")</f>
        <v>30</v>
      </c>
      <c r="Q476" t="str">
        <f>VLOOKUP(Sales_fact[[#This Row],[Customer_ID]], 'Customer_Dim'!A:F, 6, FALSE)</f>
        <v>Male</v>
      </c>
      <c r="R476" s="13" t="str">
        <f>_xlfn.XLOOKUP(Sales_fact[[#This Row],[Product_ID]],Product_Dim!A:A,Product_Dim!C:C,"OTHERS")</f>
        <v>Clothing</v>
      </c>
    </row>
    <row r="477" spans="1:18" x14ac:dyDescent="0.3">
      <c r="A477" t="s">
        <v>2301</v>
      </c>
      <c r="B477" s="2">
        <v>45797</v>
      </c>
      <c r="C477" t="s">
        <v>553</v>
      </c>
      <c r="D477" t="s">
        <v>1710</v>
      </c>
      <c r="E477" t="str">
        <f ca="1">TRIM(Sales_fact[[#This Row],[Store_ID]])</f>
        <v>STORE10</v>
      </c>
      <c r="F477">
        <v>2</v>
      </c>
      <c r="G477">
        <f>IF(ISBLANK(F477),MODE($F$2:$F$2001),F477)</f>
        <v>2</v>
      </c>
      <c r="H477">
        <v>145.26</v>
      </c>
      <c r="I477">
        <f>IF(ISBLANK(H477),AVERAGE($H$2:$H$2001),H477)</f>
        <v>145.26</v>
      </c>
      <c r="J477">
        <v>0.19</v>
      </c>
      <c r="K477">
        <f>IF(ISBLANK(J477),MODE($J$2:$J$2001),J477)</f>
        <v>0.19</v>
      </c>
      <c r="L477" t="s">
        <v>1826</v>
      </c>
      <c r="M477">
        <v>235.3212</v>
      </c>
      <c r="N477">
        <f t="shared" si="7"/>
        <v>235.3212</v>
      </c>
      <c r="O477" t="str">
        <f>_xlfn.XLOOKUP(Sales_fact[[#This Row],[Customer_ID]],'Customer_Dim'!A:A,'Customer_Dim'!K:K,"Not Found")</f>
        <v>Silver</v>
      </c>
      <c r="P477">
        <f>_xlfn.XLOOKUP(Sales_fact[[#This Row],[Customer_ID]],'Customer_Dim'!A:A, 'Customer_Dim'!E:E, "Not Found")</f>
        <v>25</v>
      </c>
      <c r="Q477" t="str">
        <f>VLOOKUP(Sales_fact[[#This Row],[Customer_ID]], 'Customer_Dim'!A:F, 6, FALSE)</f>
        <v>Female</v>
      </c>
      <c r="R477" s="13" t="str">
        <f>_xlfn.XLOOKUP(Sales_fact[[#This Row],[Product_ID]],Product_Dim!A:A,Product_Dim!C:C,"OTHERS")</f>
        <v>Sports</v>
      </c>
    </row>
    <row r="478" spans="1:18" x14ac:dyDescent="0.3">
      <c r="A478" t="s">
        <v>2302</v>
      </c>
      <c r="B478" s="2">
        <v>45364</v>
      </c>
      <c r="C478" t="s">
        <v>411</v>
      </c>
      <c r="D478" t="s">
        <v>1730</v>
      </c>
      <c r="E478" t="str">
        <f ca="1">TRIM(Sales_fact[[#This Row],[Store_ID]])</f>
        <v>STORE5</v>
      </c>
      <c r="F478">
        <v>4</v>
      </c>
      <c r="G478">
        <f>IF(ISBLANK(F478),MODE($F$2:$F$2001),F478)</f>
        <v>4</v>
      </c>
      <c r="H478">
        <v>940.77</v>
      </c>
      <c r="I478">
        <f>IF(ISBLANK(H478),AVERAGE($H$2:$H$2001),H478)</f>
        <v>940.77</v>
      </c>
      <c r="J478">
        <v>0.24</v>
      </c>
      <c r="K478">
        <f>IF(ISBLANK(J478),MODE($J$2:$J$2001),J478)</f>
        <v>0.24</v>
      </c>
      <c r="L478" t="s">
        <v>1829</v>
      </c>
      <c r="M478">
        <v>2859.9407999999999</v>
      </c>
      <c r="N478">
        <f t="shared" si="7"/>
        <v>2859.9407999999999</v>
      </c>
      <c r="O478" t="str">
        <f>_xlfn.XLOOKUP(Sales_fact[[#This Row],[Customer_ID]],'Customer_Dim'!A:A,'Customer_Dim'!K:K,"Not Found")</f>
        <v>Platinum</v>
      </c>
      <c r="P478">
        <f>_xlfn.XLOOKUP(Sales_fact[[#This Row],[Customer_ID]],'Customer_Dim'!A:A, 'Customer_Dim'!E:E, "Not Found")</f>
        <v>36</v>
      </c>
      <c r="Q478" t="str">
        <f>VLOOKUP(Sales_fact[[#This Row],[Customer_ID]], 'Customer_Dim'!A:F, 6, FALSE)</f>
        <v>Male</v>
      </c>
      <c r="R478" s="13" t="str">
        <f>_xlfn.XLOOKUP(Sales_fact[[#This Row],[Product_ID]],Product_Dim!A:A,Product_Dim!C:C,"OTHERS")</f>
        <v>Clothing</v>
      </c>
    </row>
    <row r="479" spans="1:18" x14ac:dyDescent="0.3">
      <c r="A479" t="s">
        <v>2303</v>
      </c>
      <c r="B479" s="2">
        <v>45700</v>
      </c>
      <c r="C479" t="s">
        <v>1446</v>
      </c>
      <c r="D479" t="s">
        <v>1640</v>
      </c>
      <c r="E479" t="str">
        <f ca="1">TRIM(Sales_fact[[#This Row],[Store_ID]])</f>
        <v>STORE17</v>
      </c>
      <c r="F479">
        <v>1</v>
      </c>
      <c r="G479">
        <f>IF(ISBLANK(F479),MODE($F$2:$F$2001),F479)</f>
        <v>1</v>
      </c>
      <c r="H479">
        <v>708.88</v>
      </c>
      <c r="I479">
        <f>IF(ISBLANK(H479),AVERAGE($H$2:$H$2001),H479)</f>
        <v>708.88</v>
      </c>
      <c r="J479">
        <v>0.09</v>
      </c>
      <c r="K479">
        <f>IF(ISBLANK(J479),MODE($J$2:$J$2001),J479)</f>
        <v>0.09</v>
      </c>
      <c r="L479" t="s">
        <v>1824</v>
      </c>
      <c r="M479">
        <v>645.08080000000007</v>
      </c>
      <c r="N479">
        <f t="shared" si="7"/>
        <v>645.08080000000007</v>
      </c>
      <c r="O479" t="str">
        <f>_xlfn.XLOOKUP(Sales_fact[[#This Row],[Customer_ID]],'Customer_Dim'!A:A,'Customer_Dim'!K:K,"Not Found")</f>
        <v>Gold</v>
      </c>
      <c r="P479">
        <f>_xlfn.XLOOKUP(Sales_fact[[#This Row],[Customer_ID]],'Customer_Dim'!A:A, 'Customer_Dim'!E:E, "Not Found")</f>
        <v>19</v>
      </c>
      <c r="Q479" t="str">
        <f>VLOOKUP(Sales_fact[[#This Row],[Customer_ID]], 'Customer_Dim'!A:F, 6, FALSE)</f>
        <v>Male</v>
      </c>
      <c r="R479" s="13" t="str">
        <f>_xlfn.XLOOKUP(Sales_fact[[#This Row],[Product_ID]],Product_Dim!A:A,Product_Dim!C:C,"OTHERS")</f>
        <v>Clothing</v>
      </c>
    </row>
    <row r="480" spans="1:18" x14ac:dyDescent="0.3">
      <c r="A480" t="s">
        <v>2304</v>
      </c>
      <c r="B480" s="2">
        <v>45924</v>
      </c>
      <c r="C480" t="s">
        <v>969</v>
      </c>
      <c r="D480" t="s">
        <v>1608</v>
      </c>
      <c r="E480" t="str">
        <f ca="1">TRIM(Sales_fact[[#This Row],[Store_ID]])</f>
        <v>STORE2</v>
      </c>
      <c r="F480">
        <v>1</v>
      </c>
      <c r="G480">
        <f>IF(ISBLANK(F480),MODE($F$2:$F$2001),F480)</f>
        <v>1</v>
      </c>
      <c r="H480">
        <v>790.73</v>
      </c>
      <c r="I480">
        <f>IF(ISBLANK(H480),AVERAGE($H$2:$H$2001),H480)</f>
        <v>790.73</v>
      </c>
      <c r="J480">
        <v>0.24</v>
      </c>
      <c r="K480">
        <f>IF(ISBLANK(J480),MODE($J$2:$J$2001),J480)</f>
        <v>0.24</v>
      </c>
      <c r="L480" t="s">
        <v>1826</v>
      </c>
      <c r="M480">
        <v>600.95479999999998</v>
      </c>
      <c r="N480">
        <f t="shared" si="7"/>
        <v>600.95479999999998</v>
      </c>
      <c r="O480" t="str">
        <f>_xlfn.XLOOKUP(Sales_fact[[#This Row],[Customer_ID]],'Customer_Dim'!A:A,'Customer_Dim'!K:K,"Not Found")</f>
        <v>Bronze</v>
      </c>
      <c r="P480">
        <f>_xlfn.XLOOKUP(Sales_fact[[#This Row],[Customer_ID]],'Customer_Dim'!A:A, 'Customer_Dim'!E:E, "Not Found")</f>
        <v>56</v>
      </c>
      <c r="Q480" t="str">
        <f>VLOOKUP(Sales_fact[[#This Row],[Customer_ID]], 'Customer_Dim'!A:F, 6, FALSE)</f>
        <v>Female</v>
      </c>
      <c r="R480" s="13" t="str">
        <f>_xlfn.XLOOKUP(Sales_fact[[#This Row],[Product_ID]],Product_Dim!A:A,Product_Dim!C:C,"OTHERS")</f>
        <v>Home</v>
      </c>
    </row>
    <row r="481" spans="1:18" x14ac:dyDescent="0.3">
      <c r="A481" t="s">
        <v>2305</v>
      </c>
      <c r="B481" s="2">
        <v>45574</v>
      </c>
      <c r="C481" t="s">
        <v>1389</v>
      </c>
      <c r="D481" t="s">
        <v>1578</v>
      </c>
      <c r="E481" t="str">
        <f ca="1">TRIM(Sales_fact[[#This Row],[Store_ID]])</f>
        <v>STORE9</v>
      </c>
      <c r="F481">
        <v>3</v>
      </c>
      <c r="G481">
        <f>IF(ISBLANK(F481),MODE($F$2:$F$2001),F481)</f>
        <v>3</v>
      </c>
      <c r="H481">
        <v>635.13</v>
      </c>
      <c r="I481">
        <f>IF(ISBLANK(H481),AVERAGE($H$2:$H$2001),H481)</f>
        <v>635.13</v>
      </c>
      <c r="J481">
        <v>0.09</v>
      </c>
      <c r="K481">
        <f>IF(ISBLANK(J481),MODE($J$2:$J$2001),J481)</f>
        <v>0.09</v>
      </c>
      <c r="L481" t="s">
        <v>1826</v>
      </c>
      <c r="M481">
        <v>1733.9049</v>
      </c>
      <c r="N481">
        <f t="shared" si="7"/>
        <v>1733.9049</v>
      </c>
      <c r="O481" t="str">
        <f>_xlfn.XLOOKUP(Sales_fact[[#This Row],[Customer_ID]],'Customer_Dim'!A:A,'Customer_Dim'!K:K,"Not Found")</f>
        <v>Bronze</v>
      </c>
      <c r="P481">
        <f>_xlfn.XLOOKUP(Sales_fact[[#This Row],[Customer_ID]],'Customer_Dim'!A:A, 'Customer_Dim'!E:E, "Not Found")</f>
        <v>29</v>
      </c>
      <c r="Q481" t="str">
        <f>VLOOKUP(Sales_fact[[#This Row],[Customer_ID]], 'Customer_Dim'!A:F, 6, FALSE)</f>
        <v>Male</v>
      </c>
      <c r="R481" s="13" t="str">
        <f>_xlfn.XLOOKUP(Sales_fact[[#This Row],[Product_ID]],Product_Dim!A:A,Product_Dim!C:C,"OTHERS")</f>
        <v>Electronics</v>
      </c>
    </row>
    <row r="482" spans="1:18" x14ac:dyDescent="0.3">
      <c r="A482" t="s">
        <v>2306</v>
      </c>
      <c r="B482" s="2">
        <v>45233</v>
      </c>
      <c r="C482" t="s">
        <v>849</v>
      </c>
      <c r="D482" t="s">
        <v>1734</v>
      </c>
      <c r="E482" t="str">
        <f ca="1">TRIM(Sales_fact[[#This Row],[Store_ID]])</f>
        <v>STORE14</v>
      </c>
      <c r="F482">
        <v>1</v>
      </c>
      <c r="G482">
        <f>IF(ISBLANK(F482),MODE($F$2:$F$2001),F482)</f>
        <v>1</v>
      </c>
      <c r="H482">
        <v>744.88</v>
      </c>
      <c r="I482">
        <f>IF(ISBLANK(H482),AVERAGE($H$2:$H$2001),H482)</f>
        <v>744.88</v>
      </c>
      <c r="J482">
        <v>0.15</v>
      </c>
      <c r="K482">
        <f>IF(ISBLANK(J482),MODE($J$2:$J$2001),J482)</f>
        <v>0.15</v>
      </c>
      <c r="L482" t="s">
        <v>1829</v>
      </c>
      <c r="M482">
        <v>633.14800000000002</v>
      </c>
      <c r="N482">
        <f t="shared" si="7"/>
        <v>633.14800000000002</v>
      </c>
      <c r="O482" t="str">
        <f>_xlfn.XLOOKUP(Sales_fact[[#This Row],[Customer_ID]],'Customer_Dim'!A:A,'Customer_Dim'!K:K,"Not Found")</f>
        <v>Bronze</v>
      </c>
      <c r="P482">
        <f>_xlfn.XLOOKUP(Sales_fact[[#This Row],[Customer_ID]],'Customer_Dim'!A:A, 'Customer_Dim'!E:E, "Not Found")</f>
        <v>32</v>
      </c>
      <c r="Q482" t="str">
        <f>VLOOKUP(Sales_fact[[#This Row],[Customer_ID]], 'Customer_Dim'!A:F, 6, FALSE)</f>
        <v>Female</v>
      </c>
      <c r="R482" s="13" t="str">
        <f>_xlfn.XLOOKUP(Sales_fact[[#This Row],[Product_ID]],Product_Dim!A:A,Product_Dim!C:C,"OTHERS")</f>
        <v>Electronics</v>
      </c>
    </row>
    <row r="483" spans="1:18" x14ac:dyDescent="0.3">
      <c r="A483" t="s">
        <v>2307</v>
      </c>
      <c r="B483" s="2">
        <v>45745</v>
      </c>
      <c r="C483" t="s">
        <v>604</v>
      </c>
      <c r="D483" t="s">
        <v>1604</v>
      </c>
      <c r="E483" t="str">
        <f ca="1">TRIM(Sales_fact[[#This Row],[Store_ID]])</f>
        <v>STORE1</v>
      </c>
      <c r="F483">
        <v>3</v>
      </c>
      <c r="G483">
        <f>IF(ISBLANK(F483),MODE($F$2:$F$2001),F483)</f>
        <v>3</v>
      </c>
      <c r="H483">
        <v>205.34</v>
      </c>
      <c r="I483">
        <f>IF(ISBLANK(H483),AVERAGE($H$2:$H$2001),H483)</f>
        <v>205.34</v>
      </c>
      <c r="J483">
        <v>0.25</v>
      </c>
      <c r="K483">
        <f>IF(ISBLANK(J483),MODE($J$2:$J$2001),J483)</f>
        <v>0.25</v>
      </c>
      <c r="L483" t="s">
        <v>1824</v>
      </c>
      <c r="M483">
        <v>462.01499999999999</v>
      </c>
      <c r="N483">
        <f t="shared" si="7"/>
        <v>462.01499999999999</v>
      </c>
      <c r="O483" t="str">
        <f>_xlfn.XLOOKUP(Sales_fact[[#This Row],[Customer_ID]],'Customer_Dim'!A:A,'Customer_Dim'!K:K,"Not Found")</f>
        <v>Platinum</v>
      </c>
      <c r="P483">
        <f>_xlfn.XLOOKUP(Sales_fact[[#This Row],[Customer_ID]],'Customer_Dim'!A:A, 'Customer_Dim'!E:E, "Not Found")</f>
        <v>18</v>
      </c>
      <c r="Q483" t="str">
        <f>VLOOKUP(Sales_fact[[#This Row],[Customer_ID]], 'Customer_Dim'!A:F, 6, FALSE)</f>
        <v>Male</v>
      </c>
      <c r="R483" s="13" t="str">
        <f>_xlfn.XLOOKUP(Sales_fact[[#This Row],[Product_ID]],Product_Dim!A:A,Product_Dim!C:C,"OTHERS")</f>
        <v>Sports</v>
      </c>
    </row>
    <row r="484" spans="1:18" x14ac:dyDescent="0.3">
      <c r="A484" t="s">
        <v>2308</v>
      </c>
      <c r="B484" s="2">
        <v>45851</v>
      </c>
      <c r="C484" t="s">
        <v>1301</v>
      </c>
      <c r="D484" t="s">
        <v>1606</v>
      </c>
      <c r="E484" t="str">
        <f ca="1">TRIM(Sales_fact[[#This Row],[Store_ID]])</f>
        <v>STORE8</v>
      </c>
      <c r="F484">
        <v>2</v>
      </c>
      <c r="G484">
        <f>IF(ISBLANK(F484),MODE($F$2:$F$2001),F484)</f>
        <v>2</v>
      </c>
      <c r="H484">
        <v>756.8</v>
      </c>
      <c r="I484">
        <f>IF(ISBLANK(H484),AVERAGE($H$2:$H$2001),H484)</f>
        <v>756.8</v>
      </c>
      <c r="J484">
        <v>0.15</v>
      </c>
      <c r="K484">
        <f>IF(ISBLANK(J484),MODE($J$2:$J$2001),J484)</f>
        <v>0.15</v>
      </c>
      <c r="L484" t="s">
        <v>1824</v>
      </c>
      <c r="M484">
        <v>1286.56</v>
      </c>
      <c r="N484">
        <f t="shared" si="7"/>
        <v>1286.56</v>
      </c>
      <c r="O484" t="str">
        <f>_xlfn.XLOOKUP(Sales_fact[[#This Row],[Customer_ID]],'Customer_Dim'!A:A,'Customer_Dim'!K:K,"Not Found")</f>
        <v>Gold</v>
      </c>
      <c r="P484">
        <f>_xlfn.XLOOKUP(Sales_fact[[#This Row],[Customer_ID]],'Customer_Dim'!A:A, 'Customer_Dim'!E:E, "Not Found")</f>
        <v>33</v>
      </c>
      <c r="Q484" t="str">
        <f>VLOOKUP(Sales_fact[[#This Row],[Customer_ID]], 'Customer_Dim'!A:F, 6, FALSE)</f>
        <v>Male</v>
      </c>
      <c r="R484" s="13" t="str">
        <f>_xlfn.XLOOKUP(Sales_fact[[#This Row],[Product_ID]],Product_Dim!A:A,Product_Dim!C:C,"OTHERS")</f>
        <v>Home</v>
      </c>
    </row>
    <row r="485" spans="1:18" x14ac:dyDescent="0.3">
      <c r="A485" t="s">
        <v>2309</v>
      </c>
      <c r="B485" s="2">
        <v>45308</v>
      </c>
      <c r="C485" t="s">
        <v>172</v>
      </c>
      <c r="D485" t="s">
        <v>1590</v>
      </c>
      <c r="E485" t="str">
        <f ca="1">TRIM(Sales_fact[[#This Row],[Store_ID]])</f>
        <v>STORE10</v>
      </c>
      <c r="F485">
        <v>1</v>
      </c>
      <c r="G485">
        <f>IF(ISBLANK(F485),MODE($F$2:$F$2001),F485)</f>
        <v>1</v>
      </c>
      <c r="H485">
        <v>771.73</v>
      </c>
      <c r="I485">
        <f>IF(ISBLANK(H485),AVERAGE($H$2:$H$2001),H485)</f>
        <v>771.73</v>
      </c>
      <c r="J485">
        <v>0.2</v>
      </c>
      <c r="K485">
        <f>IF(ISBLANK(J485),MODE($J$2:$J$2001),J485)</f>
        <v>0.2</v>
      </c>
      <c r="L485" t="s">
        <v>1824</v>
      </c>
      <c r="M485">
        <v>617.38400000000001</v>
      </c>
      <c r="N485">
        <f t="shared" si="7"/>
        <v>617.38400000000001</v>
      </c>
      <c r="O485" t="str">
        <f>_xlfn.XLOOKUP(Sales_fact[[#This Row],[Customer_ID]],'Customer_Dim'!A:A,'Customer_Dim'!K:K,"Not Found")</f>
        <v>Bronze</v>
      </c>
      <c r="P485">
        <f>_xlfn.XLOOKUP(Sales_fact[[#This Row],[Customer_ID]],'Customer_Dim'!A:A, 'Customer_Dim'!E:E, "Not Found")</f>
        <v>34</v>
      </c>
      <c r="Q485" t="str">
        <f>VLOOKUP(Sales_fact[[#This Row],[Customer_ID]], 'Customer_Dim'!A:F, 6, FALSE)</f>
        <v>Male</v>
      </c>
      <c r="R485" s="13" t="str">
        <f>_xlfn.XLOOKUP(Sales_fact[[#This Row],[Product_ID]],Product_Dim!A:A,Product_Dim!C:C,"OTHERS")</f>
        <v>Home</v>
      </c>
    </row>
    <row r="486" spans="1:18" x14ac:dyDescent="0.3">
      <c r="A486" t="s">
        <v>2310</v>
      </c>
      <c r="B486" s="2">
        <v>45639</v>
      </c>
      <c r="C486" t="s">
        <v>1475</v>
      </c>
      <c r="D486" t="s">
        <v>1680</v>
      </c>
      <c r="E486" t="str">
        <f ca="1">TRIM(Sales_fact[[#This Row],[Store_ID]])</f>
        <v>STORE17</v>
      </c>
      <c r="F486">
        <v>1</v>
      </c>
      <c r="G486">
        <f>IF(ISBLANK(F486),MODE($F$2:$F$2001),F486)</f>
        <v>1</v>
      </c>
      <c r="H486">
        <v>440.19</v>
      </c>
      <c r="I486">
        <f>IF(ISBLANK(H486),AVERAGE($H$2:$H$2001),H486)</f>
        <v>440.19</v>
      </c>
      <c r="J486">
        <v>0.03</v>
      </c>
      <c r="K486">
        <f>IF(ISBLANK(J486),MODE($J$2:$J$2001),J486)</f>
        <v>0.03</v>
      </c>
      <c r="L486" t="s">
        <v>1826</v>
      </c>
      <c r="M486">
        <v>426.98430000000002</v>
      </c>
      <c r="N486">
        <f t="shared" si="7"/>
        <v>426.98429999999996</v>
      </c>
      <c r="O486" t="str">
        <f>_xlfn.XLOOKUP(Sales_fact[[#This Row],[Customer_ID]],'Customer_Dim'!A:A,'Customer_Dim'!K:K,"Not Found")</f>
        <v>Bronze</v>
      </c>
      <c r="P486">
        <f>_xlfn.XLOOKUP(Sales_fact[[#This Row],[Customer_ID]],'Customer_Dim'!A:A, 'Customer_Dim'!E:E, "Not Found")</f>
        <v>40</v>
      </c>
      <c r="Q486" t="str">
        <f>VLOOKUP(Sales_fact[[#This Row],[Customer_ID]], 'Customer_Dim'!A:F, 6, FALSE)</f>
        <v>Male</v>
      </c>
      <c r="R486" s="13" t="str">
        <f>_xlfn.XLOOKUP(Sales_fact[[#This Row],[Product_ID]],Product_Dim!A:A,Product_Dim!C:C,"OTHERS")</f>
        <v>Beauty</v>
      </c>
    </row>
    <row r="487" spans="1:18" x14ac:dyDescent="0.3">
      <c r="A487" t="s">
        <v>2311</v>
      </c>
      <c r="B487" s="2">
        <v>45919</v>
      </c>
      <c r="C487" t="s">
        <v>181</v>
      </c>
      <c r="D487" t="s">
        <v>1553</v>
      </c>
      <c r="E487" t="str">
        <f ca="1">TRIM(Sales_fact[[#This Row],[Store_ID]])</f>
        <v>STORE2</v>
      </c>
      <c r="F487">
        <v>2</v>
      </c>
      <c r="G487">
        <f>IF(ISBLANK(F487),MODE($F$2:$F$2001),F487)</f>
        <v>2</v>
      </c>
      <c r="H487">
        <v>409</v>
      </c>
      <c r="I487">
        <f>IF(ISBLANK(H487),AVERAGE($H$2:$H$2001),H487)</f>
        <v>409</v>
      </c>
      <c r="J487">
        <v>0.17</v>
      </c>
      <c r="K487">
        <f>IF(ISBLANK(J487),MODE($J$2:$J$2001),J487)</f>
        <v>0.17</v>
      </c>
      <c r="L487" t="s">
        <v>1824</v>
      </c>
      <c r="M487">
        <v>678.93999999999994</v>
      </c>
      <c r="N487">
        <f t="shared" si="7"/>
        <v>678.93999999999994</v>
      </c>
      <c r="O487" t="str">
        <f>_xlfn.XLOOKUP(Sales_fact[[#This Row],[Customer_ID]],'Customer_Dim'!A:A,'Customer_Dim'!K:K,"Not Found")</f>
        <v>Silver</v>
      </c>
      <c r="P487">
        <f>_xlfn.XLOOKUP(Sales_fact[[#This Row],[Customer_ID]],'Customer_Dim'!A:A, 'Customer_Dim'!E:E, "Not Found")</f>
        <v>54</v>
      </c>
      <c r="Q487" t="str">
        <f>VLOOKUP(Sales_fact[[#This Row],[Customer_ID]], 'Customer_Dim'!A:F, 6, FALSE)</f>
        <v>Female</v>
      </c>
      <c r="R487" s="13" t="str">
        <f>_xlfn.XLOOKUP(Sales_fact[[#This Row],[Product_ID]],Product_Dim!A:A,Product_Dim!C:C,"OTHERS")</f>
        <v>Clothing</v>
      </c>
    </row>
    <row r="488" spans="1:18" x14ac:dyDescent="0.3">
      <c r="A488" t="s">
        <v>2312</v>
      </c>
      <c r="B488" s="2">
        <v>45333</v>
      </c>
      <c r="C488" t="s">
        <v>1077</v>
      </c>
      <c r="D488" t="s">
        <v>1624</v>
      </c>
      <c r="E488" t="str">
        <f ca="1">TRIM(Sales_fact[[#This Row],[Store_ID]])</f>
        <v>STORE19</v>
      </c>
      <c r="F488">
        <v>3</v>
      </c>
      <c r="G488">
        <f>IF(ISBLANK(F488),MODE($F$2:$F$2001),F488)</f>
        <v>3</v>
      </c>
      <c r="H488">
        <v>134.58000000000001</v>
      </c>
      <c r="I488">
        <f>IF(ISBLANK(H488),AVERAGE($H$2:$H$2001),H488)</f>
        <v>134.58000000000001</v>
      </c>
      <c r="J488">
        <v>0.04</v>
      </c>
      <c r="K488">
        <f>IF(ISBLANK(J488),MODE($J$2:$J$2001),J488)</f>
        <v>0.04</v>
      </c>
      <c r="L488" t="s">
        <v>1829</v>
      </c>
      <c r="M488">
        <v>387.59039999999999</v>
      </c>
      <c r="N488">
        <f t="shared" si="7"/>
        <v>387.59039999999999</v>
      </c>
      <c r="O488" t="str">
        <f>_xlfn.XLOOKUP(Sales_fact[[#This Row],[Customer_ID]],'Customer_Dim'!A:A,'Customer_Dim'!K:K,"Not Found")</f>
        <v>Bronze</v>
      </c>
      <c r="P488">
        <f>_xlfn.XLOOKUP(Sales_fact[[#This Row],[Customer_ID]],'Customer_Dim'!A:A, 'Customer_Dim'!E:E, "Not Found")</f>
        <v>38</v>
      </c>
      <c r="Q488" t="str">
        <f>VLOOKUP(Sales_fact[[#This Row],[Customer_ID]], 'Customer_Dim'!A:F, 6, FALSE)</f>
        <v>Male</v>
      </c>
      <c r="R488" s="13" t="str">
        <f>_xlfn.XLOOKUP(Sales_fact[[#This Row],[Product_ID]],Product_Dim!A:A,Product_Dim!C:C,"OTHERS")</f>
        <v>Sports</v>
      </c>
    </row>
    <row r="489" spans="1:18" x14ac:dyDescent="0.3">
      <c r="A489" t="s">
        <v>2313</v>
      </c>
      <c r="B489" s="2">
        <v>45811</v>
      </c>
      <c r="C489" t="s">
        <v>1092</v>
      </c>
      <c r="D489" t="s">
        <v>1626</v>
      </c>
      <c r="E489" t="str">
        <f ca="1">TRIM(Sales_fact[[#This Row],[Store_ID]])</f>
        <v>STORE7</v>
      </c>
      <c r="F489">
        <v>4</v>
      </c>
      <c r="G489">
        <f>IF(ISBLANK(F489),MODE($F$2:$F$2001),F489)</f>
        <v>4</v>
      </c>
      <c r="H489">
        <v>284.44</v>
      </c>
      <c r="I489">
        <f>IF(ISBLANK(H489),AVERAGE($H$2:$H$2001),H489)</f>
        <v>284.44</v>
      </c>
      <c r="J489">
        <v>0.02</v>
      </c>
      <c r="K489">
        <f>IF(ISBLANK(J489),MODE($J$2:$J$2001),J489)</f>
        <v>0.02</v>
      </c>
      <c r="L489" t="s">
        <v>1824</v>
      </c>
      <c r="M489">
        <v>1115.0047999999999</v>
      </c>
      <c r="N489">
        <f t="shared" si="7"/>
        <v>1115.0047999999999</v>
      </c>
      <c r="O489" t="str">
        <f>_xlfn.XLOOKUP(Sales_fact[[#This Row],[Customer_ID]],'Customer_Dim'!A:A,'Customer_Dim'!K:K,"Not Found")</f>
        <v>Silver</v>
      </c>
      <c r="P489">
        <f>_xlfn.XLOOKUP(Sales_fact[[#This Row],[Customer_ID]],'Customer_Dim'!A:A, 'Customer_Dim'!E:E, "Not Found")</f>
        <v>55</v>
      </c>
      <c r="Q489" t="str">
        <f>VLOOKUP(Sales_fact[[#This Row],[Customer_ID]], 'Customer_Dim'!A:F, 6, FALSE)</f>
        <v>Male</v>
      </c>
      <c r="R489" s="13" t="str">
        <f>_xlfn.XLOOKUP(Sales_fact[[#This Row],[Product_ID]],Product_Dim!A:A,Product_Dim!C:C,"OTHERS")</f>
        <v>Electronics</v>
      </c>
    </row>
    <row r="490" spans="1:18" x14ac:dyDescent="0.3">
      <c r="A490" t="s">
        <v>2314</v>
      </c>
      <c r="B490" s="2">
        <v>45726</v>
      </c>
      <c r="C490" t="s">
        <v>1260</v>
      </c>
      <c r="D490" t="s">
        <v>1694</v>
      </c>
      <c r="E490" t="str">
        <f ca="1">TRIM(Sales_fact[[#This Row],[Store_ID]])</f>
        <v>STORE13</v>
      </c>
      <c r="F490">
        <v>4</v>
      </c>
      <c r="G490">
        <f>IF(ISBLANK(F490),MODE($F$2:$F$2001),F490)</f>
        <v>4</v>
      </c>
      <c r="H490">
        <v>922.69</v>
      </c>
      <c r="I490">
        <f>IF(ISBLANK(H490),AVERAGE($H$2:$H$2001),H490)</f>
        <v>922.69</v>
      </c>
      <c r="J490">
        <v>0.16</v>
      </c>
      <c r="K490">
        <f>IF(ISBLANK(J490),MODE($J$2:$J$2001),J490)</f>
        <v>0.16</v>
      </c>
      <c r="L490" t="s">
        <v>1824</v>
      </c>
      <c r="M490">
        <v>3100.2384000000002</v>
      </c>
      <c r="N490">
        <f t="shared" si="7"/>
        <v>3100.2384000000002</v>
      </c>
      <c r="O490" t="str">
        <f>_xlfn.XLOOKUP(Sales_fact[[#This Row],[Customer_ID]],'Customer_Dim'!A:A,'Customer_Dim'!K:K,"Not Found")</f>
        <v>Gold</v>
      </c>
      <c r="P490">
        <f>_xlfn.XLOOKUP(Sales_fact[[#This Row],[Customer_ID]],'Customer_Dim'!A:A, 'Customer_Dim'!E:E, "Not Found")</f>
        <v>18</v>
      </c>
      <c r="Q490" t="str">
        <f>VLOOKUP(Sales_fact[[#This Row],[Customer_ID]], 'Customer_Dim'!A:F, 6, FALSE)</f>
        <v>Female</v>
      </c>
      <c r="R490" s="13" t="str">
        <f>_xlfn.XLOOKUP(Sales_fact[[#This Row],[Product_ID]],Product_Dim!A:A,Product_Dim!C:C,"OTHERS")</f>
        <v>Sports</v>
      </c>
    </row>
    <row r="491" spans="1:18" x14ac:dyDescent="0.3">
      <c r="A491" t="s">
        <v>2315</v>
      </c>
      <c r="B491" s="2">
        <v>45644</v>
      </c>
      <c r="C491" t="s">
        <v>875</v>
      </c>
      <c r="D491" t="s">
        <v>1620</v>
      </c>
      <c r="E491" t="str">
        <f ca="1">TRIM(Sales_fact[[#This Row],[Store_ID]])</f>
        <v>STORE6</v>
      </c>
      <c r="F491">
        <v>2</v>
      </c>
      <c r="G491">
        <f>IF(ISBLANK(F491),MODE($F$2:$F$2001),F491)</f>
        <v>2</v>
      </c>
      <c r="H491">
        <v>992.55</v>
      </c>
      <c r="I491">
        <f>IF(ISBLANK(H491),AVERAGE($H$2:$H$2001),H491)</f>
        <v>992.55</v>
      </c>
      <c r="J491">
        <v>0.28000000000000003</v>
      </c>
      <c r="K491">
        <f>IF(ISBLANK(J491),MODE($J$2:$J$2001),J491)</f>
        <v>0.28000000000000003</v>
      </c>
      <c r="L491" t="s">
        <v>1824</v>
      </c>
      <c r="M491">
        <v>1429.2719999999999</v>
      </c>
      <c r="N491">
        <f t="shared" si="7"/>
        <v>1429.2719999999999</v>
      </c>
      <c r="O491" t="str">
        <f>_xlfn.XLOOKUP(Sales_fact[[#This Row],[Customer_ID]],'Customer_Dim'!A:A,'Customer_Dim'!K:K,"Not Found")</f>
        <v>Gold</v>
      </c>
      <c r="P491">
        <f>_xlfn.XLOOKUP(Sales_fact[[#This Row],[Customer_ID]],'Customer_Dim'!A:A, 'Customer_Dim'!E:E, "Not Found")</f>
        <v>22</v>
      </c>
      <c r="Q491" t="str">
        <f>VLOOKUP(Sales_fact[[#This Row],[Customer_ID]], 'Customer_Dim'!A:F, 6, FALSE)</f>
        <v>Male</v>
      </c>
      <c r="R491" s="13" t="str">
        <f>_xlfn.XLOOKUP(Sales_fact[[#This Row],[Product_ID]],Product_Dim!A:A,Product_Dim!C:C,"OTHERS")</f>
        <v>Clothing</v>
      </c>
    </row>
    <row r="492" spans="1:18" x14ac:dyDescent="0.3">
      <c r="A492" t="s">
        <v>2316</v>
      </c>
      <c r="B492" s="2">
        <v>45371</v>
      </c>
      <c r="C492" t="s">
        <v>1298</v>
      </c>
      <c r="D492" t="s">
        <v>1726</v>
      </c>
      <c r="E492" t="str">
        <f ca="1">TRIM(Sales_fact[[#This Row],[Store_ID]])</f>
        <v>STORE18</v>
      </c>
      <c r="F492">
        <v>1</v>
      </c>
      <c r="G492">
        <f>IF(ISBLANK(F492),MODE($F$2:$F$2001),F492)</f>
        <v>1</v>
      </c>
      <c r="H492">
        <v>170.43</v>
      </c>
      <c r="I492">
        <f>IF(ISBLANK(H492),AVERAGE($H$2:$H$2001),H492)</f>
        <v>170.43</v>
      </c>
      <c r="J492">
        <v>0.03</v>
      </c>
      <c r="K492">
        <f>IF(ISBLANK(J492),MODE($J$2:$J$2001),J492)</f>
        <v>0.03</v>
      </c>
      <c r="L492" t="s">
        <v>1824</v>
      </c>
      <c r="M492">
        <v>165.31710000000001</v>
      </c>
      <c r="N492">
        <f t="shared" si="7"/>
        <v>165.31710000000001</v>
      </c>
      <c r="O492" t="str">
        <f>_xlfn.XLOOKUP(Sales_fact[[#This Row],[Customer_ID]],'Customer_Dim'!A:A,'Customer_Dim'!K:K,"Not Found")</f>
        <v>Silver</v>
      </c>
      <c r="P492">
        <f>_xlfn.XLOOKUP(Sales_fact[[#This Row],[Customer_ID]],'Customer_Dim'!A:A, 'Customer_Dim'!E:E, "Not Found")</f>
        <v>60</v>
      </c>
      <c r="Q492" t="str">
        <f>VLOOKUP(Sales_fact[[#This Row],[Customer_ID]], 'Customer_Dim'!A:F, 6, FALSE)</f>
        <v>Female</v>
      </c>
      <c r="R492" s="13" t="str">
        <f>_xlfn.XLOOKUP(Sales_fact[[#This Row],[Product_ID]],Product_Dim!A:A,Product_Dim!C:C,"OTHERS")</f>
        <v>Beauty</v>
      </c>
    </row>
    <row r="493" spans="1:18" x14ac:dyDescent="0.3">
      <c r="A493" t="s">
        <v>2317</v>
      </c>
      <c r="B493" s="2">
        <v>45462</v>
      </c>
      <c r="C493" t="s">
        <v>722</v>
      </c>
      <c r="D493" t="s">
        <v>1692</v>
      </c>
      <c r="E493" t="str">
        <f ca="1">TRIM(Sales_fact[[#This Row],[Store_ID]])</f>
        <v>STORE2</v>
      </c>
      <c r="F493">
        <v>3</v>
      </c>
      <c r="G493">
        <f>IF(ISBLANK(F493),MODE($F$2:$F$2001),F493)</f>
        <v>3</v>
      </c>
      <c r="H493">
        <v>480.51</v>
      </c>
      <c r="I493">
        <f>IF(ISBLANK(H493),AVERAGE($H$2:$H$2001),H493)</f>
        <v>480.51</v>
      </c>
      <c r="J493">
        <v>0.03</v>
      </c>
      <c r="K493">
        <f>IF(ISBLANK(J493),MODE($J$2:$J$2001),J493)</f>
        <v>0.03</v>
      </c>
      <c r="L493" t="s">
        <v>1824</v>
      </c>
      <c r="M493">
        <v>1398.2841000000001</v>
      </c>
      <c r="N493">
        <f t="shared" si="7"/>
        <v>1398.2840999999999</v>
      </c>
      <c r="O493" t="str">
        <f>_xlfn.XLOOKUP(Sales_fact[[#This Row],[Customer_ID]],'Customer_Dim'!A:A,'Customer_Dim'!K:K,"Not Found")</f>
        <v>Platinum</v>
      </c>
      <c r="P493">
        <f>_xlfn.XLOOKUP(Sales_fact[[#This Row],[Customer_ID]],'Customer_Dim'!A:A, 'Customer_Dim'!E:E, "Not Found")</f>
        <v>50</v>
      </c>
      <c r="Q493" t="str">
        <f>VLOOKUP(Sales_fact[[#This Row],[Customer_ID]], 'Customer_Dim'!A:F, 6, FALSE)</f>
        <v>Male</v>
      </c>
      <c r="R493" s="13" t="str">
        <f>_xlfn.XLOOKUP(Sales_fact[[#This Row],[Product_ID]],Product_Dim!A:A,Product_Dim!C:C,"OTHERS")</f>
        <v>Sports</v>
      </c>
    </row>
    <row r="494" spans="1:18" x14ac:dyDescent="0.3">
      <c r="A494" t="s">
        <v>2318</v>
      </c>
      <c r="B494" s="2">
        <v>45632</v>
      </c>
      <c r="C494" t="s">
        <v>523</v>
      </c>
      <c r="D494" t="s">
        <v>1646</v>
      </c>
      <c r="E494" t="str">
        <f ca="1">TRIM(Sales_fact[[#This Row],[Store_ID]])</f>
        <v>STORE7</v>
      </c>
      <c r="F494">
        <v>2</v>
      </c>
      <c r="G494">
        <f>IF(ISBLANK(F494),MODE($F$2:$F$2001),F494)</f>
        <v>2</v>
      </c>
      <c r="H494">
        <v>955.66</v>
      </c>
      <c r="I494">
        <f>IF(ISBLANK(H494),AVERAGE($H$2:$H$2001),H494)</f>
        <v>955.66</v>
      </c>
      <c r="J494">
        <v>0.28999999999999998</v>
      </c>
      <c r="K494">
        <f>IF(ISBLANK(J494),MODE($J$2:$J$2001),J494)</f>
        <v>0.28999999999999998</v>
      </c>
      <c r="L494" t="s">
        <v>1829</v>
      </c>
      <c r="M494">
        <v>1357.0372</v>
      </c>
      <c r="N494">
        <f t="shared" si="7"/>
        <v>1357.0372</v>
      </c>
      <c r="O494" t="str">
        <f>_xlfn.XLOOKUP(Sales_fact[[#This Row],[Customer_ID]],'Customer_Dim'!A:A,'Customer_Dim'!K:K,"Not Found")</f>
        <v>Bronze</v>
      </c>
      <c r="P494">
        <f>_xlfn.XLOOKUP(Sales_fact[[#This Row],[Customer_ID]],'Customer_Dim'!A:A, 'Customer_Dim'!E:E, "Not Found")</f>
        <v>46</v>
      </c>
      <c r="Q494" t="str">
        <f>VLOOKUP(Sales_fact[[#This Row],[Customer_ID]], 'Customer_Dim'!A:F, 6, FALSE)</f>
        <v>Male</v>
      </c>
      <c r="R494" s="13" t="str">
        <f>_xlfn.XLOOKUP(Sales_fact[[#This Row],[Product_ID]],Product_Dim!A:A,Product_Dim!C:C,"OTHERS")</f>
        <v>Beauty</v>
      </c>
    </row>
    <row r="495" spans="1:18" x14ac:dyDescent="0.3">
      <c r="A495" t="s">
        <v>2319</v>
      </c>
      <c r="B495" s="2">
        <v>45863</v>
      </c>
      <c r="C495" t="s">
        <v>1395</v>
      </c>
      <c r="D495" t="s">
        <v>1692</v>
      </c>
      <c r="E495" t="str">
        <f ca="1">TRIM(Sales_fact[[#This Row],[Store_ID]])</f>
        <v>STORE0</v>
      </c>
      <c r="F495">
        <v>2</v>
      </c>
      <c r="G495">
        <f>IF(ISBLANK(F495),MODE($F$2:$F$2001),F495)</f>
        <v>2</v>
      </c>
      <c r="H495">
        <v>488.02</v>
      </c>
      <c r="I495">
        <f>IF(ISBLANK(H495),AVERAGE($H$2:$H$2001),H495)</f>
        <v>488.02</v>
      </c>
      <c r="J495">
        <v>0.27</v>
      </c>
      <c r="K495">
        <f>IF(ISBLANK(J495),MODE($J$2:$J$2001),J495)</f>
        <v>0.27</v>
      </c>
      <c r="L495" t="s">
        <v>1826</v>
      </c>
      <c r="M495">
        <v>712.50919999999996</v>
      </c>
      <c r="N495">
        <f t="shared" si="7"/>
        <v>712.50919999999996</v>
      </c>
      <c r="O495" t="str">
        <f>_xlfn.XLOOKUP(Sales_fact[[#This Row],[Customer_ID]],'Customer_Dim'!A:A,'Customer_Dim'!K:K,"Not Found")</f>
        <v>Gold</v>
      </c>
      <c r="P495">
        <f>_xlfn.XLOOKUP(Sales_fact[[#This Row],[Customer_ID]],'Customer_Dim'!A:A, 'Customer_Dim'!E:E, "Not Found")</f>
        <v>46</v>
      </c>
      <c r="Q495" t="str">
        <f>VLOOKUP(Sales_fact[[#This Row],[Customer_ID]], 'Customer_Dim'!A:F, 6, FALSE)</f>
        <v>Male</v>
      </c>
      <c r="R495" s="13" t="str">
        <f>_xlfn.XLOOKUP(Sales_fact[[#This Row],[Product_ID]],Product_Dim!A:A,Product_Dim!C:C,"OTHERS")</f>
        <v>Sports</v>
      </c>
    </row>
    <row r="496" spans="1:18" x14ac:dyDescent="0.3">
      <c r="A496" t="s">
        <v>2320</v>
      </c>
      <c r="B496" s="2">
        <v>45501</v>
      </c>
      <c r="C496" t="s">
        <v>770</v>
      </c>
      <c r="D496" t="s">
        <v>1584</v>
      </c>
      <c r="E496" t="str">
        <f ca="1">TRIM(Sales_fact[[#This Row],[Store_ID]])</f>
        <v>STORE0</v>
      </c>
      <c r="F496">
        <v>1</v>
      </c>
      <c r="G496">
        <f>IF(ISBLANK(F496),MODE($F$2:$F$2001),F496)</f>
        <v>1</v>
      </c>
      <c r="H496">
        <v>917.17</v>
      </c>
      <c r="I496">
        <f>IF(ISBLANK(H496),AVERAGE($H$2:$H$2001),H496)</f>
        <v>917.17</v>
      </c>
      <c r="J496">
        <v>0.13</v>
      </c>
      <c r="K496">
        <f>IF(ISBLANK(J496),MODE($J$2:$J$2001),J496)</f>
        <v>0.13</v>
      </c>
      <c r="L496" t="s">
        <v>1829</v>
      </c>
      <c r="M496">
        <v>797.93790000000001</v>
      </c>
      <c r="N496">
        <f t="shared" si="7"/>
        <v>797.93790000000001</v>
      </c>
      <c r="O496" t="str">
        <f>_xlfn.XLOOKUP(Sales_fact[[#This Row],[Customer_ID]],'Customer_Dim'!A:A,'Customer_Dim'!K:K,"Not Found")</f>
        <v>Platinum</v>
      </c>
      <c r="P496">
        <f>_xlfn.XLOOKUP(Sales_fact[[#This Row],[Customer_ID]],'Customer_Dim'!A:A, 'Customer_Dim'!E:E, "Not Found")</f>
        <v>59</v>
      </c>
      <c r="Q496" t="str">
        <f>VLOOKUP(Sales_fact[[#This Row],[Customer_ID]], 'Customer_Dim'!A:F, 6, FALSE)</f>
        <v>Female</v>
      </c>
      <c r="R496" s="13" t="str">
        <f>_xlfn.XLOOKUP(Sales_fact[[#This Row],[Product_ID]],Product_Dim!A:A,Product_Dim!C:C,"OTHERS")</f>
        <v>Clothing</v>
      </c>
    </row>
    <row r="497" spans="1:18" x14ac:dyDescent="0.3">
      <c r="A497" t="s">
        <v>2321</v>
      </c>
      <c r="B497" s="2">
        <v>45568</v>
      </c>
      <c r="C497" t="s">
        <v>1020</v>
      </c>
      <c r="D497" t="s">
        <v>1562</v>
      </c>
      <c r="E497" t="str">
        <f ca="1">TRIM(Sales_fact[[#This Row],[Store_ID]])</f>
        <v>STORE5</v>
      </c>
      <c r="F497">
        <v>2</v>
      </c>
      <c r="G497">
        <f>IF(ISBLANK(F497),MODE($F$2:$F$2001),F497)</f>
        <v>2</v>
      </c>
      <c r="H497">
        <v>406.46</v>
      </c>
      <c r="I497">
        <f>IF(ISBLANK(H497),AVERAGE($H$2:$H$2001),H497)</f>
        <v>406.46</v>
      </c>
      <c r="J497">
        <v>0.3</v>
      </c>
      <c r="K497">
        <f>IF(ISBLANK(J497),MODE($J$2:$J$2001),J497)</f>
        <v>0.3</v>
      </c>
      <c r="L497" t="s">
        <v>1826</v>
      </c>
      <c r="M497">
        <v>569.04399999999998</v>
      </c>
      <c r="N497">
        <f t="shared" si="7"/>
        <v>569.04399999999998</v>
      </c>
      <c r="O497" t="str">
        <f>_xlfn.XLOOKUP(Sales_fact[[#This Row],[Customer_ID]],'Customer_Dim'!A:A,'Customer_Dim'!K:K,"Not Found")</f>
        <v>Bronze</v>
      </c>
      <c r="P497">
        <f>_xlfn.XLOOKUP(Sales_fact[[#This Row],[Customer_ID]],'Customer_Dim'!A:A, 'Customer_Dim'!E:E, "Not Found")</f>
        <v>58</v>
      </c>
      <c r="Q497" t="str">
        <f>VLOOKUP(Sales_fact[[#This Row],[Customer_ID]], 'Customer_Dim'!A:F, 6, FALSE)</f>
        <v>Male</v>
      </c>
      <c r="R497" s="13" t="str">
        <f>_xlfn.XLOOKUP(Sales_fact[[#This Row],[Product_ID]],Product_Dim!A:A,Product_Dim!C:C,"OTHERS")</f>
        <v>Electronics</v>
      </c>
    </row>
    <row r="498" spans="1:18" x14ac:dyDescent="0.3">
      <c r="A498" t="s">
        <v>2322</v>
      </c>
      <c r="B498" s="2">
        <v>45238</v>
      </c>
      <c r="C498" t="s">
        <v>746</v>
      </c>
      <c r="D498" t="s">
        <v>1738</v>
      </c>
      <c r="E498" t="str">
        <f ca="1">TRIM(Sales_fact[[#This Row],[Store_ID]])</f>
        <v>STORE0</v>
      </c>
      <c r="F498">
        <v>2</v>
      </c>
      <c r="G498">
        <f>IF(ISBLANK(F498),MODE($F$2:$F$2001),F498)</f>
        <v>2</v>
      </c>
      <c r="H498">
        <v>264.39</v>
      </c>
      <c r="I498">
        <f>IF(ISBLANK(H498),AVERAGE($H$2:$H$2001),H498)</f>
        <v>264.39</v>
      </c>
      <c r="J498">
        <v>0.11</v>
      </c>
      <c r="K498">
        <f>IF(ISBLANK(J498),MODE($J$2:$J$2001),J498)</f>
        <v>0.11</v>
      </c>
      <c r="L498" t="s">
        <v>1829</v>
      </c>
      <c r="M498">
        <v>470.61419999999998</v>
      </c>
      <c r="N498">
        <f t="shared" si="7"/>
        <v>470.61419999999998</v>
      </c>
      <c r="O498" t="str">
        <f>_xlfn.XLOOKUP(Sales_fact[[#This Row],[Customer_ID]],'Customer_Dim'!A:A,'Customer_Dim'!K:K,"Not Found")</f>
        <v>Platinum</v>
      </c>
      <c r="P498">
        <f>_xlfn.XLOOKUP(Sales_fact[[#This Row],[Customer_ID]],'Customer_Dim'!A:A, 'Customer_Dim'!E:E, "Not Found")</f>
        <v>27</v>
      </c>
      <c r="Q498" t="str">
        <f>VLOOKUP(Sales_fact[[#This Row],[Customer_ID]], 'Customer_Dim'!A:F, 6, FALSE)</f>
        <v>Female</v>
      </c>
      <c r="R498" s="13" t="str">
        <f>_xlfn.XLOOKUP(Sales_fact[[#This Row],[Product_ID]],Product_Dim!A:A,Product_Dim!C:C,"OTHERS")</f>
        <v>Sports</v>
      </c>
    </row>
    <row r="499" spans="1:18" x14ac:dyDescent="0.3">
      <c r="A499" t="s">
        <v>2323</v>
      </c>
      <c r="B499" s="2">
        <v>45754</v>
      </c>
      <c r="C499" t="s">
        <v>628</v>
      </c>
      <c r="D499" t="s">
        <v>1684</v>
      </c>
      <c r="E499" t="str">
        <f ca="1">TRIM(Sales_fact[[#This Row],[Store_ID]])</f>
        <v>STORE16</v>
      </c>
      <c r="F499">
        <v>1</v>
      </c>
      <c r="G499">
        <f>IF(ISBLANK(F499),MODE($F$2:$F$2001),F499)</f>
        <v>1</v>
      </c>
      <c r="H499">
        <v>414.97</v>
      </c>
      <c r="I499">
        <f>IF(ISBLANK(H499),AVERAGE($H$2:$H$2001),H499)</f>
        <v>414.97</v>
      </c>
      <c r="J499">
        <v>0.22</v>
      </c>
      <c r="K499">
        <f>IF(ISBLANK(J499),MODE($J$2:$J$2001),J499)</f>
        <v>0.22</v>
      </c>
      <c r="L499" t="s">
        <v>1826</v>
      </c>
      <c r="M499">
        <v>323.67660000000001</v>
      </c>
      <c r="N499">
        <f t="shared" si="7"/>
        <v>323.67660000000001</v>
      </c>
      <c r="O499" t="str">
        <f>_xlfn.XLOOKUP(Sales_fact[[#This Row],[Customer_ID]],'Customer_Dim'!A:A,'Customer_Dim'!K:K,"Not Found")</f>
        <v>Bronze</v>
      </c>
      <c r="P499">
        <f>_xlfn.XLOOKUP(Sales_fact[[#This Row],[Customer_ID]],'Customer_Dim'!A:A, 'Customer_Dim'!E:E, "Not Found")</f>
        <v>29</v>
      </c>
      <c r="Q499" t="str">
        <f>VLOOKUP(Sales_fact[[#This Row],[Customer_ID]], 'Customer_Dim'!A:F, 6, FALSE)</f>
        <v>Female</v>
      </c>
      <c r="R499" s="13" t="str">
        <f>_xlfn.XLOOKUP(Sales_fact[[#This Row],[Product_ID]],Product_Dim!A:A,Product_Dim!C:C,"OTHERS")</f>
        <v>Home</v>
      </c>
    </row>
    <row r="500" spans="1:18" x14ac:dyDescent="0.3">
      <c r="A500" t="s">
        <v>2324</v>
      </c>
      <c r="B500" s="2">
        <v>45280</v>
      </c>
      <c r="C500" t="s">
        <v>493</v>
      </c>
      <c r="D500" t="s">
        <v>1598</v>
      </c>
      <c r="E500" t="str">
        <f ca="1">TRIM(Sales_fact[[#This Row],[Store_ID]])</f>
        <v>STORE12</v>
      </c>
      <c r="F500">
        <v>2</v>
      </c>
      <c r="G500">
        <f>IF(ISBLANK(F500),MODE($F$2:$F$2001),F500)</f>
        <v>2</v>
      </c>
      <c r="H500">
        <v>583.51</v>
      </c>
      <c r="I500">
        <f>IF(ISBLANK(H500),AVERAGE($H$2:$H$2001),H500)</f>
        <v>583.51</v>
      </c>
      <c r="J500">
        <v>0.2</v>
      </c>
      <c r="K500">
        <f>IF(ISBLANK(J500),MODE($J$2:$J$2001),J500)</f>
        <v>0.2</v>
      </c>
      <c r="L500" t="s">
        <v>1829</v>
      </c>
      <c r="M500">
        <v>933.61599999999999</v>
      </c>
      <c r="N500">
        <f t="shared" si="7"/>
        <v>933.61599999999999</v>
      </c>
      <c r="O500" t="str">
        <f>_xlfn.XLOOKUP(Sales_fact[[#This Row],[Customer_ID]],'Customer_Dim'!A:A,'Customer_Dim'!K:K,"Not Found")</f>
        <v>Gold</v>
      </c>
      <c r="P500">
        <f>_xlfn.XLOOKUP(Sales_fact[[#This Row],[Customer_ID]],'Customer_Dim'!A:A, 'Customer_Dim'!E:E, "Not Found")</f>
        <v>32</v>
      </c>
      <c r="Q500" t="str">
        <f>VLOOKUP(Sales_fact[[#This Row],[Customer_ID]], 'Customer_Dim'!A:F, 6, FALSE)</f>
        <v>Female</v>
      </c>
      <c r="R500" s="13" t="str">
        <f>_xlfn.XLOOKUP(Sales_fact[[#This Row],[Product_ID]],Product_Dim!A:A,Product_Dim!C:C,"OTHERS")</f>
        <v>Clothing</v>
      </c>
    </row>
    <row r="501" spans="1:18" x14ac:dyDescent="0.3">
      <c r="A501" t="s">
        <v>2325</v>
      </c>
      <c r="B501" s="2">
        <v>45911</v>
      </c>
      <c r="C501" t="s">
        <v>55</v>
      </c>
      <c r="D501" t="s">
        <v>1610</v>
      </c>
      <c r="E501" t="str">
        <f ca="1">TRIM(Sales_fact[[#This Row],[Store_ID]])</f>
        <v>STORE17</v>
      </c>
      <c r="F501">
        <v>1</v>
      </c>
      <c r="G501">
        <f>IF(ISBLANK(F501),MODE($F$2:$F$2001),F501)</f>
        <v>1</v>
      </c>
      <c r="H501">
        <v>659.27</v>
      </c>
      <c r="I501">
        <f>IF(ISBLANK(H501),AVERAGE($H$2:$H$2001),H501)</f>
        <v>659.27</v>
      </c>
      <c r="J501">
        <v>0.15</v>
      </c>
      <c r="K501">
        <f>IF(ISBLANK(J501),MODE($J$2:$J$2001),J501)</f>
        <v>0.15</v>
      </c>
      <c r="L501" t="s">
        <v>1826</v>
      </c>
      <c r="M501">
        <v>560.37950000000001</v>
      </c>
      <c r="N501">
        <f t="shared" si="7"/>
        <v>560.37950000000001</v>
      </c>
      <c r="O501" t="str">
        <f>_xlfn.XLOOKUP(Sales_fact[[#This Row],[Customer_ID]],'Customer_Dim'!A:A,'Customer_Dim'!K:K,"Not Found")</f>
        <v>Gold</v>
      </c>
      <c r="P501">
        <f>_xlfn.XLOOKUP(Sales_fact[[#This Row],[Customer_ID]],'Customer_Dim'!A:A, 'Customer_Dim'!E:E, "Not Found")</f>
        <v>28</v>
      </c>
      <c r="Q501" t="str">
        <f>VLOOKUP(Sales_fact[[#This Row],[Customer_ID]], 'Customer_Dim'!A:F, 6, FALSE)</f>
        <v>Female</v>
      </c>
      <c r="R501" s="13" t="str">
        <f>_xlfn.XLOOKUP(Sales_fact[[#This Row],[Product_ID]],Product_Dim!A:A,Product_Dim!C:C,"OTHERS")</f>
        <v>Sports</v>
      </c>
    </row>
    <row r="502" spans="1:18" x14ac:dyDescent="0.3">
      <c r="A502" t="s">
        <v>2326</v>
      </c>
      <c r="B502" s="2">
        <v>45627</v>
      </c>
      <c r="C502" t="s">
        <v>1377</v>
      </c>
      <c r="D502" t="s">
        <v>1549</v>
      </c>
      <c r="E502" t="str">
        <f ca="1">TRIM(Sales_fact[[#This Row],[Store_ID]])</f>
        <v>STORE4</v>
      </c>
      <c r="F502">
        <v>4</v>
      </c>
      <c r="G502">
        <f>IF(ISBLANK(F502),MODE($F$2:$F$2001),F502)</f>
        <v>4</v>
      </c>
      <c r="H502">
        <v>106.66</v>
      </c>
      <c r="I502">
        <f>IF(ISBLANK(H502),AVERAGE($H$2:$H$2001),H502)</f>
        <v>106.66</v>
      </c>
      <c r="J502">
        <v>0.2</v>
      </c>
      <c r="K502">
        <f>IF(ISBLANK(J502),MODE($J$2:$J$2001),J502)</f>
        <v>0.2</v>
      </c>
      <c r="L502" t="s">
        <v>1829</v>
      </c>
      <c r="M502">
        <v>341.31200000000001</v>
      </c>
      <c r="N502">
        <f t="shared" si="7"/>
        <v>341.31200000000001</v>
      </c>
      <c r="O502" t="str">
        <f>_xlfn.XLOOKUP(Sales_fact[[#This Row],[Customer_ID]],'Customer_Dim'!A:A,'Customer_Dim'!K:K,"Not Found")</f>
        <v>Platinum</v>
      </c>
      <c r="P502">
        <f>_xlfn.XLOOKUP(Sales_fact[[#This Row],[Customer_ID]],'Customer_Dim'!A:A, 'Customer_Dim'!E:E, "Not Found")</f>
        <v>41</v>
      </c>
      <c r="Q502" t="str">
        <f>VLOOKUP(Sales_fact[[#This Row],[Customer_ID]], 'Customer_Dim'!A:F, 6, FALSE)</f>
        <v>Female</v>
      </c>
      <c r="R502" s="13" t="str">
        <f>_xlfn.XLOOKUP(Sales_fact[[#This Row],[Product_ID]],Product_Dim!A:A,Product_Dim!C:C,"OTHERS")</f>
        <v>Clothing</v>
      </c>
    </row>
    <row r="503" spans="1:18" x14ac:dyDescent="0.3">
      <c r="A503" t="s">
        <v>2327</v>
      </c>
      <c r="B503" s="2">
        <v>45617</v>
      </c>
      <c r="C503" t="s">
        <v>544</v>
      </c>
      <c r="D503" t="s">
        <v>1568</v>
      </c>
      <c r="E503" t="str">
        <f ca="1">TRIM(Sales_fact[[#This Row],[Store_ID]])</f>
        <v>STORE5</v>
      </c>
      <c r="F503">
        <v>4</v>
      </c>
      <c r="G503">
        <f>IF(ISBLANK(F503),MODE($F$2:$F$2001),F503)</f>
        <v>4</v>
      </c>
      <c r="H503">
        <v>168.55</v>
      </c>
      <c r="I503">
        <f>IF(ISBLANK(H503),AVERAGE($H$2:$H$2001),H503)</f>
        <v>168.55</v>
      </c>
      <c r="J503">
        <v>0.15</v>
      </c>
      <c r="K503">
        <f>IF(ISBLANK(J503),MODE($J$2:$J$2001),J503)</f>
        <v>0.15</v>
      </c>
      <c r="L503" t="s">
        <v>1826</v>
      </c>
      <c r="M503">
        <v>573.07000000000005</v>
      </c>
      <c r="N503">
        <f t="shared" si="7"/>
        <v>573.07000000000005</v>
      </c>
      <c r="O503" t="str">
        <f>_xlfn.XLOOKUP(Sales_fact[[#This Row],[Customer_ID]],'Customer_Dim'!A:A,'Customer_Dim'!K:K,"Not Found")</f>
        <v>Bronze</v>
      </c>
      <c r="P503">
        <f>_xlfn.XLOOKUP(Sales_fact[[#This Row],[Customer_ID]],'Customer_Dim'!A:A, 'Customer_Dim'!E:E, "Not Found")</f>
        <v>21</v>
      </c>
      <c r="Q503" t="str">
        <f>VLOOKUP(Sales_fact[[#This Row],[Customer_ID]], 'Customer_Dim'!A:F, 6, FALSE)</f>
        <v>Male</v>
      </c>
      <c r="R503" s="13" t="str">
        <f>_xlfn.XLOOKUP(Sales_fact[[#This Row],[Product_ID]],Product_Dim!A:A,Product_Dim!C:C,"OTHERS")</f>
        <v>Home</v>
      </c>
    </row>
    <row r="504" spans="1:18" x14ac:dyDescent="0.3">
      <c r="A504" t="s">
        <v>2328</v>
      </c>
      <c r="B504" s="2">
        <v>45899</v>
      </c>
      <c r="C504" t="s">
        <v>1501</v>
      </c>
      <c r="D504" t="s">
        <v>1636</v>
      </c>
      <c r="E504" t="str">
        <f ca="1">TRIM(Sales_fact[[#This Row],[Store_ID]])</f>
        <v>STORE2</v>
      </c>
      <c r="F504">
        <v>1</v>
      </c>
      <c r="G504">
        <f>IF(ISBLANK(F504),MODE($F$2:$F$2001),F504)</f>
        <v>1</v>
      </c>
      <c r="H504">
        <v>230.53</v>
      </c>
      <c r="I504">
        <f>IF(ISBLANK(H504),AVERAGE($H$2:$H$2001),H504)</f>
        <v>230.53</v>
      </c>
      <c r="J504">
        <v>0.06</v>
      </c>
      <c r="K504">
        <f>IF(ISBLANK(J504),MODE($J$2:$J$2001),J504)</f>
        <v>0.06</v>
      </c>
      <c r="L504" t="s">
        <v>1829</v>
      </c>
      <c r="M504">
        <v>216.69820000000001</v>
      </c>
      <c r="N504">
        <f t="shared" si="7"/>
        <v>216.69819999999999</v>
      </c>
      <c r="O504" t="str">
        <f>_xlfn.XLOOKUP(Sales_fact[[#This Row],[Customer_ID]],'Customer_Dim'!A:A,'Customer_Dim'!K:K,"Not Found")</f>
        <v>Platinum</v>
      </c>
      <c r="P504">
        <f>_xlfn.XLOOKUP(Sales_fact[[#This Row],[Customer_ID]],'Customer_Dim'!A:A, 'Customer_Dim'!E:E, "Not Found")</f>
        <v>23</v>
      </c>
      <c r="Q504" t="str">
        <f>VLOOKUP(Sales_fact[[#This Row],[Customer_ID]], 'Customer_Dim'!A:F, 6, FALSE)</f>
        <v>Female</v>
      </c>
      <c r="R504" s="13" t="str">
        <f>_xlfn.XLOOKUP(Sales_fact[[#This Row],[Product_ID]],Product_Dim!A:A,Product_Dim!C:C,"OTHERS")</f>
        <v>Sports</v>
      </c>
    </row>
    <row r="505" spans="1:18" x14ac:dyDescent="0.3">
      <c r="A505" t="s">
        <v>2329</v>
      </c>
      <c r="B505" s="2">
        <v>45889</v>
      </c>
      <c r="C505" t="s">
        <v>40</v>
      </c>
      <c r="D505" t="s">
        <v>1656</v>
      </c>
      <c r="E505" t="str">
        <f ca="1">TRIM(Sales_fact[[#This Row],[Store_ID]])</f>
        <v>STORE1</v>
      </c>
      <c r="F505">
        <v>2</v>
      </c>
      <c r="G505">
        <f>IF(ISBLANK(F505),MODE($F$2:$F$2001),F505)</f>
        <v>2</v>
      </c>
      <c r="H505">
        <v>355.41</v>
      </c>
      <c r="I505">
        <f>IF(ISBLANK(H505),AVERAGE($H$2:$H$2001),H505)</f>
        <v>355.41</v>
      </c>
      <c r="J505">
        <v>0.13</v>
      </c>
      <c r="K505">
        <f>IF(ISBLANK(J505),MODE($J$2:$J$2001),J505)</f>
        <v>0.13</v>
      </c>
      <c r="L505" t="s">
        <v>1829</v>
      </c>
      <c r="M505">
        <v>618.41340000000002</v>
      </c>
      <c r="N505">
        <f t="shared" si="7"/>
        <v>618.41340000000002</v>
      </c>
      <c r="O505" t="str">
        <f>_xlfn.XLOOKUP(Sales_fact[[#This Row],[Customer_ID]],'Customer_Dim'!A:A,'Customer_Dim'!K:K,"Not Found")</f>
        <v>Bronze</v>
      </c>
      <c r="P505">
        <f>_xlfn.XLOOKUP(Sales_fact[[#This Row],[Customer_ID]],'Customer_Dim'!A:A, 'Customer_Dim'!E:E, "Not Found")</f>
        <v>29</v>
      </c>
      <c r="Q505" t="str">
        <f>VLOOKUP(Sales_fact[[#This Row],[Customer_ID]], 'Customer_Dim'!A:F, 6, FALSE)</f>
        <v>Female</v>
      </c>
      <c r="R505" s="13" t="str">
        <f>_xlfn.XLOOKUP(Sales_fact[[#This Row],[Product_ID]],Product_Dim!A:A,Product_Dim!C:C,"OTHERS")</f>
        <v>Sports</v>
      </c>
    </row>
    <row r="506" spans="1:18" x14ac:dyDescent="0.3">
      <c r="A506" t="s">
        <v>2330</v>
      </c>
      <c r="B506" s="2">
        <v>45943</v>
      </c>
      <c r="C506" t="s">
        <v>556</v>
      </c>
      <c r="D506" t="s">
        <v>1642</v>
      </c>
      <c r="E506" t="str">
        <f ca="1">TRIM(Sales_fact[[#This Row],[Store_ID]])</f>
        <v>STORE2</v>
      </c>
      <c r="F506">
        <v>3</v>
      </c>
      <c r="G506">
        <f>IF(ISBLANK(F506),MODE($F$2:$F$2001),F506)</f>
        <v>3</v>
      </c>
      <c r="H506">
        <v>843.44</v>
      </c>
      <c r="I506">
        <f>IF(ISBLANK(H506),AVERAGE($H$2:$H$2001),H506)</f>
        <v>843.44</v>
      </c>
      <c r="J506">
        <v>0.22</v>
      </c>
      <c r="K506">
        <f>IF(ISBLANK(J506),MODE($J$2:$J$2001),J506)</f>
        <v>0.22</v>
      </c>
      <c r="L506" t="s">
        <v>1824</v>
      </c>
      <c r="M506">
        <v>1973.6496</v>
      </c>
      <c r="N506">
        <f t="shared" si="7"/>
        <v>1973.6496000000002</v>
      </c>
      <c r="O506" t="str">
        <f>_xlfn.XLOOKUP(Sales_fact[[#This Row],[Customer_ID]],'Customer_Dim'!A:A,'Customer_Dim'!K:K,"Not Found")</f>
        <v>Gold</v>
      </c>
      <c r="P506">
        <f>_xlfn.XLOOKUP(Sales_fact[[#This Row],[Customer_ID]],'Customer_Dim'!A:A, 'Customer_Dim'!E:E, "Not Found")</f>
        <v>36</v>
      </c>
      <c r="Q506" t="str">
        <f>VLOOKUP(Sales_fact[[#This Row],[Customer_ID]], 'Customer_Dim'!A:F, 6, FALSE)</f>
        <v>Female</v>
      </c>
      <c r="R506" s="13" t="str">
        <f>_xlfn.XLOOKUP(Sales_fact[[#This Row],[Product_ID]],Product_Dim!A:A,Product_Dim!C:C,"OTHERS")</f>
        <v>Beauty</v>
      </c>
    </row>
    <row r="507" spans="1:18" x14ac:dyDescent="0.3">
      <c r="A507" t="s">
        <v>2331</v>
      </c>
      <c r="B507" s="2">
        <v>45306</v>
      </c>
      <c r="C507" t="s">
        <v>544</v>
      </c>
      <c r="D507" t="s">
        <v>1738</v>
      </c>
      <c r="E507" t="str">
        <f ca="1">TRIM(Sales_fact[[#This Row],[Store_ID]])</f>
        <v>STORE1</v>
      </c>
      <c r="F507">
        <v>1</v>
      </c>
      <c r="G507">
        <f>IF(ISBLANK(F507),MODE($F$2:$F$2001),F507)</f>
        <v>1</v>
      </c>
      <c r="H507">
        <v>301.60000000000002</v>
      </c>
      <c r="I507">
        <f>IF(ISBLANK(H507),AVERAGE($H$2:$H$2001),H507)</f>
        <v>301.60000000000002</v>
      </c>
      <c r="J507">
        <v>0.27</v>
      </c>
      <c r="K507">
        <f>IF(ISBLANK(J507),MODE($J$2:$J$2001),J507)</f>
        <v>0.27</v>
      </c>
      <c r="L507" t="s">
        <v>1824</v>
      </c>
      <c r="M507">
        <v>220.16800000000001</v>
      </c>
      <c r="N507">
        <f t="shared" si="7"/>
        <v>220.16800000000001</v>
      </c>
      <c r="O507" t="str">
        <f>_xlfn.XLOOKUP(Sales_fact[[#This Row],[Customer_ID]],'Customer_Dim'!A:A,'Customer_Dim'!K:K,"Not Found")</f>
        <v>Bronze</v>
      </c>
      <c r="P507">
        <f>_xlfn.XLOOKUP(Sales_fact[[#This Row],[Customer_ID]],'Customer_Dim'!A:A, 'Customer_Dim'!E:E, "Not Found")</f>
        <v>21</v>
      </c>
      <c r="Q507" t="str">
        <f>VLOOKUP(Sales_fact[[#This Row],[Customer_ID]], 'Customer_Dim'!A:F, 6, FALSE)</f>
        <v>Male</v>
      </c>
      <c r="R507" s="13" t="str">
        <f>_xlfn.XLOOKUP(Sales_fact[[#This Row],[Product_ID]],Product_Dim!A:A,Product_Dim!C:C,"OTHERS")</f>
        <v>Sports</v>
      </c>
    </row>
    <row r="508" spans="1:18" x14ac:dyDescent="0.3">
      <c r="A508" t="s">
        <v>2332</v>
      </c>
      <c r="B508" s="2">
        <v>45772</v>
      </c>
      <c r="C508" t="s">
        <v>164</v>
      </c>
      <c r="D508" t="s">
        <v>1726</v>
      </c>
      <c r="E508" t="str">
        <f ca="1">TRIM(Sales_fact[[#This Row],[Store_ID]])</f>
        <v>STORE2</v>
      </c>
      <c r="F508">
        <v>3</v>
      </c>
      <c r="G508">
        <f>IF(ISBLANK(F508),MODE($F$2:$F$2001),F508)</f>
        <v>3</v>
      </c>
      <c r="H508">
        <v>21.59</v>
      </c>
      <c r="I508">
        <f>IF(ISBLANK(H508),AVERAGE($H$2:$H$2001),H508)</f>
        <v>21.59</v>
      </c>
      <c r="J508">
        <v>0.16</v>
      </c>
      <c r="K508">
        <f>IF(ISBLANK(J508),MODE($J$2:$J$2001),J508)</f>
        <v>0.16</v>
      </c>
      <c r="L508" t="s">
        <v>1829</v>
      </c>
      <c r="M508">
        <v>54.406799999999997</v>
      </c>
      <c r="N508">
        <f t="shared" si="7"/>
        <v>54.406799999999997</v>
      </c>
      <c r="O508" t="str">
        <f>_xlfn.XLOOKUP(Sales_fact[[#This Row],[Customer_ID]],'Customer_Dim'!A:A,'Customer_Dim'!K:K,"Not Found")</f>
        <v>Platinum</v>
      </c>
      <c r="P508">
        <f>_xlfn.XLOOKUP(Sales_fact[[#This Row],[Customer_ID]],'Customer_Dim'!A:A, 'Customer_Dim'!E:E, "Not Found")</f>
        <v>19</v>
      </c>
      <c r="Q508" t="str">
        <f>VLOOKUP(Sales_fact[[#This Row],[Customer_ID]], 'Customer_Dim'!A:F, 6, FALSE)</f>
        <v>Male</v>
      </c>
      <c r="R508" s="13" t="str">
        <f>_xlfn.XLOOKUP(Sales_fact[[#This Row],[Product_ID]],Product_Dim!A:A,Product_Dim!C:C,"OTHERS")</f>
        <v>Beauty</v>
      </c>
    </row>
    <row r="509" spans="1:18" x14ac:dyDescent="0.3">
      <c r="A509" t="s">
        <v>2333</v>
      </c>
      <c r="B509" s="2">
        <v>45346</v>
      </c>
      <c r="C509" t="s">
        <v>690</v>
      </c>
      <c r="D509" t="s">
        <v>1574</v>
      </c>
      <c r="E509" t="str">
        <f ca="1">TRIM(Sales_fact[[#This Row],[Store_ID]])</f>
        <v>STORE2</v>
      </c>
      <c r="F509">
        <v>4</v>
      </c>
      <c r="G509">
        <f>IF(ISBLANK(F509),MODE($F$2:$F$2001),F509)</f>
        <v>4</v>
      </c>
      <c r="H509">
        <v>284.24</v>
      </c>
      <c r="I509">
        <f>IF(ISBLANK(H509),AVERAGE($H$2:$H$2001),H509)</f>
        <v>284.24</v>
      </c>
      <c r="J509">
        <v>0.09</v>
      </c>
      <c r="K509">
        <f>IF(ISBLANK(J509),MODE($J$2:$J$2001),J509)</f>
        <v>0.09</v>
      </c>
      <c r="L509" t="s">
        <v>1824</v>
      </c>
      <c r="M509">
        <v>1034.6335999999999</v>
      </c>
      <c r="N509">
        <f t="shared" si="7"/>
        <v>1034.6336000000001</v>
      </c>
      <c r="O509" t="str">
        <f>_xlfn.XLOOKUP(Sales_fact[[#This Row],[Customer_ID]],'Customer_Dim'!A:A,'Customer_Dim'!K:K,"Not Found")</f>
        <v>Platinum</v>
      </c>
      <c r="P509">
        <f>_xlfn.XLOOKUP(Sales_fact[[#This Row],[Customer_ID]],'Customer_Dim'!A:A, 'Customer_Dim'!E:E, "Not Found")</f>
        <v>63</v>
      </c>
      <c r="Q509" t="str">
        <f>VLOOKUP(Sales_fact[[#This Row],[Customer_ID]], 'Customer_Dim'!A:F, 6, FALSE)</f>
        <v>Female</v>
      </c>
      <c r="R509" s="13" t="str">
        <f>_xlfn.XLOOKUP(Sales_fact[[#This Row],[Product_ID]],Product_Dim!A:A,Product_Dim!C:C,"OTHERS")</f>
        <v>Electronics</v>
      </c>
    </row>
    <row r="510" spans="1:18" x14ac:dyDescent="0.3">
      <c r="A510" t="s">
        <v>2334</v>
      </c>
      <c r="B510" s="2">
        <v>45656</v>
      </c>
      <c r="C510" t="s">
        <v>1151</v>
      </c>
      <c r="D510" t="s">
        <v>1555</v>
      </c>
      <c r="E510" t="str">
        <f ca="1">TRIM(Sales_fact[[#This Row],[Store_ID]])</f>
        <v>STORE9</v>
      </c>
      <c r="F510">
        <v>1</v>
      </c>
      <c r="G510">
        <f>IF(ISBLANK(F510),MODE($F$2:$F$2001),F510)</f>
        <v>1</v>
      </c>
      <c r="H510">
        <v>191.6</v>
      </c>
      <c r="I510">
        <f>IF(ISBLANK(H510),AVERAGE($H$2:$H$2001),H510)</f>
        <v>191.6</v>
      </c>
      <c r="J510">
        <v>0.27</v>
      </c>
      <c r="K510">
        <f>IF(ISBLANK(J510),MODE($J$2:$J$2001),J510)</f>
        <v>0.27</v>
      </c>
      <c r="L510" t="s">
        <v>1826</v>
      </c>
      <c r="M510">
        <v>139.86799999999999</v>
      </c>
      <c r="N510">
        <f t="shared" si="7"/>
        <v>139.86799999999999</v>
      </c>
      <c r="O510" t="str">
        <f>_xlfn.XLOOKUP(Sales_fact[[#This Row],[Customer_ID]],'Customer_Dim'!A:A,'Customer_Dim'!K:K,"Not Found")</f>
        <v>Platinum</v>
      </c>
      <c r="P510">
        <f>_xlfn.XLOOKUP(Sales_fact[[#This Row],[Customer_ID]],'Customer_Dim'!A:A, 'Customer_Dim'!E:E, "Not Found")</f>
        <v>34</v>
      </c>
      <c r="Q510" t="str">
        <f>VLOOKUP(Sales_fact[[#This Row],[Customer_ID]], 'Customer_Dim'!A:F, 6, FALSE)</f>
        <v>Female</v>
      </c>
      <c r="R510" s="13" t="str">
        <f>_xlfn.XLOOKUP(Sales_fact[[#This Row],[Product_ID]],Product_Dim!A:A,Product_Dim!C:C,"OTHERS")</f>
        <v>Clothing</v>
      </c>
    </row>
    <row r="511" spans="1:18" x14ac:dyDescent="0.3">
      <c r="A511" t="s">
        <v>2335</v>
      </c>
      <c r="B511" s="2">
        <v>45762</v>
      </c>
      <c r="C511" t="s">
        <v>981</v>
      </c>
      <c r="D511" t="s">
        <v>1704</v>
      </c>
      <c r="E511" t="str">
        <f ca="1">TRIM(Sales_fact[[#This Row],[Store_ID]])</f>
        <v>STORE12</v>
      </c>
      <c r="F511">
        <v>2</v>
      </c>
      <c r="G511">
        <f>IF(ISBLANK(F511),MODE($F$2:$F$2001),F511)</f>
        <v>2</v>
      </c>
      <c r="H511">
        <v>616.97</v>
      </c>
      <c r="I511">
        <f>IF(ISBLANK(H511),AVERAGE($H$2:$H$2001),H511)</f>
        <v>616.97</v>
      </c>
      <c r="J511">
        <v>0.22</v>
      </c>
      <c r="K511">
        <f>IF(ISBLANK(J511),MODE($J$2:$J$2001),J511)</f>
        <v>0.22</v>
      </c>
      <c r="L511" t="s">
        <v>1824</v>
      </c>
      <c r="M511">
        <v>962.47320000000002</v>
      </c>
      <c r="N511">
        <f t="shared" si="7"/>
        <v>962.47320000000002</v>
      </c>
      <c r="O511" t="str">
        <f>_xlfn.XLOOKUP(Sales_fact[[#This Row],[Customer_ID]],'Customer_Dim'!A:A,'Customer_Dim'!K:K,"Not Found")</f>
        <v>Platinum</v>
      </c>
      <c r="P511">
        <f>_xlfn.XLOOKUP(Sales_fact[[#This Row],[Customer_ID]],'Customer_Dim'!A:A, 'Customer_Dim'!E:E, "Not Found")</f>
        <v>35</v>
      </c>
      <c r="Q511" t="str">
        <f>VLOOKUP(Sales_fact[[#This Row],[Customer_ID]], 'Customer_Dim'!A:F, 6, FALSE)</f>
        <v>Male</v>
      </c>
      <c r="R511" s="13" t="str">
        <f>_xlfn.XLOOKUP(Sales_fact[[#This Row],[Product_ID]],Product_Dim!A:A,Product_Dim!C:C,"OTHERS")</f>
        <v>Home</v>
      </c>
    </row>
    <row r="512" spans="1:18" x14ac:dyDescent="0.3">
      <c r="A512" t="s">
        <v>2336</v>
      </c>
      <c r="B512" s="2">
        <v>45580</v>
      </c>
      <c r="C512" t="s">
        <v>559</v>
      </c>
      <c r="D512" t="s">
        <v>1604</v>
      </c>
      <c r="E512" t="str">
        <f ca="1">TRIM(Sales_fact[[#This Row],[Store_ID]])</f>
        <v>STORE10</v>
      </c>
      <c r="F512">
        <v>3</v>
      </c>
      <c r="G512">
        <f>IF(ISBLANK(F512),MODE($F$2:$F$2001),F512)</f>
        <v>3</v>
      </c>
      <c r="H512">
        <v>125.68</v>
      </c>
      <c r="I512">
        <f>IF(ISBLANK(H512),AVERAGE($H$2:$H$2001),H512)</f>
        <v>125.68</v>
      </c>
      <c r="J512">
        <v>0.26</v>
      </c>
      <c r="K512">
        <f>IF(ISBLANK(J512),MODE($J$2:$J$2001),J512)</f>
        <v>0.26</v>
      </c>
      <c r="L512" t="s">
        <v>1829</v>
      </c>
      <c r="M512">
        <v>279.00959999999998</v>
      </c>
      <c r="N512">
        <f t="shared" si="7"/>
        <v>279.00960000000003</v>
      </c>
      <c r="O512" t="str">
        <f>_xlfn.XLOOKUP(Sales_fact[[#This Row],[Customer_ID]],'Customer_Dim'!A:A,'Customer_Dim'!K:K,"Not Found")</f>
        <v>Platinum</v>
      </c>
      <c r="P512">
        <f>_xlfn.XLOOKUP(Sales_fact[[#This Row],[Customer_ID]],'Customer_Dim'!A:A, 'Customer_Dim'!E:E, "Not Found")</f>
        <v>36</v>
      </c>
      <c r="Q512" t="str">
        <f>VLOOKUP(Sales_fact[[#This Row],[Customer_ID]], 'Customer_Dim'!A:F, 6, FALSE)</f>
        <v>Female</v>
      </c>
      <c r="R512" s="13" t="str">
        <f>_xlfn.XLOOKUP(Sales_fact[[#This Row],[Product_ID]],Product_Dim!A:A,Product_Dim!C:C,"OTHERS")</f>
        <v>Sports</v>
      </c>
    </row>
    <row r="513" spans="1:18" x14ac:dyDescent="0.3">
      <c r="A513" t="s">
        <v>2337</v>
      </c>
      <c r="B513" s="2">
        <v>45676</v>
      </c>
      <c r="C513" t="s">
        <v>1104</v>
      </c>
      <c r="D513" t="s">
        <v>1634</v>
      </c>
      <c r="E513" t="str">
        <f ca="1">TRIM(Sales_fact[[#This Row],[Store_ID]])</f>
        <v>STORE4</v>
      </c>
      <c r="F513">
        <v>3</v>
      </c>
      <c r="G513">
        <f>IF(ISBLANK(F513),MODE($F$2:$F$2001),F513)</f>
        <v>3</v>
      </c>
      <c r="H513">
        <v>307.48</v>
      </c>
      <c r="I513">
        <f>IF(ISBLANK(H513),AVERAGE($H$2:$H$2001),H513)</f>
        <v>307.48</v>
      </c>
      <c r="J513">
        <v>0.24</v>
      </c>
      <c r="K513">
        <f>IF(ISBLANK(J513),MODE($J$2:$J$2001),J513)</f>
        <v>0.24</v>
      </c>
      <c r="L513" t="s">
        <v>1824</v>
      </c>
      <c r="M513">
        <v>701.0544000000001</v>
      </c>
      <c r="N513">
        <f t="shared" si="7"/>
        <v>701.0544000000001</v>
      </c>
      <c r="O513" t="str">
        <f>_xlfn.XLOOKUP(Sales_fact[[#This Row],[Customer_ID]],'Customer_Dim'!A:A,'Customer_Dim'!K:K,"Not Found")</f>
        <v>Silver</v>
      </c>
      <c r="P513">
        <f>_xlfn.XLOOKUP(Sales_fact[[#This Row],[Customer_ID]],'Customer_Dim'!A:A, 'Customer_Dim'!E:E, "Not Found")</f>
        <v>52</v>
      </c>
      <c r="Q513" t="str">
        <f>VLOOKUP(Sales_fact[[#This Row],[Customer_ID]], 'Customer_Dim'!A:F, 6, FALSE)</f>
        <v>Female</v>
      </c>
      <c r="R513" s="13" t="str">
        <f>_xlfn.XLOOKUP(Sales_fact[[#This Row],[Product_ID]],Product_Dim!A:A,Product_Dim!C:C,"OTHERS")</f>
        <v>Electronics</v>
      </c>
    </row>
    <row r="514" spans="1:18" x14ac:dyDescent="0.3">
      <c r="A514" t="s">
        <v>2338</v>
      </c>
      <c r="B514" s="2">
        <v>45495</v>
      </c>
      <c r="C514" t="s">
        <v>942</v>
      </c>
      <c r="D514" t="s">
        <v>1549</v>
      </c>
      <c r="E514" t="str">
        <f ca="1">TRIM(Sales_fact[[#This Row],[Store_ID]])</f>
        <v>STORE19</v>
      </c>
      <c r="F514">
        <v>1</v>
      </c>
      <c r="G514">
        <f>IF(ISBLANK(F514),MODE($F$2:$F$2001),F514)</f>
        <v>1</v>
      </c>
      <c r="H514">
        <v>505.23</v>
      </c>
      <c r="I514">
        <f>IF(ISBLANK(H514),AVERAGE($H$2:$H$2001),H514)</f>
        <v>505.23</v>
      </c>
      <c r="J514">
        <v>0.11</v>
      </c>
      <c r="K514">
        <f>IF(ISBLANK(J514),MODE($J$2:$J$2001),J514)</f>
        <v>0.11</v>
      </c>
      <c r="L514" t="s">
        <v>1824</v>
      </c>
      <c r="M514">
        <v>449.65469999999999</v>
      </c>
      <c r="N514">
        <f t="shared" si="7"/>
        <v>449.65470000000005</v>
      </c>
      <c r="O514" t="str">
        <f>_xlfn.XLOOKUP(Sales_fact[[#This Row],[Customer_ID]],'Customer_Dim'!A:A,'Customer_Dim'!K:K,"Not Found")</f>
        <v>Platinum</v>
      </c>
      <c r="P514">
        <f>_xlfn.XLOOKUP(Sales_fact[[#This Row],[Customer_ID]],'Customer_Dim'!A:A, 'Customer_Dim'!E:E, "Not Found")</f>
        <v>64</v>
      </c>
      <c r="Q514" t="str">
        <f>VLOOKUP(Sales_fact[[#This Row],[Customer_ID]], 'Customer_Dim'!A:F, 6, FALSE)</f>
        <v>Male</v>
      </c>
      <c r="R514" s="13" t="str">
        <f>_xlfn.XLOOKUP(Sales_fact[[#This Row],[Product_ID]],Product_Dim!A:A,Product_Dim!C:C,"OTHERS")</f>
        <v>Clothing</v>
      </c>
    </row>
    <row r="515" spans="1:18" x14ac:dyDescent="0.3">
      <c r="A515" t="s">
        <v>2339</v>
      </c>
      <c r="B515" s="2">
        <v>45735</v>
      </c>
      <c r="C515" t="s">
        <v>1142</v>
      </c>
      <c r="D515" t="s">
        <v>1638</v>
      </c>
      <c r="E515" t="str">
        <f ca="1">TRIM(Sales_fact[[#This Row],[Store_ID]])</f>
        <v>STORE16</v>
      </c>
      <c r="F515">
        <v>1</v>
      </c>
      <c r="G515">
        <f>IF(ISBLANK(F515),MODE($F$2:$F$2001),F515)</f>
        <v>1</v>
      </c>
      <c r="H515">
        <v>853.12</v>
      </c>
      <c r="I515">
        <f>IF(ISBLANK(H515),AVERAGE($H$2:$H$2001),H515)</f>
        <v>853.12</v>
      </c>
      <c r="J515">
        <v>0.19</v>
      </c>
      <c r="K515">
        <f>IF(ISBLANK(J515),MODE($J$2:$J$2001),J515)</f>
        <v>0.19</v>
      </c>
      <c r="L515" t="s">
        <v>1829</v>
      </c>
      <c r="M515">
        <v>691.02719999999999</v>
      </c>
      <c r="N515">
        <f t="shared" ref="N515:N578" si="8">G515*I515*(1-K515)</f>
        <v>691.02719999999999</v>
      </c>
      <c r="O515" t="str">
        <f>_xlfn.XLOOKUP(Sales_fact[[#This Row],[Customer_ID]],'Customer_Dim'!A:A,'Customer_Dim'!K:K,"Not Found")</f>
        <v>Platinum</v>
      </c>
      <c r="P515">
        <f>_xlfn.XLOOKUP(Sales_fact[[#This Row],[Customer_ID]],'Customer_Dim'!A:A, 'Customer_Dim'!E:E, "Not Found")</f>
        <v>63</v>
      </c>
      <c r="Q515" t="str">
        <f>VLOOKUP(Sales_fact[[#This Row],[Customer_ID]], 'Customer_Dim'!A:F, 6, FALSE)</f>
        <v>Female</v>
      </c>
      <c r="R515" s="13" t="str">
        <f>_xlfn.XLOOKUP(Sales_fact[[#This Row],[Product_ID]],Product_Dim!A:A,Product_Dim!C:C,"OTHERS")</f>
        <v>Sports</v>
      </c>
    </row>
    <row r="516" spans="1:18" x14ac:dyDescent="0.3">
      <c r="A516" t="s">
        <v>2340</v>
      </c>
      <c r="B516" s="2">
        <v>45312</v>
      </c>
      <c r="C516" t="s">
        <v>444</v>
      </c>
      <c r="D516" t="s">
        <v>1543</v>
      </c>
      <c r="E516" t="str">
        <f ca="1">TRIM(Sales_fact[[#This Row],[Store_ID]])</f>
        <v>STORE7</v>
      </c>
      <c r="F516">
        <v>4</v>
      </c>
      <c r="G516">
        <f>IF(ISBLANK(F516),MODE($F$2:$F$2001),F516)</f>
        <v>4</v>
      </c>
      <c r="H516">
        <v>191.65</v>
      </c>
      <c r="I516">
        <f>IF(ISBLANK(H516),AVERAGE($H$2:$H$2001),H516)</f>
        <v>191.65</v>
      </c>
      <c r="J516">
        <v>0.19</v>
      </c>
      <c r="K516">
        <f>IF(ISBLANK(J516),MODE($J$2:$J$2001),J516)</f>
        <v>0.19</v>
      </c>
      <c r="L516" t="s">
        <v>1826</v>
      </c>
      <c r="M516">
        <v>620.94600000000003</v>
      </c>
      <c r="N516">
        <f t="shared" si="8"/>
        <v>620.94600000000003</v>
      </c>
      <c r="O516" t="str">
        <f>_xlfn.XLOOKUP(Sales_fact[[#This Row],[Customer_ID]],'Customer_Dim'!A:A,'Customer_Dim'!K:K,"Not Found")</f>
        <v>Silver</v>
      </c>
      <c r="P516">
        <f>_xlfn.XLOOKUP(Sales_fact[[#This Row],[Customer_ID]],'Customer_Dim'!A:A, 'Customer_Dim'!E:E, "Not Found")</f>
        <v>43</v>
      </c>
      <c r="Q516" t="str">
        <f>VLOOKUP(Sales_fact[[#This Row],[Customer_ID]], 'Customer_Dim'!A:F, 6, FALSE)</f>
        <v>Female</v>
      </c>
      <c r="R516" s="13" t="str">
        <f>_xlfn.XLOOKUP(Sales_fact[[#This Row],[Product_ID]],Product_Dim!A:A,Product_Dim!C:C,"OTHERS")</f>
        <v>Electronics</v>
      </c>
    </row>
    <row r="517" spans="1:18" x14ac:dyDescent="0.3">
      <c r="A517" t="s">
        <v>2341</v>
      </c>
      <c r="B517" s="2">
        <v>45286</v>
      </c>
      <c r="C517" t="s">
        <v>535</v>
      </c>
      <c r="D517" t="s">
        <v>1642</v>
      </c>
      <c r="E517" t="str">
        <f ca="1">TRIM(Sales_fact[[#This Row],[Store_ID]])</f>
        <v>STORE3</v>
      </c>
      <c r="F517">
        <v>1</v>
      </c>
      <c r="G517">
        <f>IF(ISBLANK(F517),MODE($F$2:$F$2001),F517)</f>
        <v>1</v>
      </c>
      <c r="H517">
        <v>169.69</v>
      </c>
      <c r="I517">
        <f>IF(ISBLANK(H517),AVERAGE($H$2:$H$2001),H517)</f>
        <v>169.69</v>
      </c>
      <c r="J517">
        <v>0.22</v>
      </c>
      <c r="K517">
        <f>IF(ISBLANK(J517),MODE($J$2:$J$2001),J517)</f>
        <v>0.22</v>
      </c>
      <c r="L517" t="s">
        <v>1824</v>
      </c>
      <c r="M517">
        <v>132.35820000000001</v>
      </c>
      <c r="N517">
        <f t="shared" si="8"/>
        <v>132.35820000000001</v>
      </c>
      <c r="O517" t="str">
        <f>_xlfn.XLOOKUP(Sales_fact[[#This Row],[Customer_ID]],'Customer_Dim'!A:A,'Customer_Dim'!K:K,"Not Found")</f>
        <v>Platinum</v>
      </c>
      <c r="P517">
        <f>_xlfn.XLOOKUP(Sales_fact[[#This Row],[Customer_ID]],'Customer_Dim'!A:A, 'Customer_Dim'!E:E, "Not Found")</f>
        <v>41</v>
      </c>
      <c r="Q517" t="str">
        <f>VLOOKUP(Sales_fact[[#This Row],[Customer_ID]], 'Customer_Dim'!A:F, 6, FALSE)</f>
        <v>Female</v>
      </c>
      <c r="R517" s="13" t="str">
        <f>_xlfn.XLOOKUP(Sales_fact[[#This Row],[Product_ID]],Product_Dim!A:A,Product_Dim!C:C,"OTHERS")</f>
        <v>Beauty</v>
      </c>
    </row>
    <row r="518" spans="1:18" x14ac:dyDescent="0.3">
      <c r="A518" t="s">
        <v>2342</v>
      </c>
      <c r="B518" s="2">
        <v>45372</v>
      </c>
      <c r="C518" t="s">
        <v>579</v>
      </c>
      <c r="D518" t="s">
        <v>1672</v>
      </c>
      <c r="E518" t="str">
        <f ca="1">TRIM(Sales_fact[[#This Row],[Store_ID]])</f>
        <v>STORE14</v>
      </c>
      <c r="F518">
        <v>1</v>
      </c>
      <c r="G518">
        <f>IF(ISBLANK(F518),MODE($F$2:$F$2001),F518)</f>
        <v>1</v>
      </c>
      <c r="H518">
        <v>145.43</v>
      </c>
      <c r="I518">
        <f>IF(ISBLANK(H518),AVERAGE($H$2:$H$2001),H518)</f>
        <v>145.43</v>
      </c>
      <c r="J518">
        <v>0.08</v>
      </c>
      <c r="K518">
        <f>IF(ISBLANK(J518),MODE($J$2:$J$2001),J518)</f>
        <v>0.08</v>
      </c>
      <c r="L518" t="s">
        <v>1824</v>
      </c>
      <c r="M518">
        <v>133.79560000000001</v>
      </c>
      <c r="N518">
        <f t="shared" si="8"/>
        <v>133.79560000000001</v>
      </c>
      <c r="O518" t="str">
        <f>_xlfn.XLOOKUP(Sales_fact[[#This Row],[Customer_ID]],'Customer_Dim'!A:A,'Customer_Dim'!K:K,"Not Found")</f>
        <v>Platinum</v>
      </c>
      <c r="P518">
        <f>_xlfn.XLOOKUP(Sales_fact[[#This Row],[Customer_ID]],'Customer_Dim'!A:A, 'Customer_Dim'!E:E, "Not Found")</f>
        <v>56</v>
      </c>
      <c r="Q518" t="str">
        <f>VLOOKUP(Sales_fact[[#This Row],[Customer_ID]], 'Customer_Dim'!A:F, 6, FALSE)</f>
        <v>Male</v>
      </c>
      <c r="R518" s="13" t="str">
        <f>_xlfn.XLOOKUP(Sales_fact[[#This Row],[Product_ID]],Product_Dim!A:A,Product_Dim!C:C,"OTHERS")</f>
        <v>Electronics</v>
      </c>
    </row>
    <row r="519" spans="1:18" x14ac:dyDescent="0.3">
      <c r="A519" t="s">
        <v>2343</v>
      </c>
      <c r="B519" s="2">
        <v>45633</v>
      </c>
      <c r="C519" t="s">
        <v>304</v>
      </c>
      <c r="D519" t="s">
        <v>1734</v>
      </c>
      <c r="E519" t="str">
        <f ca="1">TRIM(Sales_fact[[#This Row],[Store_ID]])</f>
        <v>STORE12</v>
      </c>
      <c r="F519">
        <v>4</v>
      </c>
      <c r="G519">
        <f>IF(ISBLANK(F519),MODE($F$2:$F$2001),F519)</f>
        <v>4</v>
      </c>
      <c r="H519">
        <v>828.35</v>
      </c>
      <c r="I519">
        <f>IF(ISBLANK(H519),AVERAGE($H$2:$H$2001),H519)</f>
        <v>828.35</v>
      </c>
      <c r="J519">
        <v>0.17</v>
      </c>
      <c r="K519">
        <f>IF(ISBLANK(J519),MODE($J$2:$J$2001),J519)</f>
        <v>0.17</v>
      </c>
      <c r="L519" t="s">
        <v>1824</v>
      </c>
      <c r="M519">
        <v>2750.1219999999998</v>
      </c>
      <c r="N519">
        <f t="shared" si="8"/>
        <v>2750.1219999999998</v>
      </c>
      <c r="O519" t="str">
        <f>_xlfn.XLOOKUP(Sales_fact[[#This Row],[Customer_ID]],'Customer_Dim'!A:A,'Customer_Dim'!K:K,"Not Found")</f>
        <v>Platinum</v>
      </c>
      <c r="P519">
        <f>_xlfn.XLOOKUP(Sales_fact[[#This Row],[Customer_ID]],'Customer_Dim'!A:A, 'Customer_Dim'!E:E, "Not Found")</f>
        <v>26</v>
      </c>
      <c r="Q519" t="str">
        <f>VLOOKUP(Sales_fact[[#This Row],[Customer_ID]], 'Customer_Dim'!A:F, 6, FALSE)</f>
        <v>Female</v>
      </c>
      <c r="R519" s="13" t="str">
        <f>_xlfn.XLOOKUP(Sales_fact[[#This Row],[Product_ID]],Product_Dim!A:A,Product_Dim!C:C,"OTHERS")</f>
        <v>Electronics</v>
      </c>
    </row>
    <row r="520" spans="1:18" x14ac:dyDescent="0.3">
      <c r="A520" t="s">
        <v>2344</v>
      </c>
      <c r="B520" s="2">
        <v>45598</v>
      </c>
      <c r="C520" t="s">
        <v>1133</v>
      </c>
      <c r="D520" t="s">
        <v>1738</v>
      </c>
      <c r="E520" t="str">
        <f ca="1">TRIM(Sales_fact[[#This Row],[Store_ID]])</f>
        <v>STORE7</v>
      </c>
      <c r="F520">
        <v>3</v>
      </c>
      <c r="G520">
        <f>IF(ISBLANK(F520),MODE($F$2:$F$2001),F520)</f>
        <v>3</v>
      </c>
      <c r="H520">
        <v>268.76</v>
      </c>
      <c r="I520">
        <f>IF(ISBLANK(H520),AVERAGE($H$2:$H$2001),H520)</f>
        <v>268.76</v>
      </c>
      <c r="J520">
        <v>0.01</v>
      </c>
      <c r="K520">
        <f>IF(ISBLANK(J520),MODE($J$2:$J$2001),J520)</f>
        <v>0.01</v>
      </c>
      <c r="L520" t="s">
        <v>1826</v>
      </c>
      <c r="M520">
        <v>798.21719999999993</v>
      </c>
      <c r="N520">
        <f t="shared" si="8"/>
        <v>798.21719999999993</v>
      </c>
      <c r="O520" t="str">
        <f>_xlfn.XLOOKUP(Sales_fact[[#This Row],[Customer_ID]],'Customer_Dim'!A:A,'Customer_Dim'!K:K,"Not Found")</f>
        <v>Gold</v>
      </c>
      <c r="P520">
        <f>_xlfn.XLOOKUP(Sales_fact[[#This Row],[Customer_ID]],'Customer_Dim'!A:A, 'Customer_Dim'!E:E, "Not Found")</f>
        <v>60</v>
      </c>
      <c r="Q520" t="str">
        <f>VLOOKUP(Sales_fact[[#This Row],[Customer_ID]], 'Customer_Dim'!A:F, 6, FALSE)</f>
        <v>Male</v>
      </c>
      <c r="R520" s="13" t="str">
        <f>_xlfn.XLOOKUP(Sales_fact[[#This Row],[Product_ID]],Product_Dim!A:A,Product_Dim!C:C,"OTHERS")</f>
        <v>Sports</v>
      </c>
    </row>
    <row r="521" spans="1:18" x14ac:dyDescent="0.3">
      <c r="A521" t="s">
        <v>2345</v>
      </c>
      <c r="B521" s="2">
        <v>45495</v>
      </c>
      <c r="C521" t="s">
        <v>749</v>
      </c>
      <c r="D521" t="s">
        <v>1724</v>
      </c>
      <c r="E521" t="str">
        <f ca="1">TRIM(Sales_fact[[#This Row],[Store_ID]])</f>
        <v>STORE0</v>
      </c>
      <c r="F521">
        <v>4</v>
      </c>
      <c r="G521">
        <f>IF(ISBLANK(F521),MODE($F$2:$F$2001),F521)</f>
        <v>4</v>
      </c>
      <c r="H521">
        <v>370.09</v>
      </c>
      <c r="I521">
        <f>IF(ISBLANK(H521),AVERAGE($H$2:$H$2001),H521)</f>
        <v>370.09</v>
      </c>
      <c r="J521">
        <v>0.22</v>
      </c>
      <c r="K521">
        <f>IF(ISBLANK(J521),MODE($J$2:$J$2001),J521)</f>
        <v>0.22</v>
      </c>
      <c r="L521" t="s">
        <v>1829</v>
      </c>
      <c r="M521">
        <v>1154.6808000000001</v>
      </c>
      <c r="N521">
        <f t="shared" si="8"/>
        <v>1154.6807999999999</v>
      </c>
      <c r="O521" t="str">
        <f>_xlfn.XLOOKUP(Sales_fact[[#This Row],[Customer_ID]],'Customer_Dim'!A:A,'Customer_Dim'!K:K,"Not Found")</f>
        <v>Silver</v>
      </c>
      <c r="P521">
        <f>_xlfn.XLOOKUP(Sales_fact[[#This Row],[Customer_ID]],'Customer_Dim'!A:A, 'Customer_Dim'!E:E, "Not Found")</f>
        <v>59</v>
      </c>
      <c r="Q521" t="str">
        <f>VLOOKUP(Sales_fact[[#This Row],[Customer_ID]], 'Customer_Dim'!A:F, 6, FALSE)</f>
        <v>Male</v>
      </c>
      <c r="R521" s="13" t="str">
        <f>_xlfn.XLOOKUP(Sales_fact[[#This Row],[Product_ID]],Product_Dim!A:A,Product_Dim!C:C,"OTHERS")</f>
        <v>Sports</v>
      </c>
    </row>
    <row r="522" spans="1:18" x14ac:dyDescent="0.3">
      <c r="A522" t="s">
        <v>2346</v>
      </c>
      <c r="B522" s="2">
        <v>45229</v>
      </c>
      <c r="C522" t="s">
        <v>809</v>
      </c>
      <c r="D522" t="s">
        <v>1704</v>
      </c>
      <c r="E522" t="str">
        <f ca="1">TRIM(Sales_fact[[#This Row],[Store_ID]])</f>
        <v>STORE6</v>
      </c>
      <c r="F522">
        <v>3</v>
      </c>
      <c r="G522">
        <f>IF(ISBLANK(F522),MODE($F$2:$F$2001),F522)</f>
        <v>3</v>
      </c>
      <c r="H522">
        <v>679.22</v>
      </c>
      <c r="I522">
        <f>IF(ISBLANK(H522),AVERAGE($H$2:$H$2001),H522)</f>
        <v>679.22</v>
      </c>
      <c r="J522">
        <v>0.11</v>
      </c>
      <c r="K522">
        <f>IF(ISBLANK(J522),MODE($J$2:$J$2001),J522)</f>
        <v>0.11</v>
      </c>
      <c r="L522" t="s">
        <v>1826</v>
      </c>
      <c r="M522">
        <v>1813.5174</v>
      </c>
      <c r="N522">
        <f t="shared" si="8"/>
        <v>1813.5174000000002</v>
      </c>
      <c r="O522" t="str">
        <f>_xlfn.XLOOKUP(Sales_fact[[#This Row],[Customer_ID]],'Customer_Dim'!A:A,'Customer_Dim'!K:K,"Not Found")</f>
        <v>Bronze</v>
      </c>
      <c r="P522">
        <f>_xlfn.XLOOKUP(Sales_fact[[#This Row],[Customer_ID]],'Customer_Dim'!A:A, 'Customer_Dim'!E:E, "Not Found")</f>
        <v>32</v>
      </c>
      <c r="Q522" t="str">
        <f>VLOOKUP(Sales_fact[[#This Row],[Customer_ID]], 'Customer_Dim'!A:F, 6, FALSE)</f>
        <v>Male</v>
      </c>
      <c r="R522" s="13" t="str">
        <f>_xlfn.XLOOKUP(Sales_fact[[#This Row],[Product_ID]],Product_Dim!A:A,Product_Dim!C:C,"OTHERS")</f>
        <v>Home</v>
      </c>
    </row>
    <row r="523" spans="1:18" x14ac:dyDescent="0.3">
      <c r="A523" t="s">
        <v>2347</v>
      </c>
      <c r="B523" s="2">
        <v>45433</v>
      </c>
      <c r="C523" t="s">
        <v>1166</v>
      </c>
      <c r="D523" t="s">
        <v>1694</v>
      </c>
      <c r="E523" t="str">
        <f ca="1">TRIM(Sales_fact[[#This Row],[Store_ID]])</f>
        <v>STORE0</v>
      </c>
      <c r="F523">
        <v>3</v>
      </c>
      <c r="G523">
        <f>IF(ISBLANK(F523),MODE($F$2:$F$2001),F523)</f>
        <v>3</v>
      </c>
      <c r="H523">
        <v>780.69</v>
      </c>
      <c r="I523">
        <f>IF(ISBLANK(H523),AVERAGE($H$2:$H$2001),H523)</f>
        <v>780.69</v>
      </c>
      <c r="J523">
        <v>0.1</v>
      </c>
      <c r="K523">
        <f>IF(ISBLANK(J523),MODE($J$2:$J$2001),J523)</f>
        <v>0.1</v>
      </c>
      <c r="L523" t="s">
        <v>1829</v>
      </c>
      <c r="M523">
        <v>2107.8629999999998</v>
      </c>
      <c r="N523">
        <f t="shared" si="8"/>
        <v>2107.8630000000003</v>
      </c>
      <c r="O523" t="str">
        <f>_xlfn.XLOOKUP(Sales_fact[[#This Row],[Customer_ID]],'Customer_Dim'!A:A,'Customer_Dim'!K:K,"Not Found")</f>
        <v>Gold</v>
      </c>
      <c r="P523">
        <f>_xlfn.XLOOKUP(Sales_fact[[#This Row],[Customer_ID]],'Customer_Dim'!A:A, 'Customer_Dim'!E:E, "Not Found")</f>
        <v>37</v>
      </c>
      <c r="Q523" t="str">
        <f>VLOOKUP(Sales_fact[[#This Row],[Customer_ID]], 'Customer_Dim'!A:F, 6, FALSE)</f>
        <v>Female</v>
      </c>
      <c r="R523" s="13" t="str">
        <f>_xlfn.XLOOKUP(Sales_fact[[#This Row],[Product_ID]],Product_Dim!A:A,Product_Dim!C:C,"OTHERS")</f>
        <v>Sports</v>
      </c>
    </row>
    <row r="524" spans="1:18" x14ac:dyDescent="0.3">
      <c r="A524" t="s">
        <v>2348</v>
      </c>
      <c r="B524" s="2">
        <v>45766</v>
      </c>
      <c r="C524" t="s">
        <v>833</v>
      </c>
      <c r="D524" t="s">
        <v>1632</v>
      </c>
      <c r="E524" t="str">
        <f ca="1">TRIM(Sales_fact[[#This Row],[Store_ID]])</f>
        <v>STORE2</v>
      </c>
      <c r="F524">
        <v>2</v>
      </c>
      <c r="G524">
        <f>IF(ISBLANK(F524),MODE($F$2:$F$2001),F524)</f>
        <v>2</v>
      </c>
      <c r="H524">
        <v>42.97</v>
      </c>
      <c r="I524">
        <f>IF(ISBLANK(H524),AVERAGE($H$2:$H$2001),H524)</f>
        <v>42.97</v>
      </c>
      <c r="J524">
        <v>0.18</v>
      </c>
      <c r="K524">
        <f>IF(ISBLANK(J524),MODE($J$2:$J$2001),J524)</f>
        <v>0.18</v>
      </c>
      <c r="L524" t="s">
        <v>1826</v>
      </c>
      <c r="M524">
        <v>70.470799999999997</v>
      </c>
      <c r="N524">
        <f t="shared" si="8"/>
        <v>70.470799999999997</v>
      </c>
      <c r="O524" t="str">
        <f>_xlfn.XLOOKUP(Sales_fact[[#This Row],[Customer_ID]],'Customer_Dim'!A:A,'Customer_Dim'!K:K,"Not Found")</f>
        <v>Silver</v>
      </c>
      <c r="P524">
        <f>_xlfn.XLOOKUP(Sales_fact[[#This Row],[Customer_ID]],'Customer_Dim'!A:A, 'Customer_Dim'!E:E, "Not Found")</f>
        <v>27</v>
      </c>
      <c r="Q524" t="str">
        <f>VLOOKUP(Sales_fact[[#This Row],[Customer_ID]], 'Customer_Dim'!A:F, 6, FALSE)</f>
        <v>Female</v>
      </c>
      <c r="R524" s="13" t="str">
        <f>_xlfn.XLOOKUP(Sales_fact[[#This Row],[Product_ID]],Product_Dim!A:A,Product_Dim!C:C,"OTHERS")</f>
        <v>Electronics</v>
      </c>
    </row>
    <row r="525" spans="1:18" x14ac:dyDescent="0.3">
      <c r="A525" t="s">
        <v>2349</v>
      </c>
      <c r="B525" s="2">
        <v>45639</v>
      </c>
      <c r="C525" t="s">
        <v>908</v>
      </c>
      <c r="D525" t="s">
        <v>1712</v>
      </c>
      <c r="E525" t="str">
        <f ca="1">TRIM(Sales_fact[[#This Row],[Store_ID]])</f>
        <v>STORE0</v>
      </c>
      <c r="F525">
        <v>4</v>
      </c>
      <c r="G525">
        <f>IF(ISBLANK(F525),MODE($F$2:$F$2001),F525)</f>
        <v>4</v>
      </c>
      <c r="H525">
        <v>854.37</v>
      </c>
      <c r="I525">
        <f>IF(ISBLANK(H525),AVERAGE($H$2:$H$2001),H525)</f>
        <v>854.37</v>
      </c>
      <c r="J525">
        <v>7.0000000000000007E-2</v>
      </c>
      <c r="K525">
        <f>IF(ISBLANK(J525),MODE($J$2:$J$2001),J525)</f>
        <v>7.0000000000000007E-2</v>
      </c>
      <c r="L525" t="s">
        <v>1826</v>
      </c>
      <c r="M525">
        <v>3178.2564000000002</v>
      </c>
      <c r="N525">
        <f t="shared" si="8"/>
        <v>3178.2563999999998</v>
      </c>
      <c r="O525" t="str">
        <f>_xlfn.XLOOKUP(Sales_fact[[#This Row],[Customer_ID]],'Customer_Dim'!A:A,'Customer_Dim'!K:K,"Not Found")</f>
        <v>Silver</v>
      </c>
      <c r="P525">
        <f>_xlfn.XLOOKUP(Sales_fact[[#This Row],[Customer_ID]],'Customer_Dim'!A:A, 'Customer_Dim'!E:E, "Not Found")</f>
        <v>22</v>
      </c>
      <c r="Q525" t="str">
        <f>VLOOKUP(Sales_fact[[#This Row],[Customer_ID]], 'Customer_Dim'!A:F, 6, FALSE)</f>
        <v>Male</v>
      </c>
      <c r="R525" s="13" t="str">
        <f>_xlfn.XLOOKUP(Sales_fact[[#This Row],[Product_ID]],Product_Dim!A:A,Product_Dim!C:C,"OTHERS")</f>
        <v>Sports</v>
      </c>
    </row>
    <row r="526" spans="1:18" x14ac:dyDescent="0.3">
      <c r="A526" t="s">
        <v>2350</v>
      </c>
      <c r="B526" s="2">
        <v>45774</v>
      </c>
      <c r="C526" t="s">
        <v>356</v>
      </c>
      <c r="D526" t="s">
        <v>1596</v>
      </c>
      <c r="E526" t="str">
        <f ca="1">TRIM(Sales_fact[[#This Row],[Store_ID]])</f>
        <v>STORE16</v>
      </c>
      <c r="F526">
        <v>2</v>
      </c>
      <c r="G526">
        <f>IF(ISBLANK(F526),MODE($F$2:$F$2001),F526)</f>
        <v>2</v>
      </c>
      <c r="H526">
        <v>409.52</v>
      </c>
      <c r="I526">
        <f>IF(ISBLANK(H526),AVERAGE($H$2:$H$2001),H526)</f>
        <v>409.52</v>
      </c>
      <c r="J526">
        <v>0.06</v>
      </c>
      <c r="K526">
        <f>IF(ISBLANK(J526),MODE($J$2:$J$2001),J526)</f>
        <v>0.06</v>
      </c>
      <c r="L526" t="s">
        <v>1829</v>
      </c>
      <c r="M526">
        <v>769.8975999999999</v>
      </c>
      <c r="N526">
        <f t="shared" si="8"/>
        <v>769.8975999999999</v>
      </c>
      <c r="O526" t="str">
        <f>_xlfn.XLOOKUP(Sales_fact[[#This Row],[Customer_ID]],'Customer_Dim'!A:A,'Customer_Dim'!K:K,"Not Found")</f>
        <v>Platinum</v>
      </c>
      <c r="P526">
        <f>_xlfn.XLOOKUP(Sales_fact[[#This Row],[Customer_ID]],'Customer_Dim'!A:A, 'Customer_Dim'!E:E, "Not Found")</f>
        <v>53</v>
      </c>
      <c r="Q526" t="str">
        <f>VLOOKUP(Sales_fact[[#This Row],[Customer_ID]], 'Customer_Dim'!A:F, 6, FALSE)</f>
        <v>Female</v>
      </c>
      <c r="R526" s="13" t="str">
        <f>_xlfn.XLOOKUP(Sales_fact[[#This Row],[Product_ID]],Product_Dim!A:A,Product_Dim!C:C,"OTHERS")</f>
        <v>Sports</v>
      </c>
    </row>
    <row r="527" spans="1:18" x14ac:dyDescent="0.3">
      <c r="A527" t="s">
        <v>2351</v>
      </c>
      <c r="B527" s="2">
        <v>45569</v>
      </c>
      <c r="C527" t="s">
        <v>547</v>
      </c>
      <c r="D527" t="s">
        <v>1696</v>
      </c>
      <c r="E527" t="str">
        <f ca="1">TRIM(Sales_fact[[#This Row],[Store_ID]])</f>
        <v>STORE10</v>
      </c>
      <c r="F527">
        <v>2</v>
      </c>
      <c r="G527">
        <f>IF(ISBLANK(F527),MODE($F$2:$F$2001),F527)</f>
        <v>2</v>
      </c>
      <c r="H527">
        <v>407.46</v>
      </c>
      <c r="I527">
        <f>IF(ISBLANK(H527),AVERAGE($H$2:$H$2001),H527)</f>
        <v>407.46</v>
      </c>
      <c r="J527">
        <v>0.21</v>
      </c>
      <c r="K527">
        <f>IF(ISBLANK(J527),MODE($J$2:$J$2001),J527)</f>
        <v>0.21</v>
      </c>
      <c r="L527" t="s">
        <v>1824</v>
      </c>
      <c r="M527">
        <v>643.78679999999997</v>
      </c>
      <c r="N527">
        <f t="shared" si="8"/>
        <v>643.78679999999997</v>
      </c>
      <c r="O527" t="str">
        <f>_xlfn.XLOOKUP(Sales_fact[[#This Row],[Customer_ID]],'Customer_Dim'!A:A,'Customer_Dim'!K:K,"Not Found")</f>
        <v>Silver</v>
      </c>
      <c r="P527">
        <f>_xlfn.XLOOKUP(Sales_fact[[#This Row],[Customer_ID]],'Customer_Dim'!A:A, 'Customer_Dim'!E:E, "Not Found")</f>
        <v>39</v>
      </c>
      <c r="Q527" t="str">
        <f>VLOOKUP(Sales_fact[[#This Row],[Customer_ID]], 'Customer_Dim'!A:F, 6, FALSE)</f>
        <v>Female</v>
      </c>
      <c r="R527" s="13" t="str">
        <f>_xlfn.XLOOKUP(Sales_fact[[#This Row],[Product_ID]],Product_Dim!A:A,Product_Dim!C:C,"OTHERS")</f>
        <v>Electronics</v>
      </c>
    </row>
    <row r="528" spans="1:18" x14ac:dyDescent="0.3">
      <c r="A528" t="s">
        <v>2352</v>
      </c>
      <c r="B528" s="2">
        <v>45856</v>
      </c>
      <c r="C528" t="s">
        <v>735</v>
      </c>
      <c r="D528" t="s">
        <v>1553</v>
      </c>
      <c r="E528" t="str">
        <f ca="1">TRIM(Sales_fact[[#This Row],[Store_ID]])</f>
        <v>STORE8</v>
      </c>
      <c r="F528">
        <v>1</v>
      </c>
      <c r="G528">
        <f>IF(ISBLANK(F528),MODE($F$2:$F$2001),F528)</f>
        <v>1</v>
      </c>
      <c r="H528">
        <v>728.84</v>
      </c>
      <c r="I528">
        <f>IF(ISBLANK(H528),AVERAGE($H$2:$H$2001),H528)</f>
        <v>728.84</v>
      </c>
      <c r="J528">
        <v>0.28000000000000003</v>
      </c>
      <c r="K528">
        <f>IF(ISBLANK(J528),MODE($J$2:$J$2001),J528)</f>
        <v>0.28000000000000003</v>
      </c>
      <c r="L528" t="s">
        <v>1826</v>
      </c>
      <c r="M528">
        <v>524.76480000000004</v>
      </c>
      <c r="N528">
        <f t="shared" si="8"/>
        <v>524.76480000000004</v>
      </c>
      <c r="O528" t="str">
        <f>_xlfn.XLOOKUP(Sales_fact[[#This Row],[Customer_ID]],'Customer_Dim'!A:A,'Customer_Dim'!K:K,"Not Found")</f>
        <v>Gold</v>
      </c>
      <c r="P528">
        <f>_xlfn.XLOOKUP(Sales_fact[[#This Row],[Customer_ID]],'Customer_Dim'!A:A, 'Customer_Dim'!E:E, "Not Found")</f>
        <v>52</v>
      </c>
      <c r="Q528" t="str">
        <f>VLOOKUP(Sales_fact[[#This Row],[Customer_ID]], 'Customer_Dim'!A:F, 6, FALSE)</f>
        <v>Female</v>
      </c>
      <c r="R528" s="13" t="str">
        <f>_xlfn.XLOOKUP(Sales_fact[[#This Row],[Product_ID]],Product_Dim!A:A,Product_Dim!C:C,"OTHERS")</f>
        <v>Clothing</v>
      </c>
    </row>
    <row r="529" spans="1:18" x14ac:dyDescent="0.3">
      <c r="A529" t="s">
        <v>2353</v>
      </c>
      <c r="B529" s="2">
        <v>45362</v>
      </c>
      <c r="C529" t="s">
        <v>1400</v>
      </c>
      <c r="D529" t="s">
        <v>1704</v>
      </c>
      <c r="E529" t="str">
        <f ca="1">TRIM(Sales_fact[[#This Row],[Store_ID]])</f>
        <v>STORE6</v>
      </c>
      <c r="F529">
        <v>4</v>
      </c>
      <c r="G529">
        <f>IF(ISBLANK(F529),MODE($F$2:$F$2001),F529)</f>
        <v>4</v>
      </c>
      <c r="H529">
        <v>467.24</v>
      </c>
      <c r="I529">
        <f>IF(ISBLANK(H529),AVERAGE($H$2:$H$2001),H529)</f>
        <v>467.24</v>
      </c>
      <c r="J529">
        <v>0.08</v>
      </c>
      <c r="K529">
        <f>IF(ISBLANK(J529),MODE($J$2:$J$2001),J529)</f>
        <v>0.08</v>
      </c>
      <c r="L529" t="s">
        <v>1826</v>
      </c>
      <c r="M529">
        <v>1719.4431999999999</v>
      </c>
      <c r="N529">
        <f t="shared" si="8"/>
        <v>1719.4432000000002</v>
      </c>
      <c r="O529" t="str">
        <f>_xlfn.XLOOKUP(Sales_fact[[#This Row],[Customer_ID]],'Customer_Dim'!A:A,'Customer_Dim'!K:K,"Not Found")</f>
        <v>Platinum</v>
      </c>
      <c r="P529">
        <f>_xlfn.XLOOKUP(Sales_fact[[#This Row],[Customer_ID]],'Customer_Dim'!A:A, 'Customer_Dim'!E:E, "Not Found")</f>
        <v>62</v>
      </c>
      <c r="Q529" t="str">
        <f>VLOOKUP(Sales_fact[[#This Row],[Customer_ID]], 'Customer_Dim'!A:F, 6, FALSE)</f>
        <v>Female</v>
      </c>
      <c r="R529" s="13" t="str">
        <f>_xlfn.XLOOKUP(Sales_fact[[#This Row],[Product_ID]],Product_Dim!A:A,Product_Dim!C:C,"OTHERS")</f>
        <v>Home</v>
      </c>
    </row>
    <row r="530" spans="1:18" x14ac:dyDescent="0.3">
      <c r="A530" t="s">
        <v>2354</v>
      </c>
      <c r="B530" s="2">
        <v>45457</v>
      </c>
      <c r="C530" t="s">
        <v>332</v>
      </c>
      <c r="D530" t="s">
        <v>1568</v>
      </c>
      <c r="E530" t="str">
        <f ca="1">TRIM(Sales_fact[[#This Row],[Store_ID]])</f>
        <v>STORE11</v>
      </c>
      <c r="F530">
        <v>1</v>
      </c>
      <c r="G530">
        <f>IF(ISBLANK(F530),MODE($F$2:$F$2001),F530)</f>
        <v>1</v>
      </c>
      <c r="H530">
        <v>57.94</v>
      </c>
      <c r="I530">
        <f>IF(ISBLANK(H530),AVERAGE($H$2:$H$2001),H530)</f>
        <v>57.94</v>
      </c>
      <c r="J530">
        <v>0.13</v>
      </c>
      <c r="K530">
        <f>IF(ISBLANK(J530),MODE($J$2:$J$2001),J530)</f>
        <v>0.13</v>
      </c>
      <c r="L530" t="s">
        <v>1826</v>
      </c>
      <c r="M530">
        <v>50.407799999999988</v>
      </c>
      <c r="N530">
        <f t="shared" si="8"/>
        <v>50.407799999999995</v>
      </c>
      <c r="O530" t="str">
        <f>_xlfn.XLOOKUP(Sales_fact[[#This Row],[Customer_ID]],'Customer_Dim'!A:A,'Customer_Dim'!K:K,"Not Found")</f>
        <v>Platinum</v>
      </c>
      <c r="P530">
        <f>_xlfn.XLOOKUP(Sales_fact[[#This Row],[Customer_ID]],'Customer_Dim'!A:A, 'Customer_Dim'!E:E, "Not Found")</f>
        <v>44</v>
      </c>
      <c r="Q530" t="str">
        <f>VLOOKUP(Sales_fact[[#This Row],[Customer_ID]], 'Customer_Dim'!A:F, 6, FALSE)</f>
        <v>Female</v>
      </c>
      <c r="R530" s="13" t="str">
        <f>_xlfn.XLOOKUP(Sales_fact[[#This Row],[Product_ID]],Product_Dim!A:A,Product_Dim!C:C,"OTHERS")</f>
        <v>Home</v>
      </c>
    </row>
    <row r="531" spans="1:18" x14ac:dyDescent="0.3">
      <c r="A531" t="s">
        <v>2355</v>
      </c>
      <c r="B531" s="2">
        <v>45338</v>
      </c>
      <c r="C531" t="s">
        <v>1080</v>
      </c>
      <c r="D531" t="s">
        <v>1646</v>
      </c>
      <c r="E531" t="str">
        <f ca="1">TRIM(Sales_fact[[#This Row],[Store_ID]])</f>
        <v>STORE17</v>
      </c>
      <c r="F531">
        <v>1</v>
      </c>
      <c r="G531">
        <f>IF(ISBLANK(F531),MODE($F$2:$F$2001),F531)</f>
        <v>1</v>
      </c>
      <c r="H531">
        <v>540.1</v>
      </c>
      <c r="I531">
        <f>IF(ISBLANK(H531),AVERAGE($H$2:$H$2001),H531)</f>
        <v>540.1</v>
      </c>
      <c r="J531">
        <v>0.22</v>
      </c>
      <c r="K531">
        <f>IF(ISBLANK(J531),MODE($J$2:$J$2001),J531)</f>
        <v>0.22</v>
      </c>
      <c r="L531" t="s">
        <v>1824</v>
      </c>
      <c r="M531">
        <v>421.27800000000002</v>
      </c>
      <c r="N531">
        <f t="shared" si="8"/>
        <v>421.27800000000002</v>
      </c>
      <c r="O531" t="str">
        <f>_xlfn.XLOOKUP(Sales_fact[[#This Row],[Customer_ID]],'Customer_Dim'!A:A,'Customer_Dim'!K:K,"Not Found")</f>
        <v>Gold</v>
      </c>
      <c r="P531">
        <f>_xlfn.XLOOKUP(Sales_fact[[#This Row],[Customer_ID]],'Customer_Dim'!A:A, 'Customer_Dim'!E:E, "Not Found")</f>
        <v>39</v>
      </c>
      <c r="Q531" t="str">
        <f>VLOOKUP(Sales_fact[[#This Row],[Customer_ID]], 'Customer_Dim'!A:F, 6, FALSE)</f>
        <v>Male</v>
      </c>
      <c r="R531" s="13" t="str">
        <f>_xlfn.XLOOKUP(Sales_fact[[#This Row],[Product_ID]],Product_Dim!A:A,Product_Dim!C:C,"OTHERS")</f>
        <v>Beauty</v>
      </c>
    </row>
    <row r="532" spans="1:18" x14ac:dyDescent="0.3">
      <c r="A532" t="s">
        <v>2356</v>
      </c>
      <c r="B532" s="2">
        <v>45552</v>
      </c>
      <c r="C532" t="s">
        <v>281</v>
      </c>
      <c r="D532" t="s">
        <v>1562</v>
      </c>
      <c r="E532" t="str">
        <f ca="1">TRIM(Sales_fact[[#This Row],[Store_ID]])</f>
        <v>STORE19</v>
      </c>
      <c r="F532">
        <v>4</v>
      </c>
      <c r="G532">
        <f>IF(ISBLANK(F532),MODE($F$2:$F$2001),F532)</f>
        <v>4</v>
      </c>
      <c r="H532">
        <v>816.28</v>
      </c>
      <c r="I532">
        <f>IF(ISBLANK(H532),AVERAGE($H$2:$H$2001),H532)</f>
        <v>816.28</v>
      </c>
      <c r="J532">
        <v>0.15</v>
      </c>
      <c r="K532">
        <f>IF(ISBLANK(J532),MODE($J$2:$J$2001),J532)</f>
        <v>0.15</v>
      </c>
      <c r="L532" t="s">
        <v>1829</v>
      </c>
      <c r="M532">
        <v>2775.3519999999999</v>
      </c>
      <c r="N532">
        <f t="shared" si="8"/>
        <v>2775.3519999999999</v>
      </c>
      <c r="O532" t="str">
        <f>_xlfn.XLOOKUP(Sales_fact[[#This Row],[Customer_ID]],'Customer_Dim'!A:A,'Customer_Dim'!K:K,"Not Found")</f>
        <v>Gold</v>
      </c>
      <c r="P532">
        <f>_xlfn.XLOOKUP(Sales_fact[[#This Row],[Customer_ID]],'Customer_Dim'!A:A, 'Customer_Dim'!E:E, "Not Found")</f>
        <v>29</v>
      </c>
      <c r="Q532" t="str">
        <f>VLOOKUP(Sales_fact[[#This Row],[Customer_ID]], 'Customer_Dim'!A:F, 6, FALSE)</f>
        <v>Male</v>
      </c>
      <c r="R532" s="13" t="str">
        <f>_xlfn.XLOOKUP(Sales_fact[[#This Row],[Product_ID]],Product_Dim!A:A,Product_Dim!C:C,"OTHERS")</f>
        <v>Electronics</v>
      </c>
    </row>
    <row r="533" spans="1:18" x14ac:dyDescent="0.3">
      <c r="A533" t="s">
        <v>2357</v>
      </c>
      <c r="B533" s="2">
        <v>45895</v>
      </c>
      <c r="C533" t="s">
        <v>589</v>
      </c>
      <c r="D533" t="s">
        <v>1632</v>
      </c>
      <c r="E533" t="str">
        <f ca="1">TRIM(Sales_fact[[#This Row],[Store_ID]])</f>
        <v>STORE8</v>
      </c>
      <c r="F533">
        <v>4</v>
      </c>
      <c r="G533">
        <f>IF(ISBLANK(F533),MODE($F$2:$F$2001),F533)</f>
        <v>4</v>
      </c>
      <c r="H533">
        <v>727.49</v>
      </c>
      <c r="I533">
        <f>IF(ISBLANK(H533),AVERAGE($H$2:$H$2001),H533)</f>
        <v>727.49</v>
      </c>
      <c r="J533">
        <v>0.11</v>
      </c>
      <c r="K533">
        <f>IF(ISBLANK(J533),MODE($J$2:$J$2001),J533)</f>
        <v>0.11</v>
      </c>
      <c r="L533" t="s">
        <v>1824</v>
      </c>
      <c r="M533">
        <v>2589.8643999999999</v>
      </c>
      <c r="N533">
        <f t="shared" si="8"/>
        <v>2589.8643999999999</v>
      </c>
      <c r="O533" t="str">
        <f>_xlfn.XLOOKUP(Sales_fact[[#This Row],[Customer_ID]],'Customer_Dim'!A:A,'Customer_Dim'!K:K,"Not Found")</f>
        <v>Bronze</v>
      </c>
      <c r="P533">
        <f>_xlfn.XLOOKUP(Sales_fact[[#This Row],[Customer_ID]],'Customer_Dim'!A:A, 'Customer_Dim'!E:E, "Not Found")</f>
        <v>33</v>
      </c>
      <c r="Q533" t="str">
        <f>VLOOKUP(Sales_fact[[#This Row],[Customer_ID]], 'Customer_Dim'!A:F, 6, FALSE)</f>
        <v>Female</v>
      </c>
      <c r="R533" s="13" t="str">
        <f>_xlfn.XLOOKUP(Sales_fact[[#This Row],[Product_ID]],Product_Dim!A:A,Product_Dim!C:C,"OTHERS")</f>
        <v>Electronics</v>
      </c>
    </row>
    <row r="534" spans="1:18" x14ac:dyDescent="0.3">
      <c r="A534" t="s">
        <v>2358</v>
      </c>
      <c r="B534" s="2">
        <v>45447</v>
      </c>
      <c r="C534" t="s">
        <v>568</v>
      </c>
      <c r="D534" t="s">
        <v>1720</v>
      </c>
      <c r="E534" t="str">
        <f ca="1">TRIM(Sales_fact[[#This Row],[Store_ID]])</f>
        <v>STORE13</v>
      </c>
      <c r="F534">
        <v>4</v>
      </c>
      <c r="G534">
        <f>IF(ISBLANK(F534),MODE($F$2:$F$2001),F534)</f>
        <v>4</v>
      </c>
      <c r="H534">
        <v>817.92</v>
      </c>
      <c r="I534">
        <f>IF(ISBLANK(H534),AVERAGE($H$2:$H$2001),H534)</f>
        <v>817.92</v>
      </c>
      <c r="J534">
        <v>0.21</v>
      </c>
      <c r="K534">
        <f>IF(ISBLANK(J534),MODE($J$2:$J$2001),J534)</f>
        <v>0.21</v>
      </c>
      <c r="L534" t="s">
        <v>1824</v>
      </c>
      <c r="M534">
        <v>2584.6271999999999</v>
      </c>
      <c r="N534">
        <f t="shared" si="8"/>
        <v>2584.6271999999999</v>
      </c>
      <c r="O534" t="str">
        <f>_xlfn.XLOOKUP(Sales_fact[[#This Row],[Customer_ID]],'Customer_Dim'!A:A,'Customer_Dim'!K:K,"Not Found")</f>
        <v>Platinum</v>
      </c>
      <c r="P534">
        <f>_xlfn.XLOOKUP(Sales_fact[[#This Row],[Customer_ID]],'Customer_Dim'!A:A, 'Customer_Dim'!E:E, "Not Found")</f>
        <v>44</v>
      </c>
      <c r="Q534" t="str">
        <f>VLOOKUP(Sales_fact[[#This Row],[Customer_ID]], 'Customer_Dim'!A:F, 6, FALSE)</f>
        <v>Female</v>
      </c>
      <c r="R534" s="13" t="str">
        <f>_xlfn.XLOOKUP(Sales_fact[[#This Row],[Product_ID]],Product_Dim!A:A,Product_Dim!C:C,"OTHERS")</f>
        <v>Home</v>
      </c>
    </row>
    <row r="535" spans="1:18" x14ac:dyDescent="0.3">
      <c r="A535" t="s">
        <v>2359</v>
      </c>
      <c r="B535" s="2">
        <v>45578</v>
      </c>
      <c r="C535" t="s">
        <v>1023</v>
      </c>
      <c r="D535" t="s">
        <v>1624</v>
      </c>
      <c r="E535" t="str">
        <f ca="1">TRIM(Sales_fact[[#This Row],[Store_ID]])</f>
        <v>STORE7</v>
      </c>
      <c r="F535">
        <v>2</v>
      </c>
      <c r="G535">
        <f>IF(ISBLANK(F535),MODE($F$2:$F$2001),F535)</f>
        <v>2</v>
      </c>
      <c r="H535">
        <v>358.45</v>
      </c>
      <c r="I535">
        <f>IF(ISBLANK(H535),AVERAGE($H$2:$H$2001),H535)</f>
        <v>358.45</v>
      </c>
      <c r="J535">
        <v>7.0000000000000007E-2</v>
      </c>
      <c r="K535">
        <f>IF(ISBLANK(J535),MODE($J$2:$J$2001),J535)</f>
        <v>7.0000000000000007E-2</v>
      </c>
      <c r="L535" t="s">
        <v>1829</v>
      </c>
      <c r="M535">
        <v>666.71699999999998</v>
      </c>
      <c r="N535">
        <f t="shared" si="8"/>
        <v>666.71699999999998</v>
      </c>
      <c r="O535" t="str">
        <f>_xlfn.XLOOKUP(Sales_fact[[#This Row],[Customer_ID]],'Customer_Dim'!A:A,'Customer_Dim'!K:K,"Not Found")</f>
        <v>Bronze</v>
      </c>
      <c r="P535">
        <f>_xlfn.XLOOKUP(Sales_fact[[#This Row],[Customer_ID]],'Customer_Dim'!A:A, 'Customer_Dim'!E:E, "Not Found")</f>
        <v>60</v>
      </c>
      <c r="Q535" t="str">
        <f>VLOOKUP(Sales_fact[[#This Row],[Customer_ID]], 'Customer_Dim'!A:F, 6, FALSE)</f>
        <v>Male</v>
      </c>
      <c r="R535" s="13" t="str">
        <f>_xlfn.XLOOKUP(Sales_fact[[#This Row],[Product_ID]],Product_Dim!A:A,Product_Dim!C:C,"OTHERS")</f>
        <v>Sports</v>
      </c>
    </row>
    <row r="536" spans="1:18" x14ac:dyDescent="0.3">
      <c r="A536" t="s">
        <v>2360</v>
      </c>
      <c r="B536" s="2">
        <v>45697</v>
      </c>
      <c r="C536" t="s">
        <v>657</v>
      </c>
      <c r="D536" t="s">
        <v>1722</v>
      </c>
      <c r="E536" t="str">
        <f ca="1">TRIM(Sales_fact[[#This Row],[Store_ID]])</f>
        <v>STORE9</v>
      </c>
      <c r="F536">
        <v>1</v>
      </c>
      <c r="G536">
        <f>IF(ISBLANK(F536),MODE($F$2:$F$2001),F536)</f>
        <v>1</v>
      </c>
      <c r="H536">
        <v>972.06</v>
      </c>
      <c r="I536">
        <f>IF(ISBLANK(H536),AVERAGE($H$2:$H$2001),H536)</f>
        <v>972.06</v>
      </c>
      <c r="J536">
        <v>0.3</v>
      </c>
      <c r="K536">
        <f>IF(ISBLANK(J536),MODE($J$2:$J$2001),J536)</f>
        <v>0.3</v>
      </c>
      <c r="L536" t="s">
        <v>1829</v>
      </c>
      <c r="M536">
        <v>680.44199999999989</v>
      </c>
      <c r="N536">
        <f t="shared" si="8"/>
        <v>680.44199999999989</v>
      </c>
      <c r="O536" t="str">
        <f>_xlfn.XLOOKUP(Sales_fact[[#This Row],[Customer_ID]],'Customer_Dim'!A:A,'Customer_Dim'!K:K,"Not Found")</f>
        <v>Bronze</v>
      </c>
      <c r="P536">
        <f>_xlfn.XLOOKUP(Sales_fact[[#This Row],[Customer_ID]],'Customer_Dim'!A:A, 'Customer_Dim'!E:E, "Not Found")</f>
        <v>25</v>
      </c>
      <c r="Q536" t="str">
        <f>VLOOKUP(Sales_fact[[#This Row],[Customer_ID]], 'Customer_Dim'!A:F, 6, FALSE)</f>
        <v>Female</v>
      </c>
      <c r="R536" s="13" t="str">
        <f>_xlfn.XLOOKUP(Sales_fact[[#This Row],[Product_ID]],Product_Dim!A:A,Product_Dim!C:C,"OTHERS")</f>
        <v>Home</v>
      </c>
    </row>
    <row r="537" spans="1:18" x14ac:dyDescent="0.3">
      <c r="A537" t="s">
        <v>2361</v>
      </c>
      <c r="B537" s="2">
        <v>45281</v>
      </c>
      <c r="C537" t="s">
        <v>130</v>
      </c>
      <c r="D537" t="s">
        <v>1580</v>
      </c>
      <c r="E537" t="str">
        <f ca="1">TRIM(Sales_fact[[#This Row],[Store_ID]])</f>
        <v>STORE0</v>
      </c>
      <c r="F537">
        <v>1</v>
      </c>
      <c r="G537">
        <f>IF(ISBLANK(F537),MODE($F$2:$F$2001),F537)</f>
        <v>1</v>
      </c>
      <c r="H537">
        <v>791.36</v>
      </c>
      <c r="I537">
        <f>IF(ISBLANK(H537),AVERAGE($H$2:$H$2001),H537)</f>
        <v>791.36</v>
      </c>
      <c r="J537">
        <v>0.06</v>
      </c>
      <c r="K537">
        <f>IF(ISBLANK(J537),MODE($J$2:$J$2001),J537)</f>
        <v>0.06</v>
      </c>
      <c r="L537" t="s">
        <v>1826</v>
      </c>
      <c r="M537">
        <v>743.87839999999994</v>
      </c>
      <c r="N537">
        <f t="shared" si="8"/>
        <v>743.87839999999994</v>
      </c>
      <c r="O537" t="str">
        <f>_xlfn.XLOOKUP(Sales_fact[[#This Row],[Customer_ID]],'Customer_Dim'!A:A,'Customer_Dim'!K:K,"Not Found")</f>
        <v>Gold</v>
      </c>
      <c r="P537">
        <f>_xlfn.XLOOKUP(Sales_fact[[#This Row],[Customer_ID]],'Customer_Dim'!A:A, 'Customer_Dim'!E:E, "Not Found")</f>
        <v>48</v>
      </c>
      <c r="Q537" t="str">
        <f>VLOOKUP(Sales_fact[[#This Row],[Customer_ID]], 'Customer_Dim'!A:F, 6, FALSE)</f>
        <v>Female</v>
      </c>
      <c r="R537" s="13" t="str">
        <f>_xlfn.XLOOKUP(Sales_fact[[#This Row],[Product_ID]],Product_Dim!A:A,Product_Dim!C:C,"OTHERS")</f>
        <v>OTHERS</v>
      </c>
    </row>
    <row r="538" spans="1:18" x14ac:dyDescent="0.3">
      <c r="A538" t="s">
        <v>2362</v>
      </c>
      <c r="B538" s="2">
        <v>45855</v>
      </c>
      <c r="C538" t="s">
        <v>990</v>
      </c>
      <c r="D538" t="s">
        <v>1676</v>
      </c>
      <c r="E538" t="str">
        <f ca="1">TRIM(Sales_fact[[#This Row],[Store_ID]])</f>
        <v>STORE5</v>
      </c>
      <c r="F538">
        <v>4</v>
      </c>
      <c r="G538">
        <f>IF(ISBLANK(F538),MODE($F$2:$F$2001),F538)</f>
        <v>4</v>
      </c>
      <c r="H538">
        <v>839.65</v>
      </c>
      <c r="I538">
        <f>IF(ISBLANK(H538),AVERAGE($H$2:$H$2001),H538)</f>
        <v>839.65</v>
      </c>
      <c r="J538">
        <v>0.26</v>
      </c>
      <c r="K538">
        <f>IF(ISBLANK(J538),MODE($J$2:$J$2001),J538)</f>
        <v>0.26</v>
      </c>
      <c r="L538" t="s">
        <v>1829</v>
      </c>
      <c r="M538">
        <v>2485.364</v>
      </c>
      <c r="N538">
        <f t="shared" si="8"/>
        <v>2485.364</v>
      </c>
      <c r="O538" t="str">
        <f>_xlfn.XLOOKUP(Sales_fact[[#This Row],[Customer_ID]],'Customer_Dim'!A:A,'Customer_Dim'!K:K,"Not Found")</f>
        <v>Silver</v>
      </c>
      <c r="P538">
        <f>_xlfn.XLOOKUP(Sales_fact[[#This Row],[Customer_ID]],'Customer_Dim'!A:A, 'Customer_Dim'!E:E, "Not Found")</f>
        <v>53</v>
      </c>
      <c r="Q538" t="str">
        <f>VLOOKUP(Sales_fact[[#This Row],[Customer_ID]], 'Customer_Dim'!A:F, 6, FALSE)</f>
        <v>Female</v>
      </c>
      <c r="R538" s="13" t="str">
        <f>_xlfn.XLOOKUP(Sales_fact[[#This Row],[Product_ID]],Product_Dim!A:A,Product_Dim!C:C,"OTHERS")</f>
        <v>Beauty</v>
      </c>
    </row>
    <row r="539" spans="1:18" x14ac:dyDescent="0.3">
      <c r="A539" t="s">
        <v>2363</v>
      </c>
      <c r="B539" s="2">
        <v>45793</v>
      </c>
      <c r="C539" t="s">
        <v>815</v>
      </c>
      <c r="D539" t="s">
        <v>1692</v>
      </c>
      <c r="E539" t="str">
        <f ca="1">TRIM(Sales_fact[[#This Row],[Store_ID]])</f>
        <v>STORE2</v>
      </c>
      <c r="F539">
        <v>2</v>
      </c>
      <c r="G539">
        <f>IF(ISBLANK(F539),MODE($F$2:$F$2001),F539)</f>
        <v>2</v>
      </c>
      <c r="H539">
        <v>245.52</v>
      </c>
      <c r="I539">
        <f>IF(ISBLANK(H539),AVERAGE($H$2:$H$2001),H539)</f>
        <v>245.52</v>
      </c>
      <c r="J539">
        <v>0.11</v>
      </c>
      <c r="K539">
        <f>IF(ISBLANK(J539),MODE($J$2:$J$2001),J539)</f>
        <v>0.11</v>
      </c>
      <c r="L539" t="s">
        <v>1829</v>
      </c>
      <c r="M539">
        <v>437.0256</v>
      </c>
      <c r="N539">
        <f t="shared" si="8"/>
        <v>437.0256</v>
      </c>
      <c r="O539" t="str">
        <f>_xlfn.XLOOKUP(Sales_fact[[#This Row],[Customer_ID]],'Customer_Dim'!A:A,'Customer_Dim'!K:K,"Not Found")</f>
        <v>Gold</v>
      </c>
      <c r="P539">
        <f>_xlfn.XLOOKUP(Sales_fact[[#This Row],[Customer_ID]],'Customer_Dim'!A:A, 'Customer_Dim'!E:E, "Not Found")</f>
        <v>21</v>
      </c>
      <c r="Q539" t="str">
        <f>VLOOKUP(Sales_fact[[#This Row],[Customer_ID]], 'Customer_Dim'!A:F, 6, FALSE)</f>
        <v>Male</v>
      </c>
      <c r="R539" s="13" t="str">
        <f>_xlfn.XLOOKUP(Sales_fact[[#This Row],[Product_ID]],Product_Dim!A:A,Product_Dim!C:C,"OTHERS")</f>
        <v>Sports</v>
      </c>
    </row>
    <row r="540" spans="1:18" x14ac:dyDescent="0.3">
      <c r="A540" t="s">
        <v>2364</v>
      </c>
      <c r="B540" s="2">
        <v>45881</v>
      </c>
      <c r="C540" t="s">
        <v>1211</v>
      </c>
      <c r="D540" t="s">
        <v>1712</v>
      </c>
      <c r="E540" t="str">
        <f ca="1">TRIM(Sales_fact[[#This Row],[Store_ID]])</f>
        <v>STORE8</v>
      </c>
      <c r="F540">
        <v>3</v>
      </c>
      <c r="G540">
        <f>IF(ISBLANK(F540),MODE($F$2:$F$2001),F540)</f>
        <v>3</v>
      </c>
      <c r="H540">
        <v>787.91</v>
      </c>
      <c r="I540">
        <f>IF(ISBLANK(H540),AVERAGE($H$2:$H$2001),H540)</f>
        <v>787.91</v>
      </c>
      <c r="J540">
        <v>0.06</v>
      </c>
      <c r="K540">
        <f>IF(ISBLANK(J540),MODE($J$2:$J$2001),J540)</f>
        <v>0.06</v>
      </c>
      <c r="L540" t="s">
        <v>1826</v>
      </c>
      <c r="M540">
        <v>2221.9061999999999</v>
      </c>
      <c r="N540">
        <f t="shared" si="8"/>
        <v>2221.9061999999999</v>
      </c>
      <c r="O540" t="str">
        <f>_xlfn.XLOOKUP(Sales_fact[[#This Row],[Customer_ID]],'Customer_Dim'!A:A,'Customer_Dim'!K:K,"Not Found")</f>
        <v>Platinum</v>
      </c>
      <c r="P540">
        <f>_xlfn.XLOOKUP(Sales_fact[[#This Row],[Customer_ID]],'Customer_Dim'!A:A, 'Customer_Dim'!E:E, "Not Found")</f>
        <v>53</v>
      </c>
      <c r="Q540" t="str">
        <f>VLOOKUP(Sales_fact[[#This Row],[Customer_ID]], 'Customer_Dim'!A:F, 6, FALSE)</f>
        <v>Male</v>
      </c>
      <c r="R540" s="13" t="str">
        <f>_xlfn.XLOOKUP(Sales_fact[[#This Row],[Product_ID]],Product_Dim!A:A,Product_Dim!C:C,"OTHERS")</f>
        <v>Sports</v>
      </c>
    </row>
    <row r="541" spans="1:18" x14ac:dyDescent="0.3">
      <c r="A541" t="s">
        <v>2365</v>
      </c>
      <c r="B541" s="2">
        <v>45890</v>
      </c>
      <c r="C541" t="s">
        <v>202</v>
      </c>
      <c r="D541" t="s">
        <v>1698</v>
      </c>
      <c r="E541" t="str">
        <f ca="1">TRIM(Sales_fact[[#This Row],[Store_ID]])</f>
        <v>STORE4</v>
      </c>
      <c r="F541">
        <v>2</v>
      </c>
      <c r="G541">
        <f>IF(ISBLANK(F541),MODE($F$2:$F$2001),F541)</f>
        <v>2</v>
      </c>
      <c r="H541">
        <v>709.17</v>
      </c>
      <c r="I541">
        <f>IF(ISBLANK(H541),AVERAGE($H$2:$H$2001),H541)</f>
        <v>709.17</v>
      </c>
      <c r="J541">
        <v>0.22</v>
      </c>
      <c r="K541">
        <f>IF(ISBLANK(J541),MODE($J$2:$J$2001),J541)</f>
        <v>0.22</v>
      </c>
      <c r="L541" t="s">
        <v>1824</v>
      </c>
      <c r="M541">
        <v>1106.3052</v>
      </c>
      <c r="N541">
        <f t="shared" si="8"/>
        <v>1106.3052</v>
      </c>
      <c r="O541" t="str">
        <f>_xlfn.XLOOKUP(Sales_fact[[#This Row],[Customer_ID]],'Customer_Dim'!A:A,'Customer_Dim'!K:K,"Not Found")</f>
        <v>Gold</v>
      </c>
      <c r="P541">
        <f>_xlfn.XLOOKUP(Sales_fact[[#This Row],[Customer_ID]],'Customer_Dim'!A:A, 'Customer_Dim'!E:E, "Not Found")</f>
        <v>37</v>
      </c>
      <c r="Q541" t="str">
        <f>VLOOKUP(Sales_fact[[#This Row],[Customer_ID]], 'Customer_Dim'!A:F, 6, FALSE)</f>
        <v>Female</v>
      </c>
      <c r="R541" s="13" t="str">
        <f>_xlfn.XLOOKUP(Sales_fact[[#This Row],[Product_ID]],Product_Dim!A:A,Product_Dim!C:C,"OTHERS")</f>
        <v>Clothing</v>
      </c>
    </row>
    <row r="542" spans="1:18" x14ac:dyDescent="0.3">
      <c r="A542" t="s">
        <v>2366</v>
      </c>
      <c r="B542" s="2">
        <v>45251</v>
      </c>
      <c r="C542" t="s">
        <v>755</v>
      </c>
      <c r="D542" t="s">
        <v>1730</v>
      </c>
      <c r="E542" t="str">
        <f ca="1">TRIM(Sales_fact[[#This Row],[Store_ID]])</f>
        <v>STORE7</v>
      </c>
      <c r="F542">
        <v>2</v>
      </c>
      <c r="G542">
        <f>IF(ISBLANK(F542),MODE($F$2:$F$2001),F542)</f>
        <v>2</v>
      </c>
      <c r="H542">
        <v>533.91999999999996</v>
      </c>
      <c r="I542">
        <f>IF(ISBLANK(H542),AVERAGE($H$2:$H$2001),H542)</f>
        <v>533.91999999999996</v>
      </c>
      <c r="J542">
        <v>0.13</v>
      </c>
      <c r="K542">
        <f>IF(ISBLANK(J542),MODE($J$2:$J$2001),J542)</f>
        <v>0.13</v>
      </c>
      <c r="L542" t="s">
        <v>1824</v>
      </c>
      <c r="M542">
        <v>929.02079999999989</v>
      </c>
      <c r="N542">
        <f t="shared" si="8"/>
        <v>929.02079999999989</v>
      </c>
      <c r="O542" t="str">
        <f>_xlfn.XLOOKUP(Sales_fact[[#This Row],[Customer_ID]],'Customer_Dim'!A:A,'Customer_Dim'!K:K,"Not Found")</f>
        <v>Bronze</v>
      </c>
      <c r="P542">
        <f>_xlfn.XLOOKUP(Sales_fact[[#This Row],[Customer_ID]],'Customer_Dim'!A:A, 'Customer_Dim'!E:E, "Not Found")</f>
        <v>28</v>
      </c>
      <c r="Q542" t="str">
        <f>VLOOKUP(Sales_fact[[#This Row],[Customer_ID]], 'Customer_Dim'!A:F, 6, FALSE)</f>
        <v>Female</v>
      </c>
      <c r="R542" s="13" t="str">
        <f>_xlfn.XLOOKUP(Sales_fact[[#This Row],[Product_ID]],Product_Dim!A:A,Product_Dim!C:C,"OTHERS")</f>
        <v>Clothing</v>
      </c>
    </row>
    <row r="543" spans="1:18" x14ac:dyDescent="0.3">
      <c r="A543" t="s">
        <v>2367</v>
      </c>
      <c r="B543" s="2">
        <v>45695</v>
      </c>
      <c r="C543" t="s">
        <v>1513</v>
      </c>
      <c r="D543" t="s">
        <v>1632</v>
      </c>
      <c r="E543" t="str">
        <f ca="1">TRIM(Sales_fact[[#This Row],[Store_ID]])</f>
        <v>STORE0</v>
      </c>
      <c r="F543">
        <v>1</v>
      </c>
      <c r="G543">
        <f>IF(ISBLANK(F543),MODE($F$2:$F$2001),F543)</f>
        <v>1</v>
      </c>
      <c r="H543">
        <v>878.84</v>
      </c>
      <c r="I543">
        <f>IF(ISBLANK(H543),AVERAGE($H$2:$H$2001),H543)</f>
        <v>878.84</v>
      </c>
      <c r="J543">
        <v>0.28000000000000003</v>
      </c>
      <c r="K543">
        <f>IF(ISBLANK(J543),MODE($J$2:$J$2001),J543)</f>
        <v>0.28000000000000003</v>
      </c>
      <c r="L543" t="s">
        <v>1829</v>
      </c>
      <c r="M543">
        <v>632.76480000000004</v>
      </c>
      <c r="N543">
        <f t="shared" si="8"/>
        <v>632.76480000000004</v>
      </c>
      <c r="O543" t="str">
        <f>_xlfn.XLOOKUP(Sales_fact[[#This Row],[Customer_ID]],'Customer_Dim'!A:A,'Customer_Dim'!K:K,"Not Found")</f>
        <v>Platinum</v>
      </c>
      <c r="P543">
        <f>_xlfn.XLOOKUP(Sales_fact[[#This Row],[Customer_ID]],'Customer_Dim'!A:A, 'Customer_Dim'!E:E, "Not Found")</f>
        <v>59</v>
      </c>
      <c r="Q543" t="str">
        <f>VLOOKUP(Sales_fact[[#This Row],[Customer_ID]], 'Customer_Dim'!A:F, 6, FALSE)</f>
        <v>Female</v>
      </c>
      <c r="R543" s="13" t="str">
        <f>_xlfn.XLOOKUP(Sales_fact[[#This Row],[Product_ID]],Product_Dim!A:A,Product_Dim!C:C,"OTHERS")</f>
        <v>Electronics</v>
      </c>
    </row>
    <row r="544" spans="1:18" x14ac:dyDescent="0.3">
      <c r="A544" t="s">
        <v>2368</v>
      </c>
      <c r="B544" s="2">
        <v>45287</v>
      </c>
      <c r="C544" t="s">
        <v>666</v>
      </c>
      <c r="D544" t="s">
        <v>1636</v>
      </c>
      <c r="E544" t="str">
        <f ca="1">TRIM(Sales_fact[[#This Row],[Store_ID]])</f>
        <v>STORE16</v>
      </c>
      <c r="F544">
        <v>1</v>
      </c>
      <c r="G544">
        <f>IF(ISBLANK(F544),MODE($F$2:$F$2001),F544)</f>
        <v>1</v>
      </c>
      <c r="H544">
        <v>442.36</v>
      </c>
      <c r="I544">
        <f>IF(ISBLANK(H544),AVERAGE($H$2:$H$2001),H544)</f>
        <v>442.36</v>
      </c>
      <c r="J544">
        <v>0.14000000000000001</v>
      </c>
      <c r="K544">
        <f>IF(ISBLANK(J544),MODE($J$2:$J$2001),J544)</f>
        <v>0.14000000000000001</v>
      </c>
      <c r="L544" t="s">
        <v>1824</v>
      </c>
      <c r="M544">
        <v>380.42959999999999</v>
      </c>
      <c r="N544">
        <f t="shared" si="8"/>
        <v>380.42959999999999</v>
      </c>
      <c r="O544" t="str">
        <f>_xlfn.XLOOKUP(Sales_fact[[#This Row],[Customer_ID]],'Customer_Dim'!A:A,'Customer_Dim'!K:K,"Not Found")</f>
        <v>Platinum</v>
      </c>
      <c r="P544">
        <f>_xlfn.XLOOKUP(Sales_fact[[#This Row],[Customer_ID]],'Customer_Dim'!A:A, 'Customer_Dim'!E:E, "Not Found")</f>
        <v>52</v>
      </c>
      <c r="Q544" t="str">
        <f>VLOOKUP(Sales_fact[[#This Row],[Customer_ID]], 'Customer_Dim'!A:F, 6, FALSE)</f>
        <v>Male</v>
      </c>
      <c r="R544" s="13" t="str">
        <f>_xlfn.XLOOKUP(Sales_fact[[#This Row],[Product_ID]],Product_Dim!A:A,Product_Dim!C:C,"OTHERS")</f>
        <v>Sports</v>
      </c>
    </row>
    <row r="545" spans="1:18" x14ac:dyDescent="0.3">
      <c r="A545" t="s">
        <v>2369</v>
      </c>
      <c r="B545" s="2">
        <v>45711</v>
      </c>
      <c r="C545" t="s">
        <v>1047</v>
      </c>
      <c r="D545" t="s">
        <v>1618</v>
      </c>
      <c r="E545" t="str">
        <f ca="1">TRIM(Sales_fact[[#This Row],[Store_ID]])</f>
        <v>STORE6</v>
      </c>
      <c r="F545">
        <v>1</v>
      </c>
      <c r="G545">
        <f>IF(ISBLANK(F545),MODE($F$2:$F$2001),F545)</f>
        <v>1</v>
      </c>
      <c r="H545">
        <v>763.34</v>
      </c>
      <c r="I545">
        <f>IF(ISBLANK(H545),AVERAGE($H$2:$H$2001),H545)</f>
        <v>763.34</v>
      </c>
      <c r="J545">
        <v>0.11</v>
      </c>
      <c r="K545">
        <f>IF(ISBLANK(J545),MODE($J$2:$J$2001),J545)</f>
        <v>0.11</v>
      </c>
      <c r="L545" t="s">
        <v>1829</v>
      </c>
      <c r="M545">
        <v>679.37260000000003</v>
      </c>
      <c r="N545">
        <f t="shared" si="8"/>
        <v>679.37260000000003</v>
      </c>
      <c r="O545" t="str">
        <f>_xlfn.XLOOKUP(Sales_fact[[#This Row],[Customer_ID]],'Customer_Dim'!A:A,'Customer_Dim'!K:K,"Not Found")</f>
        <v>Gold</v>
      </c>
      <c r="P545">
        <f>_xlfn.XLOOKUP(Sales_fact[[#This Row],[Customer_ID]],'Customer_Dim'!A:A, 'Customer_Dim'!E:E, "Not Found")</f>
        <v>64</v>
      </c>
      <c r="Q545" t="str">
        <f>VLOOKUP(Sales_fact[[#This Row],[Customer_ID]], 'Customer_Dim'!A:F, 6, FALSE)</f>
        <v>Female</v>
      </c>
      <c r="R545" s="13" t="str">
        <f>_xlfn.XLOOKUP(Sales_fact[[#This Row],[Product_ID]],Product_Dim!A:A,Product_Dim!C:C,"OTHERS")</f>
        <v>Home</v>
      </c>
    </row>
    <row r="546" spans="1:18" x14ac:dyDescent="0.3">
      <c r="A546" t="s">
        <v>2370</v>
      </c>
      <c r="B546" s="2">
        <v>45842</v>
      </c>
      <c r="C546" t="s">
        <v>553</v>
      </c>
      <c r="D546" t="s">
        <v>1666</v>
      </c>
      <c r="E546" t="str">
        <f ca="1">TRIM(Sales_fact[[#This Row],[Store_ID]])</f>
        <v>STORE18</v>
      </c>
      <c r="F546">
        <v>3</v>
      </c>
      <c r="G546">
        <f>IF(ISBLANK(F546),MODE($F$2:$F$2001),F546)</f>
        <v>3</v>
      </c>
      <c r="H546">
        <v>178.22</v>
      </c>
      <c r="I546">
        <f>IF(ISBLANK(H546),AVERAGE($H$2:$H$2001),H546)</f>
        <v>178.22</v>
      </c>
      <c r="J546">
        <v>0.15</v>
      </c>
      <c r="K546">
        <f>IF(ISBLANK(J546),MODE($J$2:$J$2001),J546)</f>
        <v>0.15</v>
      </c>
      <c r="L546" t="s">
        <v>1829</v>
      </c>
      <c r="M546">
        <v>454.46100000000001</v>
      </c>
      <c r="N546">
        <f t="shared" si="8"/>
        <v>454.46099999999996</v>
      </c>
      <c r="O546" t="str">
        <f>_xlfn.XLOOKUP(Sales_fact[[#This Row],[Customer_ID]],'Customer_Dim'!A:A,'Customer_Dim'!K:K,"Not Found")</f>
        <v>Silver</v>
      </c>
      <c r="P546">
        <f>_xlfn.XLOOKUP(Sales_fact[[#This Row],[Customer_ID]],'Customer_Dim'!A:A, 'Customer_Dim'!E:E, "Not Found")</f>
        <v>25</v>
      </c>
      <c r="Q546" t="str">
        <f>VLOOKUP(Sales_fact[[#This Row],[Customer_ID]], 'Customer_Dim'!A:F, 6, FALSE)</f>
        <v>Female</v>
      </c>
      <c r="R546" s="13" t="str">
        <f>_xlfn.XLOOKUP(Sales_fact[[#This Row],[Product_ID]],Product_Dim!A:A,Product_Dim!C:C,"OTHERS")</f>
        <v>Beauty</v>
      </c>
    </row>
    <row r="547" spans="1:18" x14ac:dyDescent="0.3">
      <c r="A547" t="s">
        <v>2371</v>
      </c>
      <c r="B547" s="2">
        <v>45255</v>
      </c>
      <c r="C547" t="s">
        <v>366</v>
      </c>
      <c r="D547" t="s">
        <v>1600</v>
      </c>
      <c r="E547" t="str">
        <f ca="1">TRIM(Sales_fact[[#This Row],[Store_ID]])</f>
        <v>STORE1</v>
      </c>
      <c r="F547">
        <v>4</v>
      </c>
      <c r="G547">
        <f>IF(ISBLANK(F547),MODE($F$2:$F$2001),F547)</f>
        <v>4</v>
      </c>
      <c r="H547">
        <v>90.32</v>
      </c>
      <c r="I547">
        <f>IF(ISBLANK(H547),AVERAGE($H$2:$H$2001),H547)</f>
        <v>90.32</v>
      </c>
      <c r="J547">
        <v>0.08</v>
      </c>
      <c r="K547">
        <f>IF(ISBLANK(J547),MODE($J$2:$J$2001),J547)</f>
        <v>0.08</v>
      </c>
      <c r="L547" t="s">
        <v>1826</v>
      </c>
      <c r="M547">
        <v>332.37759999999997</v>
      </c>
      <c r="N547">
        <f t="shared" si="8"/>
        <v>332.37759999999997</v>
      </c>
      <c r="O547" t="str">
        <f>_xlfn.XLOOKUP(Sales_fact[[#This Row],[Customer_ID]],'Customer_Dim'!A:A,'Customer_Dim'!K:K,"Not Found")</f>
        <v>Bronze</v>
      </c>
      <c r="P547">
        <f>_xlfn.XLOOKUP(Sales_fact[[#This Row],[Customer_ID]],'Customer_Dim'!A:A, 'Customer_Dim'!E:E, "Not Found")</f>
        <v>21</v>
      </c>
      <c r="Q547" t="str">
        <f>VLOOKUP(Sales_fact[[#This Row],[Customer_ID]], 'Customer_Dim'!A:F, 6, FALSE)</f>
        <v>Male</v>
      </c>
      <c r="R547" s="13" t="str">
        <f>_xlfn.XLOOKUP(Sales_fact[[#This Row],[Product_ID]],Product_Dim!A:A,Product_Dim!C:C,"OTHERS")</f>
        <v>Electronics</v>
      </c>
    </row>
    <row r="548" spans="1:18" x14ac:dyDescent="0.3">
      <c r="A548" t="s">
        <v>2372</v>
      </c>
      <c r="B548" s="2">
        <v>45695</v>
      </c>
      <c r="C548" t="s">
        <v>1181</v>
      </c>
      <c r="D548" t="s">
        <v>1568</v>
      </c>
      <c r="E548" t="str">
        <f ca="1">TRIM(Sales_fact[[#This Row],[Store_ID]])</f>
        <v>STORE6</v>
      </c>
      <c r="F548">
        <v>3</v>
      </c>
      <c r="G548">
        <f>IF(ISBLANK(F548),MODE($F$2:$F$2001),F548)</f>
        <v>3</v>
      </c>
      <c r="H548">
        <v>370.93</v>
      </c>
      <c r="I548">
        <f>IF(ISBLANK(H548),AVERAGE($H$2:$H$2001),H548)</f>
        <v>370.93</v>
      </c>
      <c r="J548">
        <v>0</v>
      </c>
      <c r="K548">
        <f>IF(ISBLANK(J548),MODE($J$2:$J$2001),J548)</f>
        <v>0</v>
      </c>
      <c r="L548" t="s">
        <v>1824</v>
      </c>
      <c r="M548">
        <v>1112.79</v>
      </c>
      <c r="N548">
        <f t="shared" si="8"/>
        <v>1112.79</v>
      </c>
      <c r="O548" t="str">
        <f>_xlfn.XLOOKUP(Sales_fact[[#This Row],[Customer_ID]],'Customer_Dim'!A:A,'Customer_Dim'!K:K,"Not Found")</f>
        <v>Bronze</v>
      </c>
      <c r="P548">
        <f>_xlfn.XLOOKUP(Sales_fact[[#This Row],[Customer_ID]],'Customer_Dim'!A:A, 'Customer_Dim'!E:E, "Not Found")</f>
        <v>44</v>
      </c>
      <c r="Q548" t="str">
        <f>VLOOKUP(Sales_fact[[#This Row],[Customer_ID]], 'Customer_Dim'!A:F, 6, FALSE)</f>
        <v>Female</v>
      </c>
      <c r="R548" s="13" t="str">
        <f>_xlfn.XLOOKUP(Sales_fact[[#This Row],[Product_ID]],Product_Dim!A:A,Product_Dim!C:C,"OTHERS")</f>
        <v>Home</v>
      </c>
    </row>
    <row r="549" spans="1:18" x14ac:dyDescent="0.3">
      <c r="A549" t="s">
        <v>2373</v>
      </c>
      <c r="B549" s="2">
        <v>45281</v>
      </c>
      <c r="C549" t="s">
        <v>178</v>
      </c>
      <c r="D549" t="s">
        <v>1594</v>
      </c>
      <c r="E549" t="str">
        <f ca="1">TRIM(Sales_fact[[#This Row],[Store_ID]])</f>
        <v>STORE15</v>
      </c>
      <c r="F549">
        <v>1</v>
      </c>
      <c r="G549">
        <f>IF(ISBLANK(F549),MODE($F$2:$F$2001),F549)</f>
        <v>1</v>
      </c>
      <c r="H549">
        <v>352.43</v>
      </c>
      <c r="I549">
        <f>IF(ISBLANK(H549),AVERAGE($H$2:$H$2001),H549)</f>
        <v>352.43</v>
      </c>
      <c r="J549">
        <v>0.14000000000000001</v>
      </c>
      <c r="K549">
        <f>IF(ISBLANK(J549),MODE($J$2:$J$2001),J549)</f>
        <v>0.14000000000000001</v>
      </c>
      <c r="L549" t="s">
        <v>1826</v>
      </c>
      <c r="M549">
        <v>303.08980000000003</v>
      </c>
      <c r="N549">
        <f t="shared" si="8"/>
        <v>303.08980000000003</v>
      </c>
      <c r="O549" t="str">
        <f>_xlfn.XLOOKUP(Sales_fact[[#This Row],[Customer_ID]],'Customer_Dim'!A:A,'Customer_Dim'!K:K,"Not Found")</f>
        <v>Platinum</v>
      </c>
      <c r="P549">
        <f>_xlfn.XLOOKUP(Sales_fact[[#This Row],[Customer_ID]],'Customer_Dim'!A:A, 'Customer_Dim'!E:E, "Not Found")</f>
        <v>55</v>
      </c>
      <c r="Q549" t="str">
        <f>VLOOKUP(Sales_fact[[#This Row],[Customer_ID]], 'Customer_Dim'!A:F, 6, FALSE)</f>
        <v>Female</v>
      </c>
      <c r="R549" s="13" t="str">
        <f>_xlfn.XLOOKUP(Sales_fact[[#This Row],[Product_ID]],Product_Dim!A:A,Product_Dim!C:C,"OTHERS")</f>
        <v>Clothing</v>
      </c>
    </row>
    <row r="550" spans="1:18" x14ac:dyDescent="0.3">
      <c r="A550" t="s">
        <v>2374</v>
      </c>
      <c r="B550" s="2">
        <v>45295</v>
      </c>
      <c r="C550" t="s">
        <v>425</v>
      </c>
      <c r="D550" t="s">
        <v>1572</v>
      </c>
      <c r="E550" t="str">
        <f ca="1">TRIM(Sales_fact[[#This Row],[Store_ID]])</f>
        <v>STORE15</v>
      </c>
      <c r="F550">
        <v>2</v>
      </c>
      <c r="G550">
        <f>IF(ISBLANK(F550),MODE($F$2:$F$2001),F550)</f>
        <v>2</v>
      </c>
      <c r="H550">
        <v>562.97</v>
      </c>
      <c r="I550">
        <f>IF(ISBLANK(H550),AVERAGE($H$2:$H$2001),H550)</f>
        <v>562.97</v>
      </c>
      <c r="J550">
        <v>0.2</v>
      </c>
      <c r="K550">
        <f>IF(ISBLANK(J550),MODE($J$2:$J$2001),J550)</f>
        <v>0.2</v>
      </c>
      <c r="L550" t="s">
        <v>1824</v>
      </c>
      <c r="M550">
        <v>900.75200000000007</v>
      </c>
      <c r="N550">
        <f t="shared" si="8"/>
        <v>900.75200000000007</v>
      </c>
      <c r="O550" t="str">
        <f>_xlfn.XLOOKUP(Sales_fact[[#This Row],[Customer_ID]],'Customer_Dim'!A:A,'Customer_Dim'!K:K,"Not Found")</f>
        <v>Silver</v>
      </c>
      <c r="P550">
        <f>_xlfn.XLOOKUP(Sales_fact[[#This Row],[Customer_ID]],'Customer_Dim'!A:A, 'Customer_Dim'!E:E, "Not Found")</f>
        <v>40</v>
      </c>
      <c r="Q550" t="str">
        <f>VLOOKUP(Sales_fact[[#This Row],[Customer_ID]], 'Customer_Dim'!A:F, 6, FALSE)</f>
        <v>Male</v>
      </c>
      <c r="R550" s="13" t="str">
        <f>_xlfn.XLOOKUP(Sales_fact[[#This Row],[Product_ID]],Product_Dim!A:A,Product_Dim!C:C,"OTHERS")</f>
        <v>Beauty</v>
      </c>
    </row>
    <row r="551" spans="1:18" x14ac:dyDescent="0.3">
      <c r="A551" t="s">
        <v>2375</v>
      </c>
      <c r="B551" s="2">
        <v>45260</v>
      </c>
      <c r="C551" t="s">
        <v>526</v>
      </c>
      <c r="D551" t="s">
        <v>1658</v>
      </c>
      <c r="E551" t="str">
        <f ca="1">TRIM(Sales_fact[[#This Row],[Store_ID]])</f>
        <v>STORE7</v>
      </c>
      <c r="F551">
        <v>1</v>
      </c>
      <c r="G551">
        <f>IF(ISBLANK(F551),MODE($F$2:$F$2001),F551)</f>
        <v>1</v>
      </c>
      <c r="H551">
        <v>522.85</v>
      </c>
      <c r="I551">
        <f>IF(ISBLANK(H551),AVERAGE($H$2:$H$2001),H551)</f>
        <v>522.85</v>
      </c>
      <c r="J551">
        <v>0.12</v>
      </c>
      <c r="K551">
        <f>IF(ISBLANK(J551),MODE($J$2:$J$2001),J551)</f>
        <v>0.12</v>
      </c>
      <c r="L551" t="s">
        <v>1826</v>
      </c>
      <c r="M551">
        <v>460.108</v>
      </c>
      <c r="N551">
        <f t="shared" si="8"/>
        <v>460.108</v>
      </c>
      <c r="O551" t="str">
        <f>_xlfn.XLOOKUP(Sales_fact[[#This Row],[Customer_ID]],'Customer_Dim'!A:A,'Customer_Dim'!K:K,"Not Found")</f>
        <v>Platinum</v>
      </c>
      <c r="P551">
        <f>_xlfn.XLOOKUP(Sales_fact[[#This Row],[Customer_ID]],'Customer_Dim'!A:A, 'Customer_Dim'!E:E, "Not Found")</f>
        <v>59</v>
      </c>
      <c r="Q551" t="str">
        <f>VLOOKUP(Sales_fact[[#This Row],[Customer_ID]], 'Customer_Dim'!A:F, 6, FALSE)</f>
        <v>Male</v>
      </c>
      <c r="R551" s="13" t="str">
        <f>_xlfn.XLOOKUP(Sales_fact[[#This Row],[Product_ID]],Product_Dim!A:A,Product_Dim!C:C,"OTHERS")</f>
        <v>Home</v>
      </c>
    </row>
    <row r="552" spans="1:18" x14ac:dyDescent="0.3">
      <c r="A552" t="s">
        <v>2376</v>
      </c>
      <c r="B552" s="2">
        <v>45851</v>
      </c>
      <c r="C552" t="s">
        <v>1095</v>
      </c>
      <c r="D552" t="s">
        <v>1590</v>
      </c>
      <c r="E552" t="str">
        <f ca="1">TRIM(Sales_fact[[#This Row],[Store_ID]])</f>
        <v>STORE16</v>
      </c>
      <c r="F552">
        <v>4</v>
      </c>
      <c r="G552">
        <f>IF(ISBLANK(F552),MODE($F$2:$F$2001),F552)</f>
        <v>4</v>
      </c>
      <c r="H552">
        <v>714.89</v>
      </c>
      <c r="I552">
        <f>IF(ISBLANK(H552),AVERAGE($H$2:$H$2001),H552)</f>
        <v>714.89</v>
      </c>
      <c r="J552">
        <v>0.15</v>
      </c>
      <c r="K552">
        <f>IF(ISBLANK(J552),MODE($J$2:$J$2001),J552)</f>
        <v>0.15</v>
      </c>
      <c r="L552" t="s">
        <v>1824</v>
      </c>
      <c r="M552">
        <v>2430.6260000000002</v>
      </c>
      <c r="N552">
        <f t="shared" si="8"/>
        <v>2430.6259999999997</v>
      </c>
      <c r="O552" t="str">
        <f>_xlfn.XLOOKUP(Sales_fact[[#This Row],[Customer_ID]],'Customer_Dim'!A:A,'Customer_Dim'!K:K,"Not Found")</f>
        <v>Bronze</v>
      </c>
      <c r="P552">
        <f>_xlfn.XLOOKUP(Sales_fact[[#This Row],[Customer_ID]],'Customer_Dim'!A:A, 'Customer_Dim'!E:E, "Not Found")</f>
        <v>31</v>
      </c>
      <c r="Q552" t="str">
        <f>VLOOKUP(Sales_fact[[#This Row],[Customer_ID]], 'Customer_Dim'!A:F, 6, FALSE)</f>
        <v>Male</v>
      </c>
      <c r="R552" s="13" t="str">
        <f>_xlfn.XLOOKUP(Sales_fact[[#This Row],[Product_ID]],Product_Dim!A:A,Product_Dim!C:C,"OTHERS")</f>
        <v>Home</v>
      </c>
    </row>
    <row r="553" spans="1:18" x14ac:dyDescent="0.3">
      <c r="A553" t="s">
        <v>2377</v>
      </c>
      <c r="B553" s="2">
        <v>45222</v>
      </c>
      <c r="C553" t="s">
        <v>616</v>
      </c>
      <c r="D553" t="s">
        <v>1634</v>
      </c>
      <c r="E553" t="str">
        <f ca="1">TRIM(Sales_fact[[#This Row],[Store_ID]])</f>
        <v>STORE2</v>
      </c>
      <c r="F553">
        <v>3</v>
      </c>
      <c r="G553">
        <f>IF(ISBLANK(F553),MODE($F$2:$F$2001),F553)</f>
        <v>3</v>
      </c>
      <c r="H553">
        <v>137.77000000000001</v>
      </c>
      <c r="I553">
        <f>IF(ISBLANK(H553),AVERAGE($H$2:$H$2001),H553)</f>
        <v>137.77000000000001</v>
      </c>
      <c r="J553">
        <v>0.26</v>
      </c>
      <c r="K553">
        <f>IF(ISBLANK(J553),MODE($J$2:$J$2001),J553)</f>
        <v>0.26</v>
      </c>
      <c r="L553" t="s">
        <v>1826</v>
      </c>
      <c r="M553">
        <v>305.84940000000012</v>
      </c>
      <c r="N553">
        <f t="shared" si="8"/>
        <v>305.84940000000006</v>
      </c>
      <c r="O553" t="str">
        <f>_xlfn.XLOOKUP(Sales_fact[[#This Row],[Customer_ID]],'Customer_Dim'!A:A,'Customer_Dim'!K:K,"Not Found")</f>
        <v>Platinum</v>
      </c>
      <c r="P553">
        <f>_xlfn.XLOOKUP(Sales_fact[[#This Row],[Customer_ID]],'Customer_Dim'!A:A, 'Customer_Dim'!E:E, "Not Found")</f>
        <v>60</v>
      </c>
      <c r="Q553" t="str">
        <f>VLOOKUP(Sales_fact[[#This Row],[Customer_ID]], 'Customer_Dim'!A:F, 6, FALSE)</f>
        <v>Female</v>
      </c>
      <c r="R553" s="13" t="str">
        <f>_xlfn.XLOOKUP(Sales_fact[[#This Row],[Product_ID]],Product_Dim!A:A,Product_Dim!C:C,"OTHERS")</f>
        <v>Electronics</v>
      </c>
    </row>
    <row r="554" spans="1:18" x14ac:dyDescent="0.3">
      <c r="A554" t="s">
        <v>2378</v>
      </c>
      <c r="B554" s="2">
        <v>45940</v>
      </c>
      <c r="C554" t="s">
        <v>114</v>
      </c>
      <c r="D554" t="s">
        <v>1732</v>
      </c>
      <c r="E554" t="str">
        <f ca="1">TRIM(Sales_fact[[#This Row],[Store_ID]])</f>
        <v>STORE11</v>
      </c>
      <c r="F554">
        <v>3</v>
      </c>
      <c r="G554">
        <f>IF(ISBLANK(F554),MODE($F$2:$F$2001),F554)</f>
        <v>3</v>
      </c>
      <c r="H554">
        <v>862.18</v>
      </c>
      <c r="I554">
        <f>IF(ISBLANK(H554),AVERAGE($H$2:$H$2001),H554)</f>
        <v>862.18</v>
      </c>
      <c r="J554">
        <v>0.22</v>
      </c>
      <c r="K554">
        <f>IF(ISBLANK(J554),MODE($J$2:$J$2001),J554)</f>
        <v>0.22</v>
      </c>
      <c r="L554" t="s">
        <v>1826</v>
      </c>
      <c r="M554">
        <v>2017.5011999999999</v>
      </c>
      <c r="N554">
        <f t="shared" si="8"/>
        <v>2017.5012000000002</v>
      </c>
      <c r="O554" t="str">
        <f>_xlfn.XLOOKUP(Sales_fact[[#This Row],[Customer_ID]],'Customer_Dim'!A:A,'Customer_Dim'!K:K,"Not Found")</f>
        <v>UNKNOWN</v>
      </c>
      <c r="P554">
        <f>_xlfn.XLOOKUP(Sales_fact[[#This Row],[Customer_ID]],'Customer_Dim'!A:A, 'Customer_Dim'!E:E, "Not Found")</f>
        <v>31</v>
      </c>
      <c r="Q554" t="str">
        <f>VLOOKUP(Sales_fact[[#This Row],[Customer_ID]], 'Customer_Dim'!A:F, 6, FALSE)</f>
        <v>Male</v>
      </c>
      <c r="R554" s="13" t="str">
        <f>_xlfn.XLOOKUP(Sales_fact[[#This Row],[Product_ID]],Product_Dim!A:A,Product_Dim!C:C,"OTHERS")</f>
        <v>Home</v>
      </c>
    </row>
    <row r="555" spans="1:18" x14ac:dyDescent="0.3">
      <c r="A555" t="s">
        <v>2379</v>
      </c>
      <c r="B555" s="2">
        <v>45822</v>
      </c>
      <c r="C555" t="s">
        <v>214</v>
      </c>
      <c r="D555" t="s">
        <v>1624</v>
      </c>
      <c r="E555" t="str">
        <f ca="1">TRIM(Sales_fact[[#This Row],[Store_ID]])</f>
        <v>STORE14</v>
      </c>
      <c r="F555">
        <v>2</v>
      </c>
      <c r="G555">
        <f>IF(ISBLANK(F555),MODE($F$2:$F$2001),F555)</f>
        <v>2</v>
      </c>
      <c r="H555">
        <v>833.64</v>
      </c>
      <c r="I555">
        <f>IF(ISBLANK(H555),AVERAGE($H$2:$H$2001),H555)</f>
        <v>833.64</v>
      </c>
      <c r="J555">
        <v>0.24</v>
      </c>
      <c r="K555">
        <f>IF(ISBLANK(J555),MODE($J$2:$J$2001),J555)</f>
        <v>0.24</v>
      </c>
      <c r="L555" t="s">
        <v>1826</v>
      </c>
      <c r="M555">
        <v>1267.1328000000001</v>
      </c>
      <c r="N555">
        <f t="shared" si="8"/>
        <v>1267.1328000000001</v>
      </c>
      <c r="O555" t="str">
        <f>_xlfn.XLOOKUP(Sales_fact[[#This Row],[Customer_ID]],'Customer_Dim'!A:A,'Customer_Dim'!K:K,"Not Found")</f>
        <v>Platinum</v>
      </c>
      <c r="P555">
        <f>_xlfn.XLOOKUP(Sales_fact[[#This Row],[Customer_ID]],'Customer_Dim'!A:A, 'Customer_Dim'!E:E, "Not Found")</f>
        <v>43</v>
      </c>
      <c r="Q555" t="str">
        <f>VLOOKUP(Sales_fact[[#This Row],[Customer_ID]], 'Customer_Dim'!A:F, 6, FALSE)</f>
        <v>Female</v>
      </c>
      <c r="R555" s="13" t="str">
        <f>_xlfn.XLOOKUP(Sales_fact[[#This Row],[Product_ID]],Product_Dim!A:A,Product_Dim!C:C,"OTHERS")</f>
        <v>Sports</v>
      </c>
    </row>
    <row r="556" spans="1:18" x14ac:dyDescent="0.3">
      <c r="A556" t="s">
        <v>2380</v>
      </c>
      <c r="B556" s="2">
        <v>45752</v>
      </c>
      <c r="C556" t="s">
        <v>860</v>
      </c>
      <c r="D556" t="s">
        <v>1586</v>
      </c>
      <c r="E556" t="str">
        <f ca="1">TRIM(Sales_fact[[#This Row],[Store_ID]])</f>
        <v>STORE15</v>
      </c>
      <c r="F556">
        <v>3</v>
      </c>
      <c r="G556">
        <f>IF(ISBLANK(F556),MODE($F$2:$F$2001),F556)</f>
        <v>3</v>
      </c>
      <c r="H556">
        <v>543.22</v>
      </c>
      <c r="I556">
        <f>IF(ISBLANK(H556),AVERAGE($H$2:$H$2001),H556)</f>
        <v>543.22</v>
      </c>
      <c r="J556">
        <v>0.05</v>
      </c>
      <c r="K556">
        <f>IF(ISBLANK(J556),MODE($J$2:$J$2001),J556)</f>
        <v>0.05</v>
      </c>
      <c r="L556" t="s">
        <v>1829</v>
      </c>
      <c r="M556">
        <v>1548.1769999999999</v>
      </c>
      <c r="N556">
        <f t="shared" si="8"/>
        <v>1548.1769999999999</v>
      </c>
      <c r="O556" t="str">
        <f>_xlfn.XLOOKUP(Sales_fact[[#This Row],[Customer_ID]],'Customer_Dim'!A:A,'Customer_Dim'!K:K,"Not Found")</f>
        <v>Gold</v>
      </c>
      <c r="P556">
        <f>_xlfn.XLOOKUP(Sales_fact[[#This Row],[Customer_ID]],'Customer_Dim'!A:A, 'Customer_Dim'!E:E, "Not Found")</f>
        <v>31</v>
      </c>
      <c r="Q556" t="str">
        <f>VLOOKUP(Sales_fact[[#This Row],[Customer_ID]], 'Customer_Dim'!A:F, 6, FALSE)</f>
        <v>Female</v>
      </c>
      <c r="R556" s="13" t="str">
        <f>_xlfn.XLOOKUP(Sales_fact[[#This Row],[Product_ID]],Product_Dim!A:A,Product_Dim!C:C,"OTHERS")</f>
        <v>Sports</v>
      </c>
    </row>
    <row r="557" spans="1:18" x14ac:dyDescent="0.3">
      <c r="A557" t="s">
        <v>2381</v>
      </c>
      <c r="B557" s="2">
        <v>45677</v>
      </c>
      <c r="C557" t="s">
        <v>884</v>
      </c>
      <c r="D557" t="s">
        <v>1724</v>
      </c>
      <c r="E557" t="str">
        <f ca="1">TRIM(Sales_fact[[#This Row],[Store_ID]])</f>
        <v>STORE2</v>
      </c>
      <c r="F557">
        <v>3</v>
      </c>
      <c r="G557">
        <f>IF(ISBLANK(F557),MODE($F$2:$F$2001),F557)</f>
        <v>3</v>
      </c>
      <c r="H557">
        <v>691.02</v>
      </c>
      <c r="I557">
        <f>IF(ISBLANK(H557),AVERAGE($H$2:$H$2001),H557)</f>
        <v>691.02</v>
      </c>
      <c r="J557">
        <v>0.12</v>
      </c>
      <c r="K557">
        <f>IF(ISBLANK(J557),MODE($J$2:$J$2001),J557)</f>
        <v>0.12</v>
      </c>
      <c r="L557" t="s">
        <v>1829</v>
      </c>
      <c r="M557">
        <v>1824.2927999999999</v>
      </c>
      <c r="N557">
        <f t="shared" si="8"/>
        <v>1824.2927999999999</v>
      </c>
      <c r="O557" t="str">
        <f>_xlfn.XLOOKUP(Sales_fact[[#This Row],[Customer_ID]],'Customer_Dim'!A:A,'Customer_Dim'!K:K,"Not Found")</f>
        <v>Platinum</v>
      </c>
      <c r="P557">
        <f>_xlfn.XLOOKUP(Sales_fact[[#This Row],[Customer_ID]],'Customer_Dim'!A:A, 'Customer_Dim'!E:E, "Not Found")</f>
        <v>42</v>
      </c>
      <c r="Q557" t="str">
        <f>VLOOKUP(Sales_fact[[#This Row],[Customer_ID]], 'Customer_Dim'!A:F, 6, FALSE)</f>
        <v>Female</v>
      </c>
      <c r="R557" s="13" t="str">
        <f>_xlfn.XLOOKUP(Sales_fact[[#This Row],[Product_ID]],Product_Dim!A:A,Product_Dim!C:C,"OTHERS")</f>
        <v>Sports</v>
      </c>
    </row>
    <row r="558" spans="1:18" x14ac:dyDescent="0.3">
      <c r="A558" t="s">
        <v>2382</v>
      </c>
      <c r="B558" s="2">
        <v>45253</v>
      </c>
      <c r="C558" t="s">
        <v>314</v>
      </c>
      <c r="D558" t="s">
        <v>1720</v>
      </c>
      <c r="E558" t="str">
        <f ca="1">TRIM(Sales_fact[[#This Row],[Store_ID]])</f>
        <v>STORE17</v>
      </c>
      <c r="F558">
        <v>4</v>
      </c>
      <c r="G558">
        <f>IF(ISBLANK(F558),MODE($F$2:$F$2001),F558)</f>
        <v>4</v>
      </c>
      <c r="H558">
        <v>338.73</v>
      </c>
      <c r="I558">
        <f>IF(ISBLANK(H558),AVERAGE($H$2:$H$2001),H558)</f>
        <v>338.73</v>
      </c>
      <c r="J558">
        <v>0.18</v>
      </c>
      <c r="K558">
        <f>IF(ISBLANK(J558),MODE($J$2:$J$2001),J558)</f>
        <v>0.18</v>
      </c>
      <c r="L558" t="s">
        <v>1824</v>
      </c>
      <c r="M558">
        <v>1111.0344</v>
      </c>
      <c r="N558">
        <f t="shared" si="8"/>
        <v>1111.0344000000002</v>
      </c>
      <c r="O558" t="str">
        <f>_xlfn.XLOOKUP(Sales_fact[[#This Row],[Customer_ID]],'Customer_Dim'!A:A,'Customer_Dim'!K:K,"Not Found")</f>
        <v>Bronze</v>
      </c>
      <c r="P558">
        <f>_xlfn.XLOOKUP(Sales_fact[[#This Row],[Customer_ID]],'Customer_Dim'!A:A, 'Customer_Dim'!E:E, "Not Found")</f>
        <v>58</v>
      </c>
      <c r="Q558" t="str">
        <f>VLOOKUP(Sales_fact[[#This Row],[Customer_ID]], 'Customer_Dim'!A:F, 6, FALSE)</f>
        <v>Female</v>
      </c>
      <c r="R558" s="13" t="str">
        <f>_xlfn.XLOOKUP(Sales_fact[[#This Row],[Product_ID]],Product_Dim!A:A,Product_Dim!C:C,"OTHERS")</f>
        <v>Home</v>
      </c>
    </row>
    <row r="559" spans="1:18" x14ac:dyDescent="0.3">
      <c r="A559" t="s">
        <v>2383</v>
      </c>
      <c r="B559" s="2">
        <v>45389</v>
      </c>
      <c r="C559" t="s">
        <v>230</v>
      </c>
      <c r="D559" t="s">
        <v>1716</v>
      </c>
      <c r="E559" t="str">
        <f ca="1">TRIM(Sales_fact[[#This Row],[Store_ID]])</f>
        <v>STORE16</v>
      </c>
      <c r="F559">
        <v>3</v>
      </c>
      <c r="G559">
        <f>IF(ISBLANK(F559),MODE($F$2:$F$2001),F559)</f>
        <v>3</v>
      </c>
      <c r="H559">
        <v>366.08</v>
      </c>
      <c r="I559">
        <f>IF(ISBLANK(H559),AVERAGE($H$2:$H$2001),H559)</f>
        <v>366.08</v>
      </c>
      <c r="J559">
        <v>0.05</v>
      </c>
      <c r="K559">
        <f>IF(ISBLANK(J559),MODE($J$2:$J$2001),J559)</f>
        <v>0.05</v>
      </c>
      <c r="L559" t="s">
        <v>1824</v>
      </c>
      <c r="M559">
        <v>1043.328</v>
      </c>
      <c r="N559">
        <f t="shared" si="8"/>
        <v>1043.328</v>
      </c>
      <c r="O559" t="str">
        <f>_xlfn.XLOOKUP(Sales_fact[[#This Row],[Customer_ID]],'Customer_Dim'!A:A,'Customer_Dim'!K:K,"Not Found")</f>
        <v>Bronze</v>
      </c>
      <c r="P559">
        <f>_xlfn.XLOOKUP(Sales_fact[[#This Row],[Customer_ID]],'Customer_Dim'!A:A, 'Customer_Dim'!E:E, "Not Found")</f>
        <v>50</v>
      </c>
      <c r="Q559" t="str">
        <f>VLOOKUP(Sales_fact[[#This Row],[Customer_ID]], 'Customer_Dim'!A:F, 6, FALSE)</f>
        <v>Male</v>
      </c>
      <c r="R559" s="13" t="str">
        <f>_xlfn.XLOOKUP(Sales_fact[[#This Row],[Product_ID]],Product_Dim!A:A,Product_Dim!C:C,"OTHERS")</f>
        <v>Home</v>
      </c>
    </row>
    <row r="560" spans="1:18" x14ac:dyDescent="0.3">
      <c r="A560" t="s">
        <v>2384</v>
      </c>
      <c r="B560" s="2">
        <v>45840</v>
      </c>
      <c r="C560" t="s">
        <v>372</v>
      </c>
      <c r="D560" t="s">
        <v>1574</v>
      </c>
      <c r="E560" t="str">
        <f ca="1">TRIM(Sales_fact[[#This Row],[Store_ID]])</f>
        <v>STORE13</v>
      </c>
      <c r="F560">
        <v>4</v>
      </c>
      <c r="G560">
        <f>IF(ISBLANK(F560),MODE($F$2:$F$2001),F560)</f>
        <v>4</v>
      </c>
      <c r="H560">
        <v>539.48</v>
      </c>
      <c r="I560">
        <f>IF(ISBLANK(H560),AVERAGE($H$2:$H$2001),H560)</f>
        <v>539.48</v>
      </c>
      <c r="J560">
        <v>0.28000000000000003</v>
      </c>
      <c r="K560">
        <f>IF(ISBLANK(J560),MODE($J$2:$J$2001),J560)</f>
        <v>0.28000000000000003</v>
      </c>
      <c r="L560" t="s">
        <v>1829</v>
      </c>
      <c r="M560">
        <v>1553.7023999999999</v>
      </c>
      <c r="N560">
        <f t="shared" si="8"/>
        <v>1553.7023999999999</v>
      </c>
      <c r="O560" t="str">
        <f>_xlfn.XLOOKUP(Sales_fact[[#This Row],[Customer_ID]],'Customer_Dim'!A:A,'Customer_Dim'!K:K,"Not Found")</f>
        <v>Gold</v>
      </c>
      <c r="P560">
        <f>_xlfn.XLOOKUP(Sales_fact[[#This Row],[Customer_ID]],'Customer_Dim'!A:A, 'Customer_Dim'!E:E, "Not Found")</f>
        <v>50</v>
      </c>
      <c r="Q560" t="str">
        <f>VLOOKUP(Sales_fact[[#This Row],[Customer_ID]], 'Customer_Dim'!A:F, 6, FALSE)</f>
        <v>Female</v>
      </c>
      <c r="R560" s="13" t="str">
        <f>_xlfn.XLOOKUP(Sales_fact[[#This Row],[Product_ID]],Product_Dim!A:A,Product_Dim!C:C,"OTHERS")</f>
        <v>Electronics</v>
      </c>
    </row>
    <row r="561" spans="1:18" x14ac:dyDescent="0.3">
      <c r="A561" t="s">
        <v>2385</v>
      </c>
      <c r="B561" s="2">
        <v>45256</v>
      </c>
      <c r="C561" t="s">
        <v>1214</v>
      </c>
      <c r="D561" t="s">
        <v>1730</v>
      </c>
      <c r="E561" t="str">
        <f ca="1">TRIM(Sales_fact[[#This Row],[Store_ID]])</f>
        <v>STORE16</v>
      </c>
      <c r="F561">
        <v>1</v>
      </c>
      <c r="G561">
        <f>IF(ISBLANK(F561),MODE($F$2:$F$2001),F561)</f>
        <v>1</v>
      </c>
      <c r="H561">
        <v>499.59</v>
      </c>
      <c r="I561">
        <f>IF(ISBLANK(H561),AVERAGE($H$2:$H$2001),H561)</f>
        <v>499.59</v>
      </c>
      <c r="J561">
        <v>0.03</v>
      </c>
      <c r="K561">
        <f>IF(ISBLANK(J561),MODE($J$2:$J$2001),J561)</f>
        <v>0.03</v>
      </c>
      <c r="L561" t="s">
        <v>1829</v>
      </c>
      <c r="M561">
        <v>484.60230000000001</v>
      </c>
      <c r="N561">
        <f t="shared" si="8"/>
        <v>484.60229999999996</v>
      </c>
      <c r="O561" t="str">
        <f>_xlfn.XLOOKUP(Sales_fact[[#This Row],[Customer_ID]],'Customer_Dim'!A:A,'Customer_Dim'!K:K,"Not Found")</f>
        <v>Platinum</v>
      </c>
      <c r="P561">
        <f>_xlfn.XLOOKUP(Sales_fact[[#This Row],[Customer_ID]],'Customer_Dim'!A:A, 'Customer_Dim'!E:E, "Not Found")</f>
        <v>50</v>
      </c>
      <c r="Q561" t="str">
        <f>VLOOKUP(Sales_fact[[#This Row],[Customer_ID]], 'Customer_Dim'!A:F, 6, FALSE)</f>
        <v>Male</v>
      </c>
      <c r="R561" s="13" t="str">
        <f>_xlfn.XLOOKUP(Sales_fact[[#This Row],[Product_ID]],Product_Dim!A:A,Product_Dim!C:C,"OTHERS")</f>
        <v>Clothing</v>
      </c>
    </row>
    <row r="562" spans="1:18" x14ac:dyDescent="0.3">
      <c r="A562" t="s">
        <v>2386</v>
      </c>
      <c r="B562" s="2">
        <v>45326</v>
      </c>
      <c r="C562" t="s">
        <v>619</v>
      </c>
      <c r="D562" t="s">
        <v>1608</v>
      </c>
      <c r="E562" t="str">
        <f ca="1">TRIM(Sales_fact[[#This Row],[Store_ID]])</f>
        <v>STORE8</v>
      </c>
      <c r="F562">
        <v>3</v>
      </c>
      <c r="G562">
        <f>IF(ISBLANK(F562),MODE($F$2:$F$2001),F562)</f>
        <v>3</v>
      </c>
      <c r="H562">
        <v>330.04</v>
      </c>
      <c r="I562">
        <f>IF(ISBLANK(H562),AVERAGE($H$2:$H$2001),H562)</f>
        <v>330.04</v>
      </c>
      <c r="J562">
        <v>0.2</v>
      </c>
      <c r="K562">
        <f>IF(ISBLANK(J562),MODE($J$2:$J$2001),J562)</f>
        <v>0.2</v>
      </c>
      <c r="L562" t="s">
        <v>1824</v>
      </c>
      <c r="M562">
        <v>792.09600000000012</v>
      </c>
      <c r="N562">
        <f t="shared" si="8"/>
        <v>792.09600000000012</v>
      </c>
      <c r="O562" t="str">
        <f>_xlfn.XLOOKUP(Sales_fact[[#This Row],[Customer_ID]],'Customer_Dim'!A:A,'Customer_Dim'!K:K,"Not Found")</f>
        <v>Silver</v>
      </c>
      <c r="P562">
        <f>_xlfn.XLOOKUP(Sales_fact[[#This Row],[Customer_ID]],'Customer_Dim'!A:A, 'Customer_Dim'!E:E, "Not Found")</f>
        <v>42</v>
      </c>
      <c r="Q562" t="str">
        <f>VLOOKUP(Sales_fact[[#This Row],[Customer_ID]], 'Customer_Dim'!A:F, 6, FALSE)</f>
        <v>Male</v>
      </c>
      <c r="R562" s="13" t="str">
        <f>_xlfn.XLOOKUP(Sales_fact[[#This Row],[Product_ID]],Product_Dim!A:A,Product_Dim!C:C,"OTHERS")</f>
        <v>Home</v>
      </c>
    </row>
    <row r="563" spans="1:18" x14ac:dyDescent="0.3">
      <c r="A563" t="s">
        <v>2387</v>
      </c>
      <c r="B563" s="2">
        <v>45459</v>
      </c>
      <c r="C563" t="s">
        <v>601</v>
      </c>
      <c r="D563" t="s">
        <v>1570</v>
      </c>
      <c r="E563" t="str">
        <f ca="1">TRIM(Sales_fact[[#This Row],[Store_ID]])</f>
        <v>STORE17</v>
      </c>
      <c r="F563">
        <v>2</v>
      </c>
      <c r="G563">
        <f>IF(ISBLANK(F563),MODE($F$2:$F$2001),F563)</f>
        <v>2</v>
      </c>
      <c r="H563">
        <v>813.01</v>
      </c>
      <c r="I563">
        <f>IF(ISBLANK(H563),AVERAGE($H$2:$H$2001),H563)</f>
        <v>813.01</v>
      </c>
      <c r="J563">
        <v>0.06</v>
      </c>
      <c r="K563">
        <f>IF(ISBLANK(J563),MODE($J$2:$J$2001),J563)</f>
        <v>0.06</v>
      </c>
      <c r="L563" t="s">
        <v>1826</v>
      </c>
      <c r="M563">
        <v>1528.4588000000001</v>
      </c>
      <c r="N563">
        <f t="shared" si="8"/>
        <v>1528.4587999999999</v>
      </c>
      <c r="O563" t="str">
        <f>_xlfn.XLOOKUP(Sales_fact[[#This Row],[Customer_ID]],'Customer_Dim'!A:A,'Customer_Dim'!K:K,"Not Found")</f>
        <v>Silver</v>
      </c>
      <c r="P563">
        <f>_xlfn.XLOOKUP(Sales_fact[[#This Row],[Customer_ID]],'Customer_Dim'!A:A, 'Customer_Dim'!E:E, "Not Found")</f>
        <v>23</v>
      </c>
      <c r="Q563" t="str">
        <f>VLOOKUP(Sales_fact[[#This Row],[Customer_ID]], 'Customer_Dim'!A:F, 6, FALSE)</f>
        <v>Female</v>
      </c>
      <c r="R563" s="13" t="str">
        <f>_xlfn.XLOOKUP(Sales_fact[[#This Row],[Product_ID]],Product_Dim!A:A,Product_Dim!C:C,"OTHERS")</f>
        <v>Electronics</v>
      </c>
    </row>
    <row r="564" spans="1:18" x14ac:dyDescent="0.3">
      <c r="A564" t="s">
        <v>2388</v>
      </c>
      <c r="B564" s="2">
        <v>45715</v>
      </c>
      <c r="C564" t="s">
        <v>110</v>
      </c>
      <c r="D564" t="s">
        <v>1546</v>
      </c>
      <c r="E564" t="str">
        <f ca="1">TRIM(Sales_fact[[#This Row],[Store_ID]])</f>
        <v>STORE2</v>
      </c>
      <c r="F564">
        <v>4</v>
      </c>
      <c r="G564">
        <f>IF(ISBLANK(F564),MODE($F$2:$F$2001),F564)</f>
        <v>4</v>
      </c>
      <c r="H564">
        <v>204.8</v>
      </c>
      <c r="I564">
        <f>IF(ISBLANK(H564),AVERAGE($H$2:$H$2001),H564)</f>
        <v>204.8</v>
      </c>
      <c r="J564">
        <v>0.03</v>
      </c>
      <c r="K564">
        <f>IF(ISBLANK(J564),MODE($J$2:$J$2001),J564)</f>
        <v>0.03</v>
      </c>
      <c r="L564" t="s">
        <v>1826</v>
      </c>
      <c r="M564">
        <v>794.62400000000002</v>
      </c>
      <c r="N564">
        <f t="shared" si="8"/>
        <v>794.62400000000002</v>
      </c>
      <c r="O564" t="str">
        <f>_xlfn.XLOOKUP(Sales_fact[[#This Row],[Customer_ID]],'Customer_Dim'!A:A,'Customer_Dim'!K:K,"Not Found")</f>
        <v>Gold</v>
      </c>
      <c r="P564">
        <f>_xlfn.XLOOKUP(Sales_fact[[#This Row],[Customer_ID]],'Customer_Dim'!A:A, 'Customer_Dim'!E:E, "Not Found")</f>
        <v>18</v>
      </c>
      <c r="Q564" t="str">
        <f>VLOOKUP(Sales_fact[[#This Row],[Customer_ID]], 'Customer_Dim'!A:F, 6, FALSE)</f>
        <v>Female</v>
      </c>
      <c r="R564" s="13" t="str">
        <f>_xlfn.XLOOKUP(Sales_fact[[#This Row],[Product_ID]],Product_Dim!A:A,Product_Dim!C:C,"OTHERS")</f>
        <v>Clothing</v>
      </c>
    </row>
    <row r="565" spans="1:18" x14ac:dyDescent="0.3">
      <c r="A565" t="s">
        <v>2389</v>
      </c>
      <c r="B565" s="2">
        <v>45223</v>
      </c>
      <c r="C565" t="s">
        <v>55</v>
      </c>
      <c r="D565" t="s">
        <v>1551</v>
      </c>
      <c r="E565" t="str">
        <f ca="1">TRIM(Sales_fact[[#This Row],[Store_ID]])</f>
        <v>STORE3</v>
      </c>
      <c r="F565">
        <v>3</v>
      </c>
      <c r="G565">
        <f>IF(ISBLANK(F565),MODE($F$2:$F$2001),F565)</f>
        <v>3</v>
      </c>
      <c r="H565">
        <v>728.32</v>
      </c>
      <c r="I565">
        <f>IF(ISBLANK(H565),AVERAGE($H$2:$H$2001),H565)</f>
        <v>728.32</v>
      </c>
      <c r="J565">
        <v>0.01</v>
      </c>
      <c r="K565">
        <f>IF(ISBLANK(J565),MODE($J$2:$J$2001),J565)</f>
        <v>0.01</v>
      </c>
      <c r="L565" t="s">
        <v>1824</v>
      </c>
      <c r="M565">
        <v>2163.1104</v>
      </c>
      <c r="N565">
        <f t="shared" si="8"/>
        <v>2163.1104</v>
      </c>
      <c r="O565" t="str">
        <f>_xlfn.XLOOKUP(Sales_fact[[#This Row],[Customer_ID]],'Customer_Dim'!A:A,'Customer_Dim'!K:K,"Not Found")</f>
        <v>Gold</v>
      </c>
      <c r="P565">
        <f>_xlfn.XLOOKUP(Sales_fact[[#This Row],[Customer_ID]],'Customer_Dim'!A:A, 'Customer_Dim'!E:E, "Not Found")</f>
        <v>28</v>
      </c>
      <c r="Q565" t="str">
        <f>VLOOKUP(Sales_fact[[#This Row],[Customer_ID]], 'Customer_Dim'!A:F, 6, FALSE)</f>
        <v>Female</v>
      </c>
      <c r="R565" s="13" t="str">
        <f>_xlfn.XLOOKUP(Sales_fact[[#This Row],[Product_ID]],Product_Dim!A:A,Product_Dim!C:C,"OTHERS")</f>
        <v>OTHERS</v>
      </c>
    </row>
    <row r="566" spans="1:18" x14ac:dyDescent="0.3">
      <c r="A566" t="s">
        <v>2390</v>
      </c>
      <c r="B566" s="2">
        <v>45507</v>
      </c>
      <c r="C566" t="s">
        <v>1397</v>
      </c>
      <c r="D566" t="s">
        <v>1666</v>
      </c>
      <c r="E566" t="str">
        <f ca="1">TRIM(Sales_fact[[#This Row],[Store_ID]])</f>
        <v>STORE7</v>
      </c>
      <c r="F566">
        <v>3</v>
      </c>
      <c r="G566">
        <f>IF(ISBLANK(F566),MODE($F$2:$F$2001),F566)</f>
        <v>3</v>
      </c>
      <c r="H566">
        <v>836.4</v>
      </c>
      <c r="I566">
        <f>IF(ISBLANK(H566),AVERAGE($H$2:$H$2001),H566)</f>
        <v>836.4</v>
      </c>
      <c r="J566">
        <v>0</v>
      </c>
      <c r="K566">
        <f>IF(ISBLANK(J566),MODE($J$2:$J$2001),J566)</f>
        <v>0</v>
      </c>
      <c r="L566" t="s">
        <v>1824</v>
      </c>
      <c r="M566">
        <v>2509.1999999999998</v>
      </c>
      <c r="N566">
        <f t="shared" si="8"/>
        <v>2509.1999999999998</v>
      </c>
      <c r="O566" t="str">
        <f>_xlfn.XLOOKUP(Sales_fact[[#This Row],[Customer_ID]],'Customer_Dim'!A:A,'Customer_Dim'!K:K,"Not Found")</f>
        <v>Bronze</v>
      </c>
      <c r="P566">
        <f>_xlfn.XLOOKUP(Sales_fact[[#This Row],[Customer_ID]],'Customer_Dim'!A:A, 'Customer_Dim'!E:E, "Not Found")</f>
        <v>60</v>
      </c>
      <c r="Q566" t="str">
        <f>VLOOKUP(Sales_fact[[#This Row],[Customer_ID]], 'Customer_Dim'!A:F, 6, FALSE)</f>
        <v>Female</v>
      </c>
      <c r="R566" s="13" t="str">
        <f>_xlfn.XLOOKUP(Sales_fact[[#This Row],[Product_ID]],Product_Dim!A:A,Product_Dim!C:C,"OTHERS")</f>
        <v>Beauty</v>
      </c>
    </row>
    <row r="567" spans="1:18" x14ac:dyDescent="0.3">
      <c r="A567" t="s">
        <v>2391</v>
      </c>
      <c r="B567" s="2">
        <v>45843</v>
      </c>
      <c r="C567" t="s">
        <v>502</v>
      </c>
      <c r="D567" t="s">
        <v>1728</v>
      </c>
      <c r="E567" t="str">
        <f ca="1">TRIM(Sales_fact[[#This Row],[Store_ID]])</f>
        <v>STORE12</v>
      </c>
      <c r="F567">
        <v>1</v>
      </c>
      <c r="G567">
        <f>IF(ISBLANK(F567),MODE($F$2:$F$2001),F567)</f>
        <v>1</v>
      </c>
      <c r="H567">
        <v>780.16</v>
      </c>
      <c r="I567">
        <f>IF(ISBLANK(H567),AVERAGE($H$2:$H$2001),H567)</f>
        <v>780.16</v>
      </c>
      <c r="J567">
        <v>0.02</v>
      </c>
      <c r="K567">
        <f>IF(ISBLANK(J567),MODE($J$2:$J$2001),J567)</f>
        <v>0.02</v>
      </c>
      <c r="L567" t="s">
        <v>1829</v>
      </c>
      <c r="M567">
        <v>764.55679999999995</v>
      </c>
      <c r="N567">
        <f t="shared" si="8"/>
        <v>764.55679999999995</v>
      </c>
      <c r="O567" t="str">
        <f>_xlfn.XLOOKUP(Sales_fact[[#This Row],[Customer_ID]],'Customer_Dim'!A:A,'Customer_Dim'!K:K,"Not Found")</f>
        <v>Platinum</v>
      </c>
      <c r="P567">
        <f>_xlfn.XLOOKUP(Sales_fact[[#This Row],[Customer_ID]],'Customer_Dim'!A:A, 'Customer_Dim'!E:E, "Not Found")</f>
        <v>33</v>
      </c>
      <c r="Q567" t="str">
        <f>VLOOKUP(Sales_fact[[#This Row],[Customer_ID]], 'Customer_Dim'!A:F, 6, FALSE)</f>
        <v>Male</v>
      </c>
      <c r="R567" s="13" t="str">
        <f>_xlfn.XLOOKUP(Sales_fact[[#This Row],[Product_ID]],Product_Dim!A:A,Product_Dim!C:C,"OTHERS")</f>
        <v>Electronics</v>
      </c>
    </row>
    <row r="568" spans="1:18" x14ac:dyDescent="0.3">
      <c r="A568" t="s">
        <v>2392</v>
      </c>
      <c r="B568" s="2">
        <v>45804</v>
      </c>
      <c r="C568" t="s">
        <v>1449</v>
      </c>
      <c r="D568" t="s">
        <v>1640</v>
      </c>
      <c r="E568" t="str">
        <f ca="1">TRIM(Sales_fact[[#This Row],[Store_ID]])</f>
        <v>STORE13</v>
      </c>
      <c r="F568">
        <v>4</v>
      </c>
      <c r="G568">
        <f>IF(ISBLANK(F568),MODE($F$2:$F$2001),F568)</f>
        <v>4</v>
      </c>
      <c r="H568">
        <v>354.12</v>
      </c>
      <c r="I568">
        <f>IF(ISBLANK(H568),AVERAGE($H$2:$H$2001),H568)</f>
        <v>354.12</v>
      </c>
      <c r="J568">
        <v>0.06</v>
      </c>
      <c r="K568">
        <f>IF(ISBLANK(J568),MODE($J$2:$J$2001),J568)</f>
        <v>0.06</v>
      </c>
      <c r="L568" t="s">
        <v>1826</v>
      </c>
      <c r="M568">
        <v>1331.4911999999999</v>
      </c>
      <c r="N568">
        <f t="shared" si="8"/>
        <v>1331.4911999999999</v>
      </c>
      <c r="O568" t="str">
        <f>_xlfn.XLOOKUP(Sales_fact[[#This Row],[Customer_ID]],'Customer_Dim'!A:A,'Customer_Dim'!K:K,"Not Found")</f>
        <v>Gold</v>
      </c>
      <c r="P568">
        <f>_xlfn.XLOOKUP(Sales_fact[[#This Row],[Customer_ID]],'Customer_Dim'!A:A, 'Customer_Dim'!E:E, "Not Found")</f>
        <v>21</v>
      </c>
      <c r="Q568" t="str">
        <f>VLOOKUP(Sales_fact[[#This Row],[Customer_ID]], 'Customer_Dim'!A:F, 6, FALSE)</f>
        <v>Female</v>
      </c>
      <c r="R568" s="13" t="str">
        <f>_xlfn.XLOOKUP(Sales_fact[[#This Row],[Product_ID]],Product_Dim!A:A,Product_Dim!C:C,"OTHERS")</f>
        <v>Clothing</v>
      </c>
    </row>
    <row r="569" spans="1:18" x14ac:dyDescent="0.3">
      <c r="A569" t="s">
        <v>2393</v>
      </c>
      <c r="B569" s="2">
        <v>45602</v>
      </c>
      <c r="C569" t="s">
        <v>1397</v>
      </c>
      <c r="D569" t="s">
        <v>1674</v>
      </c>
      <c r="E569" t="str">
        <f ca="1">TRIM(Sales_fact[[#This Row],[Store_ID]])</f>
        <v>STORE2</v>
      </c>
      <c r="F569">
        <v>4</v>
      </c>
      <c r="G569">
        <f>IF(ISBLANK(F569),MODE($F$2:$F$2001),F569)</f>
        <v>4</v>
      </c>
      <c r="H569">
        <v>282.48</v>
      </c>
      <c r="I569">
        <f>IF(ISBLANK(H569),AVERAGE($H$2:$H$2001),H569)</f>
        <v>282.48</v>
      </c>
      <c r="J569">
        <v>0.11</v>
      </c>
      <c r="K569">
        <f>IF(ISBLANK(J569),MODE($J$2:$J$2001),J569)</f>
        <v>0.11</v>
      </c>
      <c r="L569" t="s">
        <v>1826</v>
      </c>
      <c r="M569">
        <v>1005.6288</v>
      </c>
      <c r="N569">
        <f t="shared" si="8"/>
        <v>1005.6288000000001</v>
      </c>
      <c r="O569" t="str">
        <f>_xlfn.XLOOKUP(Sales_fact[[#This Row],[Customer_ID]],'Customer_Dim'!A:A,'Customer_Dim'!K:K,"Not Found")</f>
        <v>Bronze</v>
      </c>
      <c r="P569">
        <f>_xlfn.XLOOKUP(Sales_fact[[#This Row],[Customer_ID]],'Customer_Dim'!A:A, 'Customer_Dim'!E:E, "Not Found")</f>
        <v>60</v>
      </c>
      <c r="Q569" t="str">
        <f>VLOOKUP(Sales_fact[[#This Row],[Customer_ID]], 'Customer_Dim'!A:F, 6, FALSE)</f>
        <v>Female</v>
      </c>
      <c r="R569" s="13" t="str">
        <f>_xlfn.XLOOKUP(Sales_fact[[#This Row],[Product_ID]],Product_Dim!A:A,Product_Dim!C:C,"OTHERS")</f>
        <v>Beauty</v>
      </c>
    </row>
    <row r="570" spans="1:18" x14ac:dyDescent="0.3">
      <c r="A570" t="s">
        <v>2394</v>
      </c>
      <c r="B570" s="2">
        <v>45446</v>
      </c>
      <c r="C570" t="s">
        <v>1032</v>
      </c>
      <c r="D570" t="s">
        <v>1588</v>
      </c>
      <c r="E570" t="str">
        <f ca="1">TRIM(Sales_fact[[#This Row],[Store_ID]])</f>
        <v>STORE6</v>
      </c>
      <c r="F570">
        <v>2</v>
      </c>
      <c r="G570">
        <f>IF(ISBLANK(F570),MODE($F$2:$F$2001),F570)</f>
        <v>2</v>
      </c>
      <c r="H570">
        <v>740.68</v>
      </c>
      <c r="I570">
        <f>IF(ISBLANK(H570),AVERAGE($H$2:$H$2001),H570)</f>
        <v>740.68</v>
      </c>
      <c r="J570">
        <v>0.02</v>
      </c>
      <c r="K570">
        <f>IF(ISBLANK(J570),MODE($J$2:$J$2001),J570)</f>
        <v>0.02</v>
      </c>
      <c r="L570" t="s">
        <v>1826</v>
      </c>
      <c r="M570">
        <v>1451.7328</v>
      </c>
      <c r="N570">
        <f t="shared" si="8"/>
        <v>1451.7327999999998</v>
      </c>
      <c r="O570" t="str">
        <f>_xlfn.XLOOKUP(Sales_fact[[#This Row],[Customer_ID]],'Customer_Dim'!A:A,'Customer_Dim'!K:K,"Not Found")</f>
        <v>Platinum</v>
      </c>
      <c r="P570">
        <f>_xlfn.XLOOKUP(Sales_fact[[#This Row],[Customer_ID]],'Customer_Dim'!A:A, 'Customer_Dim'!E:E, "Not Found")</f>
        <v>46</v>
      </c>
      <c r="Q570" t="str">
        <f>VLOOKUP(Sales_fact[[#This Row],[Customer_ID]], 'Customer_Dim'!A:F, 6, FALSE)</f>
        <v>Male</v>
      </c>
      <c r="R570" s="13" t="str">
        <f>_xlfn.XLOOKUP(Sales_fact[[#This Row],[Product_ID]],Product_Dim!A:A,Product_Dim!C:C,"OTHERS")</f>
        <v>Sports</v>
      </c>
    </row>
    <row r="571" spans="1:18" x14ac:dyDescent="0.3">
      <c r="A571" t="s">
        <v>2395</v>
      </c>
      <c r="B571" s="2">
        <v>45384</v>
      </c>
      <c r="C571" t="s">
        <v>372</v>
      </c>
      <c r="D571" t="s">
        <v>1660</v>
      </c>
      <c r="E571" t="str">
        <f ca="1">TRIM(Sales_fact[[#This Row],[Store_ID]])</f>
        <v>STORE9</v>
      </c>
      <c r="F571">
        <v>3</v>
      </c>
      <c r="G571">
        <f>IF(ISBLANK(F571),MODE($F$2:$F$2001),F571)</f>
        <v>3</v>
      </c>
      <c r="H571">
        <v>600.58000000000004</v>
      </c>
      <c r="I571">
        <f>IF(ISBLANK(H571),AVERAGE($H$2:$H$2001),H571)</f>
        <v>600.58000000000004</v>
      </c>
      <c r="J571">
        <v>0.28999999999999998</v>
      </c>
      <c r="K571">
        <f>IF(ISBLANK(J571),MODE($J$2:$J$2001),J571)</f>
        <v>0.28999999999999998</v>
      </c>
      <c r="L571" t="s">
        <v>1829</v>
      </c>
      <c r="M571">
        <v>1279.2354</v>
      </c>
      <c r="N571">
        <f t="shared" si="8"/>
        <v>1279.2354</v>
      </c>
      <c r="O571" t="str">
        <f>_xlfn.XLOOKUP(Sales_fact[[#This Row],[Customer_ID]],'Customer_Dim'!A:A,'Customer_Dim'!K:K,"Not Found")</f>
        <v>Gold</v>
      </c>
      <c r="P571">
        <f>_xlfn.XLOOKUP(Sales_fact[[#This Row],[Customer_ID]],'Customer_Dim'!A:A, 'Customer_Dim'!E:E, "Not Found")</f>
        <v>50</v>
      </c>
      <c r="Q571" t="str">
        <f>VLOOKUP(Sales_fact[[#This Row],[Customer_ID]], 'Customer_Dim'!A:F, 6, FALSE)</f>
        <v>Female</v>
      </c>
      <c r="R571" s="13" t="str">
        <f>_xlfn.XLOOKUP(Sales_fact[[#This Row],[Product_ID]],Product_Dim!A:A,Product_Dim!C:C,"OTHERS")</f>
        <v>Home</v>
      </c>
    </row>
    <row r="572" spans="1:18" x14ac:dyDescent="0.3">
      <c r="A572" t="s">
        <v>2396</v>
      </c>
      <c r="B572" s="2">
        <v>45348</v>
      </c>
      <c r="C572" t="s">
        <v>1422</v>
      </c>
      <c r="D572" t="s">
        <v>1678</v>
      </c>
      <c r="E572" t="str">
        <f ca="1">TRIM(Sales_fact[[#This Row],[Store_ID]])</f>
        <v>STORE3</v>
      </c>
      <c r="F572">
        <v>3</v>
      </c>
      <c r="G572">
        <f>IF(ISBLANK(F572),MODE($F$2:$F$2001),F572)</f>
        <v>3</v>
      </c>
      <c r="H572">
        <v>345.58</v>
      </c>
      <c r="I572">
        <f>IF(ISBLANK(H572),AVERAGE($H$2:$H$2001),H572)</f>
        <v>345.58</v>
      </c>
      <c r="J572">
        <v>0.22</v>
      </c>
      <c r="K572">
        <f>IF(ISBLANK(J572),MODE($J$2:$J$2001),J572)</f>
        <v>0.22</v>
      </c>
      <c r="L572" t="s">
        <v>1824</v>
      </c>
      <c r="M572">
        <v>808.65719999999999</v>
      </c>
      <c r="N572">
        <f t="shared" si="8"/>
        <v>808.65719999999999</v>
      </c>
      <c r="O572" t="str">
        <f>_xlfn.XLOOKUP(Sales_fact[[#This Row],[Customer_ID]],'Customer_Dim'!A:A,'Customer_Dim'!K:K,"Not Found")</f>
        <v>Silver</v>
      </c>
      <c r="P572">
        <f>_xlfn.XLOOKUP(Sales_fact[[#This Row],[Customer_ID]],'Customer_Dim'!A:A, 'Customer_Dim'!E:E, "Not Found")</f>
        <v>60</v>
      </c>
      <c r="Q572" t="str">
        <f>VLOOKUP(Sales_fact[[#This Row],[Customer_ID]], 'Customer_Dim'!A:F, 6, FALSE)</f>
        <v>Female</v>
      </c>
      <c r="R572" s="13" t="str">
        <f>_xlfn.XLOOKUP(Sales_fact[[#This Row],[Product_ID]],Product_Dim!A:A,Product_Dim!C:C,"OTHERS")</f>
        <v>Sports</v>
      </c>
    </row>
    <row r="573" spans="1:18" x14ac:dyDescent="0.3">
      <c r="A573" t="s">
        <v>2397</v>
      </c>
      <c r="B573" s="2">
        <v>45688</v>
      </c>
      <c r="C573" t="s">
        <v>902</v>
      </c>
      <c r="D573" t="s">
        <v>1584</v>
      </c>
      <c r="E573" t="str">
        <f ca="1">TRIM(Sales_fact[[#This Row],[Store_ID]])</f>
        <v>STORE11</v>
      </c>
      <c r="F573">
        <v>1</v>
      </c>
      <c r="G573">
        <f>IF(ISBLANK(F573),MODE($F$2:$F$2001),F573)</f>
        <v>1</v>
      </c>
      <c r="H573">
        <v>974.52</v>
      </c>
      <c r="I573">
        <f>IF(ISBLANK(H573),AVERAGE($H$2:$H$2001),H573)</f>
        <v>974.52</v>
      </c>
      <c r="J573">
        <v>0.01</v>
      </c>
      <c r="K573">
        <f>IF(ISBLANK(J573),MODE($J$2:$J$2001),J573)</f>
        <v>0.01</v>
      </c>
      <c r="L573" t="s">
        <v>1826</v>
      </c>
      <c r="M573">
        <v>964.77480000000003</v>
      </c>
      <c r="N573">
        <f t="shared" si="8"/>
        <v>964.77480000000003</v>
      </c>
      <c r="O573" t="str">
        <f>_xlfn.XLOOKUP(Sales_fact[[#This Row],[Customer_ID]],'Customer_Dim'!A:A,'Customer_Dim'!K:K,"Not Found")</f>
        <v>Gold</v>
      </c>
      <c r="P573">
        <f>_xlfn.XLOOKUP(Sales_fact[[#This Row],[Customer_ID]],'Customer_Dim'!A:A, 'Customer_Dim'!E:E, "Not Found")</f>
        <v>54</v>
      </c>
      <c r="Q573" t="str">
        <f>VLOOKUP(Sales_fact[[#This Row],[Customer_ID]], 'Customer_Dim'!A:F, 6, FALSE)</f>
        <v>Male</v>
      </c>
      <c r="R573" s="13" t="str">
        <f>_xlfn.XLOOKUP(Sales_fact[[#This Row],[Product_ID]],Product_Dim!A:A,Product_Dim!C:C,"OTHERS")</f>
        <v>Clothing</v>
      </c>
    </row>
    <row r="574" spans="1:18" x14ac:dyDescent="0.3">
      <c r="A574" t="s">
        <v>2398</v>
      </c>
      <c r="B574" s="2">
        <v>45249</v>
      </c>
      <c r="C574" t="s">
        <v>157</v>
      </c>
      <c r="D574" t="s">
        <v>1582</v>
      </c>
      <c r="E574" t="str">
        <f ca="1">TRIM(Sales_fact[[#This Row],[Store_ID]])</f>
        <v>STORE1</v>
      </c>
      <c r="F574">
        <v>3</v>
      </c>
      <c r="G574">
        <f>IF(ISBLANK(F574),MODE($F$2:$F$2001),F574)</f>
        <v>3</v>
      </c>
      <c r="H574">
        <v>282.33</v>
      </c>
      <c r="I574">
        <f>IF(ISBLANK(H574),AVERAGE($H$2:$H$2001),H574)</f>
        <v>282.33</v>
      </c>
      <c r="J574">
        <v>7.0000000000000007E-2</v>
      </c>
      <c r="K574">
        <f>IF(ISBLANK(J574),MODE($J$2:$J$2001),J574)</f>
        <v>7.0000000000000007E-2</v>
      </c>
      <c r="L574" t="s">
        <v>1824</v>
      </c>
      <c r="M574">
        <v>787.70069999999998</v>
      </c>
      <c r="N574">
        <f t="shared" si="8"/>
        <v>787.70069999999998</v>
      </c>
      <c r="O574" t="str">
        <f>_xlfn.XLOOKUP(Sales_fact[[#This Row],[Customer_ID]],'Customer_Dim'!A:A,'Customer_Dim'!K:K,"Not Found")</f>
        <v>Gold</v>
      </c>
      <c r="P574">
        <f>_xlfn.XLOOKUP(Sales_fact[[#This Row],[Customer_ID]],'Customer_Dim'!A:A, 'Customer_Dim'!E:E, "Not Found")</f>
        <v>50</v>
      </c>
      <c r="Q574" t="str">
        <f>VLOOKUP(Sales_fact[[#This Row],[Customer_ID]], 'Customer_Dim'!A:F, 6, FALSE)</f>
        <v>Male</v>
      </c>
      <c r="R574" s="13" t="str">
        <f>_xlfn.XLOOKUP(Sales_fact[[#This Row],[Product_ID]],Product_Dim!A:A,Product_Dim!C:C,"OTHERS")</f>
        <v>Sports</v>
      </c>
    </row>
    <row r="575" spans="1:18" x14ac:dyDescent="0.3">
      <c r="A575" t="s">
        <v>2399</v>
      </c>
      <c r="B575" s="2">
        <v>45726</v>
      </c>
      <c r="C575" t="s">
        <v>1193</v>
      </c>
      <c r="D575" t="s">
        <v>1700</v>
      </c>
      <c r="E575" t="str">
        <f ca="1">TRIM(Sales_fact[[#This Row],[Store_ID]])</f>
        <v>STORE19</v>
      </c>
      <c r="F575">
        <v>4</v>
      </c>
      <c r="G575">
        <f>IF(ISBLANK(F575),MODE($F$2:$F$2001),F575)</f>
        <v>4</v>
      </c>
      <c r="H575">
        <v>158.46</v>
      </c>
      <c r="I575">
        <f>IF(ISBLANK(H575),AVERAGE($H$2:$H$2001),H575)</f>
        <v>158.46</v>
      </c>
      <c r="J575">
        <v>0.09</v>
      </c>
      <c r="K575">
        <f>IF(ISBLANK(J575),MODE($J$2:$J$2001),J575)</f>
        <v>0.09</v>
      </c>
      <c r="L575" t="s">
        <v>1826</v>
      </c>
      <c r="M575">
        <v>576.7944</v>
      </c>
      <c r="N575">
        <f t="shared" si="8"/>
        <v>576.7944</v>
      </c>
      <c r="O575" t="str">
        <f>_xlfn.XLOOKUP(Sales_fact[[#This Row],[Customer_ID]],'Customer_Dim'!A:A,'Customer_Dim'!K:K,"Not Found")</f>
        <v>Gold</v>
      </c>
      <c r="P575">
        <f>_xlfn.XLOOKUP(Sales_fact[[#This Row],[Customer_ID]],'Customer_Dim'!A:A, 'Customer_Dim'!E:E, "Not Found")</f>
        <v>20</v>
      </c>
      <c r="Q575" t="str">
        <f>VLOOKUP(Sales_fact[[#This Row],[Customer_ID]], 'Customer_Dim'!A:F, 6, FALSE)</f>
        <v>Female</v>
      </c>
      <c r="R575" s="13" t="str">
        <f>_xlfn.XLOOKUP(Sales_fact[[#This Row],[Product_ID]],Product_Dim!A:A,Product_Dim!C:C,"OTHERS")</f>
        <v>Electronics</v>
      </c>
    </row>
    <row r="576" spans="1:18" x14ac:dyDescent="0.3">
      <c r="A576" t="s">
        <v>2400</v>
      </c>
      <c r="B576" s="2">
        <v>45283</v>
      </c>
      <c r="C576" t="s">
        <v>1077</v>
      </c>
      <c r="D576" t="s">
        <v>1658</v>
      </c>
      <c r="E576" t="str">
        <f ca="1">TRIM(Sales_fact[[#This Row],[Store_ID]])</f>
        <v>STORE7</v>
      </c>
      <c r="F576">
        <v>2</v>
      </c>
      <c r="G576">
        <f>IF(ISBLANK(F576),MODE($F$2:$F$2001),F576)</f>
        <v>2</v>
      </c>
      <c r="H576">
        <v>778.56</v>
      </c>
      <c r="I576">
        <f>IF(ISBLANK(H576),AVERAGE($H$2:$H$2001),H576)</f>
        <v>778.56</v>
      </c>
      <c r="J576">
        <v>0.11</v>
      </c>
      <c r="K576">
        <f>IF(ISBLANK(J576),MODE($J$2:$J$2001),J576)</f>
        <v>0.11</v>
      </c>
      <c r="L576" t="s">
        <v>1829</v>
      </c>
      <c r="M576">
        <v>1385.8368</v>
      </c>
      <c r="N576">
        <f t="shared" si="8"/>
        <v>1385.8367999999998</v>
      </c>
      <c r="O576" t="str">
        <f>_xlfn.XLOOKUP(Sales_fact[[#This Row],[Customer_ID]],'Customer_Dim'!A:A,'Customer_Dim'!K:K,"Not Found")</f>
        <v>Bronze</v>
      </c>
      <c r="P576">
        <f>_xlfn.XLOOKUP(Sales_fact[[#This Row],[Customer_ID]],'Customer_Dim'!A:A, 'Customer_Dim'!E:E, "Not Found")</f>
        <v>38</v>
      </c>
      <c r="Q576" t="str">
        <f>VLOOKUP(Sales_fact[[#This Row],[Customer_ID]], 'Customer_Dim'!A:F, 6, FALSE)</f>
        <v>Male</v>
      </c>
      <c r="R576" s="13" t="str">
        <f>_xlfn.XLOOKUP(Sales_fact[[#This Row],[Product_ID]],Product_Dim!A:A,Product_Dim!C:C,"OTHERS")</f>
        <v>Home</v>
      </c>
    </row>
    <row r="577" spans="1:18" x14ac:dyDescent="0.3">
      <c r="A577" t="s">
        <v>2401</v>
      </c>
      <c r="B577" s="2">
        <v>45353</v>
      </c>
      <c r="C577" t="s">
        <v>761</v>
      </c>
      <c r="D577" t="s">
        <v>1648</v>
      </c>
      <c r="E577" t="str">
        <f ca="1">TRIM(Sales_fact[[#This Row],[Store_ID]])</f>
        <v>STORE19</v>
      </c>
      <c r="F577">
        <v>4</v>
      </c>
      <c r="G577">
        <f>IF(ISBLANK(F577),MODE($F$2:$F$2001),F577)</f>
        <v>4</v>
      </c>
      <c r="H577">
        <v>280.16000000000003</v>
      </c>
      <c r="I577">
        <f>IF(ISBLANK(H577),AVERAGE($H$2:$H$2001),H577)</f>
        <v>280.16000000000003</v>
      </c>
      <c r="J577">
        <v>0.18</v>
      </c>
      <c r="K577">
        <f>IF(ISBLANK(J577),MODE($J$2:$J$2001),J577)</f>
        <v>0.18</v>
      </c>
      <c r="L577" t="s">
        <v>1829</v>
      </c>
      <c r="M577">
        <v>918.92480000000012</v>
      </c>
      <c r="N577">
        <f t="shared" si="8"/>
        <v>918.92480000000012</v>
      </c>
      <c r="O577" t="str">
        <f>_xlfn.XLOOKUP(Sales_fact[[#This Row],[Customer_ID]],'Customer_Dim'!A:A,'Customer_Dim'!K:K,"Not Found")</f>
        <v>Gold</v>
      </c>
      <c r="P577">
        <f>_xlfn.XLOOKUP(Sales_fact[[#This Row],[Customer_ID]],'Customer_Dim'!A:A, 'Customer_Dim'!E:E, "Not Found")</f>
        <v>41</v>
      </c>
      <c r="Q577" t="str">
        <f>VLOOKUP(Sales_fact[[#This Row],[Customer_ID]], 'Customer_Dim'!A:F, 6, FALSE)</f>
        <v>Female</v>
      </c>
      <c r="R577" s="13" t="str">
        <f>_xlfn.XLOOKUP(Sales_fact[[#This Row],[Product_ID]],Product_Dim!A:A,Product_Dim!C:C,"OTHERS")</f>
        <v>Sports</v>
      </c>
    </row>
    <row r="578" spans="1:18" x14ac:dyDescent="0.3">
      <c r="A578" t="s">
        <v>2402</v>
      </c>
      <c r="B578" s="2">
        <v>45592</v>
      </c>
      <c r="C578" t="s">
        <v>911</v>
      </c>
      <c r="D578" t="s">
        <v>1690</v>
      </c>
      <c r="E578" t="str">
        <f ca="1">TRIM(Sales_fact[[#This Row],[Store_ID]])</f>
        <v>STORE13</v>
      </c>
      <c r="F578">
        <v>2</v>
      </c>
      <c r="G578">
        <f>IF(ISBLANK(F578),MODE($F$2:$F$2001),F578)</f>
        <v>2</v>
      </c>
      <c r="H578">
        <v>649.54999999999995</v>
      </c>
      <c r="I578">
        <f>IF(ISBLANK(H578),AVERAGE($H$2:$H$2001),H578)</f>
        <v>649.54999999999995</v>
      </c>
      <c r="J578">
        <v>0.28999999999999998</v>
      </c>
      <c r="K578">
        <f>IF(ISBLANK(J578),MODE($J$2:$J$2001),J578)</f>
        <v>0.28999999999999998</v>
      </c>
      <c r="L578" t="s">
        <v>1826</v>
      </c>
      <c r="M578">
        <v>922.36099999999988</v>
      </c>
      <c r="N578">
        <f t="shared" si="8"/>
        <v>922.36099999999988</v>
      </c>
      <c r="O578" t="str">
        <f>_xlfn.XLOOKUP(Sales_fact[[#This Row],[Customer_ID]],'Customer_Dim'!A:A,'Customer_Dim'!K:K,"Not Found")</f>
        <v>Gold</v>
      </c>
      <c r="P578">
        <f>_xlfn.XLOOKUP(Sales_fact[[#This Row],[Customer_ID]],'Customer_Dim'!A:A, 'Customer_Dim'!E:E, "Not Found")</f>
        <v>22</v>
      </c>
      <c r="Q578" t="str">
        <f>VLOOKUP(Sales_fact[[#This Row],[Customer_ID]], 'Customer_Dim'!A:F, 6, FALSE)</f>
        <v>Female</v>
      </c>
      <c r="R578" s="13" t="str">
        <f>_xlfn.XLOOKUP(Sales_fact[[#This Row],[Product_ID]],Product_Dim!A:A,Product_Dim!C:C,"OTHERS")</f>
        <v>Beauty</v>
      </c>
    </row>
    <row r="579" spans="1:18" x14ac:dyDescent="0.3">
      <c r="A579" t="s">
        <v>2403</v>
      </c>
      <c r="B579" s="2">
        <v>45360</v>
      </c>
      <c r="C579" t="s">
        <v>40</v>
      </c>
      <c r="D579" t="s">
        <v>1724</v>
      </c>
      <c r="E579" t="str">
        <f ca="1">TRIM(Sales_fact[[#This Row],[Store_ID]])</f>
        <v>STORE2</v>
      </c>
      <c r="F579">
        <v>2</v>
      </c>
      <c r="G579">
        <f>IF(ISBLANK(F579),MODE($F$2:$F$2001),F579)</f>
        <v>2</v>
      </c>
      <c r="H579">
        <v>994.32</v>
      </c>
      <c r="I579">
        <f>IF(ISBLANK(H579),AVERAGE($H$2:$H$2001),H579)</f>
        <v>994.32</v>
      </c>
      <c r="J579">
        <v>0.27</v>
      </c>
      <c r="K579">
        <f>IF(ISBLANK(J579),MODE($J$2:$J$2001),J579)</f>
        <v>0.27</v>
      </c>
      <c r="L579" t="s">
        <v>1826</v>
      </c>
      <c r="M579">
        <v>1451.7072000000001</v>
      </c>
      <c r="N579">
        <f t="shared" ref="N579:N642" si="9">G579*I579*(1-K579)</f>
        <v>1451.7072000000001</v>
      </c>
      <c r="O579" t="str">
        <f>_xlfn.XLOOKUP(Sales_fact[[#This Row],[Customer_ID]],'Customer_Dim'!A:A,'Customer_Dim'!K:K,"Not Found")</f>
        <v>Bronze</v>
      </c>
      <c r="P579">
        <f>_xlfn.XLOOKUP(Sales_fact[[#This Row],[Customer_ID]],'Customer_Dim'!A:A, 'Customer_Dim'!E:E, "Not Found")</f>
        <v>29</v>
      </c>
      <c r="Q579" t="str">
        <f>VLOOKUP(Sales_fact[[#This Row],[Customer_ID]], 'Customer_Dim'!A:F, 6, FALSE)</f>
        <v>Female</v>
      </c>
      <c r="R579" s="13" t="str">
        <f>_xlfn.XLOOKUP(Sales_fact[[#This Row],[Product_ID]],Product_Dim!A:A,Product_Dim!C:C,"OTHERS")</f>
        <v>Sports</v>
      </c>
    </row>
    <row r="580" spans="1:18" x14ac:dyDescent="0.3">
      <c r="A580" t="s">
        <v>2404</v>
      </c>
      <c r="B580" s="2">
        <v>45649</v>
      </c>
      <c r="C580" t="s">
        <v>722</v>
      </c>
      <c r="D580" t="s">
        <v>1710</v>
      </c>
      <c r="E580" t="str">
        <f ca="1">TRIM(Sales_fact[[#This Row],[Store_ID]])</f>
        <v>STORE12</v>
      </c>
      <c r="F580">
        <v>1</v>
      </c>
      <c r="G580">
        <f>IF(ISBLANK(F580),MODE($F$2:$F$2001),F580)</f>
        <v>1</v>
      </c>
      <c r="H580">
        <v>64.94</v>
      </c>
      <c r="I580">
        <f>IF(ISBLANK(H580),AVERAGE($H$2:$H$2001),H580)</f>
        <v>64.94</v>
      </c>
      <c r="J580">
        <v>0.21</v>
      </c>
      <c r="K580">
        <f>IF(ISBLANK(J580),MODE($J$2:$J$2001),J580)</f>
        <v>0.21</v>
      </c>
      <c r="L580" t="s">
        <v>1826</v>
      </c>
      <c r="M580">
        <v>51.302599999999998</v>
      </c>
      <c r="N580">
        <f t="shared" si="9"/>
        <v>51.302599999999998</v>
      </c>
      <c r="O580" t="str">
        <f>_xlfn.XLOOKUP(Sales_fact[[#This Row],[Customer_ID]],'Customer_Dim'!A:A,'Customer_Dim'!K:K,"Not Found")</f>
        <v>Platinum</v>
      </c>
      <c r="P580">
        <f>_xlfn.XLOOKUP(Sales_fact[[#This Row],[Customer_ID]],'Customer_Dim'!A:A, 'Customer_Dim'!E:E, "Not Found")</f>
        <v>50</v>
      </c>
      <c r="Q580" t="str">
        <f>VLOOKUP(Sales_fact[[#This Row],[Customer_ID]], 'Customer_Dim'!A:F, 6, FALSE)</f>
        <v>Male</v>
      </c>
      <c r="R580" s="13" t="str">
        <f>_xlfn.XLOOKUP(Sales_fact[[#This Row],[Product_ID]],Product_Dim!A:A,Product_Dim!C:C,"OTHERS")</f>
        <v>Sports</v>
      </c>
    </row>
    <row r="581" spans="1:18" x14ac:dyDescent="0.3">
      <c r="A581" t="s">
        <v>2405</v>
      </c>
      <c r="B581" s="2">
        <v>45709</v>
      </c>
      <c r="C581" t="s">
        <v>464</v>
      </c>
      <c r="D581" t="s">
        <v>1626</v>
      </c>
      <c r="E581" t="str">
        <f ca="1">TRIM(Sales_fact[[#This Row],[Store_ID]])</f>
        <v>STORE7</v>
      </c>
      <c r="F581">
        <v>2</v>
      </c>
      <c r="G581">
        <f>IF(ISBLANK(F581),MODE($F$2:$F$2001),F581)</f>
        <v>2</v>
      </c>
      <c r="H581">
        <v>507.66</v>
      </c>
      <c r="I581">
        <f>IF(ISBLANK(H581),AVERAGE($H$2:$H$2001),H581)</f>
        <v>507.66</v>
      </c>
      <c r="J581">
        <v>0</v>
      </c>
      <c r="K581">
        <f>IF(ISBLANK(J581),MODE($J$2:$J$2001),J581)</f>
        <v>0</v>
      </c>
      <c r="L581" t="s">
        <v>1829</v>
      </c>
      <c r="M581">
        <v>1015.32</v>
      </c>
      <c r="N581">
        <f t="shared" si="9"/>
        <v>1015.32</v>
      </c>
      <c r="O581" t="str">
        <f>_xlfn.XLOOKUP(Sales_fact[[#This Row],[Customer_ID]],'Customer_Dim'!A:A,'Customer_Dim'!K:K,"Not Found")</f>
        <v>Silver</v>
      </c>
      <c r="P581">
        <f>_xlfn.XLOOKUP(Sales_fact[[#This Row],[Customer_ID]],'Customer_Dim'!A:A, 'Customer_Dim'!E:E, "Not Found")</f>
        <v>29</v>
      </c>
      <c r="Q581" t="str">
        <f>VLOOKUP(Sales_fact[[#This Row],[Customer_ID]], 'Customer_Dim'!A:F, 6, FALSE)</f>
        <v>Male</v>
      </c>
      <c r="R581" s="13" t="str">
        <f>_xlfn.XLOOKUP(Sales_fact[[#This Row],[Product_ID]],Product_Dim!A:A,Product_Dim!C:C,"OTHERS")</f>
        <v>Electronics</v>
      </c>
    </row>
    <row r="582" spans="1:18" x14ac:dyDescent="0.3">
      <c r="A582" t="s">
        <v>2406</v>
      </c>
      <c r="B582" s="2">
        <v>45273</v>
      </c>
      <c r="C582" t="s">
        <v>776</v>
      </c>
      <c r="D582" t="s">
        <v>1710</v>
      </c>
      <c r="E582" t="str">
        <f ca="1">TRIM(Sales_fact[[#This Row],[Store_ID]])</f>
        <v>STORE4</v>
      </c>
      <c r="F582">
        <v>4</v>
      </c>
      <c r="G582">
        <f>IF(ISBLANK(F582),MODE($F$2:$F$2001),F582)</f>
        <v>4</v>
      </c>
      <c r="H582">
        <v>968.27</v>
      </c>
      <c r="I582">
        <f>IF(ISBLANK(H582),AVERAGE($H$2:$H$2001),H582)</f>
        <v>968.27</v>
      </c>
      <c r="J582">
        <v>0.03</v>
      </c>
      <c r="K582">
        <f>IF(ISBLANK(J582),MODE($J$2:$J$2001),J582)</f>
        <v>0.03</v>
      </c>
      <c r="L582" t="s">
        <v>1826</v>
      </c>
      <c r="M582">
        <v>3756.8876</v>
      </c>
      <c r="N582">
        <f t="shared" si="9"/>
        <v>3756.8876</v>
      </c>
      <c r="O582" t="str">
        <f>_xlfn.XLOOKUP(Sales_fact[[#This Row],[Customer_ID]],'Customer_Dim'!A:A,'Customer_Dim'!K:K,"Not Found")</f>
        <v>Silver</v>
      </c>
      <c r="P582">
        <f>_xlfn.XLOOKUP(Sales_fact[[#This Row],[Customer_ID]],'Customer_Dim'!A:A, 'Customer_Dim'!E:E, "Not Found")</f>
        <v>58</v>
      </c>
      <c r="Q582" t="str">
        <f>VLOOKUP(Sales_fact[[#This Row],[Customer_ID]], 'Customer_Dim'!A:F, 6, FALSE)</f>
        <v>Female</v>
      </c>
      <c r="R582" s="13" t="str">
        <f>_xlfn.XLOOKUP(Sales_fact[[#This Row],[Product_ID]],Product_Dim!A:A,Product_Dim!C:C,"OTHERS")</f>
        <v>Sports</v>
      </c>
    </row>
    <row r="583" spans="1:18" x14ac:dyDescent="0.3">
      <c r="A583" t="s">
        <v>2407</v>
      </c>
      <c r="B583" s="2">
        <v>45250</v>
      </c>
      <c r="C583" t="s">
        <v>78</v>
      </c>
      <c r="D583" t="s">
        <v>1724</v>
      </c>
      <c r="E583" t="str">
        <f ca="1">TRIM(Sales_fact[[#This Row],[Store_ID]])</f>
        <v>STORE5</v>
      </c>
      <c r="F583">
        <v>4</v>
      </c>
      <c r="G583">
        <f>IF(ISBLANK(F583),MODE($F$2:$F$2001),F583)</f>
        <v>4</v>
      </c>
      <c r="H583">
        <v>510.33</v>
      </c>
      <c r="I583">
        <f>IF(ISBLANK(H583),AVERAGE($H$2:$H$2001),H583)</f>
        <v>510.33</v>
      </c>
      <c r="J583">
        <v>0.2</v>
      </c>
      <c r="K583">
        <f>IF(ISBLANK(J583),MODE($J$2:$J$2001),J583)</f>
        <v>0.2</v>
      </c>
      <c r="L583" t="s">
        <v>1826</v>
      </c>
      <c r="M583">
        <v>1633.056</v>
      </c>
      <c r="N583">
        <f t="shared" si="9"/>
        <v>1633.056</v>
      </c>
      <c r="O583" t="str">
        <f>_xlfn.XLOOKUP(Sales_fact[[#This Row],[Customer_ID]],'Customer_Dim'!A:A,'Customer_Dim'!K:K,"Not Found")</f>
        <v>Platinum</v>
      </c>
      <c r="P583">
        <f>_xlfn.XLOOKUP(Sales_fact[[#This Row],[Customer_ID]],'Customer_Dim'!A:A, 'Customer_Dim'!E:E, "Not Found")</f>
        <v>60</v>
      </c>
      <c r="Q583" t="str">
        <f>VLOOKUP(Sales_fact[[#This Row],[Customer_ID]], 'Customer_Dim'!A:F, 6, FALSE)</f>
        <v>Female</v>
      </c>
      <c r="R583" s="13" t="str">
        <f>_xlfn.XLOOKUP(Sales_fact[[#This Row],[Product_ID]],Product_Dim!A:A,Product_Dim!C:C,"OTHERS")</f>
        <v>Sports</v>
      </c>
    </row>
    <row r="584" spans="1:18" x14ac:dyDescent="0.3">
      <c r="A584" t="s">
        <v>2408</v>
      </c>
      <c r="B584" s="2">
        <v>45539</v>
      </c>
      <c r="C584" t="s">
        <v>55</v>
      </c>
      <c r="D584" t="s">
        <v>1636</v>
      </c>
      <c r="E584" t="str">
        <f ca="1">TRIM(Sales_fact[[#This Row],[Store_ID]])</f>
        <v>STORE19</v>
      </c>
      <c r="F584">
        <v>2</v>
      </c>
      <c r="G584">
        <f>IF(ISBLANK(F584),MODE($F$2:$F$2001),F584)</f>
        <v>2</v>
      </c>
      <c r="H584">
        <v>156.72999999999999</v>
      </c>
      <c r="I584">
        <f>IF(ISBLANK(H584),AVERAGE($H$2:$H$2001),H584)</f>
        <v>156.72999999999999</v>
      </c>
      <c r="J584">
        <v>0.18</v>
      </c>
      <c r="K584">
        <f>IF(ISBLANK(J584),MODE($J$2:$J$2001),J584)</f>
        <v>0.18</v>
      </c>
      <c r="L584" t="s">
        <v>1829</v>
      </c>
      <c r="M584">
        <v>257.03719999999998</v>
      </c>
      <c r="N584">
        <f t="shared" si="9"/>
        <v>257.03719999999998</v>
      </c>
      <c r="O584" t="str">
        <f>_xlfn.XLOOKUP(Sales_fact[[#This Row],[Customer_ID]],'Customer_Dim'!A:A,'Customer_Dim'!K:K,"Not Found")</f>
        <v>Gold</v>
      </c>
      <c r="P584">
        <f>_xlfn.XLOOKUP(Sales_fact[[#This Row],[Customer_ID]],'Customer_Dim'!A:A, 'Customer_Dim'!E:E, "Not Found")</f>
        <v>28</v>
      </c>
      <c r="Q584" t="str">
        <f>VLOOKUP(Sales_fact[[#This Row],[Customer_ID]], 'Customer_Dim'!A:F, 6, FALSE)</f>
        <v>Female</v>
      </c>
      <c r="R584" s="13" t="str">
        <f>_xlfn.XLOOKUP(Sales_fact[[#This Row],[Product_ID]],Product_Dim!A:A,Product_Dim!C:C,"OTHERS")</f>
        <v>Sports</v>
      </c>
    </row>
    <row r="585" spans="1:18" x14ac:dyDescent="0.3">
      <c r="A585" t="s">
        <v>2409</v>
      </c>
      <c r="B585" s="2">
        <v>45810</v>
      </c>
      <c r="C585" t="s">
        <v>481</v>
      </c>
      <c r="D585" t="s">
        <v>1746</v>
      </c>
      <c r="E585" t="str">
        <f ca="1">TRIM(Sales_fact[[#This Row],[Store_ID]])</f>
        <v>STORE10</v>
      </c>
      <c r="F585">
        <v>3</v>
      </c>
      <c r="G585">
        <f>IF(ISBLANK(F585),MODE($F$2:$F$2001),F585)</f>
        <v>3</v>
      </c>
      <c r="H585">
        <v>53.83</v>
      </c>
      <c r="I585">
        <f>IF(ISBLANK(H585),AVERAGE($H$2:$H$2001),H585)</f>
        <v>53.83</v>
      </c>
      <c r="J585">
        <v>0.24</v>
      </c>
      <c r="K585">
        <f>IF(ISBLANK(J585),MODE($J$2:$J$2001),J585)</f>
        <v>0.24</v>
      </c>
      <c r="L585" t="s">
        <v>1824</v>
      </c>
      <c r="M585">
        <v>122.7324</v>
      </c>
      <c r="N585">
        <f t="shared" si="9"/>
        <v>122.73240000000001</v>
      </c>
      <c r="O585" t="str">
        <f>_xlfn.XLOOKUP(Sales_fact[[#This Row],[Customer_ID]],'Customer_Dim'!A:A,'Customer_Dim'!K:K,"Not Found")</f>
        <v>Bronze</v>
      </c>
      <c r="P585">
        <f>_xlfn.XLOOKUP(Sales_fact[[#This Row],[Customer_ID]],'Customer_Dim'!A:A, 'Customer_Dim'!E:E, "Not Found")</f>
        <v>37</v>
      </c>
      <c r="Q585" t="str">
        <f>VLOOKUP(Sales_fact[[#This Row],[Customer_ID]], 'Customer_Dim'!A:F, 6, FALSE)</f>
        <v>Male</v>
      </c>
      <c r="R585" s="13" t="str">
        <f>_xlfn.XLOOKUP(Sales_fact[[#This Row],[Product_ID]],Product_Dim!A:A,Product_Dim!C:C,"OTHERS")</f>
        <v>Home</v>
      </c>
    </row>
    <row r="586" spans="1:18" x14ac:dyDescent="0.3">
      <c r="A586" t="s">
        <v>2410</v>
      </c>
      <c r="B586" s="2">
        <v>45350</v>
      </c>
      <c r="C586" t="s">
        <v>1178</v>
      </c>
      <c r="D586" t="s">
        <v>1704</v>
      </c>
      <c r="E586" t="str">
        <f ca="1">TRIM(Sales_fact[[#This Row],[Store_ID]])</f>
        <v>STORE4</v>
      </c>
      <c r="F586">
        <v>1</v>
      </c>
      <c r="G586">
        <f>IF(ISBLANK(F586),MODE($F$2:$F$2001),F586)</f>
        <v>1</v>
      </c>
      <c r="H586">
        <v>34.71</v>
      </c>
      <c r="I586">
        <f>IF(ISBLANK(H586),AVERAGE($H$2:$H$2001),H586)</f>
        <v>34.71</v>
      </c>
      <c r="J586">
        <v>0.1</v>
      </c>
      <c r="K586">
        <f>IF(ISBLANK(J586),MODE($J$2:$J$2001),J586)</f>
        <v>0.1</v>
      </c>
      <c r="L586" t="s">
        <v>1829</v>
      </c>
      <c r="M586">
        <v>31.239000000000001</v>
      </c>
      <c r="N586">
        <f t="shared" si="9"/>
        <v>31.239000000000001</v>
      </c>
      <c r="O586" t="str">
        <f>_xlfn.XLOOKUP(Sales_fact[[#This Row],[Customer_ID]],'Customer_Dim'!A:A,'Customer_Dim'!K:K,"Not Found")</f>
        <v>Gold</v>
      </c>
      <c r="P586">
        <f>_xlfn.XLOOKUP(Sales_fact[[#This Row],[Customer_ID]],'Customer_Dim'!A:A, 'Customer_Dim'!E:E, "Not Found")</f>
        <v>39</v>
      </c>
      <c r="Q586" t="str">
        <f>VLOOKUP(Sales_fact[[#This Row],[Customer_ID]], 'Customer_Dim'!A:F, 6, FALSE)</f>
        <v>Female</v>
      </c>
      <c r="R586" s="13" t="str">
        <f>_xlfn.XLOOKUP(Sales_fact[[#This Row],[Product_ID]],Product_Dim!A:A,Product_Dim!C:C,"OTHERS")</f>
        <v>Home</v>
      </c>
    </row>
    <row r="587" spans="1:18" x14ac:dyDescent="0.3">
      <c r="A587" t="s">
        <v>2411</v>
      </c>
      <c r="B587" s="2">
        <v>45633</v>
      </c>
      <c r="C587" t="s">
        <v>737</v>
      </c>
      <c r="D587" t="s">
        <v>1702</v>
      </c>
      <c r="E587" t="str">
        <f ca="1">TRIM(Sales_fact[[#This Row],[Store_ID]])</f>
        <v>STORE1</v>
      </c>
      <c r="F587">
        <v>2</v>
      </c>
      <c r="G587">
        <f>IF(ISBLANK(F587),MODE($F$2:$F$2001),F587)</f>
        <v>2</v>
      </c>
      <c r="H587">
        <v>829.15</v>
      </c>
      <c r="I587">
        <f>IF(ISBLANK(H587),AVERAGE($H$2:$H$2001),H587)</f>
        <v>829.15</v>
      </c>
      <c r="J587">
        <v>0.11</v>
      </c>
      <c r="K587">
        <f>IF(ISBLANK(J587),MODE($J$2:$J$2001),J587)</f>
        <v>0.11</v>
      </c>
      <c r="L587" t="s">
        <v>1826</v>
      </c>
      <c r="M587">
        <v>1475.8869999999999</v>
      </c>
      <c r="N587">
        <f t="shared" si="9"/>
        <v>1475.8869999999999</v>
      </c>
      <c r="O587" t="str">
        <f>_xlfn.XLOOKUP(Sales_fact[[#This Row],[Customer_ID]],'Customer_Dim'!A:A,'Customer_Dim'!K:K,"Not Found")</f>
        <v>Bronze</v>
      </c>
      <c r="P587">
        <f>_xlfn.XLOOKUP(Sales_fact[[#This Row],[Customer_ID]],'Customer_Dim'!A:A, 'Customer_Dim'!E:E, "Not Found")</f>
        <v>32</v>
      </c>
      <c r="Q587" t="str">
        <f>VLOOKUP(Sales_fact[[#This Row],[Customer_ID]], 'Customer_Dim'!A:F, 6, FALSE)</f>
        <v>Female</v>
      </c>
      <c r="R587" s="13" t="str">
        <f>_xlfn.XLOOKUP(Sales_fact[[#This Row],[Product_ID]],Product_Dim!A:A,Product_Dim!C:C,"OTHERS")</f>
        <v>Electronics</v>
      </c>
    </row>
    <row r="588" spans="1:18" x14ac:dyDescent="0.3">
      <c r="A588" t="s">
        <v>2412</v>
      </c>
      <c r="B588" s="2">
        <v>45798</v>
      </c>
      <c r="C588" t="s">
        <v>842</v>
      </c>
      <c r="D588" t="s">
        <v>1744</v>
      </c>
      <c r="E588" t="str">
        <f ca="1">TRIM(Sales_fact[[#This Row],[Store_ID]])</f>
        <v>STORE3</v>
      </c>
      <c r="F588">
        <v>2</v>
      </c>
      <c r="G588">
        <f>IF(ISBLANK(F588),MODE($F$2:$F$2001),F588)</f>
        <v>2</v>
      </c>
      <c r="H588">
        <v>481.86</v>
      </c>
      <c r="I588">
        <f>IF(ISBLANK(H588),AVERAGE($H$2:$H$2001),H588)</f>
        <v>481.86</v>
      </c>
      <c r="J588">
        <v>0.1</v>
      </c>
      <c r="K588">
        <f>IF(ISBLANK(J588),MODE($J$2:$J$2001),J588)</f>
        <v>0.1</v>
      </c>
      <c r="L588" t="s">
        <v>1829</v>
      </c>
      <c r="M588">
        <v>867.34800000000007</v>
      </c>
      <c r="N588">
        <f t="shared" si="9"/>
        <v>867.34800000000007</v>
      </c>
      <c r="O588" t="str">
        <f>_xlfn.XLOOKUP(Sales_fact[[#This Row],[Customer_ID]],'Customer_Dim'!A:A,'Customer_Dim'!K:K,"Not Found")</f>
        <v>Gold</v>
      </c>
      <c r="P588">
        <f>_xlfn.XLOOKUP(Sales_fact[[#This Row],[Customer_ID]],'Customer_Dim'!A:A, 'Customer_Dim'!E:E, "Not Found")</f>
        <v>25</v>
      </c>
      <c r="Q588" t="str">
        <f>VLOOKUP(Sales_fact[[#This Row],[Customer_ID]], 'Customer_Dim'!A:F, 6, FALSE)</f>
        <v>Male</v>
      </c>
      <c r="R588" s="13" t="str">
        <f>_xlfn.XLOOKUP(Sales_fact[[#This Row],[Product_ID]],Product_Dim!A:A,Product_Dim!C:C,"OTHERS")</f>
        <v>Electronics</v>
      </c>
    </row>
    <row r="589" spans="1:18" x14ac:dyDescent="0.3">
      <c r="A589" t="s">
        <v>2413</v>
      </c>
      <c r="B589" s="2">
        <v>45354</v>
      </c>
      <c r="C589" t="s">
        <v>496</v>
      </c>
      <c r="D589" t="s">
        <v>1652</v>
      </c>
      <c r="E589" t="str">
        <f ca="1">TRIM(Sales_fact[[#This Row],[Store_ID]])</f>
        <v>STORE7</v>
      </c>
      <c r="F589">
        <v>4</v>
      </c>
      <c r="G589">
        <f>IF(ISBLANK(F589),MODE($F$2:$F$2001),F589)</f>
        <v>4</v>
      </c>
      <c r="H589">
        <v>915.17</v>
      </c>
      <c r="I589">
        <f>IF(ISBLANK(H589),AVERAGE($H$2:$H$2001),H589)</f>
        <v>915.17</v>
      </c>
      <c r="J589">
        <v>0.19</v>
      </c>
      <c r="K589">
        <f>IF(ISBLANK(J589),MODE($J$2:$J$2001),J589)</f>
        <v>0.19</v>
      </c>
      <c r="L589" t="s">
        <v>1829</v>
      </c>
      <c r="M589">
        <v>2965.1507999999999</v>
      </c>
      <c r="N589">
        <f t="shared" si="9"/>
        <v>2965.1507999999999</v>
      </c>
      <c r="O589" t="str">
        <f>_xlfn.XLOOKUP(Sales_fact[[#This Row],[Customer_ID]],'Customer_Dim'!A:A,'Customer_Dim'!K:K,"Not Found")</f>
        <v>Platinum</v>
      </c>
      <c r="P589">
        <f>_xlfn.XLOOKUP(Sales_fact[[#This Row],[Customer_ID]],'Customer_Dim'!A:A, 'Customer_Dim'!E:E, "Not Found")</f>
        <v>49</v>
      </c>
      <c r="Q589" t="str">
        <f>VLOOKUP(Sales_fact[[#This Row],[Customer_ID]], 'Customer_Dim'!A:F, 6, FALSE)</f>
        <v>Female</v>
      </c>
      <c r="R589" s="13" t="str">
        <f>_xlfn.XLOOKUP(Sales_fact[[#This Row],[Product_ID]],Product_Dim!A:A,Product_Dim!C:C,"OTHERS")</f>
        <v>Sports</v>
      </c>
    </row>
    <row r="590" spans="1:18" x14ac:dyDescent="0.3">
      <c r="A590" t="s">
        <v>2414</v>
      </c>
      <c r="B590" s="2">
        <v>45357</v>
      </c>
      <c r="C590" t="s">
        <v>696</v>
      </c>
      <c r="D590" t="s">
        <v>1690</v>
      </c>
      <c r="E590" t="str">
        <f ca="1">TRIM(Sales_fact[[#This Row],[Store_ID]])</f>
        <v>STORE18</v>
      </c>
      <c r="F590">
        <v>1</v>
      </c>
      <c r="G590">
        <f>IF(ISBLANK(F590),MODE($F$2:$F$2001),F590)</f>
        <v>1</v>
      </c>
      <c r="H590">
        <v>250.95</v>
      </c>
      <c r="I590">
        <f>IF(ISBLANK(H590),AVERAGE($H$2:$H$2001),H590)</f>
        <v>250.95</v>
      </c>
      <c r="J590">
        <v>0.03</v>
      </c>
      <c r="K590">
        <f>IF(ISBLANK(J590),MODE($J$2:$J$2001),J590)</f>
        <v>0.03</v>
      </c>
      <c r="L590" t="s">
        <v>1826</v>
      </c>
      <c r="M590">
        <v>243.42150000000001</v>
      </c>
      <c r="N590">
        <f t="shared" si="9"/>
        <v>243.42149999999998</v>
      </c>
      <c r="O590" t="str">
        <f>_xlfn.XLOOKUP(Sales_fact[[#This Row],[Customer_ID]],'Customer_Dim'!A:A,'Customer_Dim'!K:K,"Not Found")</f>
        <v>Gold</v>
      </c>
      <c r="P590">
        <f>_xlfn.XLOOKUP(Sales_fact[[#This Row],[Customer_ID]],'Customer_Dim'!A:A, 'Customer_Dim'!E:E, "Not Found")</f>
        <v>61</v>
      </c>
      <c r="Q590" t="str">
        <f>VLOOKUP(Sales_fact[[#This Row],[Customer_ID]], 'Customer_Dim'!A:F, 6, FALSE)</f>
        <v>Male</v>
      </c>
      <c r="R590" s="13" t="str">
        <f>_xlfn.XLOOKUP(Sales_fact[[#This Row],[Product_ID]],Product_Dim!A:A,Product_Dim!C:C,"OTHERS")</f>
        <v>Beauty</v>
      </c>
    </row>
    <row r="591" spans="1:18" x14ac:dyDescent="0.3">
      <c r="A591" t="s">
        <v>2415</v>
      </c>
      <c r="B591" s="2">
        <v>45257</v>
      </c>
      <c r="C591" t="s">
        <v>1023</v>
      </c>
      <c r="D591" t="s">
        <v>1740</v>
      </c>
      <c r="E591" t="str">
        <f ca="1">TRIM(Sales_fact[[#This Row],[Store_ID]])</f>
        <v>STORE5</v>
      </c>
      <c r="F591">
        <v>3</v>
      </c>
      <c r="G591">
        <f>IF(ISBLANK(F591),MODE($F$2:$F$2001),F591)</f>
        <v>3</v>
      </c>
      <c r="H591">
        <v>882.84</v>
      </c>
      <c r="I591">
        <f>IF(ISBLANK(H591),AVERAGE($H$2:$H$2001),H591)</f>
        <v>882.84</v>
      </c>
      <c r="J591">
        <v>0.1</v>
      </c>
      <c r="K591">
        <f>IF(ISBLANK(J591),MODE($J$2:$J$2001),J591)</f>
        <v>0.1</v>
      </c>
      <c r="L591" t="s">
        <v>1824</v>
      </c>
      <c r="M591">
        <v>2383.6680000000001</v>
      </c>
      <c r="N591">
        <f t="shared" si="9"/>
        <v>2383.6680000000001</v>
      </c>
      <c r="O591" t="str">
        <f>_xlfn.XLOOKUP(Sales_fact[[#This Row],[Customer_ID]],'Customer_Dim'!A:A,'Customer_Dim'!K:K,"Not Found")</f>
        <v>Bronze</v>
      </c>
      <c r="P591">
        <f>_xlfn.XLOOKUP(Sales_fact[[#This Row],[Customer_ID]],'Customer_Dim'!A:A, 'Customer_Dim'!E:E, "Not Found")</f>
        <v>60</v>
      </c>
      <c r="Q591" t="str">
        <f>VLOOKUP(Sales_fact[[#This Row],[Customer_ID]], 'Customer_Dim'!A:F, 6, FALSE)</f>
        <v>Male</v>
      </c>
      <c r="R591" s="13" t="str">
        <f>_xlfn.XLOOKUP(Sales_fact[[#This Row],[Product_ID]],Product_Dim!A:A,Product_Dim!C:C,"OTHERS")</f>
        <v>Clothing</v>
      </c>
    </row>
    <row r="592" spans="1:18" x14ac:dyDescent="0.3">
      <c r="A592" t="s">
        <v>2416</v>
      </c>
      <c r="B592" s="2">
        <v>45702</v>
      </c>
      <c r="C592" t="s">
        <v>470</v>
      </c>
      <c r="D592" t="s">
        <v>1586</v>
      </c>
      <c r="E592" t="str">
        <f ca="1">TRIM(Sales_fact[[#This Row],[Store_ID]])</f>
        <v>STORE18</v>
      </c>
      <c r="F592">
        <v>4</v>
      </c>
      <c r="G592">
        <f>IF(ISBLANK(F592),MODE($F$2:$F$2001),F592)</f>
        <v>4</v>
      </c>
      <c r="H592">
        <v>573.37</v>
      </c>
      <c r="I592">
        <f>IF(ISBLANK(H592),AVERAGE($H$2:$H$2001),H592)</f>
        <v>573.37</v>
      </c>
      <c r="J592">
        <v>0.04</v>
      </c>
      <c r="K592">
        <f>IF(ISBLANK(J592),MODE($J$2:$J$2001),J592)</f>
        <v>0.04</v>
      </c>
      <c r="L592" t="s">
        <v>1829</v>
      </c>
      <c r="M592">
        <v>2201.7408</v>
      </c>
      <c r="N592">
        <f t="shared" si="9"/>
        <v>2201.7408</v>
      </c>
      <c r="O592" t="str">
        <f>_xlfn.XLOOKUP(Sales_fact[[#This Row],[Customer_ID]],'Customer_Dim'!A:A,'Customer_Dim'!K:K,"Not Found")</f>
        <v>Gold</v>
      </c>
      <c r="P592">
        <f>_xlfn.XLOOKUP(Sales_fact[[#This Row],[Customer_ID]],'Customer_Dim'!A:A, 'Customer_Dim'!E:E, "Not Found")</f>
        <v>43</v>
      </c>
      <c r="Q592" t="str">
        <f>VLOOKUP(Sales_fact[[#This Row],[Customer_ID]], 'Customer_Dim'!A:F, 6, FALSE)</f>
        <v>Male</v>
      </c>
      <c r="R592" s="13" t="str">
        <f>_xlfn.XLOOKUP(Sales_fact[[#This Row],[Product_ID]],Product_Dim!A:A,Product_Dim!C:C,"OTHERS")</f>
        <v>Sports</v>
      </c>
    </row>
    <row r="593" spans="1:18" x14ac:dyDescent="0.3">
      <c r="A593" t="s">
        <v>2417</v>
      </c>
      <c r="B593" s="2">
        <v>45318</v>
      </c>
      <c r="C593" t="s">
        <v>218</v>
      </c>
      <c r="D593" t="s">
        <v>1612</v>
      </c>
      <c r="E593" t="str">
        <f ca="1">TRIM(Sales_fact[[#This Row],[Store_ID]])</f>
        <v>STORE12</v>
      </c>
      <c r="F593">
        <v>3</v>
      </c>
      <c r="G593">
        <f>IF(ISBLANK(F593),MODE($F$2:$F$2001),F593)</f>
        <v>3</v>
      </c>
      <c r="H593">
        <v>622.72</v>
      </c>
      <c r="I593">
        <f>IF(ISBLANK(H593),AVERAGE($H$2:$H$2001),H593)</f>
        <v>622.72</v>
      </c>
      <c r="J593">
        <v>0.04</v>
      </c>
      <c r="K593">
        <f>IF(ISBLANK(J593),MODE($J$2:$J$2001),J593)</f>
        <v>0.04</v>
      </c>
      <c r="L593" t="s">
        <v>1824</v>
      </c>
      <c r="M593">
        <v>1793.4336000000001</v>
      </c>
      <c r="N593">
        <f t="shared" si="9"/>
        <v>1793.4336000000001</v>
      </c>
      <c r="O593" t="str">
        <f>_xlfn.XLOOKUP(Sales_fact[[#This Row],[Customer_ID]],'Customer_Dim'!A:A,'Customer_Dim'!K:K,"Not Found")</f>
        <v>Platinum</v>
      </c>
      <c r="P593">
        <f>_xlfn.XLOOKUP(Sales_fact[[#This Row],[Customer_ID]],'Customer_Dim'!A:A, 'Customer_Dim'!E:E, "Not Found")</f>
        <v>51</v>
      </c>
      <c r="Q593" t="str">
        <f>VLOOKUP(Sales_fact[[#This Row],[Customer_ID]], 'Customer_Dim'!A:F, 6, FALSE)</f>
        <v>Male</v>
      </c>
      <c r="R593" s="13" t="str">
        <f>_xlfn.XLOOKUP(Sales_fact[[#This Row],[Product_ID]],Product_Dim!A:A,Product_Dim!C:C,"OTHERS")</f>
        <v>Beauty</v>
      </c>
    </row>
    <row r="594" spans="1:18" x14ac:dyDescent="0.3">
      <c r="A594" t="s">
        <v>2418</v>
      </c>
      <c r="B594" s="2">
        <v>45943</v>
      </c>
      <c r="C594" t="s">
        <v>1211</v>
      </c>
      <c r="D594" t="s">
        <v>1732</v>
      </c>
      <c r="E594" t="str">
        <f ca="1">TRIM(Sales_fact[[#This Row],[Store_ID]])</f>
        <v>STORE17</v>
      </c>
      <c r="F594">
        <v>3</v>
      </c>
      <c r="G594">
        <f>IF(ISBLANK(F594),MODE($F$2:$F$2001),F594)</f>
        <v>3</v>
      </c>
      <c r="H594">
        <v>259.74</v>
      </c>
      <c r="I594">
        <f>IF(ISBLANK(H594),AVERAGE($H$2:$H$2001),H594)</f>
        <v>259.74</v>
      </c>
      <c r="J594">
        <v>0.24</v>
      </c>
      <c r="K594">
        <f>IF(ISBLANK(J594),MODE($J$2:$J$2001),J594)</f>
        <v>0.24</v>
      </c>
      <c r="L594" t="s">
        <v>1824</v>
      </c>
      <c r="M594">
        <v>592.20720000000006</v>
      </c>
      <c r="N594">
        <f t="shared" si="9"/>
        <v>592.20720000000006</v>
      </c>
      <c r="O594" t="str">
        <f>_xlfn.XLOOKUP(Sales_fact[[#This Row],[Customer_ID]],'Customer_Dim'!A:A,'Customer_Dim'!K:K,"Not Found")</f>
        <v>Platinum</v>
      </c>
      <c r="P594">
        <f>_xlfn.XLOOKUP(Sales_fact[[#This Row],[Customer_ID]],'Customer_Dim'!A:A, 'Customer_Dim'!E:E, "Not Found")</f>
        <v>53</v>
      </c>
      <c r="Q594" t="str">
        <f>VLOOKUP(Sales_fact[[#This Row],[Customer_ID]], 'Customer_Dim'!A:F, 6, FALSE)</f>
        <v>Male</v>
      </c>
      <c r="R594" s="13" t="str">
        <f>_xlfn.XLOOKUP(Sales_fact[[#This Row],[Product_ID]],Product_Dim!A:A,Product_Dim!C:C,"OTHERS")</f>
        <v>Home</v>
      </c>
    </row>
    <row r="595" spans="1:18" x14ac:dyDescent="0.3">
      <c r="A595" t="s">
        <v>2419</v>
      </c>
      <c r="B595" s="2">
        <v>45769</v>
      </c>
      <c r="C595" t="s">
        <v>205</v>
      </c>
      <c r="D595" t="s">
        <v>1604</v>
      </c>
      <c r="E595" t="str">
        <f ca="1">TRIM(Sales_fact[[#This Row],[Store_ID]])</f>
        <v>STORE13</v>
      </c>
      <c r="F595">
        <v>4</v>
      </c>
      <c r="G595">
        <f>IF(ISBLANK(F595),MODE($F$2:$F$2001),F595)</f>
        <v>4</v>
      </c>
      <c r="H595">
        <v>951.09</v>
      </c>
      <c r="I595">
        <f>IF(ISBLANK(H595),AVERAGE($H$2:$H$2001),H595)</f>
        <v>951.09</v>
      </c>
      <c r="J595">
        <v>0.14000000000000001</v>
      </c>
      <c r="K595">
        <f>IF(ISBLANK(J595),MODE($J$2:$J$2001),J595)</f>
        <v>0.14000000000000001</v>
      </c>
      <c r="L595" t="s">
        <v>1829</v>
      </c>
      <c r="M595">
        <v>3271.7496000000001</v>
      </c>
      <c r="N595">
        <f t="shared" si="9"/>
        <v>3271.7496000000001</v>
      </c>
      <c r="O595" t="str">
        <f>_xlfn.XLOOKUP(Sales_fact[[#This Row],[Customer_ID]],'Customer_Dim'!A:A,'Customer_Dim'!K:K,"Not Found")</f>
        <v>Platinum</v>
      </c>
      <c r="P595">
        <f>_xlfn.XLOOKUP(Sales_fact[[#This Row],[Customer_ID]],'Customer_Dim'!A:A, 'Customer_Dim'!E:E, "Not Found")</f>
        <v>24</v>
      </c>
      <c r="Q595" t="str">
        <f>VLOOKUP(Sales_fact[[#This Row],[Customer_ID]], 'Customer_Dim'!A:F, 6, FALSE)</f>
        <v>Male</v>
      </c>
      <c r="R595" s="13" t="str">
        <f>_xlfn.XLOOKUP(Sales_fact[[#This Row],[Product_ID]],Product_Dim!A:A,Product_Dim!C:C,"OTHERS")</f>
        <v>Sports</v>
      </c>
    </row>
    <row r="596" spans="1:18" x14ac:dyDescent="0.3">
      <c r="A596" t="s">
        <v>2420</v>
      </c>
      <c r="B596" s="2">
        <v>45765</v>
      </c>
      <c r="C596" t="s">
        <v>651</v>
      </c>
      <c r="D596" t="s">
        <v>1746</v>
      </c>
      <c r="E596" t="str">
        <f ca="1">TRIM(Sales_fact[[#This Row],[Store_ID]])</f>
        <v>STORE2</v>
      </c>
      <c r="F596">
        <v>1</v>
      </c>
      <c r="G596">
        <f>IF(ISBLANK(F596),MODE($F$2:$F$2001),F596)</f>
        <v>1</v>
      </c>
      <c r="H596">
        <v>71.709999999999994</v>
      </c>
      <c r="I596">
        <f>IF(ISBLANK(H596),AVERAGE($H$2:$H$2001),H596)</f>
        <v>71.709999999999994</v>
      </c>
      <c r="J596">
        <v>0.23</v>
      </c>
      <c r="K596">
        <f>IF(ISBLANK(J596),MODE($J$2:$J$2001),J596)</f>
        <v>0.23</v>
      </c>
      <c r="L596" t="s">
        <v>1829</v>
      </c>
      <c r="M596">
        <v>55.216700000000003</v>
      </c>
      <c r="N596">
        <f t="shared" si="9"/>
        <v>55.216699999999996</v>
      </c>
      <c r="O596" t="str">
        <f>_xlfn.XLOOKUP(Sales_fact[[#This Row],[Customer_ID]],'Customer_Dim'!A:A,'Customer_Dim'!K:K,"Not Found")</f>
        <v>Bronze</v>
      </c>
      <c r="P596">
        <f>_xlfn.XLOOKUP(Sales_fact[[#This Row],[Customer_ID]],'Customer_Dim'!A:A, 'Customer_Dim'!E:E, "Not Found")</f>
        <v>46</v>
      </c>
      <c r="Q596" t="str">
        <f>VLOOKUP(Sales_fact[[#This Row],[Customer_ID]], 'Customer_Dim'!A:F, 6, FALSE)</f>
        <v>Male</v>
      </c>
      <c r="R596" s="13" t="str">
        <f>_xlfn.XLOOKUP(Sales_fact[[#This Row],[Product_ID]],Product_Dim!A:A,Product_Dim!C:C,"OTHERS")</f>
        <v>Home</v>
      </c>
    </row>
    <row r="597" spans="1:18" x14ac:dyDescent="0.3">
      <c r="A597" t="s">
        <v>2421</v>
      </c>
      <c r="B597" s="2">
        <v>45891</v>
      </c>
      <c r="C597" t="s">
        <v>574</v>
      </c>
      <c r="D597" t="s">
        <v>1588</v>
      </c>
      <c r="E597" t="str">
        <f ca="1">TRIM(Sales_fact[[#This Row],[Store_ID]])</f>
        <v>STORE7</v>
      </c>
      <c r="F597">
        <v>4</v>
      </c>
      <c r="G597">
        <f>IF(ISBLANK(F597),MODE($F$2:$F$2001),F597)</f>
        <v>4</v>
      </c>
      <c r="H597">
        <v>894.93</v>
      </c>
      <c r="I597">
        <f>IF(ISBLANK(H597),AVERAGE($H$2:$H$2001),H597)</f>
        <v>894.93</v>
      </c>
      <c r="J597">
        <v>0.05</v>
      </c>
      <c r="K597">
        <f>IF(ISBLANK(J597),MODE($J$2:$J$2001),J597)</f>
        <v>0.05</v>
      </c>
      <c r="L597" t="s">
        <v>1829</v>
      </c>
      <c r="M597">
        <v>3400.733999999999</v>
      </c>
      <c r="N597">
        <f t="shared" si="9"/>
        <v>3400.7339999999995</v>
      </c>
      <c r="O597" t="str">
        <f>_xlfn.XLOOKUP(Sales_fact[[#This Row],[Customer_ID]],'Customer_Dim'!A:A,'Customer_Dim'!K:K,"Not Found")</f>
        <v>Platinum</v>
      </c>
      <c r="P597">
        <f>_xlfn.XLOOKUP(Sales_fact[[#This Row],[Customer_ID]],'Customer_Dim'!A:A, 'Customer_Dim'!E:E, "Not Found")</f>
        <v>41</v>
      </c>
      <c r="Q597" t="str">
        <f>VLOOKUP(Sales_fact[[#This Row],[Customer_ID]], 'Customer_Dim'!A:F, 6, FALSE)</f>
        <v>Female</v>
      </c>
      <c r="R597" s="13" t="str">
        <f>_xlfn.XLOOKUP(Sales_fact[[#This Row],[Product_ID]],Product_Dim!A:A,Product_Dim!C:C,"OTHERS")</f>
        <v>Sports</v>
      </c>
    </row>
    <row r="598" spans="1:18" x14ac:dyDescent="0.3">
      <c r="A598" t="s">
        <v>2422</v>
      </c>
      <c r="B598" s="2">
        <v>45842</v>
      </c>
      <c r="C598" t="s">
        <v>660</v>
      </c>
      <c r="D598" t="s">
        <v>1704</v>
      </c>
      <c r="E598" t="str">
        <f ca="1">TRIM(Sales_fact[[#This Row],[Store_ID]])</f>
        <v>STORE8</v>
      </c>
      <c r="F598">
        <v>4</v>
      </c>
      <c r="G598">
        <f>IF(ISBLANK(F598),MODE($F$2:$F$2001),F598)</f>
        <v>4</v>
      </c>
      <c r="H598">
        <v>870.18</v>
      </c>
      <c r="I598">
        <f>IF(ISBLANK(H598),AVERAGE($H$2:$H$2001),H598)</f>
        <v>870.18</v>
      </c>
      <c r="J598">
        <v>0.13</v>
      </c>
      <c r="K598">
        <f>IF(ISBLANK(J598),MODE($J$2:$J$2001),J598)</f>
        <v>0.13</v>
      </c>
      <c r="L598" t="s">
        <v>1829</v>
      </c>
      <c r="M598">
        <v>3028.2264</v>
      </c>
      <c r="N598">
        <f t="shared" si="9"/>
        <v>3028.2264</v>
      </c>
      <c r="O598" t="str">
        <f>_xlfn.XLOOKUP(Sales_fact[[#This Row],[Customer_ID]],'Customer_Dim'!A:A,'Customer_Dim'!K:K,"Not Found")</f>
        <v>Platinum</v>
      </c>
      <c r="P598">
        <f>_xlfn.XLOOKUP(Sales_fact[[#This Row],[Customer_ID]],'Customer_Dim'!A:A, 'Customer_Dim'!E:E, "Not Found")</f>
        <v>37</v>
      </c>
      <c r="Q598" t="str">
        <f>VLOOKUP(Sales_fact[[#This Row],[Customer_ID]], 'Customer_Dim'!A:F, 6, FALSE)</f>
        <v>Female</v>
      </c>
      <c r="R598" s="13" t="str">
        <f>_xlfn.XLOOKUP(Sales_fact[[#This Row],[Product_ID]],Product_Dim!A:A,Product_Dim!C:C,"OTHERS")</f>
        <v>Home</v>
      </c>
    </row>
    <row r="599" spans="1:18" x14ac:dyDescent="0.3">
      <c r="A599" t="s">
        <v>2423</v>
      </c>
      <c r="B599" s="2">
        <v>45382</v>
      </c>
      <c r="C599" t="s">
        <v>884</v>
      </c>
      <c r="D599" t="s">
        <v>1676</v>
      </c>
      <c r="E599" t="str">
        <f ca="1">TRIM(Sales_fact[[#This Row],[Store_ID]])</f>
        <v>STORE2</v>
      </c>
      <c r="F599">
        <v>2</v>
      </c>
      <c r="G599">
        <f>IF(ISBLANK(F599),MODE($F$2:$F$2001),F599)</f>
        <v>2</v>
      </c>
      <c r="H599">
        <v>552.72</v>
      </c>
      <c r="I599">
        <f>IF(ISBLANK(H599),AVERAGE($H$2:$H$2001),H599)</f>
        <v>552.72</v>
      </c>
      <c r="J599">
        <v>0.06</v>
      </c>
      <c r="K599">
        <f>IF(ISBLANK(J599),MODE($J$2:$J$2001),J599)</f>
        <v>0.06</v>
      </c>
      <c r="L599" t="s">
        <v>1826</v>
      </c>
      <c r="M599">
        <v>1039.1135999999999</v>
      </c>
      <c r="N599">
        <f t="shared" si="9"/>
        <v>1039.1135999999999</v>
      </c>
      <c r="O599" t="str">
        <f>_xlfn.XLOOKUP(Sales_fact[[#This Row],[Customer_ID]],'Customer_Dim'!A:A,'Customer_Dim'!K:K,"Not Found")</f>
        <v>Platinum</v>
      </c>
      <c r="P599">
        <f>_xlfn.XLOOKUP(Sales_fact[[#This Row],[Customer_ID]],'Customer_Dim'!A:A, 'Customer_Dim'!E:E, "Not Found")</f>
        <v>42</v>
      </c>
      <c r="Q599" t="str">
        <f>VLOOKUP(Sales_fact[[#This Row],[Customer_ID]], 'Customer_Dim'!A:F, 6, FALSE)</f>
        <v>Female</v>
      </c>
      <c r="R599" s="13" t="str">
        <f>_xlfn.XLOOKUP(Sales_fact[[#This Row],[Product_ID]],Product_Dim!A:A,Product_Dim!C:C,"OTHERS")</f>
        <v>Beauty</v>
      </c>
    </row>
    <row r="600" spans="1:18" x14ac:dyDescent="0.3">
      <c r="A600" t="s">
        <v>2424</v>
      </c>
      <c r="B600" s="2">
        <v>45236</v>
      </c>
      <c r="C600" t="s">
        <v>788</v>
      </c>
      <c r="D600" t="s">
        <v>1626</v>
      </c>
      <c r="E600" t="str">
        <f ca="1">TRIM(Sales_fact[[#This Row],[Store_ID]])</f>
        <v>STORE8</v>
      </c>
      <c r="F600">
        <v>3</v>
      </c>
      <c r="G600">
        <f>IF(ISBLANK(F600),MODE($F$2:$F$2001),F600)</f>
        <v>3</v>
      </c>
      <c r="H600">
        <v>700.43</v>
      </c>
      <c r="I600">
        <f>IF(ISBLANK(H600),AVERAGE($H$2:$H$2001),H600)</f>
        <v>700.43</v>
      </c>
      <c r="J600">
        <v>0.01</v>
      </c>
      <c r="K600">
        <f>IF(ISBLANK(J600),MODE($J$2:$J$2001),J600)</f>
        <v>0.01</v>
      </c>
      <c r="L600" t="s">
        <v>1829</v>
      </c>
      <c r="M600">
        <v>2080.2770999999998</v>
      </c>
      <c r="N600">
        <f t="shared" si="9"/>
        <v>2080.2770999999998</v>
      </c>
      <c r="O600" t="str">
        <f>_xlfn.XLOOKUP(Sales_fact[[#This Row],[Customer_ID]],'Customer_Dim'!A:A,'Customer_Dim'!K:K,"Not Found")</f>
        <v>Bronze</v>
      </c>
      <c r="P600">
        <f>_xlfn.XLOOKUP(Sales_fact[[#This Row],[Customer_ID]],'Customer_Dim'!A:A, 'Customer_Dim'!E:E, "Not Found")</f>
        <v>58</v>
      </c>
      <c r="Q600" t="str">
        <f>VLOOKUP(Sales_fact[[#This Row],[Customer_ID]], 'Customer_Dim'!A:F, 6, FALSE)</f>
        <v>Male</v>
      </c>
      <c r="R600" s="13" t="str">
        <f>_xlfn.XLOOKUP(Sales_fact[[#This Row],[Product_ID]],Product_Dim!A:A,Product_Dim!C:C,"OTHERS")</f>
        <v>Electronics</v>
      </c>
    </row>
    <row r="601" spans="1:18" x14ac:dyDescent="0.3">
      <c r="A601" t="s">
        <v>2425</v>
      </c>
      <c r="B601" s="2">
        <v>45806</v>
      </c>
      <c r="C601" t="s">
        <v>1065</v>
      </c>
      <c r="D601" t="s">
        <v>1565</v>
      </c>
      <c r="E601" t="str">
        <f ca="1">TRIM(Sales_fact[[#This Row],[Store_ID]])</f>
        <v>STORE2</v>
      </c>
      <c r="F601">
        <v>2</v>
      </c>
      <c r="G601">
        <f>IF(ISBLANK(F601),MODE($F$2:$F$2001),F601)</f>
        <v>2</v>
      </c>
      <c r="H601">
        <v>823.03</v>
      </c>
      <c r="I601">
        <f>IF(ISBLANK(H601),AVERAGE($H$2:$H$2001),H601)</f>
        <v>823.03</v>
      </c>
      <c r="J601">
        <v>0.18</v>
      </c>
      <c r="K601">
        <f>IF(ISBLANK(J601),MODE($J$2:$J$2001),J601)</f>
        <v>0.18</v>
      </c>
      <c r="L601" t="s">
        <v>1826</v>
      </c>
      <c r="M601">
        <v>1349.7692</v>
      </c>
      <c r="N601">
        <f t="shared" si="9"/>
        <v>1349.7692</v>
      </c>
      <c r="O601" t="str">
        <f>_xlfn.XLOOKUP(Sales_fact[[#This Row],[Customer_ID]],'Customer_Dim'!A:A,'Customer_Dim'!K:K,"Not Found")</f>
        <v>Platinum</v>
      </c>
      <c r="P601">
        <f>_xlfn.XLOOKUP(Sales_fact[[#This Row],[Customer_ID]],'Customer_Dim'!A:A, 'Customer_Dim'!E:E, "Not Found")</f>
        <v>52</v>
      </c>
      <c r="Q601" t="str">
        <f>VLOOKUP(Sales_fact[[#This Row],[Customer_ID]], 'Customer_Dim'!A:F, 6, FALSE)</f>
        <v>Female</v>
      </c>
      <c r="R601" s="13" t="str">
        <f>_xlfn.XLOOKUP(Sales_fact[[#This Row],[Product_ID]],Product_Dim!A:A,Product_Dim!C:C,"OTHERS")</f>
        <v>Sports</v>
      </c>
    </row>
    <row r="602" spans="1:18" x14ac:dyDescent="0.3">
      <c r="A602" t="s">
        <v>2426</v>
      </c>
      <c r="B602" s="2">
        <v>45401</v>
      </c>
      <c r="C602" t="s">
        <v>815</v>
      </c>
      <c r="D602" t="s">
        <v>1732</v>
      </c>
      <c r="E602" t="str">
        <f ca="1">TRIM(Sales_fact[[#This Row],[Store_ID]])</f>
        <v>STORE6</v>
      </c>
      <c r="F602">
        <v>1</v>
      </c>
      <c r="G602">
        <f>IF(ISBLANK(F602),MODE($F$2:$F$2001),F602)</f>
        <v>1</v>
      </c>
      <c r="H602">
        <v>117.37</v>
      </c>
      <c r="I602">
        <f>IF(ISBLANK(H602),AVERAGE($H$2:$H$2001),H602)</f>
        <v>117.37</v>
      </c>
      <c r="J602">
        <v>0.21</v>
      </c>
      <c r="K602">
        <f>IF(ISBLANK(J602),MODE($J$2:$J$2001),J602)</f>
        <v>0.21</v>
      </c>
      <c r="L602" t="s">
        <v>1824</v>
      </c>
      <c r="M602">
        <v>92.722300000000004</v>
      </c>
      <c r="N602">
        <f t="shared" si="9"/>
        <v>92.722300000000004</v>
      </c>
      <c r="O602" t="str">
        <f>_xlfn.XLOOKUP(Sales_fact[[#This Row],[Customer_ID]],'Customer_Dim'!A:A,'Customer_Dim'!K:K,"Not Found")</f>
        <v>Gold</v>
      </c>
      <c r="P602">
        <f>_xlfn.XLOOKUP(Sales_fact[[#This Row],[Customer_ID]],'Customer_Dim'!A:A, 'Customer_Dim'!E:E, "Not Found")</f>
        <v>21</v>
      </c>
      <c r="Q602" t="str">
        <f>VLOOKUP(Sales_fact[[#This Row],[Customer_ID]], 'Customer_Dim'!A:F, 6, FALSE)</f>
        <v>Male</v>
      </c>
      <c r="R602" s="13" t="str">
        <f>_xlfn.XLOOKUP(Sales_fact[[#This Row],[Product_ID]],Product_Dim!A:A,Product_Dim!C:C,"OTHERS")</f>
        <v>Home</v>
      </c>
    </row>
    <row r="603" spans="1:18" x14ac:dyDescent="0.3">
      <c r="A603" t="s">
        <v>2427</v>
      </c>
      <c r="B603" s="2">
        <v>45716</v>
      </c>
      <c r="C603" t="s">
        <v>369</v>
      </c>
      <c r="D603" t="s">
        <v>1660</v>
      </c>
      <c r="E603" t="str">
        <f ca="1">TRIM(Sales_fact[[#This Row],[Store_ID]])</f>
        <v>STORE1</v>
      </c>
      <c r="F603">
        <v>4</v>
      </c>
      <c r="G603">
        <f>IF(ISBLANK(F603),MODE($F$2:$F$2001),F603)</f>
        <v>4</v>
      </c>
      <c r="H603">
        <v>165.37</v>
      </c>
      <c r="I603">
        <f>IF(ISBLANK(H603),AVERAGE($H$2:$H$2001),H603)</f>
        <v>165.37</v>
      </c>
      <c r="J603">
        <v>0.28999999999999998</v>
      </c>
      <c r="K603">
        <f>IF(ISBLANK(J603),MODE($J$2:$J$2001),J603)</f>
        <v>0.28999999999999998</v>
      </c>
      <c r="L603" t="s">
        <v>1824</v>
      </c>
      <c r="M603">
        <v>469.6508</v>
      </c>
      <c r="N603">
        <f t="shared" si="9"/>
        <v>469.6508</v>
      </c>
      <c r="O603" t="str">
        <f>_xlfn.XLOOKUP(Sales_fact[[#This Row],[Customer_ID]],'Customer_Dim'!A:A,'Customer_Dim'!K:K,"Not Found")</f>
        <v>Silver</v>
      </c>
      <c r="P603">
        <f>_xlfn.XLOOKUP(Sales_fact[[#This Row],[Customer_ID]],'Customer_Dim'!A:A, 'Customer_Dim'!E:E, "Not Found")</f>
        <v>64</v>
      </c>
      <c r="Q603" t="str">
        <f>VLOOKUP(Sales_fact[[#This Row],[Customer_ID]], 'Customer_Dim'!A:F, 6, FALSE)</f>
        <v>Male</v>
      </c>
      <c r="R603" s="13" t="str">
        <f>_xlfn.XLOOKUP(Sales_fact[[#This Row],[Product_ID]],Product_Dim!A:A,Product_Dim!C:C,"OTHERS")</f>
        <v>Home</v>
      </c>
    </row>
    <row r="604" spans="1:18" x14ac:dyDescent="0.3">
      <c r="A604" t="s">
        <v>2428</v>
      </c>
      <c r="B604" s="2">
        <v>45718</v>
      </c>
      <c r="C604" t="s">
        <v>1181</v>
      </c>
      <c r="D604" t="s">
        <v>1557</v>
      </c>
      <c r="E604" t="str">
        <f ca="1">TRIM(Sales_fact[[#This Row],[Store_ID]])</f>
        <v>STORE10</v>
      </c>
      <c r="F604">
        <v>3</v>
      </c>
      <c r="G604">
        <f>IF(ISBLANK(F604),MODE($F$2:$F$2001),F604)</f>
        <v>3</v>
      </c>
      <c r="H604">
        <v>483.06</v>
      </c>
      <c r="I604">
        <f>IF(ISBLANK(H604),AVERAGE($H$2:$H$2001),H604)</f>
        <v>483.06</v>
      </c>
      <c r="J604">
        <v>0.05</v>
      </c>
      <c r="K604">
        <f>IF(ISBLANK(J604),MODE($J$2:$J$2001),J604)</f>
        <v>0.05</v>
      </c>
      <c r="L604" t="s">
        <v>1824</v>
      </c>
      <c r="M604">
        <v>1376.721</v>
      </c>
      <c r="N604">
        <f t="shared" si="9"/>
        <v>1376.721</v>
      </c>
      <c r="O604" t="str">
        <f>_xlfn.XLOOKUP(Sales_fact[[#This Row],[Customer_ID]],'Customer_Dim'!A:A,'Customer_Dim'!K:K,"Not Found")</f>
        <v>Bronze</v>
      </c>
      <c r="P604">
        <f>_xlfn.XLOOKUP(Sales_fact[[#This Row],[Customer_ID]],'Customer_Dim'!A:A, 'Customer_Dim'!E:E, "Not Found")</f>
        <v>44</v>
      </c>
      <c r="Q604" t="str">
        <f>VLOOKUP(Sales_fact[[#This Row],[Customer_ID]], 'Customer_Dim'!A:F, 6, FALSE)</f>
        <v>Female</v>
      </c>
      <c r="R604" s="13" t="str">
        <f>_xlfn.XLOOKUP(Sales_fact[[#This Row],[Product_ID]],Product_Dim!A:A,Product_Dim!C:C,"OTHERS")</f>
        <v>Beauty</v>
      </c>
    </row>
    <row r="605" spans="1:18" x14ac:dyDescent="0.3">
      <c r="A605" t="s">
        <v>2429</v>
      </c>
      <c r="B605" s="2">
        <v>45379</v>
      </c>
      <c r="C605" t="s">
        <v>929</v>
      </c>
      <c r="D605" t="s">
        <v>1710</v>
      </c>
      <c r="E605" t="str">
        <f ca="1">TRIM(Sales_fact[[#This Row],[Store_ID]])</f>
        <v>STORE7</v>
      </c>
      <c r="F605">
        <v>4</v>
      </c>
      <c r="G605">
        <f>IF(ISBLANK(F605),MODE($F$2:$F$2001),F605)</f>
        <v>4</v>
      </c>
      <c r="H605">
        <v>262.05</v>
      </c>
      <c r="I605">
        <f>IF(ISBLANK(H605),AVERAGE($H$2:$H$2001),H605)</f>
        <v>262.05</v>
      </c>
      <c r="J605">
        <v>0.24</v>
      </c>
      <c r="K605">
        <f>IF(ISBLANK(J605),MODE($J$2:$J$2001),J605)</f>
        <v>0.24</v>
      </c>
      <c r="L605" t="s">
        <v>1826</v>
      </c>
      <c r="M605">
        <v>796.63200000000006</v>
      </c>
      <c r="N605">
        <f t="shared" si="9"/>
        <v>796.63200000000006</v>
      </c>
      <c r="O605" t="str">
        <f>_xlfn.XLOOKUP(Sales_fact[[#This Row],[Customer_ID]],'Customer_Dim'!A:A,'Customer_Dim'!K:K,"Not Found")</f>
        <v>Platinum</v>
      </c>
      <c r="P605">
        <f>_xlfn.XLOOKUP(Sales_fact[[#This Row],[Customer_ID]],'Customer_Dim'!A:A, 'Customer_Dim'!E:E, "Not Found")</f>
        <v>56</v>
      </c>
      <c r="Q605" t="str">
        <f>VLOOKUP(Sales_fact[[#This Row],[Customer_ID]], 'Customer_Dim'!A:F, 6, FALSE)</f>
        <v>Female</v>
      </c>
      <c r="R605" s="13" t="str">
        <f>_xlfn.XLOOKUP(Sales_fact[[#This Row],[Product_ID]],Product_Dim!A:A,Product_Dim!C:C,"OTHERS")</f>
        <v>Sports</v>
      </c>
    </row>
    <row r="606" spans="1:18" x14ac:dyDescent="0.3">
      <c r="A606" t="s">
        <v>2430</v>
      </c>
      <c r="B606" s="2">
        <v>45635</v>
      </c>
      <c r="C606" t="s">
        <v>1428</v>
      </c>
      <c r="D606" t="s">
        <v>1576</v>
      </c>
      <c r="E606" t="str">
        <f ca="1">TRIM(Sales_fact[[#This Row],[Store_ID]])</f>
        <v>STORE14</v>
      </c>
      <c r="F606">
        <v>3</v>
      </c>
      <c r="G606">
        <f>IF(ISBLANK(F606),MODE($F$2:$F$2001),F606)</f>
        <v>3</v>
      </c>
      <c r="H606">
        <v>970.89</v>
      </c>
      <c r="I606">
        <f>IF(ISBLANK(H606),AVERAGE($H$2:$H$2001),H606)</f>
        <v>970.89</v>
      </c>
      <c r="J606">
        <v>0.11</v>
      </c>
      <c r="K606">
        <f>IF(ISBLANK(J606),MODE($J$2:$J$2001),J606)</f>
        <v>0.11</v>
      </c>
      <c r="L606" t="s">
        <v>1829</v>
      </c>
      <c r="M606">
        <v>2592.2763</v>
      </c>
      <c r="N606">
        <f t="shared" si="9"/>
        <v>2592.2763</v>
      </c>
      <c r="O606" t="str">
        <f>_xlfn.XLOOKUP(Sales_fact[[#This Row],[Customer_ID]],'Customer_Dim'!A:A,'Customer_Dim'!K:K,"Not Found")</f>
        <v>Bronze</v>
      </c>
      <c r="P606">
        <f>_xlfn.XLOOKUP(Sales_fact[[#This Row],[Customer_ID]],'Customer_Dim'!A:A, 'Customer_Dim'!E:E, "Not Found")</f>
        <v>36</v>
      </c>
      <c r="Q606" t="str">
        <f>VLOOKUP(Sales_fact[[#This Row],[Customer_ID]], 'Customer_Dim'!A:F, 6, FALSE)</f>
        <v>Female</v>
      </c>
      <c r="R606" s="13" t="str">
        <f>_xlfn.XLOOKUP(Sales_fact[[#This Row],[Product_ID]],Product_Dim!A:A,Product_Dim!C:C,"OTHERS")</f>
        <v>Home</v>
      </c>
    </row>
    <row r="607" spans="1:18" x14ac:dyDescent="0.3">
      <c r="A607" t="s">
        <v>2431</v>
      </c>
      <c r="B607" s="2">
        <v>45222</v>
      </c>
      <c r="C607" t="s">
        <v>702</v>
      </c>
      <c r="D607" t="s">
        <v>1692</v>
      </c>
      <c r="E607" t="str">
        <f ca="1">TRIM(Sales_fact[[#This Row],[Store_ID]])</f>
        <v>STORE0</v>
      </c>
      <c r="F607">
        <v>1</v>
      </c>
      <c r="G607">
        <f>IF(ISBLANK(F607),MODE($F$2:$F$2001),F607)</f>
        <v>1</v>
      </c>
      <c r="H607">
        <v>61.11</v>
      </c>
      <c r="I607">
        <f>IF(ISBLANK(H607),AVERAGE($H$2:$H$2001),H607)</f>
        <v>61.11</v>
      </c>
      <c r="J607">
        <v>0.1</v>
      </c>
      <c r="K607">
        <f>IF(ISBLANK(J607),MODE($J$2:$J$2001),J607)</f>
        <v>0.1</v>
      </c>
      <c r="L607" t="s">
        <v>1826</v>
      </c>
      <c r="M607">
        <v>54.999000000000002</v>
      </c>
      <c r="N607">
        <f t="shared" si="9"/>
        <v>54.999000000000002</v>
      </c>
      <c r="O607" t="str">
        <f>_xlfn.XLOOKUP(Sales_fact[[#This Row],[Customer_ID]],'Customer_Dim'!A:A,'Customer_Dim'!K:K,"Not Found")</f>
        <v>Platinum</v>
      </c>
      <c r="P607">
        <f>_xlfn.XLOOKUP(Sales_fact[[#This Row],[Customer_ID]],'Customer_Dim'!A:A, 'Customer_Dim'!E:E, "Not Found")</f>
        <v>44</v>
      </c>
      <c r="Q607" t="str">
        <f>VLOOKUP(Sales_fact[[#This Row],[Customer_ID]], 'Customer_Dim'!A:F, 6, FALSE)</f>
        <v>Male</v>
      </c>
      <c r="R607" s="13" t="str">
        <f>_xlfn.XLOOKUP(Sales_fact[[#This Row],[Product_ID]],Product_Dim!A:A,Product_Dim!C:C,"OTHERS")</f>
        <v>Sports</v>
      </c>
    </row>
    <row r="608" spans="1:18" x14ac:dyDescent="0.3">
      <c r="A608" t="s">
        <v>2432</v>
      </c>
      <c r="B608" s="2">
        <v>45555</v>
      </c>
      <c r="C608" t="s">
        <v>121</v>
      </c>
      <c r="D608" t="s">
        <v>1602</v>
      </c>
      <c r="E608" t="str">
        <f ca="1">TRIM(Sales_fact[[#This Row],[Store_ID]])</f>
        <v>STORE8</v>
      </c>
      <c r="F608">
        <v>3</v>
      </c>
      <c r="G608">
        <f>IF(ISBLANK(F608),MODE($F$2:$F$2001),F608)</f>
        <v>3</v>
      </c>
      <c r="H608">
        <v>827.88</v>
      </c>
      <c r="I608">
        <f>IF(ISBLANK(H608),AVERAGE($H$2:$H$2001),H608)</f>
        <v>827.88</v>
      </c>
      <c r="J608">
        <v>0.19</v>
      </c>
      <c r="K608">
        <f>IF(ISBLANK(J608),MODE($J$2:$J$2001),J608)</f>
        <v>0.19</v>
      </c>
      <c r="L608" t="s">
        <v>1826</v>
      </c>
      <c r="M608">
        <v>2011.7483999999999</v>
      </c>
      <c r="N608">
        <f t="shared" si="9"/>
        <v>2011.7483999999999</v>
      </c>
      <c r="O608" t="str">
        <f>_xlfn.XLOOKUP(Sales_fact[[#This Row],[Customer_ID]],'Customer_Dim'!A:A,'Customer_Dim'!K:K,"Not Found")</f>
        <v>Silver</v>
      </c>
      <c r="P608">
        <f>_xlfn.XLOOKUP(Sales_fact[[#This Row],[Customer_ID]],'Customer_Dim'!A:A, 'Customer_Dim'!E:E, "Not Found")</f>
        <v>54</v>
      </c>
      <c r="Q608" t="str">
        <f>VLOOKUP(Sales_fact[[#This Row],[Customer_ID]], 'Customer_Dim'!A:F, 6, FALSE)</f>
        <v>Female</v>
      </c>
      <c r="R608" s="13" t="str">
        <f>_xlfn.XLOOKUP(Sales_fact[[#This Row],[Product_ID]],Product_Dim!A:A,Product_Dim!C:C,"OTHERS")</f>
        <v>Home</v>
      </c>
    </row>
    <row r="609" spans="1:18" x14ac:dyDescent="0.3">
      <c r="A609" t="s">
        <v>2433</v>
      </c>
      <c r="B609" s="2">
        <v>45583</v>
      </c>
      <c r="C609" t="s">
        <v>1334</v>
      </c>
      <c r="D609" t="s">
        <v>1722</v>
      </c>
      <c r="E609" t="str">
        <f ca="1">TRIM(Sales_fact[[#This Row],[Store_ID]])</f>
        <v>STORE13</v>
      </c>
      <c r="F609">
        <v>3</v>
      </c>
      <c r="G609">
        <f>IF(ISBLANK(F609),MODE($F$2:$F$2001),F609)</f>
        <v>3</v>
      </c>
      <c r="H609">
        <v>926.85</v>
      </c>
      <c r="I609">
        <f>IF(ISBLANK(H609),AVERAGE($H$2:$H$2001),H609)</f>
        <v>926.85</v>
      </c>
      <c r="J609">
        <v>0.18</v>
      </c>
      <c r="K609">
        <f>IF(ISBLANK(J609),MODE($J$2:$J$2001),J609)</f>
        <v>0.18</v>
      </c>
      <c r="L609" t="s">
        <v>1829</v>
      </c>
      <c r="M609">
        <v>2280.0509999999999</v>
      </c>
      <c r="N609">
        <f t="shared" si="9"/>
        <v>2280.0510000000004</v>
      </c>
      <c r="O609" t="str">
        <f>_xlfn.XLOOKUP(Sales_fact[[#This Row],[Customer_ID]],'Customer_Dim'!A:A,'Customer_Dim'!K:K,"Not Found")</f>
        <v>Gold</v>
      </c>
      <c r="P609">
        <f>_xlfn.XLOOKUP(Sales_fact[[#This Row],[Customer_ID]],'Customer_Dim'!A:A, 'Customer_Dim'!E:E, "Not Found")</f>
        <v>36</v>
      </c>
      <c r="Q609" t="str">
        <f>VLOOKUP(Sales_fact[[#This Row],[Customer_ID]], 'Customer_Dim'!A:F, 6, FALSE)</f>
        <v>Female</v>
      </c>
      <c r="R609" s="13" t="str">
        <f>_xlfn.XLOOKUP(Sales_fact[[#This Row],[Product_ID]],Product_Dim!A:A,Product_Dim!C:C,"OTHERS")</f>
        <v>Home</v>
      </c>
    </row>
    <row r="610" spans="1:18" x14ac:dyDescent="0.3">
      <c r="A610" t="s">
        <v>2434</v>
      </c>
      <c r="B610" s="2">
        <v>45662</v>
      </c>
      <c r="C610" t="s">
        <v>999</v>
      </c>
      <c r="D610" t="s">
        <v>1568</v>
      </c>
      <c r="E610" t="str">
        <f ca="1">TRIM(Sales_fact[[#This Row],[Store_ID]])</f>
        <v>STORE14</v>
      </c>
      <c r="F610">
        <v>1</v>
      </c>
      <c r="G610">
        <f>IF(ISBLANK(F610),MODE($F$2:$F$2001),F610)</f>
        <v>1</v>
      </c>
      <c r="H610">
        <v>874.59</v>
      </c>
      <c r="I610">
        <f>IF(ISBLANK(H610),AVERAGE($H$2:$H$2001),H610)</f>
        <v>874.59</v>
      </c>
      <c r="J610">
        <v>0.28999999999999998</v>
      </c>
      <c r="K610">
        <f>IF(ISBLANK(J610),MODE($J$2:$J$2001),J610)</f>
        <v>0.28999999999999998</v>
      </c>
      <c r="L610" t="s">
        <v>1826</v>
      </c>
      <c r="M610">
        <v>620.95889999999997</v>
      </c>
      <c r="N610">
        <f t="shared" si="9"/>
        <v>620.95889999999997</v>
      </c>
      <c r="O610" t="str">
        <f>_xlfn.XLOOKUP(Sales_fact[[#This Row],[Customer_ID]],'Customer_Dim'!A:A,'Customer_Dim'!K:K,"Not Found")</f>
        <v>Gold</v>
      </c>
      <c r="P610">
        <f>_xlfn.XLOOKUP(Sales_fact[[#This Row],[Customer_ID]],'Customer_Dim'!A:A, 'Customer_Dim'!E:E, "Not Found")</f>
        <v>64</v>
      </c>
      <c r="Q610" t="str">
        <f>VLOOKUP(Sales_fact[[#This Row],[Customer_ID]], 'Customer_Dim'!A:F, 6, FALSE)</f>
        <v>Female</v>
      </c>
      <c r="R610" s="13" t="str">
        <f>_xlfn.XLOOKUP(Sales_fact[[#This Row],[Product_ID]],Product_Dim!A:A,Product_Dim!C:C,"OTHERS")</f>
        <v>Home</v>
      </c>
    </row>
    <row r="611" spans="1:18" x14ac:dyDescent="0.3">
      <c r="A611" t="s">
        <v>2435</v>
      </c>
      <c r="B611" s="2">
        <v>45921</v>
      </c>
      <c r="C611" t="s">
        <v>1449</v>
      </c>
      <c r="D611" t="s">
        <v>1578</v>
      </c>
      <c r="E611" t="str">
        <f ca="1">TRIM(Sales_fact[[#This Row],[Store_ID]])</f>
        <v>STORE1</v>
      </c>
      <c r="F611">
        <v>4</v>
      </c>
      <c r="G611">
        <f>IF(ISBLANK(F611),MODE($F$2:$F$2001),F611)</f>
        <v>4</v>
      </c>
      <c r="H611">
        <v>479.11</v>
      </c>
      <c r="I611">
        <f>IF(ISBLANK(H611),AVERAGE($H$2:$H$2001),H611)</f>
        <v>479.11</v>
      </c>
      <c r="J611">
        <v>0.24</v>
      </c>
      <c r="K611">
        <f>IF(ISBLANK(J611),MODE($J$2:$J$2001),J611)</f>
        <v>0.24</v>
      </c>
      <c r="L611" t="s">
        <v>1826</v>
      </c>
      <c r="M611">
        <v>1456.4944</v>
      </c>
      <c r="N611">
        <f t="shared" si="9"/>
        <v>1456.4944</v>
      </c>
      <c r="O611" t="str">
        <f>_xlfn.XLOOKUP(Sales_fact[[#This Row],[Customer_ID]],'Customer_Dim'!A:A,'Customer_Dim'!K:K,"Not Found")</f>
        <v>Gold</v>
      </c>
      <c r="P611">
        <f>_xlfn.XLOOKUP(Sales_fact[[#This Row],[Customer_ID]],'Customer_Dim'!A:A, 'Customer_Dim'!E:E, "Not Found")</f>
        <v>21</v>
      </c>
      <c r="Q611" t="str">
        <f>VLOOKUP(Sales_fact[[#This Row],[Customer_ID]], 'Customer_Dim'!A:F, 6, FALSE)</f>
        <v>Female</v>
      </c>
      <c r="R611" s="13" t="str">
        <f>_xlfn.XLOOKUP(Sales_fact[[#This Row],[Product_ID]],Product_Dim!A:A,Product_Dim!C:C,"OTHERS")</f>
        <v>Electronics</v>
      </c>
    </row>
    <row r="612" spans="1:18" x14ac:dyDescent="0.3">
      <c r="A612" t="s">
        <v>2436</v>
      </c>
      <c r="B612" s="2">
        <v>45490</v>
      </c>
      <c r="C612" t="s">
        <v>693</v>
      </c>
      <c r="D612" t="s">
        <v>1612</v>
      </c>
      <c r="E612" t="str">
        <f ca="1">TRIM(Sales_fact[[#This Row],[Store_ID]])</f>
        <v>STORE17</v>
      </c>
      <c r="F612">
        <v>3</v>
      </c>
      <c r="G612">
        <f>IF(ISBLANK(F612),MODE($F$2:$F$2001),F612)</f>
        <v>3</v>
      </c>
      <c r="H612">
        <v>182.91</v>
      </c>
      <c r="I612">
        <f>IF(ISBLANK(H612),AVERAGE($H$2:$H$2001),H612)</f>
        <v>182.91</v>
      </c>
      <c r="J612">
        <v>0.28999999999999998</v>
      </c>
      <c r="K612">
        <f>IF(ISBLANK(J612),MODE($J$2:$J$2001),J612)</f>
        <v>0.28999999999999998</v>
      </c>
      <c r="L612" t="s">
        <v>1824</v>
      </c>
      <c r="M612">
        <v>389.59829999999999</v>
      </c>
      <c r="N612">
        <f t="shared" si="9"/>
        <v>389.59829999999999</v>
      </c>
      <c r="O612" t="str">
        <f>_xlfn.XLOOKUP(Sales_fact[[#This Row],[Customer_ID]],'Customer_Dim'!A:A,'Customer_Dim'!K:K,"Not Found")</f>
        <v>Platinum</v>
      </c>
      <c r="P612">
        <f>_xlfn.XLOOKUP(Sales_fact[[#This Row],[Customer_ID]],'Customer_Dim'!A:A, 'Customer_Dim'!E:E, "Not Found")</f>
        <v>42</v>
      </c>
      <c r="Q612" t="str">
        <f>VLOOKUP(Sales_fact[[#This Row],[Customer_ID]], 'Customer_Dim'!A:F, 6, FALSE)</f>
        <v>Female</v>
      </c>
      <c r="R612" s="13" t="str">
        <f>_xlfn.XLOOKUP(Sales_fact[[#This Row],[Product_ID]],Product_Dim!A:A,Product_Dim!C:C,"OTHERS")</f>
        <v>Beauty</v>
      </c>
    </row>
    <row r="613" spans="1:18" x14ac:dyDescent="0.3">
      <c r="A613" t="s">
        <v>2437</v>
      </c>
      <c r="B613" s="2">
        <v>45652</v>
      </c>
      <c r="C613" t="s">
        <v>866</v>
      </c>
      <c r="D613" t="s">
        <v>1616</v>
      </c>
      <c r="E613" t="str">
        <f ca="1">TRIM(Sales_fact[[#This Row],[Store_ID]])</f>
        <v>STORE5</v>
      </c>
      <c r="F613">
        <v>4</v>
      </c>
      <c r="G613">
        <f>IF(ISBLANK(F613),MODE($F$2:$F$2001),F613)</f>
        <v>4</v>
      </c>
      <c r="H613">
        <v>745.51</v>
      </c>
      <c r="I613">
        <f>IF(ISBLANK(H613),AVERAGE($H$2:$H$2001),H613)</f>
        <v>745.51</v>
      </c>
      <c r="J613">
        <v>0.05</v>
      </c>
      <c r="K613">
        <f>IF(ISBLANK(J613),MODE($J$2:$J$2001),J613)</f>
        <v>0.05</v>
      </c>
      <c r="L613" t="s">
        <v>1824</v>
      </c>
      <c r="M613">
        <v>2832.9380000000001</v>
      </c>
      <c r="N613">
        <f t="shared" si="9"/>
        <v>2832.9379999999996</v>
      </c>
      <c r="O613" t="str">
        <f>_xlfn.XLOOKUP(Sales_fact[[#This Row],[Customer_ID]],'Customer_Dim'!A:A,'Customer_Dim'!K:K,"Not Found")</f>
        <v>Gold</v>
      </c>
      <c r="P613">
        <f>_xlfn.XLOOKUP(Sales_fact[[#This Row],[Customer_ID]],'Customer_Dim'!A:A, 'Customer_Dim'!E:E, "Not Found")</f>
        <v>48</v>
      </c>
      <c r="Q613" t="str">
        <f>VLOOKUP(Sales_fact[[#This Row],[Customer_ID]], 'Customer_Dim'!A:F, 6, FALSE)</f>
        <v>Female</v>
      </c>
      <c r="R613" s="13" t="str">
        <f>_xlfn.XLOOKUP(Sales_fact[[#This Row],[Product_ID]],Product_Dim!A:A,Product_Dim!C:C,"OTHERS")</f>
        <v>Electronics</v>
      </c>
    </row>
    <row r="614" spans="1:18" x14ac:dyDescent="0.3">
      <c r="A614" t="s">
        <v>2438</v>
      </c>
      <c r="B614" s="2">
        <v>45598</v>
      </c>
      <c r="C614" t="s">
        <v>1481</v>
      </c>
      <c r="D614" t="s">
        <v>1724</v>
      </c>
      <c r="E614" t="str">
        <f ca="1">TRIM(Sales_fact[[#This Row],[Store_ID]])</f>
        <v>STORE15</v>
      </c>
      <c r="F614">
        <v>3</v>
      </c>
      <c r="G614">
        <f>IF(ISBLANK(F614),MODE($F$2:$F$2001),F614)</f>
        <v>3</v>
      </c>
      <c r="H614">
        <v>920.61</v>
      </c>
      <c r="I614">
        <f>IF(ISBLANK(H614),AVERAGE($H$2:$H$2001),H614)</f>
        <v>920.61</v>
      </c>
      <c r="J614">
        <v>0.04</v>
      </c>
      <c r="K614">
        <f>IF(ISBLANK(J614),MODE($J$2:$J$2001),J614)</f>
        <v>0.04</v>
      </c>
      <c r="L614" t="s">
        <v>1824</v>
      </c>
      <c r="M614">
        <v>2651.3568</v>
      </c>
      <c r="N614">
        <f t="shared" si="9"/>
        <v>2651.3568</v>
      </c>
      <c r="O614" t="str">
        <f>_xlfn.XLOOKUP(Sales_fact[[#This Row],[Customer_ID]],'Customer_Dim'!A:A,'Customer_Dim'!K:K,"Not Found")</f>
        <v>Gold</v>
      </c>
      <c r="P614">
        <f>_xlfn.XLOOKUP(Sales_fact[[#This Row],[Customer_ID]],'Customer_Dim'!A:A, 'Customer_Dim'!E:E, "Not Found")</f>
        <v>21</v>
      </c>
      <c r="Q614" t="str">
        <f>VLOOKUP(Sales_fact[[#This Row],[Customer_ID]], 'Customer_Dim'!A:F, 6, FALSE)</f>
        <v>Male</v>
      </c>
      <c r="R614" s="13" t="str">
        <f>_xlfn.XLOOKUP(Sales_fact[[#This Row],[Product_ID]],Product_Dim!A:A,Product_Dim!C:C,"OTHERS")</f>
        <v>Sports</v>
      </c>
    </row>
    <row r="615" spans="1:18" x14ac:dyDescent="0.3">
      <c r="A615" t="s">
        <v>2439</v>
      </c>
      <c r="B615" s="2">
        <v>45772</v>
      </c>
      <c r="C615" t="s">
        <v>1319</v>
      </c>
      <c r="D615" t="s">
        <v>1698</v>
      </c>
      <c r="E615" t="str">
        <f ca="1">TRIM(Sales_fact[[#This Row],[Store_ID]])</f>
        <v>STORE10</v>
      </c>
      <c r="F615">
        <v>4</v>
      </c>
      <c r="G615">
        <f>IF(ISBLANK(F615),MODE($F$2:$F$2001),F615)</f>
        <v>4</v>
      </c>
      <c r="H615">
        <v>659.03</v>
      </c>
      <c r="I615">
        <f>IF(ISBLANK(H615),AVERAGE($H$2:$H$2001),H615)</f>
        <v>659.03</v>
      </c>
      <c r="J615">
        <v>0.15</v>
      </c>
      <c r="K615">
        <f>IF(ISBLANK(J615),MODE($J$2:$J$2001),J615)</f>
        <v>0.15</v>
      </c>
      <c r="L615" t="s">
        <v>1824</v>
      </c>
      <c r="M615">
        <v>2240.7020000000002</v>
      </c>
      <c r="N615">
        <f t="shared" si="9"/>
        <v>2240.7019999999998</v>
      </c>
      <c r="O615" t="str">
        <f>_xlfn.XLOOKUP(Sales_fact[[#This Row],[Customer_ID]],'Customer_Dim'!A:A,'Customer_Dim'!K:K,"Not Found")</f>
        <v>Bronze</v>
      </c>
      <c r="P615">
        <f>_xlfn.XLOOKUP(Sales_fact[[#This Row],[Customer_ID]],'Customer_Dim'!A:A, 'Customer_Dim'!E:E, "Not Found")</f>
        <v>40</v>
      </c>
      <c r="Q615" t="str">
        <f>VLOOKUP(Sales_fact[[#This Row],[Customer_ID]], 'Customer_Dim'!A:F, 6, FALSE)</f>
        <v>Male</v>
      </c>
      <c r="R615" s="13" t="str">
        <f>_xlfn.XLOOKUP(Sales_fact[[#This Row],[Product_ID]],Product_Dim!A:A,Product_Dim!C:C,"OTHERS")</f>
        <v>Clothing</v>
      </c>
    </row>
    <row r="616" spans="1:18" x14ac:dyDescent="0.3">
      <c r="A616" t="s">
        <v>2440</v>
      </c>
      <c r="B616" s="2">
        <v>45338</v>
      </c>
      <c r="C616" t="s">
        <v>1510</v>
      </c>
      <c r="D616" t="s">
        <v>1565</v>
      </c>
      <c r="E616" t="str">
        <f ca="1">TRIM(Sales_fact[[#This Row],[Store_ID]])</f>
        <v>STORE2</v>
      </c>
      <c r="F616">
        <v>1</v>
      </c>
      <c r="G616">
        <f>IF(ISBLANK(F616),MODE($F$2:$F$2001),F616)</f>
        <v>1</v>
      </c>
      <c r="H616">
        <v>312.91000000000003</v>
      </c>
      <c r="I616">
        <f>IF(ISBLANK(H616),AVERAGE($H$2:$H$2001),H616)</f>
        <v>312.91000000000003</v>
      </c>
      <c r="J616">
        <v>0.12</v>
      </c>
      <c r="K616">
        <f>IF(ISBLANK(J616),MODE($J$2:$J$2001),J616)</f>
        <v>0.12</v>
      </c>
      <c r="L616" t="s">
        <v>1826</v>
      </c>
      <c r="M616">
        <v>275.36079999999998</v>
      </c>
      <c r="N616">
        <f t="shared" si="9"/>
        <v>275.36080000000004</v>
      </c>
      <c r="O616" t="str">
        <f>_xlfn.XLOOKUP(Sales_fact[[#This Row],[Customer_ID]],'Customer_Dim'!A:A,'Customer_Dim'!K:K,"Not Found")</f>
        <v>Not Found</v>
      </c>
      <c r="P616" t="str">
        <f>_xlfn.XLOOKUP(Sales_fact[[#This Row],[Customer_ID]],'Customer_Dim'!A:A, 'Customer_Dim'!E:E, "Not Found")</f>
        <v>Not Found</v>
      </c>
      <c r="Q616" t="e">
        <f>VLOOKUP(Sales_fact[[#This Row],[Customer_ID]], 'Customer_Dim'!A:F, 6, FALSE)</f>
        <v>#N/A</v>
      </c>
      <c r="R616" s="13" t="str">
        <f>_xlfn.XLOOKUP(Sales_fact[[#This Row],[Product_ID]],Product_Dim!A:A,Product_Dim!C:C,"OTHERS")</f>
        <v>Sports</v>
      </c>
    </row>
    <row r="617" spans="1:18" x14ac:dyDescent="0.3">
      <c r="A617" t="s">
        <v>2441</v>
      </c>
      <c r="B617" s="2">
        <v>45524</v>
      </c>
      <c r="C617" t="s">
        <v>735</v>
      </c>
      <c r="D617" t="s">
        <v>1572</v>
      </c>
      <c r="E617" t="str">
        <f ca="1">TRIM(Sales_fact[[#This Row],[Store_ID]])</f>
        <v>STORE18</v>
      </c>
      <c r="F617">
        <v>4</v>
      </c>
      <c r="G617">
        <f>IF(ISBLANK(F617),MODE($F$2:$F$2001),F617)</f>
        <v>4</v>
      </c>
      <c r="H617">
        <v>705.64</v>
      </c>
      <c r="I617">
        <f>IF(ISBLANK(H617),AVERAGE($H$2:$H$2001),H617)</f>
        <v>705.64</v>
      </c>
      <c r="J617">
        <v>0.11</v>
      </c>
      <c r="K617">
        <f>IF(ISBLANK(J617),MODE($J$2:$J$2001),J617)</f>
        <v>0.11</v>
      </c>
      <c r="L617" t="s">
        <v>1826</v>
      </c>
      <c r="M617">
        <v>2512.0783999999999</v>
      </c>
      <c r="N617">
        <f t="shared" si="9"/>
        <v>2512.0783999999999</v>
      </c>
      <c r="O617" t="str">
        <f>_xlfn.XLOOKUP(Sales_fact[[#This Row],[Customer_ID]],'Customer_Dim'!A:A,'Customer_Dim'!K:K,"Not Found")</f>
        <v>Gold</v>
      </c>
      <c r="P617">
        <f>_xlfn.XLOOKUP(Sales_fact[[#This Row],[Customer_ID]],'Customer_Dim'!A:A, 'Customer_Dim'!E:E, "Not Found")</f>
        <v>52</v>
      </c>
      <c r="Q617" t="str">
        <f>VLOOKUP(Sales_fact[[#This Row],[Customer_ID]], 'Customer_Dim'!A:F, 6, FALSE)</f>
        <v>Female</v>
      </c>
      <c r="R617" s="13" t="str">
        <f>_xlfn.XLOOKUP(Sales_fact[[#This Row],[Product_ID]],Product_Dim!A:A,Product_Dim!C:C,"OTHERS")</f>
        <v>Beauty</v>
      </c>
    </row>
    <row r="618" spans="1:18" x14ac:dyDescent="0.3">
      <c r="A618" t="s">
        <v>2442</v>
      </c>
      <c r="B618" s="2">
        <v>45497</v>
      </c>
      <c r="C618" t="s">
        <v>487</v>
      </c>
      <c r="D618" t="s">
        <v>1565</v>
      </c>
      <c r="E618" t="str">
        <f ca="1">TRIM(Sales_fact[[#This Row],[Store_ID]])</f>
        <v>STORE10</v>
      </c>
      <c r="F618">
        <v>4</v>
      </c>
      <c r="G618">
        <f>IF(ISBLANK(F618),MODE($F$2:$F$2001),F618)</f>
        <v>4</v>
      </c>
      <c r="H618">
        <v>386.41</v>
      </c>
      <c r="I618">
        <f>IF(ISBLANK(H618),AVERAGE($H$2:$H$2001),H618)</f>
        <v>386.41</v>
      </c>
      <c r="J618">
        <v>0.13</v>
      </c>
      <c r="K618">
        <f>IF(ISBLANK(J618),MODE($J$2:$J$2001),J618)</f>
        <v>0.13</v>
      </c>
      <c r="L618" t="s">
        <v>1829</v>
      </c>
      <c r="M618">
        <v>1344.7067999999999</v>
      </c>
      <c r="N618">
        <f t="shared" si="9"/>
        <v>1344.7068000000002</v>
      </c>
      <c r="O618" t="str">
        <f>_xlfn.XLOOKUP(Sales_fact[[#This Row],[Customer_ID]],'Customer_Dim'!A:A,'Customer_Dim'!K:K,"Not Found")</f>
        <v>Bronze</v>
      </c>
      <c r="P618">
        <f>_xlfn.XLOOKUP(Sales_fact[[#This Row],[Customer_ID]],'Customer_Dim'!A:A, 'Customer_Dim'!E:E, "Not Found")</f>
        <v>62</v>
      </c>
      <c r="Q618" t="str">
        <f>VLOOKUP(Sales_fact[[#This Row],[Customer_ID]], 'Customer_Dim'!A:F, 6, FALSE)</f>
        <v>Female</v>
      </c>
      <c r="R618" s="13" t="str">
        <f>_xlfn.XLOOKUP(Sales_fact[[#This Row],[Product_ID]],Product_Dim!A:A,Product_Dim!C:C,"OTHERS")</f>
        <v>Sports</v>
      </c>
    </row>
    <row r="619" spans="1:18" x14ac:dyDescent="0.3">
      <c r="A619" t="s">
        <v>2443</v>
      </c>
      <c r="B619" s="2">
        <v>45534</v>
      </c>
      <c r="C619" t="s">
        <v>121</v>
      </c>
      <c r="D619" t="s">
        <v>1736</v>
      </c>
      <c r="E619" t="str">
        <f ca="1">TRIM(Sales_fact[[#This Row],[Store_ID]])</f>
        <v>STORE11</v>
      </c>
      <c r="F619">
        <v>3</v>
      </c>
      <c r="G619">
        <f>IF(ISBLANK(F619),MODE($F$2:$F$2001),F619)</f>
        <v>3</v>
      </c>
      <c r="H619">
        <v>265.89</v>
      </c>
      <c r="I619">
        <f>IF(ISBLANK(H619),AVERAGE($H$2:$H$2001),H619)</f>
        <v>265.89</v>
      </c>
      <c r="J619">
        <v>0.08</v>
      </c>
      <c r="K619">
        <f>IF(ISBLANK(J619),MODE($J$2:$J$2001),J619)</f>
        <v>0.08</v>
      </c>
      <c r="L619" t="s">
        <v>1829</v>
      </c>
      <c r="M619">
        <v>733.85640000000001</v>
      </c>
      <c r="N619">
        <f t="shared" si="9"/>
        <v>733.85640000000001</v>
      </c>
      <c r="O619" t="str">
        <f>_xlfn.XLOOKUP(Sales_fact[[#This Row],[Customer_ID]],'Customer_Dim'!A:A,'Customer_Dim'!K:K,"Not Found")</f>
        <v>Silver</v>
      </c>
      <c r="P619">
        <f>_xlfn.XLOOKUP(Sales_fact[[#This Row],[Customer_ID]],'Customer_Dim'!A:A, 'Customer_Dim'!E:E, "Not Found")</f>
        <v>54</v>
      </c>
      <c r="Q619" t="str">
        <f>VLOOKUP(Sales_fact[[#This Row],[Customer_ID]], 'Customer_Dim'!A:F, 6, FALSE)</f>
        <v>Female</v>
      </c>
      <c r="R619" s="13" t="str">
        <f>_xlfn.XLOOKUP(Sales_fact[[#This Row],[Product_ID]],Product_Dim!A:A,Product_Dim!C:C,"OTHERS")</f>
        <v>Beauty</v>
      </c>
    </row>
    <row r="620" spans="1:18" x14ac:dyDescent="0.3">
      <c r="A620" t="s">
        <v>2444</v>
      </c>
      <c r="B620" s="2">
        <v>45925</v>
      </c>
      <c r="C620" t="s">
        <v>275</v>
      </c>
      <c r="D620" t="s">
        <v>1608</v>
      </c>
      <c r="E620" t="str">
        <f ca="1">TRIM(Sales_fact[[#This Row],[Store_ID]])</f>
        <v>STORE16</v>
      </c>
      <c r="F620">
        <v>1</v>
      </c>
      <c r="G620">
        <f>IF(ISBLANK(F620),MODE($F$2:$F$2001),F620)</f>
        <v>1</v>
      </c>
      <c r="H620">
        <v>703.16</v>
      </c>
      <c r="I620">
        <f>IF(ISBLANK(H620),AVERAGE($H$2:$H$2001),H620)</f>
        <v>703.16</v>
      </c>
      <c r="J620">
        <v>0.28999999999999998</v>
      </c>
      <c r="K620">
        <f>IF(ISBLANK(J620),MODE($J$2:$J$2001),J620)</f>
        <v>0.28999999999999998</v>
      </c>
      <c r="L620" t="s">
        <v>1824</v>
      </c>
      <c r="M620">
        <v>499.24360000000001</v>
      </c>
      <c r="N620">
        <f t="shared" si="9"/>
        <v>499.24359999999996</v>
      </c>
      <c r="O620" t="str">
        <f>_xlfn.XLOOKUP(Sales_fact[[#This Row],[Customer_ID]],'Customer_Dim'!A:A,'Customer_Dim'!K:K,"Not Found")</f>
        <v>Gold</v>
      </c>
      <c r="P620">
        <f>_xlfn.XLOOKUP(Sales_fact[[#This Row],[Customer_ID]],'Customer_Dim'!A:A, 'Customer_Dim'!E:E, "Not Found")</f>
        <v>61</v>
      </c>
      <c r="Q620" t="str">
        <f>VLOOKUP(Sales_fact[[#This Row],[Customer_ID]], 'Customer_Dim'!A:F, 6, FALSE)</f>
        <v>Female</v>
      </c>
      <c r="R620" s="13" t="str">
        <f>_xlfn.XLOOKUP(Sales_fact[[#This Row],[Product_ID]],Product_Dim!A:A,Product_Dim!C:C,"OTHERS")</f>
        <v>Home</v>
      </c>
    </row>
    <row r="621" spans="1:18" x14ac:dyDescent="0.3">
      <c r="A621" t="s">
        <v>2445</v>
      </c>
      <c r="B621" s="2">
        <v>45765</v>
      </c>
      <c r="C621" t="s">
        <v>1452</v>
      </c>
      <c r="D621" t="s">
        <v>1742</v>
      </c>
      <c r="E621" t="str">
        <f ca="1">TRIM(Sales_fact[[#This Row],[Store_ID]])</f>
        <v>STORE13</v>
      </c>
      <c r="F621">
        <v>2</v>
      </c>
      <c r="G621">
        <f>IF(ISBLANK(F621),MODE($F$2:$F$2001),F621)</f>
        <v>2</v>
      </c>
      <c r="H621">
        <v>394.5</v>
      </c>
      <c r="I621">
        <f>IF(ISBLANK(H621),AVERAGE($H$2:$H$2001),H621)</f>
        <v>394.5</v>
      </c>
      <c r="J621">
        <v>0.28999999999999998</v>
      </c>
      <c r="K621">
        <f>IF(ISBLANK(J621),MODE($J$2:$J$2001),J621)</f>
        <v>0.28999999999999998</v>
      </c>
      <c r="L621" t="s">
        <v>1829</v>
      </c>
      <c r="M621">
        <v>560.18999999999994</v>
      </c>
      <c r="N621">
        <f t="shared" si="9"/>
        <v>560.18999999999994</v>
      </c>
      <c r="O621" t="str">
        <f>_xlfn.XLOOKUP(Sales_fact[[#This Row],[Customer_ID]],'Customer_Dim'!A:A,'Customer_Dim'!K:K,"Not Found")</f>
        <v>Platinum</v>
      </c>
      <c r="P621">
        <f>_xlfn.XLOOKUP(Sales_fact[[#This Row],[Customer_ID]],'Customer_Dim'!A:A, 'Customer_Dim'!E:E, "Not Found")</f>
        <v>42</v>
      </c>
      <c r="Q621" t="str">
        <f>VLOOKUP(Sales_fact[[#This Row],[Customer_ID]], 'Customer_Dim'!A:F, 6, FALSE)</f>
        <v>Male</v>
      </c>
      <c r="R621" s="13" t="str">
        <f>_xlfn.XLOOKUP(Sales_fact[[#This Row],[Product_ID]],Product_Dim!A:A,Product_Dim!C:C,"OTHERS")</f>
        <v>Sports</v>
      </c>
    </row>
    <row r="622" spans="1:18" x14ac:dyDescent="0.3">
      <c r="A622" t="s">
        <v>2446</v>
      </c>
      <c r="B622" s="2">
        <v>45882</v>
      </c>
      <c r="C622" t="s">
        <v>408</v>
      </c>
      <c r="D622" t="s">
        <v>1742</v>
      </c>
      <c r="E622" t="str">
        <f ca="1">TRIM(Sales_fact[[#This Row],[Store_ID]])</f>
        <v>STORE7</v>
      </c>
      <c r="F622">
        <v>3</v>
      </c>
      <c r="G622">
        <f>IF(ISBLANK(F622),MODE($F$2:$F$2001),F622)</f>
        <v>3</v>
      </c>
      <c r="H622">
        <v>411.25</v>
      </c>
      <c r="I622">
        <f>IF(ISBLANK(H622),AVERAGE($H$2:$H$2001),H622)</f>
        <v>411.25</v>
      </c>
      <c r="J622">
        <v>0.05</v>
      </c>
      <c r="K622">
        <f>IF(ISBLANK(J622),MODE($J$2:$J$2001),J622)</f>
        <v>0.05</v>
      </c>
      <c r="L622" t="s">
        <v>1824</v>
      </c>
      <c r="M622">
        <v>1172.0625</v>
      </c>
      <c r="N622">
        <f t="shared" si="9"/>
        <v>1172.0625</v>
      </c>
      <c r="O622" t="str">
        <f>_xlfn.XLOOKUP(Sales_fact[[#This Row],[Customer_ID]],'Customer_Dim'!A:A,'Customer_Dim'!K:K,"Not Found")</f>
        <v>Platinum</v>
      </c>
      <c r="P622">
        <f>_xlfn.XLOOKUP(Sales_fact[[#This Row],[Customer_ID]],'Customer_Dim'!A:A, 'Customer_Dim'!E:E, "Not Found")</f>
        <v>21</v>
      </c>
      <c r="Q622" t="str">
        <f>VLOOKUP(Sales_fact[[#This Row],[Customer_ID]], 'Customer_Dim'!A:F, 6, FALSE)</f>
        <v>Female</v>
      </c>
      <c r="R622" s="13" t="str">
        <f>_xlfn.XLOOKUP(Sales_fact[[#This Row],[Product_ID]],Product_Dim!A:A,Product_Dim!C:C,"OTHERS")</f>
        <v>Sports</v>
      </c>
    </row>
    <row r="623" spans="1:18" x14ac:dyDescent="0.3">
      <c r="A623" t="s">
        <v>2447</v>
      </c>
      <c r="B623" s="2">
        <v>45923</v>
      </c>
      <c r="C623" t="s">
        <v>1107</v>
      </c>
      <c r="D623" t="s">
        <v>1644</v>
      </c>
      <c r="E623" t="str">
        <f ca="1">TRIM(Sales_fact[[#This Row],[Store_ID]])</f>
        <v>STORE2</v>
      </c>
      <c r="F623">
        <v>4</v>
      </c>
      <c r="G623">
        <f>IF(ISBLANK(F623),MODE($F$2:$F$2001),F623)</f>
        <v>4</v>
      </c>
      <c r="H623">
        <v>395.45</v>
      </c>
      <c r="I623">
        <f>IF(ISBLANK(H623),AVERAGE($H$2:$H$2001),H623)</f>
        <v>395.45</v>
      </c>
      <c r="J623">
        <v>0.01</v>
      </c>
      <c r="K623">
        <f>IF(ISBLANK(J623),MODE($J$2:$J$2001),J623)</f>
        <v>0.01</v>
      </c>
      <c r="L623" t="s">
        <v>1824</v>
      </c>
      <c r="M623">
        <v>1565.982</v>
      </c>
      <c r="N623">
        <f t="shared" si="9"/>
        <v>1565.982</v>
      </c>
      <c r="O623" t="str">
        <f>_xlfn.XLOOKUP(Sales_fact[[#This Row],[Customer_ID]],'Customer_Dim'!A:A,'Customer_Dim'!K:K,"Not Found")</f>
        <v>Platinum</v>
      </c>
      <c r="P623">
        <f>_xlfn.XLOOKUP(Sales_fact[[#This Row],[Customer_ID]],'Customer_Dim'!A:A, 'Customer_Dim'!E:E, "Not Found")</f>
        <v>56</v>
      </c>
      <c r="Q623" t="str">
        <f>VLOOKUP(Sales_fact[[#This Row],[Customer_ID]], 'Customer_Dim'!A:F, 6, FALSE)</f>
        <v>Female</v>
      </c>
      <c r="R623" s="13" t="str">
        <f>_xlfn.XLOOKUP(Sales_fact[[#This Row],[Product_ID]],Product_Dim!A:A,Product_Dim!C:C,"OTHERS")</f>
        <v>Electronics</v>
      </c>
    </row>
    <row r="624" spans="1:18" x14ac:dyDescent="0.3">
      <c r="A624" t="s">
        <v>2448</v>
      </c>
      <c r="B624" s="2">
        <v>45421</v>
      </c>
      <c r="C624" t="s">
        <v>144</v>
      </c>
      <c r="D624" t="s">
        <v>1728</v>
      </c>
      <c r="E624" t="str">
        <f ca="1">TRIM(Sales_fact[[#This Row],[Store_ID]])</f>
        <v>STORE5</v>
      </c>
      <c r="F624">
        <v>2</v>
      </c>
      <c r="G624">
        <f>IF(ISBLANK(F624),MODE($F$2:$F$2001),F624)</f>
        <v>2</v>
      </c>
      <c r="H624">
        <v>678.98</v>
      </c>
      <c r="I624">
        <f>IF(ISBLANK(H624),AVERAGE($H$2:$H$2001),H624)</f>
        <v>678.98</v>
      </c>
      <c r="J624">
        <v>0.23</v>
      </c>
      <c r="K624">
        <f>IF(ISBLANK(J624),MODE($J$2:$J$2001),J624)</f>
        <v>0.23</v>
      </c>
      <c r="L624" t="s">
        <v>1824</v>
      </c>
      <c r="M624">
        <v>1045.6292000000001</v>
      </c>
      <c r="N624">
        <f t="shared" si="9"/>
        <v>1045.6292000000001</v>
      </c>
      <c r="O624" t="str">
        <f>_xlfn.XLOOKUP(Sales_fact[[#This Row],[Customer_ID]],'Customer_Dim'!A:A,'Customer_Dim'!K:K,"Not Found")</f>
        <v>Gold</v>
      </c>
      <c r="P624">
        <f>_xlfn.XLOOKUP(Sales_fact[[#This Row],[Customer_ID]],'Customer_Dim'!A:A, 'Customer_Dim'!E:E, "Not Found")</f>
        <v>20</v>
      </c>
      <c r="Q624" t="str">
        <f>VLOOKUP(Sales_fact[[#This Row],[Customer_ID]], 'Customer_Dim'!A:F, 6, FALSE)</f>
        <v>Female</v>
      </c>
      <c r="R624" s="13" t="str">
        <f>_xlfn.XLOOKUP(Sales_fact[[#This Row],[Product_ID]],Product_Dim!A:A,Product_Dim!C:C,"OTHERS")</f>
        <v>Electronics</v>
      </c>
    </row>
    <row r="625" spans="1:18" x14ac:dyDescent="0.3">
      <c r="A625" t="s">
        <v>2449</v>
      </c>
      <c r="B625" s="2">
        <v>45608</v>
      </c>
      <c r="C625" t="s">
        <v>264</v>
      </c>
      <c r="D625" t="s">
        <v>1602</v>
      </c>
      <c r="E625" t="str">
        <f ca="1">TRIM(Sales_fact[[#This Row],[Store_ID]])</f>
        <v>STORE14</v>
      </c>
      <c r="F625">
        <v>4</v>
      </c>
      <c r="G625">
        <f>IF(ISBLANK(F625),MODE($F$2:$F$2001),F625)</f>
        <v>4</v>
      </c>
      <c r="H625">
        <v>757.71</v>
      </c>
      <c r="I625">
        <f>IF(ISBLANK(H625),AVERAGE($H$2:$H$2001),H625)</f>
        <v>757.71</v>
      </c>
      <c r="J625">
        <v>0.26</v>
      </c>
      <c r="K625">
        <f>IF(ISBLANK(J625),MODE($J$2:$J$2001),J625)</f>
        <v>0.26</v>
      </c>
      <c r="L625" t="s">
        <v>1829</v>
      </c>
      <c r="M625">
        <v>2242.8216000000002</v>
      </c>
      <c r="N625">
        <f t="shared" si="9"/>
        <v>2242.8216000000002</v>
      </c>
      <c r="O625" t="str">
        <f>_xlfn.XLOOKUP(Sales_fact[[#This Row],[Customer_ID]],'Customer_Dim'!A:A,'Customer_Dim'!K:K,"Not Found")</f>
        <v>Gold</v>
      </c>
      <c r="P625">
        <f>_xlfn.XLOOKUP(Sales_fact[[#This Row],[Customer_ID]],'Customer_Dim'!A:A, 'Customer_Dim'!E:E, "Not Found")</f>
        <v>39</v>
      </c>
      <c r="Q625" t="str">
        <f>VLOOKUP(Sales_fact[[#This Row],[Customer_ID]], 'Customer_Dim'!A:F, 6, FALSE)</f>
        <v>Female</v>
      </c>
      <c r="R625" s="13" t="str">
        <f>_xlfn.XLOOKUP(Sales_fact[[#This Row],[Product_ID]],Product_Dim!A:A,Product_Dim!C:C,"OTHERS")</f>
        <v>Home</v>
      </c>
    </row>
    <row r="626" spans="1:18" x14ac:dyDescent="0.3">
      <c r="A626" t="s">
        <v>2450</v>
      </c>
      <c r="B626" s="2">
        <v>45644</v>
      </c>
      <c r="C626" t="s">
        <v>221</v>
      </c>
      <c r="D626" t="s">
        <v>1736</v>
      </c>
      <c r="E626" t="str">
        <f ca="1">TRIM(Sales_fact[[#This Row],[Store_ID]])</f>
        <v>STORE4</v>
      </c>
      <c r="F626">
        <v>1</v>
      </c>
      <c r="G626">
        <f>IF(ISBLANK(F626),MODE($F$2:$F$2001),F626)</f>
        <v>1</v>
      </c>
      <c r="H626">
        <v>647.86</v>
      </c>
      <c r="I626">
        <f>IF(ISBLANK(H626),AVERAGE($H$2:$H$2001),H626)</f>
        <v>647.86</v>
      </c>
      <c r="J626">
        <v>0.05</v>
      </c>
      <c r="K626">
        <f>IF(ISBLANK(J626),MODE($J$2:$J$2001),J626)</f>
        <v>0.05</v>
      </c>
      <c r="L626" t="s">
        <v>1829</v>
      </c>
      <c r="M626">
        <v>615.46699999999998</v>
      </c>
      <c r="N626">
        <f t="shared" si="9"/>
        <v>615.46699999999998</v>
      </c>
      <c r="O626" t="str">
        <f>_xlfn.XLOOKUP(Sales_fact[[#This Row],[Customer_ID]],'Customer_Dim'!A:A,'Customer_Dim'!K:K,"Not Found")</f>
        <v>Platinum</v>
      </c>
      <c r="P626">
        <f>_xlfn.XLOOKUP(Sales_fact[[#This Row],[Customer_ID]],'Customer_Dim'!A:A, 'Customer_Dim'!E:E, "Not Found")</f>
        <v>53</v>
      </c>
      <c r="Q626" t="str">
        <f>VLOOKUP(Sales_fact[[#This Row],[Customer_ID]], 'Customer_Dim'!A:F, 6, FALSE)</f>
        <v>Male</v>
      </c>
      <c r="R626" s="13" t="str">
        <f>_xlfn.XLOOKUP(Sales_fact[[#This Row],[Product_ID]],Product_Dim!A:A,Product_Dim!C:C,"OTHERS")</f>
        <v>Beauty</v>
      </c>
    </row>
    <row r="627" spans="1:18" x14ac:dyDescent="0.3">
      <c r="A627" t="s">
        <v>2451</v>
      </c>
      <c r="B627" s="2">
        <v>45517</v>
      </c>
      <c r="C627" t="s">
        <v>461</v>
      </c>
      <c r="D627" t="s">
        <v>1572</v>
      </c>
      <c r="E627" t="str">
        <f ca="1">TRIM(Sales_fact[[#This Row],[Store_ID]])</f>
        <v>STORE6</v>
      </c>
      <c r="F627">
        <v>2</v>
      </c>
      <c r="G627">
        <f>IF(ISBLANK(F627),MODE($F$2:$F$2001),F627)</f>
        <v>2</v>
      </c>
      <c r="H627">
        <v>179.64</v>
      </c>
      <c r="I627">
        <f>IF(ISBLANK(H627),AVERAGE($H$2:$H$2001),H627)</f>
        <v>179.64</v>
      </c>
      <c r="J627">
        <v>0.1</v>
      </c>
      <c r="K627">
        <f>IF(ISBLANK(J627),MODE($J$2:$J$2001),J627)</f>
        <v>0.1</v>
      </c>
      <c r="L627" t="s">
        <v>1826</v>
      </c>
      <c r="M627">
        <v>323.35199999999998</v>
      </c>
      <c r="N627">
        <f t="shared" si="9"/>
        <v>323.35199999999998</v>
      </c>
      <c r="O627" t="str">
        <f>_xlfn.XLOOKUP(Sales_fact[[#This Row],[Customer_ID]],'Customer_Dim'!A:A,'Customer_Dim'!K:K,"Not Found")</f>
        <v>Platinum</v>
      </c>
      <c r="P627">
        <f>_xlfn.XLOOKUP(Sales_fact[[#This Row],[Customer_ID]],'Customer_Dim'!A:A, 'Customer_Dim'!E:E, "Not Found")</f>
        <v>33</v>
      </c>
      <c r="Q627" t="str">
        <f>VLOOKUP(Sales_fact[[#This Row],[Customer_ID]], 'Customer_Dim'!A:F, 6, FALSE)</f>
        <v>Female</v>
      </c>
      <c r="R627" s="13" t="str">
        <f>_xlfn.XLOOKUP(Sales_fact[[#This Row],[Product_ID]],Product_Dim!A:A,Product_Dim!C:C,"OTHERS")</f>
        <v>Beauty</v>
      </c>
    </row>
    <row r="628" spans="1:18" x14ac:dyDescent="0.3">
      <c r="A628" t="s">
        <v>2452</v>
      </c>
      <c r="B628" s="2">
        <v>45545</v>
      </c>
      <c r="C628" t="s">
        <v>1235</v>
      </c>
      <c r="D628" t="s">
        <v>1672</v>
      </c>
      <c r="E628" t="str">
        <f ca="1">TRIM(Sales_fact[[#This Row],[Store_ID]])</f>
        <v>STORE4</v>
      </c>
      <c r="F628">
        <v>3</v>
      </c>
      <c r="G628">
        <f>IF(ISBLANK(F628),MODE($F$2:$F$2001),F628)</f>
        <v>3</v>
      </c>
      <c r="H628">
        <v>392.65</v>
      </c>
      <c r="I628">
        <f>IF(ISBLANK(H628),AVERAGE($H$2:$H$2001),H628)</f>
        <v>392.65</v>
      </c>
      <c r="J628">
        <v>0.17</v>
      </c>
      <c r="K628">
        <f>IF(ISBLANK(J628),MODE($J$2:$J$2001),J628)</f>
        <v>0.17</v>
      </c>
      <c r="L628" t="s">
        <v>1826</v>
      </c>
      <c r="M628">
        <v>977.69849999999985</v>
      </c>
      <c r="N628">
        <f t="shared" si="9"/>
        <v>977.69849999999985</v>
      </c>
      <c r="O628" t="str">
        <f>_xlfn.XLOOKUP(Sales_fact[[#This Row],[Customer_ID]],'Customer_Dim'!A:A,'Customer_Dim'!K:K,"Not Found")</f>
        <v>Silver</v>
      </c>
      <c r="P628">
        <f>_xlfn.XLOOKUP(Sales_fact[[#This Row],[Customer_ID]],'Customer_Dim'!A:A, 'Customer_Dim'!E:E, "Not Found")</f>
        <v>25</v>
      </c>
      <c r="Q628" t="str">
        <f>VLOOKUP(Sales_fact[[#This Row],[Customer_ID]], 'Customer_Dim'!A:F, 6, FALSE)</f>
        <v>Female</v>
      </c>
      <c r="R628" s="13" t="str">
        <f>_xlfn.XLOOKUP(Sales_fact[[#This Row],[Product_ID]],Product_Dim!A:A,Product_Dim!C:C,"OTHERS")</f>
        <v>Electronics</v>
      </c>
    </row>
    <row r="629" spans="1:18" x14ac:dyDescent="0.3">
      <c r="A629" t="s">
        <v>2453</v>
      </c>
      <c r="B629" s="2">
        <v>45547</v>
      </c>
      <c r="C629" t="s">
        <v>582</v>
      </c>
      <c r="D629" t="s">
        <v>1730</v>
      </c>
      <c r="E629" t="str">
        <f ca="1">TRIM(Sales_fact[[#This Row],[Store_ID]])</f>
        <v>STORE16</v>
      </c>
      <c r="F629">
        <v>4</v>
      </c>
      <c r="G629">
        <f>IF(ISBLANK(F629),MODE($F$2:$F$2001),F629)</f>
        <v>4</v>
      </c>
      <c r="H629">
        <v>969.55</v>
      </c>
      <c r="I629">
        <f>IF(ISBLANK(H629),AVERAGE($H$2:$H$2001),H629)</f>
        <v>969.55</v>
      </c>
      <c r="J629">
        <v>0.09</v>
      </c>
      <c r="K629">
        <f>IF(ISBLANK(J629),MODE($J$2:$J$2001),J629)</f>
        <v>0.09</v>
      </c>
      <c r="L629" t="s">
        <v>1829</v>
      </c>
      <c r="M629">
        <v>3529.1619999999998</v>
      </c>
      <c r="N629">
        <f t="shared" si="9"/>
        <v>3529.1619999999998</v>
      </c>
      <c r="O629" t="str">
        <f>_xlfn.XLOOKUP(Sales_fact[[#This Row],[Customer_ID]],'Customer_Dim'!A:A,'Customer_Dim'!K:K,"Not Found")</f>
        <v>Silver</v>
      </c>
      <c r="P629">
        <f>_xlfn.XLOOKUP(Sales_fact[[#This Row],[Customer_ID]],'Customer_Dim'!A:A, 'Customer_Dim'!E:E, "Not Found")</f>
        <v>48</v>
      </c>
      <c r="Q629" t="str">
        <f>VLOOKUP(Sales_fact[[#This Row],[Customer_ID]], 'Customer_Dim'!A:F, 6, FALSE)</f>
        <v>Male</v>
      </c>
      <c r="R629" s="13" t="str">
        <f>_xlfn.XLOOKUP(Sales_fact[[#This Row],[Product_ID]],Product_Dim!A:A,Product_Dim!C:C,"OTHERS")</f>
        <v>Clothing</v>
      </c>
    </row>
    <row r="630" spans="1:18" x14ac:dyDescent="0.3">
      <c r="A630" t="s">
        <v>2454</v>
      </c>
      <c r="B630" s="2">
        <v>45433</v>
      </c>
      <c r="C630" t="s">
        <v>1425</v>
      </c>
      <c r="D630" t="s">
        <v>1696</v>
      </c>
      <c r="E630" t="str">
        <f ca="1">TRIM(Sales_fact[[#This Row],[Store_ID]])</f>
        <v>STORE12</v>
      </c>
      <c r="F630">
        <v>3</v>
      </c>
      <c r="G630">
        <f>IF(ISBLANK(F630),MODE($F$2:$F$2001),F630)</f>
        <v>3</v>
      </c>
      <c r="H630">
        <v>322.94</v>
      </c>
      <c r="I630">
        <f>IF(ISBLANK(H630),AVERAGE($H$2:$H$2001),H630)</f>
        <v>322.94</v>
      </c>
      <c r="J630">
        <v>0.01</v>
      </c>
      <c r="K630">
        <f>IF(ISBLANK(J630),MODE($J$2:$J$2001),J630)</f>
        <v>0.01</v>
      </c>
      <c r="L630" t="s">
        <v>1824</v>
      </c>
      <c r="M630">
        <v>959.13179999999988</v>
      </c>
      <c r="N630">
        <f t="shared" si="9"/>
        <v>959.13179999999988</v>
      </c>
      <c r="O630" t="str">
        <f>_xlfn.XLOOKUP(Sales_fact[[#This Row],[Customer_ID]],'Customer_Dim'!A:A,'Customer_Dim'!K:K,"Not Found")</f>
        <v>Silver</v>
      </c>
      <c r="P630">
        <f>_xlfn.XLOOKUP(Sales_fact[[#This Row],[Customer_ID]],'Customer_Dim'!A:A, 'Customer_Dim'!E:E, "Not Found")</f>
        <v>34</v>
      </c>
      <c r="Q630" t="str">
        <f>VLOOKUP(Sales_fact[[#This Row],[Customer_ID]], 'Customer_Dim'!A:F, 6, FALSE)</f>
        <v>Female</v>
      </c>
      <c r="R630" s="13" t="str">
        <f>_xlfn.XLOOKUP(Sales_fact[[#This Row],[Product_ID]],Product_Dim!A:A,Product_Dim!C:C,"OTHERS")</f>
        <v>Electronics</v>
      </c>
    </row>
    <row r="631" spans="1:18" x14ac:dyDescent="0.3">
      <c r="A631" t="s">
        <v>2455</v>
      </c>
      <c r="B631" s="2">
        <v>45792</v>
      </c>
      <c r="C631" t="s">
        <v>1133</v>
      </c>
      <c r="D631" t="s">
        <v>1714</v>
      </c>
      <c r="E631" t="str">
        <f ca="1">TRIM(Sales_fact[[#This Row],[Store_ID]])</f>
        <v>STORE0</v>
      </c>
      <c r="F631">
        <v>1</v>
      </c>
      <c r="G631">
        <f>IF(ISBLANK(F631),MODE($F$2:$F$2001),F631)</f>
        <v>1</v>
      </c>
      <c r="H631">
        <v>92.83</v>
      </c>
      <c r="I631">
        <f>IF(ISBLANK(H631),AVERAGE($H$2:$H$2001),H631)</f>
        <v>92.83</v>
      </c>
      <c r="J631">
        <v>0.26</v>
      </c>
      <c r="K631">
        <f>IF(ISBLANK(J631),MODE($J$2:$J$2001),J631)</f>
        <v>0.26</v>
      </c>
      <c r="L631" t="s">
        <v>1826</v>
      </c>
      <c r="M631">
        <v>68.694199999999995</v>
      </c>
      <c r="N631">
        <f t="shared" si="9"/>
        <v>68.694199999999995</v>
      </c>
      <c r="O631" t="str">
        <f>_xlfn.XLOOKUP(Sales_fact[[#This Row],[Customer_ID]],'Customer_Dim'!A:A,'Customer_Dim'!K:K,"Not Found")</f>
        <v>Gold</v>
      </c>
      <c r="P631">
        <f>_xlfn.XLOOKUP(Sales_fact[[#This Row],[Customer_ID]],'Customer_Dim'!A:A, 'Customer_Dim'!E:E, "Not Found")</f>
        <v>60</v>
      </c>
      <c r="Q631" t="str">
        <f>VLOOKUP(Sales_fact[[#This Row],[Customer_ID]], 'Customer_Dim'!A:F, 6, FALSE)</f>
        <v>Male</v>
      </c>
      <c r="R631" s="13" t="str">
        <f>_xlfn.XLOOKUP(Sales_fact[[#This Row],[Product_ID]],Product_Dim!A:A,Product_Dim!C:C,"OTHERS")</f>
        <v>Beauty</v>
      </c>
    </row>
    <row r="632" spans="1:18" x14ac:dyDescent="0.3">
      <c r="A632" t="s">
        <v>2456</v>
      </c>
      <c r="B632" s="2">
        <v>45804</v>
      </c>
      <c r="C632" t="s">
        <v>1304</v>
      </c>
      <c r="D632" t="s">
        <v>1562</v>
      </c>
      <c r="E632" t="str">
        <f ca="1">TRIM(Sales_fact[[#This Row],[Store_ID]])</f>
        <v>STORE3</v>
      </c>
      <c r="F632">
        <v>4</v>
      </c>
      <c r="G632">
        <f>IF(ISBLANK(F632),MODE($F$2:$F$2001),F632)</f>
        <v>4</v>
      </c>
      <c r="H632">
        <v>432.29</v>
      </c>
      <c r="I632">
        <f>IF(ISBLANK(H632),AVERAGE($H$2:$H$2001),H632)</f>
        <v>432.29</v>
      </c>
      <c r="J632">
        <v>0.16</v>
      </c>
      <c r="K632">
        <f>IF(ISBLANK(J632),MODE($J$2:$J$2001),J632)</f>
        <v>0.16</v>
      </c>
      <c r="L632" t="s">
        <v>1829</v>
      </c>
      <c r="M632">
        <v>1452.4944</v>
      </c>
      <c r="N632">
        <f t="shared" si="9"/>
        <v>1452.4944</v>
      </c>
      <c r="O632" t="str">
        <f>_xlfn.XLOOKUP(Sales_fact[[#This Row],[Customer_ID]],'Customer_Dim'!A:A,'Customer_Dim'!K:K,"Not Found")</f>
        <v>Bronze</v>
      </c>
      <c r="P632">
        <f>_xlfn.XLOOKUP(Sales_fact[[#This Row],[Customer_ID]],'Customer_Dim'!A:A, 'Customer_Dim'!E:E, "Not Found")</f>
        <v>60</v>
      </c>
      <c r="Q632" t="str">
        <f>VLOOKUP(Sales_fact[[#This Row],[Customer_ID]], 'Customer_Dim'!A:F, 6, FALSE)</f>
        <v>Male</v>
      </c>
      <c r="R632" s="13" t="str">
        <f>_xlfn.XLOOKUP(Sales_fact[[#This Row],[Product_ID]],Product_Dim!A:A,Product_Dim!C:C,"OTHERS")</f>
        <v>Electronics</v>
      </c>
    </row>
    <row r="633" spans="1:18" x14ac:dyDescent="0.3">
      <c r="A633" t="s">
        <v>2457</v>
      </c>
      <c r="B633" s="2">
        <v>45311</v>
      </c>
      <c r="C633" t="s">
        <v>292</v>
      </c>
      <c r="D633" t="s">
        <v>1626</v>
      </c>
      <c r="E633" t="str">
        <f ca="1">TRIM(Sales_fact[[#This Row],[Store_ID]])</f>
        <v>STORE13</v>
      </c>
      <c r="F633">
        <v>2</v>
      </c>
      <c r="G633">
        <f>IF(ISBLANK(F633),MODE($F$2:$F$2001),F633)</f>
        <v>2</v>
      </c>
      <c r="H633">
        <v>925.78</v>
      </c>
      <c r="I633">
        <f>IF(ISBLANK(H633),AVERAGE($H$2:$H$2001),H633)</f>
        <v>925.78</v>
      </c>
      <c r="J633">
        <v>0.14000000000000001</v>
      </c>
      <c r="K633">
        <f>IF(ISBLANK(J633),MODE($J$2:$J$2001),J633)</f>
        <v>0.14000000000000001</v>
      </c>
      <c r="L633" t="s">
        <v>1829</v>
      </c>
      <c r="M633">
        <v>1592.3416</v>
      </c>
      <c r="N633">
        <f t="shared" si="9"/>
        <v>1592.3416</v>
      </c>
      <c r="O633" t="str">
        <f>_xlfn.XLOOKUP(Sales_fact[[#This Row],[Customer_ID]],'Customer_Dim'!A:A,'Customer_Dim'!K:K,"Not Found")</f>
        <v>Bronze</v>
      </c>
      <c r="P633">
        <f>_xlfn.XLOOKUP(Sales_fact[[#This Row],[Customer_ID]],'Customer_Dim'!A:A, 'Customer_Dim'!E:E, "Not Found")</f>
        <v>61</v>
      </c>
      <c r="Q633" t="str">
        <f>VLOOKUP(Sales_fact[[#This Row],[Customer_ID]], 'Customer_Dim'!A:F, 6, FALSE)</f>
        <v>Female</v>
      </c>
      <c r="R633" s="13" t="str">
        <f>_xlfn.XLOOKUP(Sales_fact[[#This Row],[Product_ID]],Product_Dim!A:A,Product_Dim!C:C,"OTHERS")</f>
        <v>Electronics</v>
      </c>
    </row>
    <row r="634" spans="1:18" x14ac:dyDescent="0.3">
      <c r="A634" t="s">
        <v>2458</v>
      </c>
      <c r="B634" s="2">
        <v>45605</v>
      </c>
      <c r="C634" t="s">
        <v>1469</v>
      </c>
      <c r="D634" t="s">
        <v>1598</v>
      </c>
      <c r="E634" t="str">
        <f ca="1">TRIM(Sales_fact[[#This Row],[Store_ID]])</f>
        <v>STORE11</v>
      </c>
      <c r="F634">
        <v>2</v>
      </c>
      <c r="G634">
        <f>IF(ISBLANK(F634),MODE($F$2:$F$2001),F634)</f>
        <v>2</v>
      </c>
      <c r="H634">
        <v>151.47</v>
      </c>
      <c r="I634">
        <f>IF(ISBLANK(H634),AVERAGE($H$2:$H$2001),H634)</f>
        <v>151.47</v>
      </c>
      <c r="J634">
        <v>0.21</v>
      </c>
      <c r="K634">
        <f>IF(ISBLANK(J634),MODE($J$2:$J$2001),J634)</f>
        <v>0.21</v>
      </c>
      <c r="L634" t="s">
        <v>1826</v>
      </c>
      <c r="M634">
        <v>239.32259999999999</v>
      </c>
      <c r="N634">
        <f t="shared" si="9"/>
        <v>239.32260000000002</v>
      </c>
      <c r="O634" t="str">
        <f>_xlfn.XLOOKUP(Sales_fact[[#This Row],[Customer_ID]],'Customer_Dim'!A:A,'Customer_Dim'!K:K,"Not Found")</f>
        <v>Platinum</v>
      </c>
      <c r="P634">
        <f>_xlfn.XLOOKUP(Sales_fact[[#This Row],[Customer_ID]],'Customer_Dim'!A:A, 'Customer_Dim'!E:E, "Not Found")</f>
        <v>41</v>
      </c>
      <c r="Q634" t="str">
        <f>VLOOKUP(Sales_fact[[#This Row],[Customer_ID]], 'Customer_Dim'!A:F, 6, FALSE)</f>
        <v>Female</v>
      </c>
      <c r="R634" s="13" t="str">
        <f>_xlfn.XLOOKUP(Sales_fact[[#This Row],[Product_ID]],Product_Dim!A:A,Product_Dim!C:C,"OTHERS")</f>
        <v>Clothing</v>
      </c>
    </row>
    <row r="635" spans="1:18" x14ac:dyDescent="0.3">
      <c r="A635" t="s">
        <v>2459</v>
      </c>
      <c r="B635" s="2">
        <v>45338</v>
      </c>
      <c r="C635" t="s">
        <v>1389</v>
      </c>
      <c r="D635" t="s">
        <v>1714</v>
      </c>
      <c r="E635" t="str">
        <f ca="1">TRIM(Sales_fact[[#This Row],[Store_ID]])</f>
        <v>STORE10</v>
      </c>
      <c r="F635">
        <v>1</v>
      </c>
      <c r="G635">
        <f>IF(ISBLANK(F635),MODE($F$2:$F$2001),F635)</f>
        <v>1</v>
      </c>
      <c r="H635">
        <v>343.05</v>
      </c>
      <c r="I635">
        <f>IF(ISBLANK(H635),AVERAGE($H$2:$H$2001),H635)</f>
        <v>343.05</v>
      </c>
      <c r="J635">
        <v>0.28000000000000003</v>
      </c>
      <c r="K635">
        <f>IF(ISBLANK(J635),MODE($J$2:$J$2001),J635)</f>
        <v>0.28000000000000003</v>
      </c>
      <c r="L635" t="s">
        <v>1826</v>
      </c>
      <c r="M635">
        <v>246.99600000000001</v>
      </c>
      <c r="N635">
        <f t="shared" si="9"/>
        <v>246.99600000000001</v>
      </c>
      <c r="O635" t="str">
        <f>_xlfn.XLOOKUP(Sales_fact[[#This Row],[Customer_ID]],'Customer_Dim'!A:A,'Customer_Dim'!K:K,"Not Found")</f>
        <v>Bronze</v>
      </c>
      <c r="P635">
        <f>_xlfn.XLOOKUP(Sales_fact[[#This Row],[Customer_ID]],'Customer_Dim'!A:A, 'Customer_Dim'!E:E, "Not Found")</f>
        <v>29</v>
      </c>
      <c r="Q635" t="str">
        <f>VLOOKUP(Sales_fact[[#This Row],[Customer_ID]], 'Customer_Dim'!A:F, 6, FALSE)</f>
        <v>Male</v>
      </c>
      <c r="R635" s="13" t="str">
        <f>_xlfn.XLOOKUP(Sales_fact[[#This Row],[Product_ID]],Product_Dim!A:A,Product_Dim!C:C,"OTHERS")</f>
        <v>Beauty</v>
      </c>
    </row>
    <row r="636" spans="1:18" x14ac:dyDescent="0.3">
      <c r="A636" t="s">
        <v>2460</v>
      </c>
      <c r="B636" s="2">
        <v>45642</v>
      </c>
      <c r="C636" t="s">
        <v>244</v>
      </c>
      <c r="D636" t="s">
        <v>1582</v>
      </c>
      <c r="E636" t="str">
        <f ca="1">TRIM(Sales_fact[[#This Row],[Store_ID]])</f>
        <v>STORE4</v>
      </c>
      <c r="F636">
        <v>1</v>
      </c>
      <c r="G636">
        <f>IF(ISBLANK(F636),MODE($F$2:$F$2001),F636)</f>
        <v>1</v>
      </c>
      <c r="H636">
        <v>373.06</v>
      </c>
      <c r="I636">
        <f>IF(ISBLANK(H636),AVERAGE($H$2:$H$2001),H636)</f>
        <v>373.06</v>
      </c>
      <c r="J636">
        <v>0.11</v>
      </c>
      <c r="K636">
        <f>IF(ISBLANK(J636),MODE($J$2:$J$2001),J636)</f>
        <v>0.11</v>
      </c>
      <c r="L636" t="s">
        <v>1826</v>
      </c>
      <c r="M636">
        <v>332.02339999999998</v>
      </c>
      <c r="N636">
        <f t="shared" si="9"/>
        <v>332.02339999999998</v>
      </c>
      <c r="O636" t="str">
        <f>_xlfn.XLOOKUP(Sales_fact[[#This Row],[Customer_ID]],'Customer_Dim'!A:A,'Customer_Dim'!K:K,"Not Found")</f>
        <v>Silver</v>
      </c>
      <c r="P636">
        <f>_xlfn.XLOOKUP(Sales_fact[[#This Row],[Customer_ID]],'Customer_Dim'!A:A, 'Customer_Dim'!E:E, "Not Found")</f>
        <v>27</v>
      </c>
      <c r="Q636" t="str">
        <f>VLOOKUP(Sales_fact[[#This Row],[Customer_ID]], 'Customer_Dim'!A:F, 6, FALSE)</f>
        <v>Female</v>
      </c>
      <c r="R636" s="13" t="str">
        <f>_xlfn.XLOOKUP(Sales_fact[[#This Row],[Product_ID]],Product_Dim!A:A,Product_Dim!C:C,"OTHERS")</f>
        <v>Sports</v>
      </c>
    </row>
    <row r="637" spans="1:18" x14ac:dyDescent="0.3">
      <c r="A637" t="s">
        <v>2461</v>
      </c>
      <c r="B637" s="2">
        <v>45693</v>
      </c>
      <c r="C637" t="s">
        <v>1278</v>
      </c>
      <c r="D637" t="s">
        <v>1584</v>
      </c>
      <c r="E637" t="str">
        <f ca="1">TRIM(Sales_fact[[#This Row],[Store_ID]])</f>
        <v>STORE15</v>
      </c>
      <c r="F637">
        <v>1</v>
      </c>
      <c r="G637">
        <f>IF(ISBLANK(F637),MODE($F$2:$F$2001),F637)</f>
        <v>1</v>
      </c>
      <c r="H637">
        <v>124.98</v>
      </c>
      <c r="I637">
        <f>IF(ISBLANK(H637),AVERAGE($H$2:$H$2001),H637)</f>
        <v>124.98</v>
      </c>
      <c r="J637">
        <v>7.0000000000000007E-2</v>
      </c>
      <c r="K637">
        <f>IF(ISBLANK(J637),MODE($J$2:$J$2001),J637)</f>
        <v>7.0000000000000007E-2</v>
      </c>
      <c r="L637" t="s">
        <v>1829</v>
      </c>
      <c r="M637">
        <v>116.23139999999999</v>
      </c>
      <c r="N637">
        <f t="shared" si="9"/>
        <v>116.23139999999999</v>
      </c>
      <c r="O637" t="str">
        <f>_xlfn.XLOOKUP(Sales_fact[[#This Row],[Customer_ID]],'Customer_Dim'!A:A,'Customer_Dim'!K:K,"Not Found")</f>
        <v>Silver</v>
      </c>
      <c r="P637">
        <f>_xlfn.XLOOKUP(Sales_fact[[#This Row],[Customer_ID]],'Customer_Dim'!A:A, 'Customer_Dim'!E:E, "Not Found")</f>
        <v>63</v>
      </c>
      <c r="Q637" t="str">
        <f>VLOOKUP(Sales_fact[[#This Row],[Customer_ID]], 'Customer_Dim'!A:F, 6, FALSE)</f>
        <v>Male</v>
      </c>
      <c r="R637" s="13" t="str">
        <f>_xlfn.XLOOKUP(Sales_fact[[#This Row],[Product_ID]],Product_Dim!A:A,Product_Dim!C:C,"OTHERS")</f>
        <v>Clothing</v>
      </c>
    </row>
    <row r="638" spans="1:18" x14ac:dyDescent="0.3">
      <c r="A638" t="s">
        <v>2462</v>
      </c>
      <c r="B638" s="2">
        <v>45763</v>
      </c>
      <c r="C638" t="s">
        <v>866</v>
      </c>
      <c r="D638" t="s">
        <v>1694</v>
      </c>
      <c r="E638" t="str">
        <f ca="1">TRIM(Sales_fact[[#This Row],[Store_ID]])</f>
        <v>STORE19</v>
      </c>
      <c r="F638">
        <v>4</v>
      </c>
      <c r="G638">
        <f>IF(ISBLANK(F638),MODE($F$2:$F$2001),F638)</f>
        <v>4</v>
      </c>
      <c r="H638">
        <v>221.49</v>
      </c>
      <c r="I638">
        <f>IF(ISBLANK(H638),AVERAGE($H$2:$H$2001),H638)</f>
        <v>221.49</v>
      </c>
      <c r="J638">
        <v>0.26</v>
      </c>
      <c r="K638">
        <f>IF(ISBLANK(J638),MODE($J$2:$J$2001),J638)</f>
        <v>0.26</v>
      </c>
      <c r="L638" t="s">
        <v>1826</v>
      </c>
      <c r="M638">
        <v>655.61040000000003</v>
      </c>
      <c r="N638">
        <f t="shared" si="9"/>
        <v>655.61040000000003</v>
      </c>
      <c r="O638" t="str">
        <f>_xlfn.XLOOKUP(Sales_fact[[#This Row],[Customer_ID]],'Customer_Dim'!A:A,'Customer_Dim'!K:K,"Not Found")</f>
        <v>Gold</v>
      </c>
      <c r="P638">
        <f>_xlfn.XLOOKUP(Sales_fact[[#This Row],[Customer_ID]],'Customer_Dim'!A:A, 'Customer_Dim'!E:E, "Not Found")</f>
        <v>48</v>
      </c>
      <c r="Q638" t="str">
        <f>VLOOKUP(Sales_fact[[#This Row],[Customer_ID]], 'Customer_Dim'!A:F, 6, FALSE)</f>
        <v>Female</v>
      </c>
      <c r="R638" s="13" t="str">
        <f>_xlfn.XLOOKUP(Sales_fact[[#This Row],[Product_ID]],Product_Dim!A:A,Product_Dim!C:C,"OTHERS")</f>
        <v>Sports</v>
      </c>
    </row>
    <row r="639" spans="1:18" x14ac:dyDescent="0.3">
      <c r="A639" t="s">
        <v>2463</v>
      </c>
      <c r="B639" s="2">
        <v>45572</v>
      </c>
      <c r="C639" t="s">
        <v>565</v>
      </c>
      <c r="D639" t="s">
        <v>1594</v>
      </c>
      <c r="E639" t="str">
        <f ca="1">TRIM(Sales_fact[[#This Row],[Store_ID]])</f>
        <v>STORE15</v>
      </c>
      <c r="F639">
        <v>1</v>
      </c>
      <c r="G639">
        <f>IF(ISBLANK(F639),MODE($F$2:$F$2001),F639)</f>
        <v>1</v>
      </c>
      <c r="H639">
        <v>563.32000000000005</v>
      </c>
      <c r="I639">
        <f>IF(ISBLANK(H639),AVERAGE($H$2:$H$2001),H639)</f>
        <v>563.32000000000005</v>
      </c>
      <c r="J639">
        <v>0.01</v>
      </c>
      <c r="K639">
        <f>IF(ISBLANK(J639),MODE($J$2:$J$2001),J639)</f>
        <v>0.01</v>
      </c>
      <c r="L639" t="s">
        <v>1826</v>
      </c>
      <c r="M639">
        <v>557.68680000000006</v>
      </c>
      <c r="N639">
        <f t="shared" si="9"/>
        <v>557.68680000000006</v>
      </c>
      <c r="O639" t="str">
        <f>_xlfn.XLOOKUP(Sales_fact[[#This Row],[Customer_ID]],'Customer_Dim'!A:A,'Customer_Dim'!K:K,"Not Found")</f>
        <v>Gold</v>
      </c>
      <c r="P639">
        <f>_xlfn.XLOOKUP(Sales_fact[[#This Row],[Customer_ID]],'Customer_Dim'!A:A, 'Customer_Dim'!E:E, "Not Found")</f>
        <v>18</v>
      </c>
      <c r="Q639" t="str">
        <f>VLOOKUP(Sales_fact[[#This Row],[Customer_ID]], 'Customer_Dim'!A:F, 6, FALSE)</f>
        <v>Male</v>
      </c>
      <c r="R639" s="13" t="str">
        <f>_xlfn.XLOOKUP(Sales_fact[[#This Row],[Product_ID]],Product_Dim!A:A,Product_Dim!C:C,"OTHERS")</f>
        <v>Clothing</v>
      </c>
    </row>
    <row r="640" spans="1:18" x14ac:dyDescent="0.3">
      <c r="A640" t="s">
        <v>2464</v>
      </c>
      <c r="B640" s="2">
        <v>45338</v>
      </c>
      <c r="C640" t="s">
        <v>1217</v>
      </c>
      <c r="D640" t="s">
        <v>1570</v>
      </c>
      <c r="E640" t="str">
        <f ca="1">TRIM(Sales_fact[[#This Row],[Store_ID]])</f>
        <v>STORE0</v>
      </c>
      <c r="F640">
        <v>1</v>
      </c>
      <c r="G640">
        <f>IF(ISBLANK(F640),MODE($F$2:$F$2001),F640)</f>
        <v>1</v>
      </c>
      <c r="H640">
        <v>362.93</v>
      </c>
      <c r="I640">
        <f>IF(ISBLANK(H640),AVERAGE($H$2:$H$2001),H640)</f>
        <v>362.93</v>
      </c>
      <c r="J640">
        <v>0.27</v>
      </c>
      <c r="K640">
        <f>IF(ISBLANK(J640),MODE($J$2:$J$2001),J640)</f>
        <v>0.27</v>
      </c>
      <c r="L640" t="s">
        <v>1824</v>
      </c>
      <c r="M640">
        <v>264.93889999999999</v>
      </c>
      <c r="N640">
        <f t="shared" si="9"/>
        <v>264.93889999999999</v>
      </c>
      <c r="O640" t="str">
        <f>_xlfn.XLOOKUP(Sales_fact[[#This Row],[Customer_ID]],'Customer_Dim'!A:A,'Customer_Dim'!K:K,"Not Found")</f>
        <v>Silver</v>
      </c>
      <c r="P640">
        <f>_xlfn.XLOOKUP(Sales_fact[[#This Row],[Customer_ID]],'Customer_Dim'!A:A, 'Customer_Dim'!E:E, "Not Found")</f>
        <v>56</v>
      </c>
      <c r="Q640" t="str">
        <f>VLOOKUP(Sales_fact[[#This Row],[Customer_ID]], 'Customer_Dim'!A:F, 6, FALSE)</f>
        <v>Male</v>
      </c>
      <c r="R640" s="13" t="str">
        <f>_xlfn.XLOOKUP(Sales_fact[[#This Row],[Product_ID]],Product_Dim!A:A,Product_Dim!C:C,"OTHERS")</f>
        <v>Electronics</v>
      </c>
    </row>
    <row r="641" spans="1:18" x14ac:dyDescent="0.3">
      <c r="A641" t="s">
        <v>2465</v>
      </c>
      <c r="B641" s="2">
        <v>45373</v>
      </c>
      <c r="C641" t="s">
        <v>1056</v>
      </c>
      <c r="D641" t="s">
        <v>1570</v>
      </c>
      <c r="E641" t="str">
        <f ca="1">TRIM(Sales_fact[[#This Row],[Store_ID]])</f>
        <v>STORE15</v>
      </c>
      <c r="F641">
        <v>4</v>
      </c>
      <c r="G641">
        <f>IF(ISBLANK(F641),MODE($F$2:$F$2001),F641)</f>
        <v>4</v>
      </c>
      <c r="H641">
        <v>369.22</v>
      </c>
      <c r="I641">
        <f>IF(ISBLANK(H641),AVERAGE($H$2:$H$2001),H641)</f>
        <v>369.22</v>
      </c>
      <c r="J641">
        <v>0.18</v>
      </c>
      <c r="K641">
        <f>IF(ISBLANK(J641),MODE($J$2:$J$2001),J641)</f>
        <v>0.18</v>
      </c>
      <c r="L641" t="s">
        <v>1829</v>
      </c>
      <c r="M641">
        <v>1211.0416</v>
      </c>
      <c r="N641">
        <f t="shared" si="9"/>
        <v>1211.0416000000002</v>
      </c>
      <c r="O641" t="str">
        <f>_xlfn.XLOOKUP(Sales_fact[[#This Row],[Customer_ID]],'Customer_Dim'!A:A,'Customer_Dim'!K:K,"Not Found")</f>
        <v>Silver</v>
      </c>
      <c r="P641">
        <f>_xlfn.XLOOKUP(Sales_fact[[#This Row],[Customer_ID]],'Customer_Dim'!A:A, 'Customer_Dim'!E:E, "Not Found")</f>
        <v>58</v>
      </c>
      <c r="Q641" t="str">
        <f>VLOOKUP(Sales_fact[[#This Row],[Customer_ID]], 'Customer_Dim'!A:F, 6, FALSE)</f>
        <v>Female</v>
      </c>
      <c r="R641" s="13" t="str">
        <f>_xlfn.XLOOKUP(Sales_fact[[#This Row],[Product_ID]],Product_Dim!A:A,Product_Dim!C:C,"OTHERS")</f>
        <v>Electronics</v>
      </c>
    </row>
    <row r="642" spans="1:18" x14ac:dyDescent="0.3">
      <c r="A642" t="s">
        <v>2466</v>
      </c>
      <c r="B642" s="2">
        <v>45590</v>
      </c>
      <c r="C642" t="s">
        <v>1275</v>
      </c>
      <c r="D642" t="s">
        <v>1740</v>
      </c>
      <c r="E642" t="str">
        <f ca="1">TRIM(Sales_fact[[#This Row],[Store_ID]])</f>
        <v>STORE14</v>
      </c>
      <c r="F642">
        <v>3</v>
      </c>
      <c r="G642">
        <f>IF(ISBLANK(F642),MODE($F$2:$F$2001),F642)</f>
        <v>3</v>
      </c>
      <c r="H642">
        <v>950.83</v>
      </c>
      <c r="I642">
        <f>IF(ISBLANK(H642),AVERAGE($H$2:$H$2001),H642)</f>
        <v>950.83</v>
      </c>
      <c r="J642">
        <v>0.06</v>
      </c>
      <c r="K642">
        <f>IF(ISBLANK(J642),MODE($J$2:$J$2001),J642)</f>
        <v>0.06</v>
      </c>
      <c r="L642" t="s">
        <v>1826</v>
      </c>
      <c r="M642">
        <v>2681.3406</v>
      </c>
      <c r="N642">
        <f t="shared" si="9"/>
        <v>2681.3406</v>
      </c>
      <c r="O642" t="str">
        <f>_xlfn.XLOOKUP(Sales_fact[[#This Row],[Customer_ID]],'Customer_Dim'!A:A,'Customer_Dim'!K:K,"Not Found")</f>
        <v>Bronze</v>
      </c>
      <c r="P642">
        <f>_xlfn.XLOOKUP(Sales_fact[[#This Row],[Customer_ID]],'Customer_Dim'!A:A, 'Customer_Dim'!E:E, "Not Found")</f>
        <v>48</v>
      </c>
      <c r="Q642" t="str">
        <f>VLOOKUP(Sales_fact[[#This Row],[Customer_ID]], 'Customer_Dim'!A:F, 6, FALSE)</f>
        <v>Female</v>
      </c>
      <c r="R642" s="13" t="str">
        <f>_xlfn.XLOOKUP(Sales_fact[[#This Row],[Product_ID]],Product_Dim!A:A,Product_Dim!C:C,"OTHERS")</f>
        <v>Clothing</v>
      </c>
    </row>
    <row r="643" spans="1:18" x14ac:dyDescent="0.3">
      <c r="A643" t="s">
        <v>2467</v>
      </c>
      <c r="B643" s="2">
        <v>45365</v>
      </c>
      <c r="C643" t="s">
        <v>484</v>
      </c>
      <c r="D643" t="s">
        <v>1622</v>
      </c>
      <c r="E643" t="str">
        <f ca="1">TRIM(Sales_fact[[#This Row],[Store_ID]])</f>
        <v>STORE13</v>
      </c>
      <c r="F643">
        <v>3</v>
      </c>
      <c r="G643">
        <f>IF(ISBLANK(F643),MODE($F$2:$F$2001),F643)</f>
        <v>3</v>
      </c>
      <c r="H643">
        <v>338.79</v>
      </c>
      <c r="I643">
        <f>IF(ISBLANK(H643),AVERAGE($H$2:$H$2001),H643)</f>
        <v>338.79</v>
      </c>
      <c r="J643">
        <v>0.01</v>
      </c>
      <c r="K643">
        <f>IF(ISBLANK(J643),MODE($J$2:$J$2001),J643)</f>
        <v>0.01</v>
      </c>
      <c r="L643" t="s">
        <v>1824</v>
      </c>
      <c r="M643">
        <v>1006.2063000000001</v>
      </c>
      <c r="N643">
        <f t="shared" ref="N643:N706" si="10">G643*I643*(1-K643)</f>
        <v>1006.2063000000001</v>
      </c>
      <c r="O643" t="str">
        <f>_xlfn.XLOOKUP(Sales_fact[[#This Row],[Customer_ID]],'Customer_Dim'!A:A,'Customer_Dim'!K:K,"Not Found")</f>
        <v>Bronze</v>
      </c>
      <c r="P643">
        <f>_xlfn.XLOOKUP(Sales_fact[[#This Row],[Customer_ID]],'Customer_Dim'!A:A, 'Customer_Dim'!E:E, "Not Found")</f>
        <v>46</v>
      </c>
      <c r="Q643" t="str">
        <f>VLOOKUP(Sales_fact[[#This Row],[Customer_ID]], 'Customer_Dim'!A:F, 6, FALSE)</f>
        <v>Male</v>
      </c>
      <c r="R643" s="13" t="str">
        <f>_xlfn.XLOOKUP(Sales_fact[[#This Row],[Product_ID]],Product_Dim!A:A,Product_Dim!C:C,"OTHERS")</f>
        <v>Clothing</v>
      </c>
    </row>
    <row r="644" spans="1:18" x14ac:dyDescent="0.3">
      <c r="A644" t="s">
        <v>2468</v>
      </c>
      <c r="B644" s="2">
        <v>45711</v>
      </c>
      <c r="C644" t="s">
        <v>493</v>
      </c>
      <c r="D644" t="s">
        <v>1728</v>
      </c>
      <c r="E644" t="str">
        <f ca="1">TRIM(Sales_fact[[#This Row],[Store_ID]])</f>
        <v>STORE1</v>
      </c>
      <c r="F644">
        <v>3</v>
      </c>
      <c r="G644">
        <f>IF(ISBLANK(F644),MODE($F$2:$F$2001),F644)</f>
        <v>3</v>
      </c>
      <c r="H644">
        <v>853.32</v>
      </c>
      <c r="I644">
        <f>IF(ISBLANK(H644),AVERAGE($H$2:$H$2001),H644)</f>
        <v>853.32</v>
      </c>
      <c r="J644">
        <v>7.0000000000000007E-2</v>
      </c>
      <c r="K644">
        <f>IF(ISBLANK(J644),MODE($J$2:$J$2001),J644)</f>
        <v>7.0000000000000007E-2</v>
      </c>
      <c r="L644" t="s">
        <v>1829</v>
      </c>
      <c r="M644">
        <v>2380.7628</v>
      </c>
      <c r="N644">
        <f t="shared" si="10"/>
        <v>2380.7628</v>
      </c>
      <c r="O644" t="str">
        <f>_xlfn.XLOOKUP(Sales_fact[[#This Row],[Customer_ID]],'Customer_Dim'!A:A,'Customer_Dim'!K:K,"Not Found")</f>
        <v>Gold</v>
      </c>
      <c r="P644">
        <f>_xlfn.XLOOKUP(Sales_fact[[#This Row],[Customer_ID]],'Customer_Dim'!A:A, 'Customer_Dim'!E:E, "Not Found")</f>
        <v>32</v>
      </c>
      <c r="Q644" t="str">
        <f>VLOOKUP(Sales_fact[[#This Row],[Customer_ID]], 'Customer_Dim'!A:F, 6, FALSE)</f>
        <v>Female</v>
      </c>
      <c r="R644" s="13" t="str">
        <f>_xlfn.XLOOKUP(Sales_fact[[#This Row],[Product_ID]],Product_Dim!A:A,Product_Dim!C:C,"OTHERS")</f>
        <v>Electronics</v>
      </c>
    </row>
    <row r="645" spans="1:18" x14ac:dyDescent="0.3">
      <c r="A645" t="s">
        <v>2469</v>
      </c>
      <c r="B645" s="2">
        <v>45586</v>
      </c>
      <c r="C645" t="s">
        <v>502</v>
      </c>
      <c r="D645" t="s">
        <v>1700</v>
      </c>
      <c r="E645" t="str">
        <f ca="1">TRIM(Sales_fact[[#This Row],[Store_ID]])</f>
        <v>STORE6</v>
      </c>
      <c r="F645">
        <v>3</v>
      </c>
      <c r="G645">
        <f>IF(ISBLANK(F645),MODE($F$2:$F$2001),F645)</f>
        <v>3</v>
      </c>
      <c r="H645">
        <v>89.78</v>
      </c>
      <c r="I645">
        <f>IF(ISBLANK(H645),AVERAGE($H$2:$H$2001),H645)</f>
        <v>89.78</v>
      </c>
      <c r="J645">
        <v>0.2</v>
      </c>
      <c r="K645">
        <f>IF(ISBLANK(J645),MODE($J$2:$J$2001),J645)</f>
        <v>0.2</v>
      </c>
      <c r="L645" t="s">
        <v>1829</v>
      </c>
      <c r="M645">
        <v>215.47200000000001</v>
      </c>
      <c r="N645">
        <f t="shared" si="10"/>
        <v>215.47200000000004</v>
      </c>
      <c r="O645" t="str">
        <f>_xlfn.XLOOKUP(Sales_fact[[#This Row],[Customer_ID]],'Customer_Dim'!A:A,'Customer_Dim'!K:K,"Not Found")</f>
        <v>Platinum</v>
      </c>
      <c r="P645">
        <f>_xlfn.XLOOKUP(Sales_fact[[#This Row],[Customer_ID]],'Customer_Dim'!A:A, 'Customer_Dim'!E:E, "Not Found")</f>
        <v>33</v>
      </c>
      <c r="Q645" t="str">
        <f>VLOOKUP(Sales_fact[[#This Row],[Customer_ID]], 'Customer_Dim'!A:F, 6, FALSE)</f>
        <v>Male</v>
      </c>
      <c r="R645" s="13" t="str">
        <f>_xlfn.XLOOKUP(Sales_fact[[#This Row],[Product_ID]],Product_Dim!A:A,Product_Dim!C:C,"OTHERS")</f>
        <v>Electronics</v>
      </c>
    </row>
    <row r="646" spans="1:18" x14ac:dyDescent="0.3">
      <c r="A646" t="s">
        <v>2470</v>
      </c>
      <c r="B646" s="2">
        <v>45334</v>
      </c>
      <c r="C646" t="s">
        <v>628</v>
      </c>
      <c r="D646" t="s">
        <v>1658</v>
      </c>
      <c r="E646" t="str">
        <f ca="1">TRIM(Sales_fact[[#This Row],[Store_ID]])</f>
        <v>STORE1</v>
      </c>
      <c r="F646">
        <v>1</v>
      </c>
      <c r="G646">
        <f>IF(ISBLANK(F646),MODE($F$2:$F$2001),F646)</f>
        <v>1</v>
      </c>
      <c r="H646">
        <v>172.04</v>
      </c>
      <c r="I646">
        <f>IF(ISBLANK(H646),AVERAGE($H$2:$H$2001),H646)</f>
        <v>172.04</v>
      </c>
      <c r="J646">
        <v>0.04</v>
      </c>
      <c r="K646">
        <f>IF(ISBLANK(J646),MODE($J$2:$J$2001),J646)</f>
        <v>0.04</v>
      </c>
      <c r="L646" t="s">
        <v>1826</v>
      </c>
      <c r="M646">
        <v>165.1584</v>
      </c>
      <c r="N646">
        <f t="shared" si="10"/>
        <v>165.1584</v>
      </c>
      <c r="O646" t="str">
        <f>_xlfn.XLOOKUP(Sales_fact[[#This Row],[Customer_ID]],'Customer_Dim'!A:A,'Customer_Dim'!K:K,"Not Found")</f>
        <v>Bronze</v>
      </c>
      <c r="P646">
        <f>_xlfn.XLOOKUP(Sales_fact[[#This Row],[Customer_ID]],'Customer_Dim'!A:A, 'Customer_Dim'!E:E, "Not Found")</f>
        <v>29</v>
      </c>
      <c r="Q646" t="str">
        <f>VLOOKUP(Sales_fact[[#This Row],[Customer_ID]], 'Customer_Dim'!A:F, 6, FALSE)</f>
        <v>Female</v>
      </c>
      <c r="R646" s="13" t="str">
        <f>_xlfn.XLOOKUP(Sales_fact[[#This Row],[Product_ID]],Product_Dim!A:A,Product_Dim!C:C,"OTHERS")</f>
        <v>Home</v>
      </c>
    </row>
    <row r="647" spans="1:18" x14ac:dyDescent="0.3">
      <c r="A647" t="s">
        <v>2471</v>
      </c>
      <c r="B647" s="2">
        <v>45333</v>
      </c>
      <c r="C647" t="s">
        <v>1440</v>
      </c>
      <c r="D647" t="s">
        <v>1656</v>
      </c>
      <c r="E647" t="str">
        <f ca="1">TRIM(Sales_fact[[#This Row],[Store_ID]])</f>
        <v>STORE1</v>
      </c>
      <c r="F647">
        <v>1</v>
      </c>
      <c r="G647">
        <f>IF(ISBLANK(F647),MODE($F$2:$F$2001),F647)</f>
        <v>1</v>
      </c>
      <c r="H647">
        <v>389.2</v>
      </c>
      <c r="I647">
        <f>IF(ISBLANK(H647),AVERAGE($H$2:$H$2001),H647)</f>
        <v>389.2</v>
      </c>
      <c r="J647">
        <v>0.05</v>
      </c>
      <c r="K647">
        <f>IF(ISBLANK(J647),MODE($J$2:$J$2001),J647)</f>
        <v>0.05</v>
      </c>
      <c r="L647" t="s">
        <v>1824</v>
      </c>
      <c r="M647">
        <v>369.74</v>
      </c>
      <c r="N647">
        <f t="shared" si="10"/>
        <v>369.73999999999995</v>
      </c>
      <c r="O647" t="str">
        <f>_xlfn.XLOOKUP(Sales_fact[[#This Row],[Customer_ID]],'Customer_Dim'!A:A,'Customer_Dim'!K:K,"Not Found")</f>
        <v>Gold</v>
      </c>
      <c r="P647">
        <f>_xlfn.XLOOKUP(Sales_fact[[#This Row],[Customer_ID]],'Customer_Dim'!A:A, 'Customer_Dim'!E:E, "Not Found")</f>
        <v>63</v>
      </c>
      <c r="Q647" t="str">
        <f>VLOOKUP(Sales_fact[[#This Row],[Customer_ID]], 'Customer_Dim'!A:F, 6, FALSE)</f>
        <v>Female</v>
      </c>
      <c r="R647" s="13" t="str">
        <f>_xlfn.XLOOKUP(Sales_fact[[#This Row],[Product_ID]],Product_Dim!A:A,Product_Dim!C:C,"OTHERS")</f>
        <v>Sports</v>
      </c>
    </row>
    <row r="648" spans="1:18" x14ac:dyDescent="0.3">
      <c r="A648" t="s">
        <v>2472</v>
      </c>
      <c r="B648" s="2">
        <v>45778</v>
      </c>
      <c r="C648" t="s">
        <v>1422</v>
      </c>
      <c r="D648" t="s">
        <v>1702</v>
      </c>
      <c r="E648" t="str">
        <f ca="1">TRIM(Sales_fact[[#This Row],[Store_ID]])</f>
        <v>STORE13</v>
      </c>
      <c r="F648">
        <v>3</v>
      </c>
      <c r="G648">
        <f>IF(ISBLANK(F648),MODE($F$2:$F$2001),F648)</f>
        <v>3</v>
      </c>
      <c r="H648">
        <v>865.96</v>
      </c>
      <c r="I648">
        <f>IF(ISBLANK(H648),AVERAGE($H$2:$H$2001),H648)</f>
        <v>865.96</v>
      </c>
      <c r="J648">
        <v>0.12</v>
      </c>
      <c r="K648">
        <f>IF(ISBLANK(J648),MODE($J$2:$J$2001),J648)</f>
        <v>0.12</v>
      </c>
      <c r="L648" t="s">
        <v>1826</v>
      </c>
      <c r="M648">
        <v>2286.1343999999999</v>
      </c>
      <c r="N648">
        <f t="shared" si="10"/>
        <v>2286.1343999999999</v>
      </c>
      <c r="O648" t="str">
        <f>_xlfn.XLOOKUP(Sales_fact[[#This Row],[Customer_ID]],'Customer_Dim'!A:A,'Customer_Dim'!K:K,"Not Found")</f>
        <v>Silver</v>
      </c>
      <c r="P648">
        <f>_xlfn.XLOOKUP(Sales_fact[[#This Row],[Customer_ID]],'Customer_Dim'!A:A, 'Customer_Dim'!E:E, "Not Found")</f>
        <v>60</v>
      </c>
      <c r="Q648" t="str">
        <f>VLOOKUP(Sales_fact[[#This Row],[Customer_ID]], 'Customer_Dim'!A:F, 6, FALSE)</f>
        <v>Female</v>
      </c>
      <c r="R648" s="13" t="str">
        <f>_xlfn.XLOOKUP(Sales_fact[[#This Row],[Product_ID]],Product_Dim!A:A,Product_Dim!C:C,"OTHERS")</f>
        <v>Electronics</v>
      </c>
    </row>
    <row r="649" spans="1:18" x14ac:dyDescent="0.3">
      <c r="A649" t="s">
        <v>2473</v>
      </c>
      <c r="B649" s="2">
        <v>45592</v>
      </c>
      <c r="C649" t="s">
        <v>562</v>
      </c>
      <c r="D649" t="s">
        <v>1586</v>
      </c>
      <c r="E649" t="str">
        <f ca="1">TRIM(Sales_fact[[#This Row],[Store_ID]])</f>
        <v>STORE1</v>
      </c>
      <c r="F649">
        <v>3</v>
      </c>
      <c r="G649">
        <f>IF(ISBLANK(F649),MODE($F$2:$F$2001),F649)</f>
        <v>3</v>
      </c>
      <c r="H649">
        <v>79.95</v>
      </c>
      <c r="I649">
        <f>IF(ISBLANK(H649),AVERAGE($H$2:$H$2001),H649)</f>
        <v>79.95</v>
      </c>
      <c r="J649">
        <v>0.2</v>
      </c>
      <c r="K649">
        <f>IF(ISBLANK(J649),MODE($J$2:$J$2001),J649)</f>
        <v>0.2</v>
      </c>
      <c r="L649" t="s">
        <v>1829</v>
      </c>
      <c r="M649">
        <v>191.88</v>
      </c>
      <c r="N649">
        <f t="shared" si="10"/>
        <v>191.88000000000002</v>
      </c>
      <c r="O649" t="str">
        <f>_xlfn.XLOOKUP(Sales_fact[[#This Row],[Customer_ID]],'Customer_Dim'!A:A,'Customer_Dim'!K:K,"Not Found")</f>
        <v>Bronze</v>
      </c>
      <c r="P649">
        <f>_xlfn.XLOOKUP(Sales_fact[[#This Row],[Customer_ID]],'Customer_Dim'!A:A, 'Customer_Dim'!E:E, "Not Found")</f>
        <v>64</v>
      </c>
      <c r="Q649" t="str">
        <f>VLOOKUP(Sales_fact[[#This Row],[Customer_ID]], 'Customer_Dim'!A:F, 6, FALSE)</f>
        <v>Male</v>
      </c>
      <c r="R649" s="13" t="str">
        <f>_xlfn.XLOOKUP(Sales_fact[[#This Row],[Product_ID]],Product_Dim!A:A,Product_Dim!C:C,"OTHERS")</f>
        <v>Sports</v>
      </c>
    </row>
    <row r="650" spans="1:18" x14ac:dyDescent="0.3">
      <c r="A650" t="s">
        <v>2474</v>
      </c>
      <c r="B650" s="2">
        <v>45259</v>
      </c>
      <c r="C650" t="s">
        <v>1190</v>
      </c>
      <c r="D650" t="s">
        <v>1600</v>
      </c>
      <c r="E650" t="str">
        <f ca="1">TRIM(Sales_fact[[#This Row],[Store_ID]])</f>
        <v>STORE7</v>
      </c>
      <c r="F650">
        <v>1</v>
      </c>
      <c r="G650">
        <f>IF(ISBLANK(F650),MODE($F$2:$F$2001),F650)</f>
        <v>1</v>
      </c>
      <c r="H650">
        <v>566.5</v>
      </c>
      <c r="I650">
        <f>IF(ISBLANK(H650),AVERAGE($H$2:$H$2001),H650)</f>
        <v>566.5</v>
      </c>
      <c r="J650">
        <v>0.25</v>
      </c>
      <c r="K650">
        <f>IF(ISBLANK(J650),MODE($J$2:$J$2001),J650)</f>
        <v>0.25</v>
      </c>
      <c r="L650" t="s">
        <v>1829</v>
      </c>
      <c r="M650">
        <v>424.875</v>
      </c>
      <c r="N650">
        <f t="shared" si="10"/>
        <v>424.875</v>
      </c>
      <c r="O650" t="str">
        <f>_xlfn.XLOOKUP(Sales_fact[[#This Row],[Customer_ID]],'Customer_Dim'!A:A,'Customer_Dim'!K:K,"Not Found")</f>
        <v>Silver</v>
      </c>
      <c r="P650">
        <f>_xlfn.XLOOKUP(Sales_fact[[#This Row],[Customer_ID]],'Customer_Dim'!A:A, 'Customer_Dim'!E:E, "Not Found")</f>
        <v>50</v>
      </c>
      <c r="Q650" t="str">
        <f>VLOOKUP(Sales_fact[[#This Row],[Customer_ID]], 'Customer_Dim'!A:F, 6, FALSE)</f>
        <v>Male</v>
      </c>
      <c r="R650" s="13" t="str">
        <f>_xlfn.XLOOKUP(Sales_fact[[#This Row],[Product_ID]],Product_Dim!A:A,Product_Dim!C:C,"OTHERS")</f>
        <v>Electronics</v>
      </c>
    </row>
    <row r="651" spans="1:18" x14ac:dyDescent="0.3">
      <c r="A651" t="s">
        <v>2475</v>
      </c>
      <c r="B651" s="2">
        <v>45801</v>
      </c>
      <c r="C651" t="s">
        <v>1252</v>
      </c>
      <c r="D651" t="s">
        <v>1590</v>
      </c>
      <c r="E651" t="str">
        <f ca="1">TRIM(Sales_fact[[#This Row],[Store_ID]])</f>
        <v>STORE0</v>
      </c>
      <c r="F651">
        <v>2</v>
      </c>
      <c r="G651">
        <f>IF(ISBLANK(F651),MODE($F$2:$F$2001),F651)</f>
        <v>2</v>
      </c>
      <c r="H651">
        <v>347.95</v>
      </c>
      <c r="I651">
        <f>IF(ISBLANK(H651),AVERAGE($H$2:$H$2001),H651)</f>
        <v>347.95</v>
      </c>
      <c r="J651">
        <v>0.13</v>
      </c>
      <c r="K651">
        <f>IF(ISBLANK(J651),MODE($J$2:$J$2001),J651)</f>
        <v>0.13</v>
      </c>
      <c r="L651" t="s">
        <v>1829</v>
      </c>
      <c r="M651">
        <v>605.43299999999999</v>
      </c>
      <c r="N651">
        <f t="shared" si="10"/>
        <v>605.43299999999999</v>
      </c>
      <c r="O651" t="str">
        <f>_xlfn.XLOOKUP(Sales_fact[[#This Row],[Customer_ID]],'Customer_Dim'!A:A,'Customer_Dim'!K:K,"Not Found")</f>
        <v>Bronze</v>
      </c>
      <c r="P651">
        <f>_xlfn.XLOOKUP(Sales_fact[[#This Row],[Customer_ID]],'Customer_Dim'!A:A, 'Customer_Dim'!E:E, "Not Found")</f>
        <v>31</v>
      </c>
      <c r="Q651" t="str">
        <f>VLOOKUP(Sales_fact[[#This Row],[Customer_ID]], 'Customer_Dim'!A:F, 6, FALSE)</f>
        <v>Male</v>
      </c>
      <c r="R651" s="13" t="str">
        <f>_xlfn.XLOOKUP(Sales_fact[[#This Row],[Product_ID]],Product_Dim!A:A,Product_Dim!C:C,"OTHERS")</f>
        <v>Home</v>
      </c>
    </row>
    <row r="652" spans="1:18" x14ac:dyDescent="0.3">
      <c r="A652" t="s">
        <v>2476</v>
      </c>
      <c r="B652" s="2">
        <v>45347</v>
      </c>
      <c r="C652" t="s">
        <v>681</v>
      </c>
      <c r="D652" t="s">
        <v>1664</v>
      </c>
      <c r="E652" t="str">
        <f ca="1">TRIM(Sales_fact[[#This Row],[Store_ID]])</f>
        <v>STORE3</v>
      </c>
      <c r="F652">
        <v>2</v>
      </c>
      <c r="G652">
        <f>IF(ISBLANK(F652),MODE($F$2:$F$2001),F652)</f>
        <v>2</v>
      </c>
      <c r="H652">
        <v>250.83</v>
      </c>
      <c r="I652">
        <f>IF(ISBLANK(H652),AVERAGE($H$2:$H$2001),H652)</f>
        <v>250.83</v>
      </c>
      <c r="J652">
        <v>0.15</v>
      </c>
      <c r="K652">
        <f>IF(ISBLANK(J652),MODE($J$2:$J$2001),J652)</f>
        <v>0.15</v>
      </c>
      <c r="L652" t="s">
        <v>1826</v>
      </c>
      <c r="M652">
        <v>426.411</v>
      </c>
      <c r="N652">
        <f t="shared" si="10"/>
        <v>426.411</v>
      </c>
      <c r="O652" t="str">
        <f>_xlfn.XLOOKUP(Sales_fact[[#This Row],[Customer_ID]],'Customer_Dim'!A:A,'Customer_Dim'!K:K,"Not Found")</f>
        <v>Platinum</v>
      </c>
      <c r="P652">
        <f>_xlfn.XLOOKUP(Sales_fact[[#This Row],[Customer_ID]],'Customer_Dim'!A:A, 'Customer_Dim'!E:E, "Not Found")</f>
        <v>50</v>
      </c>
      <c r="Q652" t="str">
        <f>VLOOKUP(Sales_fact[[#This Row],[Customer_ID]], 'Customer_Dim'!A:F, 6, FALSE)</f>
        <v>Female</v>
      </c>
      <c r="R652" s="13" t="str">
        <f>_xlfn.XLOOKUP(Sales_fact[[#This Row],[Product_ID]],Product_Dim!A:A,Product_Dim!C:C,"OTHERS")</f>
        <v>Clothing</v>
      </c>
    </row>
    <row r="653" spans="1:18" x14ac:dyDescent="0.3">
      <c r="A653" t="s">
        <v>2477</v>
      </c>
      <c r="B653" s="2">
        <v>45721</v>
      </c>
      <c r="C653" t="s">
        <v>502</v>
      </c>
      <c r="D653" t="s">
        <v>1690</v>
      </c>
      <c r="E653" t="str">
        <f ca="1">TRIM(Sales_fact[[#This Row],[Store_ID]])</f>
        <v>STORE1</v>
      </c>
      <c r="F653">
        <v>1</v>
      </c>
      <c r="G653">
        <f>IF(ISBLANK(F653),MODE($F$2:$F$2001),F653)</f>
        <v>1</v>
      </c>
      <c r="H653">
        <v>888.05</v>
      </c>
      <c r="I653">
        <f>IF(ISBLANK(H653),AVERAGE($H$2:$H$2001),H653)</f>
        <v>888.05</v>
      </c>
      <c r="J653">
        <v>0.2</v>
      </c>
      <c r="K653">
        <f>IF(ISBLANK(J653),MODE($J$2:$J$2001),J653)</f>
        <v>0.2</v>
      </c>
      <c r="L653" t="s">
        <v>1826</v>
      </c>
      <c r="M653">
        <v>710.44</v>
      </c>
      <c r="N653">
        <f t="shared" si="10"/>
        <v>710.44</v>
      </c>
      <c r="O653" t="str">
        <f>_xlfn.XLOOKUP(Sales_fact[[#This Row],[Customer_ID]],'Customer_Dim'!A:A,'Customer_Dim'!K:K,"Not Found")</f>
        <v>Platinum</v>
      </c>
      <c r="P653">
        <f>_xlfn.XLOOKUP(Sales_fact[[#This Row],[Customer_ID]],'Customer_Dim'!A:A, 'Customer_Dim'!E:E, "Not Found")</f>
        <v>33</v>
      </c>
      <c r="Q653" t="str">
        <f>VLOOKUP(Sales_fact[[#This Row],[Customer_ID]], 'Customer_Dim'!A:F, 6, FALSE)</f>
        <v>Male</v>
      </c>
      <c r="R653" s="13" t="str">
        <f>_xlfn.XLOOKUP(Sales_fact[[#This Row],[Product_ID]],Product_Dim!A:A,Product_Dim!C:C,"OTHERS")</f>
        <v>Beauty</v>
      </c>
    </row>
    <row r="654" spans="1:18" x14ac:dyDescent="0.3">
      <c r="A654" t="s">
        <v>2478</v>
      </c>
      <c r="B654" s="2">
        <v>45531</v>
      </c>
      <c r="C654" t="s">
        <v>36</v>
      </c>
      <c r="D654" t="s">
        <v>1626</v>
      </c>
      <c r="E654" t="str">
        <f ca="1">TRIM(Sales_fact[[#This Row],[Store_ID]])</f>
        <v>STORE18</v>
      </c>
      <c r="F654">
        <v>2</v>
      </c>
      <c r="G654">
        <f>IF(ISBLANK(F654),MODE($F$2:$F$2001),F654)</f>
        <v>2</v>
      </c>
      <c r="H654">
        <v>673.02</v>
      </c>
      <c r="I654">
        <f>IF(ISBLANK(H654),AVERAGE($H$2:$H$2001),H654)</f>
        <v>673.02</v>
      </c>
      <c r="J654">
        <v>0.11</v>
      </c>
      <c r="K654">
        <f>IF(ISBLANK(J654),MODE($J$2:$J$2001),J654)</f>
        <v>0.11</v>
      </c>
      <c r="L654" t="s">
        <v>1826</v>
      </c>
      <c r="M654">
        <v>1197.9756</v>
      </c>
      <c r="N654">
        <f t="shared" si="10"/>
        <v>1197.9756</v>
      </c>
      <c r="O654" t="str">
        <f>_xlfn.XLOOKUP(Sales_fact[[#This Row],[Customer_ID]],'Customer_Dim'!A:A,'Customer_Dim'!K:K,"Not Found")</f>
        <v>Platinum</v>
      </c>
      <c r="P654">
        <f>_xlfn.XLOOKUP(Sales_fact[[#This Row],[Customer_ID]],'Customer_Dim'!A:A, 'Customer_Dim'!E:E, "Not Found")</f>
        <v>29</v>
      </c>
      <c r="Q654" t="str">
        <f>VLOOKUP(Sales_fact[[#This Row],[Customer_ID]], 'Customer_Dim'!A:F, 6, FALSE)</f>
        <v>Female</v>
      </c>
      <c r="R654" s="13" t="str">
        <f>_xlfn.XLOOKUP(Sales_fact[[#This Row],[Product_ID]],Product_Dim!A:A,Product_Dim!C:C,"OTHERS")</f>
        <v>Electronics</v>
      </c>
    </row>
    <row r="655" spans="1:18" x14ac:dyDescent="0.3">
      <c r="A655" t="s">
        <v>2479</v>
      </c>
      <c r="B655" s="2">
        <v>45332</v>
      </c>
      <c r="C655" t="s">
        <v>1362</v>
      </c>
      <c r="D655" t="s">
        <v>1676</v>
      </c>
      <c r="E655" t="str">
        <f ca="1">TRIM(Sales_fact[[#This Row],[Store_ID]])</f>
        <v>STORE3</v>
      </c>
      <c r="F655">
        <v>2</v>
      </c>
      <c r="G655">
        <f>IF(ISBLANK(F655),MODE($F$2:$F$2001),F655)</f>
        <v>2</v>
      </c>
      <c r="H655">
        <v>492.62</v>
      </c>
      <c r="I655">
        <f>IF(ISBLANK(H655),AVERAGE($H$2:$H$2001),H655)</f>
        <v>492.62</v>
      </c>
      <c r="J655">
        <v>0.26</v>
      </c>
      <c r="K655">
        <f>IF(ISBLANK(J655),MODE($J$2:$J$2001),J655)</f>
        <v>0.26</v>
      </c>
      <c r="L655" t="s">
        <v>1829</v>
      </c>
      <c r="M655">
        <v>729.07759999999996</v>
      </c>
      <c r="N655">
        <f t="shared" si="10"/>
        <v>729.07759999999996</v>
      </c>
      <c r="O655" t="str">
        <f>_xlfn.XLOOKUP(Sales_fact[[#This Row],[Customer_ID]],'Customer_Dim'!A:A,'Customer_Dim'!K:K,"Not Found")</f>
        <v>Silver</v>
      </c>
      <c r="P655">
        <f>_xlfn.XLOOKUP(Sales_fact[[#This Row],[Customer_ID]],'Customer_Dim'!A:A, 'Customer_Dim'!E:E, "Not Found")</f>
        <v>60</v>
      </c>
      <c r="Q655" t="str">
        <f>VLOOKUP(Sales_fact[[#This Row],[Customer_ID]], 'Customer_Dim'!A:F, 6, FALSE)</f>
        <v>Male</v>
      </c>
      <c r="R655" s="13" t="str">
        <f>_xlfn.XLOOKUP(Sales_fact[[#This Row],[Product_ID]],Product_Dim!A:A,Product_Dim!C:C,"OTHERS")</f>
        <v>Beauty</v>
      </c>
    </row>
    <row r="656" spans="1:18" x14ac:dyDescent="0.3">
      <c r="A656" t="s">
        <v>2480</v>
      </c>
      <c r="B656" s="2">
        <v>45344</v>
      </c>
      <c r="C656" t="s">
        <v>1175</v>
      </c>
      <c r="D656" t="s">
        <v>1718</v>
      </c>
      <c r="E656" t="str">
        <f ca="1">TRIM(Sales_fact[[#This Row],[Store_ID]])</f>
        <v>STORE3</v>
      </c>
      <c r="F656">
        <v>4</v>
      </c>
      <c r="G656">
        <f>IF(ISBLANK(F656),MODE($F$2:$F$2001),F656)</f>
        <v>4</v>
      </c>
      <c r="H656">
        <v>986.93</v>
      </c>
      <c r="I656">
        <f>IF(ISBLANK(H656),AVERAGE($H$2:$H$2001),H656)</f>
        <v>986.93</v>
      </c>
      <c r="J656">
        <v>0.01</v>
      </c>
      <c r="K656">
        <f>IF(ISBLANK(J656),MODE($J$2:$J$2001),J656)</f>
        <v>0.01</v>
      </c>
      <c r="L656" t="s">
        <v>1824</v>
      </c>
      <c r="M656">
        <v>3908.2428</v>
      </c>
      <c r="N656">
        <f t="shared" si="10"/>
        <v>3908.2428</v>
      </c>
      <c r="O656" t="str">
        <f>_xlfn.XLOOKUP(Sales_fact[[#This Row],[Customer_ID]],'Customer_Dim'!A:A,'Customer_Dim'!K:K,"Not Found")</f>
        <v>Bronze</v>
      </c>
      <c r="P656">
        <f>_xlfn.XLOOKUP(Sales_fact[[#This Row],[Customer_ID]],'Customer_Dim'!A:A, 'Customer_Dim'!E:E, "Not Found")</f>
        <v>30</v>
      </c>
      <c r="Q656" t="str">
        <f>VLOOKUP(Sales_fact[[#This Row],[Customer_ID]], 'Customer_Dim'!A:F, 6, FALSE)</f>
        <v>Male</v>
      </c>
      <c r="R656" s="13" t="str">
        <f>_xlfn.XLOOKUP(Sales_fact[[#This Row],[Product_ID]],Product_Dim!A:A,Product_Dim!C:C,"OTHERS")</f>
        <v>Clothing</v>
      </c>
    </row>
    <row r="657" spans="1:18" x14ac:dyDescent="0.3">
      <c r="A657" t="s">
        <v>2481</v>
      </c>
      <c r="B657" s="2">
        <v>45388</v>
      </c>
      <c r="C657" t="s">
        <v>1475</v>
      </c>
      <c r="D657" t="s">
        <v>1592</v>
      </c>
      <c r="E657" t="str">
        <f ca="1">TRIM(Sales_fact[[#This Row],[Store_ID]])</f>
        <v>STORE12</v>
      </c>
      <c r="F657">
        <v>4</v>
      </c>
      <c r="G657">
        <f>IF(ISBLANK(F657),MODE($F$2:$F$2001),F657)</f>
        <v>4</v>
      </c>
      <c r="H657">
        <v>411.68</v>
      </c>
      <c r="I657">
        <f>IF(ISBLANK(H657),AVERAGE($H$2:$H$2001),H657)</f>
        <v>411.68</v>
      </c>
      <c r="J657">
        <v>0.06</v>
      </c>
      <c r="K657">
        <f>IF(ISBLANK(J657),MODE($J$2:$J$2001),J657)</f>
        <v>0.06</v>
      </c>
      <c r="L657" t="s">
        <v>1826</v>
      </c>
      <c r="M657">
        <v>1547.9168</v>
      </c>
      <c r="N657">
        <f t="shared" si="10"/>
        <v>1547.9168</v>
      </c>
      <c r="O657" t="str">
        <f>_xlfn.XLOOKUP(Sales_fact[[#This Row],[Customer_ID]],'Customer_Dim'!A:A,'Customer_Dim'!K:K,"Not Found")</f>
        <v>Bronze</v>
      </c>
      <c r="P657">
        <f>_xlfn.XLOOKUP(Sales_fact[[#This Row],[Customer_ID]],'Customer_Dim'!A:A, 'Customer_Dim'!E:E, "Not Found")</f>
        <v>40</v>
      </c>
      <c r="Q657" t="str">
        <f>VLOOKUP(Sales_fact[[#This Row],[Customer_ID]], 'Customer_Dim'!A:F, 6, FALSE)</f>
        <v>Male</v>
      </c>
      <c r="R657" s="13" t="str">
        <f>_xlfn.XLOOKUP(Sales_fact[[#This Row],[Product_ID]],Product_Dim!A:A,Product_Dim!C:C,"OTHERS")</f>
        <v>Sports</v>
      </c>
    </row>
    <row r="658" spans="1:18" x14ac:dyDescent="0.3">
      <c r="A658" t="s">
        <v>2482</v>
      </c>
      <c r="B658" s="2">
        <v>45397</v>
      </c>
      <c r="C658" t="s">
        <v>711</v>
      </c>
      <c r="D658" t="s">
        <v>1620</v>
      </c>
      <c r="E658" t="str">
        <f ca="1">TRIM(Sales_fact[[#This Row],[Store_ID]])</f>
        <v>STORE17</v>
      </c>
      <c r="F658">
        <v>2</v>
      </c>
      <c r="G658">
        <f>IF(ISBLANK(F658),MODE($F$2:$F$2001),F658)</f>
        <v>2</v>
      </c>
      <c r="H658">
        <v>637.55999999999995</v>
      </c>
      <c r="I658">
        <f>IF(ISBLANK(H658),AVERAGE($H$2:$H$2001),H658)</f>
        <v>637.55999999999995</v>
      </c>
      <c r="J658">
        <v>0.05</v>
      </c>
      <c r="K658">
        <f>IF(ISBLANK(J658),MODE($J$2:$J$2001),J658)</f>
        <v>0.05</v>
      </c>
      <c r="L658" t="s">
        <v>1829</v>
      </c>
      <c r="M658">
        <v>1211.364</v>
      </c>
      <c r="N658">
        <f t="shared" si="10"/>
        <v>1211.3639999999998</v>
      </c>
      <c r="O658" t="str">
        <f>_xlfn.XLOOKUP(Sales_fact[[#This Row],[Customer_ID]],'Customer_Dim'!A:A,'Customer_Dim'!K:K,"Not Found")</f>
        <v>Gold</v>
      </c>
      <c r="P658">
        <f>_xlfn.XLOOKUP(Sales_fact[[#This Row],[Customer_ID]],'Customer_Dim'!A:A, 'Customer_Dim'!E:E, "Not Found")</f>
        <v>47</v>
      </c>
      <c r="Q658" t="str">
        <f>VLOOKUP(Sales_fact[[#This Row],[Customer_ID]], 'Customer_Dim'!A:F, 6, FALSE)</f>
        <v>Female</v>
      </c>
      <c r="R658" s="13" t="str">
        <f>_xlfn.XLOOKUP(Sales_fact[[#This Row],[Product_ID]],Product_Dim!A:A,Product_Dim!C:C,"OTHERS")</f>
        <v>Clothing</v>
      </c>
    </row>
    <row r="659" spans="1:18" x14ac:dyDescent="0.3">
      <c r="A659" t="s">
        <v>2483</v>
      </c>
      <c r="B659" s="2">
        <v>45633</v>
      </c>
      <c r="C659" t="s">
        <v>67</v>
      </c>
      <c r="D659" t="s">
        <v>1574</v>
      </c>
      <c r="E659" t="str">
        <f ca="1">TRIM(Sales_fact[[#This Row],[Store_ID]])</f>
        <v>STORE3</v>
      </c>
      <c r="F659">
        <v>3</v>
      </c>
      <c r="G659">
        <f>IF(ISBLANK(F659),MODE($F$2:$F$2001),F659)</f>
        <v>3</v>
      </c>
      <c r="H659">
        <v>706.87</v>
      </c>
      <c r="I659">
        <f>IF(ISBLANK(H659),AVERAGE($H$2:$H$2001),H659)</f>
        <v>706.87</v>
      </c>
      <c r="J659">
        <v>0.27</v>
      </c>
      <c r="K659">
        <f>IF(ISBLANK(J659),MODE($J$2:$J$2001),J659)</f>
        <v>0.27</v>
      </c>
      <c r="L659" t="s">
        <v>1824</v>
      </c>
      <c r="M659">
        <v>1548.0453</v>
      </c>
      <c r="N659">
        <f t="shared" si="10"/>
        <v>1548.0453</v>
      </c>
      <c r="O659" t="str">
        <f>_xlfn.XLOOKUP(Sales_fact[[#This Row],[Customer_ID]],'Customer_Dim'!A:A,'Customer_Dim'!K:K,"Not Found")</f>
        <v>Silver</v>
      </c>
      <c r="P659">
        <f>_xlfn.XLOOKUP(Sales_fact[[#This Row],[Customer_ID]],'Customer_Dim'!A:A, 'Customer_Dim'!E:E, "Not Found")</f>
        <v>53</v>
      </c>
      <c r="Q659" t="str">
        <f>VLOOKUP(Sales_fact[[#This Row],[Customer_ID]], 'Customer_Dim'!A:F, 6, FALSE)</f>
        <v>Female</v>
      </c>
      <c r="R659" s="13" t="str">
        <f>_xlfn.XLOOKUP(Sales_fact[[#This Row],[Product_ID]],Product_Dim!A:A,Product_Dim!C:C,"OTHERS")</f>
        <v>Electronics</v>
      </c>
    </row>
    <row r="660" spans="1:18" x14ac:dyDescent="0.3">
      <c r="A660" t="s">
        <v>2484</v>
      </c>
      <c r="B660" s="2">
        <v>45629</v>
      </c>
      <c r="C660" t="s">
        <v>208</v>
      </c>
      <c r="D660" t="s">
        <v>1578</v>
      </c>
      <c r="E660" t="str">
        <f ca="1">TRIM(Sales_fact[[#This Row],[Store_ID]])</f>
        <v>STORE6</v>
      </c>
      <c r="F660">
        <v>2</v>
      </c>
      <c r="G660">
        <f>IF(ISBLANK(F660),MODE($F$2:$F$2001),F660)</f>
        <v>2</v>
      </c>
      <c r="H660">
        <v>884.48</v>
      </c>
      <c r="I660">
        <f>IF(ISBLANK(H660),AVERAGE($H$2:$H$2001),H660)</f>
        <v>884.48</v>
      </c>
      <c r="J660">
        <v>0</v>
      </c>
      <c r="K660">
        <f>IF(ISBLANK(J660),MODE($J$2:$J$2001),J660)</f>
        <v>0</v>
      </c>
      <c r="L660" t="s">
        <v>1829</v>
      </c>
      <c r="M660">
        <v>1768.96</v>
      </c>
      <c r="N660">
        <f t="shared" si="10"/>
        <v>1768.96</v>
      </c>
      <c r="O660" t="str">
        <f>_xlfn.XLOOKUP(Sales_fact[[#This Row],[Customer_ID]],'Customer_Dim'!A:A,'Customer_Dim'!K:K,"Not Found")</f>
        <v>Bronze</v>
      </c>
      <c r="P660">
        <f>_xlfn.XLOOKUP(Sales_fact[[#This Row],[Customer_ID]],'Customer_Dim'!A:A, 'Customer_Dim'!E:E, "Not Found")</f>
        <v>56</v>
      </c>
      <c r="Q660" t="str">
        <f>VLOOKUP(Sales_fact[[#This Row],[Customer_ID]], 'Customer_Dim'!A:F, 6, FALSE)</f>
        <v>Female</v>
      </c>
      <c r="R660" s="13" t="str">
        <f>_xlfn.XLOOKUP(Sales_fact[[#This Row],[Product_ID]],Product_Dim!A:A,Product_Dim!C:C,"OTHERS")</f>
        <v>Electronics</v>
      </c>
    </row>
    <row r="661" spans="1:18" x14ac:dyDescent="0.3">
      <c r="A661" t="s">
        <v>2485</v>
      </c>
      <c r="B661" s="2">
        <v>45291</v>
      </c>
      <c r="C661" t="s">
        <v>181</v>
      </c>
      <c r="D661" t="s">
        <v>1732</v>
      </c>
      <c r="E661" t="str">
        <f ca="1">TRIM(Sales_fact[[#This Row],[Store_ID]])</f>
        <v>STORE4</v>
      </c>
      <c r="F661">
        <v>3</v>
      </c>
      <c r="G661">
        <f>IF(ISBLANK(F661),MODE($F$2:$F$2001),F661)</f>
        <v>3</v>
      </c>
      <c r="H661">
        <v>718.23</v>
      </c>
      <c r="I661">
        <f>IF(ISBLANK(H661),AVERAGE($H$2:$H$2001),H661)</f>
        <v>718.23</v>
      </c>
      <c r="J661">
        <v>0.19</v>
      </c>
      <c r="K661">
        <f>IF(ISBLANK(J661),MODE($J$2:$J$2001),J661)</f>
        <v>0.19</v>
      </c>
      <c r="L661" t="s">
        <v>1826</v>
      </c>
      <c r="M661">
        <v>1745.2989</v>
      </c>
      <c r="N661">
        <f t="shared" si="10"/>
        <v>1745.2989000000002</v>
      </c>
      <c r="O661" t="str">
        <f>_xlfn.XLOOKUP(Sales_fact[[#This Row],[Customer_ID]],'Customer_Dim'!A:A,'Customer_Dim'!K:K,"Not Found")</f>
        <v>Silver</v>
      </c>
      <c r="P661">
        <f>_xlfn.XLOOKUP(Sales_fact[[#This Row],[Customer_ID]],'Customer_Dim'!A:A, 'Customer_Dim'!E:E, "Not Found")</f>
        <v>54</v>
      </c>
      <c r="Q661" t="str">
        <f>VLOOKUP(Sales_fact[[#This Row],[Customer_ID]], 'Customer_Dim'!A:F, 6, FALSE)</f>
        <v>Female</v>
      </c>
      <c r="R661" s="13" t="str">
        <f>_xlfn.XLOOKUP(Sales_fact[[#This Row],[Product_ID]],Product_Dim!A:A,Product_Dim!C:C,"OTHERS")</f>
        <v>Home</v>
      </c>
    </row>
    <row r="662" spans="1:18" x14ac:dyDescent="0.3">
      <c r="A662" t="s">
        <v>2486</v>
      </c>
      <c r="B662" s="2">
        <v>45914</v>
      </c>
      <c r="C662" t="s">
        <v>595</v>
      </c>
      <c r="D662" t="s">
        <v>1728</v>
      </c>
      <c r="E662" t="str">
        <f ca="1">TRIM(Sales_fact[[#This Row],[Store_ID]])</f>
        <v>STORE18</v>
      </c>
      <c r="F662">
        <v>3</v>
      </c>
      <c r="G662">
        <f>IF(ISBLANK(F662),MODE($F$2:$F$2001),F662)</f>
        <v>3</v>
      </c>
      <c r="H662">
        <v>107.44</v>
      </c>
      <c r="I662">
        <f>IF(ISBLANK(H662),AVERAGE($H$2:$H$2001),H662)</f>
        <v>107.44</v>
      </c>
      <c r="J662">
        <v>0.27</v>
      </c>
      <c r="K662">
        <f>IF(ISBLANK(J662),MODE($J$2:$J$2001),J662)</f>
        <v>0.27</v>
      </c>
      <c r="L662" t="s">
        <v>1826</v>
      </c>
      <c r="M662">
        <v>235.2936</v>
      </c>
      <c r="N662">
        <f t="shared" si="10"/>
        <v>235.2936</v>
      </c>
      <c r="O662" t="str">
        <f>_xlfn.XLOOKUP(Sales_fact[[#This Row],[Customer_ID]],'Customer_Dim'!A:A,'Customer_Dim'!K:K,"Not Found")</f>
        <v>Bronze</v>
      </c>
      <c r="P662">
        <f>_xlfn.XLOOKUP(Sales_fact[[#This Row],[Customer_ID]],'Customer_Dim'!A:A, 'Customer_Dim'!E:E, "Not Found")</f>
        <v>38</v>
      </c>
      <c r="Q662" t="str">
        <f>VLOOKUP(Sales_fact[[#This Row],[Customer_ID]], 'Customer_Dim'!A:F, 6, FALSE)</f>
        <v>Male</v>
      </c>
      <c r="R662" s="13" t="str">
        <f>_xlfn.XLOOKUP(Sales_fact[[#This Row],[Product_ID]],Product_Dim!A:A,Product_Dim!C:C,"OTHERS")</f>
        <v>Electronics</v>
      </c>
    </row>
    <row r="663" spans="1:18" x14ac:dyDescent="0.3">
      <c r="A663" t="s">
        <v>2487</v>
      </c>
      <c r="B663" s="2">
        <v>45673</v>
      </c>
      <c r="C663" t="s">
        <v>211</v>
      </c>
      <c r="D663" t="s">
        <v>1640</v>
      </c>
      <c r="E663" t="str">
        <f ca="1">TRIM(Sales_fact[[#This Row],[Store_ID]])</f>
        <v>STORE3</v>
      </c>
      <c r="F663">
        <v>4</v>
      </c>
      <c r="G663">
        <f>IF(ISBLANK(F663),MODE($F$2:$F$2001),F663)</f>
        <v>4</v>
      </c>
      <c r="H663">
        <v>608.97</v>
      </c>
      <c r="I663">
        <f>IF(ISBLANK(H663),AVERAGE($H$2:$H$2001),H663)</f>
        <v>608.97</v>
      </c>
      <c r="J663">
        <v>0.14000000000000001</v>
      </c>
      <c r="K663">
        <f>IF(ISBLANK(J663),MODE($J$2:$J$2001),J663)</f>
        <v>0.14000000000000001</v>
      </c>
      <c r="L663" t="s">
        <v>1829</v>
      </c>
      <c r="M663">
        <v>2094.8568</v>
      </c>
      <c r="N663">
        <f t="shared" si="10"/>
        <v>2094.8568</v>
      </c>
      <c r="O663" t="str">
        <f>_xlfn.XLOOKUP(Sales_fact[[#This Row],[Customer_ID]],'Customer_Dim'!A:A,'Customer_Dim'!K:K,"Not Found")</f>
        <v>Gold</v>
      </c>
      <c r="P663">
        <f>_xlfn.XLOOKUP(Sales_fact[[#This Row],[Customer_ID]],'Customer_Dim'!A:A, 'Customer_Dim'!E:E, "Not Found")</f>
        <v>49</v>
      </c>
      <c r="Q663" t="str">
        <f>VLOOKUP(Sales_fact[[#This Row],[Customer_ID]], 'Customer_Dim'!A:F, 6, FALSE)</f>
        <v>Female</v>
      </c>
      <c r="R663" s="13" t="str">
        <f>_xlfn.XLOOKUP(Sales_fact[[#This Row],[Product_ID]],Product_Dim!A:A,Product_Dim!C:C,"OTHERS")</f>
        <v>Clothing</v>
      </c>
    </row>
    <row r="664" spans="1:18" x14ac:dyDescent="0.3">
      <c r="A664" t="s">
        <v>2488</v>
      </c>
      <c r="B664" s="2">
        <v>45689</v>
      </c>
      <c r="C664" t="s">
        <v>1109</v>
      </c>
      <c r="D664" t="s">
        <v>1670</v>
      </c>
      <c r="E664" t="str">
        <f ca="1">TRIM(Sales_fact[[#This Row],[Store_ID]])</f>
        <v>STORE6</v>
      </c>
      <c r="F664">
        <v>3</v>
      </c>
      <c r="G664">
        <f>IF(ISBLANK(F664),MODE($F$2:$F$2001),F664)</f>
        <v>3</v>
      </c>
      <c r="H664">
        <v>260.45999999999998</v>
      </c>
      <c r="I664">
        <f>IF(ISBLANK(H664),AVERAGE($H$2:$H$2001),H664)</f>
        <v>260.45999999999998</v>
      </c>
      <c r="J664">
        <v>0.09</v>
      </c>
      <c r="K664">
        <f>IF(ISBLANK(J664),MODE($J$2:$J$2001),J664)</f>
        <v>0.09</v>
      </c>
      <c r="L664" t="s">
        <v>1824</v>
      </c>
      <c r="M664">
        <v>711.05579999999986</v>
      </c>
      <c r="N664">
        <f t="shared" si="10"/>
        <v>711.05579999999986</v>
      </c>
      <c r="O664" t="str">
        <f>_xlfn.XLOOKUP(Sales_fact[[#This Row],[Customer_ID]],'Customer_Dim'!A:A,'Customer_Dim'!K:K,"Not Found")</f>
        <v>Silver</v>
      </c>
      <c r="P664">
        <f>_xlfn.XLOOKUP(Sales_fact[[#This Row],[Customer_ID]],'Customer_Dim'!A:A, 'Customer_Dim'!E:E, "Not Found")</f>
        <v>38</v>
      </c>
      <c r="Q664" t="str">
        <f>VLOOKUP(Sales_fact[[#This Row],[Customer_ID]], 'Customer_Dim'!A:F, 6, FALSE)</f>
        <v>Male</v>
      </c>
      <c r="R664" s="13" t="str">
        <f>_xlfn.XLOOKUP(Sales_fact[[#This Row],[Product_ID]],Product_Dim!A:A,Product_Dim!C:C,"OTHERS")</f>
        <v>Sports</v>
      </c>
    </row>
    <row r="665" spans="1:18" x14ac:dyDescent="0.3">
      <c r="A665" t="s">
        <v>2489</v>
      </c>
      <c r="B665" s="2">
        <v>45646</v>
      </c>
      <c r="C665" t="s">
        <v>425</v>
      </c>
      <c r="D665" t="s">
        <v>1592</v>
      </c>
      <c r="E665" t="str">
        <f ca="1">TRIM(Sales_fact[[#This Row],[Store_ID]])</f>
        <v>STORE6</v>
      </c>
      <c r="F665">
        <v>1</v>
      </c>
      <c r="G665">
        <f>IF(ISBLANK(F665),MODE($F$2:$F$2001),F665)</f>
        <v>1</v>
      </c>
      <c r="H665">
        <v>747.03</v>
      </c>
      <c r="I665">
        <f>IF(ISBLANK(H665),AVERAGE($H$2:$H$2001),H665)</f>
        <v>747.03</v>
      </c>
      <c r="J665">
        <v>0.01</v>
      </c>
      <c r="K665">
        <f>IF(ISBLANK(J665),MODE($J$2:$J$2001),J665)</f>
        <v>0.01</v>
      </c>
      <c r="L665" t="s">
        <v>1824</v>
      </c>
      <c r="M665">
        <v>739.55970000000002</v>
      </c>
      <c r="N665">
        <f t="shared" si="10"/>
        <v>739.55970000000002</v>
      </c>
      <c r="O665" t="str">
        <f>_xlfn.XLOOKUP(Sales_fact[[#This Row],[Customer_ID]],'Customer_Dim'!A:A,'Customer_Dim'!K:K,"Not Found")</f>
        <v>Silver</v>
      </c>
      <c r="P665">
        <f>_xlfn.XLOOKUP(Sales_fact[[#This Row],[Customer_ID]],'Customer_Dim'!A:A, 'Customer_Dim'!E:E, "Not Found")</f>
        <v>40</v>
      </c>
      <c r="Q665" t="str">
        <f>VLOOKUP(Sales_fact[[#This Row],[Customer_ID]], 'Customer_Dim'!A:F, 6, FALSE)</f>
        <v>Male</v>
      </c>
      <c r="R665" s="13" t="str">
        <f>_xlfn.XLOOKUP(Sales_fact[[#This Row],[Product_ID]],Product_Dim!A:A,Product_Dim!C:C,"OTHERS")</f>
        <v>Sports</v>
      </c>
    </row>
    <row r="666" spans="1:18" x14ac:dyDescent="0.3">
      <c r="A666" t="s">
        <v>2490</v>
      </c>
      <c r="B666" s="2">
        <v>45475</v>
      </c>
      <c r="C666" t="s">
        <v>1257</v>
      </c>
      <c r="D666" t="s">
        <v>1580</v>
      </c>
      <c r="E666" t="str">
        <f ca="1">TRIM(Sales_fact[[#This Row],[Store_ID]])</f>
        <v>STORE8</v>
      </c>
      <c r="F666">
        <v>4</v>
      </c>
      <c r="G666">
        <f>IF(ISBLANK(F666),MODE($F$2:$F$2001),F666)</f>
        <v>4</v>
      </c>
      <c r="H666">
        <v>700.88</v>
      </c>
      <c r="I666">
        <f>IF(ISBLANK(H666),AVERAGE($H$2:$H$2001),H666)</f>
        <v>700.88</v>
      </c>
      <c r="J666">
        <v>0.23</v>
      </c>
      <c r="K666">
        <f>IF(ISBLANK(J666),MODE($J$2:$J$2001),J666)</f>
        <v>0.23</v>
      </c>
      <c r="L666" t="s">
        <v>1826</v>
      </c>
      <c r="M666">
        <v>2158.7103999999999</v>
      </c>
      <c r="N666">
        <f t="shared" si="10"/>
        <v>2158.7103999999999</v>
      </c>
      <c r="O666" t="str">
        <f>_xlfn.XLOOKUP(Sales_fact[[#This Row],[Customer_ID]],'Customer_Dim'!A:A,'Customer_Dim'!K:K,"Not Found")</f>
        <v>Silver</v>
      </c>
      <c r="P666">
        <f>_xlfn.XLOOKUP(Sales_fact[[#This Row],[Customer_ID]],'Customer_Dim'!A:A, 'Customer_Dim'!E:E, "Not Found")</f>
        <v>22</v>
      </c>
      <c r="Q666" t="str">
        <f>VLOOKUP(Sales_fact[[#This Row],[Customer_ID]], 'Customer_Dim'!A:F, 6, FALSE)</f>
        <v>Female</v>
      </c>
      <c r="R666" s="13" t="str">
        <f>_xlfn.XLOOKUP(Sales_fact[[#This Row],[Product_ID]],Product_Dim!A:A,Product_Dim!C:C,"OTHERS")</f>
        <v>OTHERS</v>
      </c>
    </row>
    <row r="667" spans="1:18" x14ac:dyDescent="0.3">
      <c r="A667" t="s">
        <v>2491</v>
      </c>
      <c r="B667" s="2">
        <v>45781</v>
      </c>
      <c r="C667" t="s">
        <v>185</v>
      </c>
      <c r="D667" t="s">
        <v>1738</v>
      </c>
      <c r="E667" t="str">
        <f ca="1">TRIM(Sales_fact[[#This Row],[Store_ID]])</f>
        <v>STORE14</v>
      </c>
      <c r="F667">
        <v>4</v>
      </c>
      <c r="G667">
        <f>IF(ISBLANK(F667),MODE($F$2:$F$2001),F667)</f>
        <v>4</v>
      </c>
      <c r="H667">
        <v>20.09</v>
      </c>
      <c r="I667">
        <f>IF(ISBLANK(H667),AVERAGE($H$2:$H$2001),H667)</f>
        <v>20.09</v>
      </c>
      <c r="J667">
        <v>0.16</v>
      </c>
      <c r="K667">
        <f>IF(ISBLANK(J667),MODE($J$2:$J$2001),J667)</f>
        <v>0.16</v>
      </c>
      <c r="L667" t="s">
        <v>1826</v>
      </c>
      <c r="M667">
        <v>67.502399999999994</v>
      </c>
      <c r="N667">
        <f t="shared" si="10"/>
        <v>67.502399999999994</v>
      </c>
      <c r="O667" t="str">
        <f>_xlfn.XLOOKUP(Sales_fact[[#This Row],[Customer_ID]],'Customer_Dim'!A:A,'Customer_Dim'!K:K,"Not Found")</f>
        <v>Platinum</v>
      </c>
      <c r="P667">
        <f>_xlfn.XLOOKUP(Sales_fact[[#This Row],[Customer_ID]],'Customer_Dim'!A:A, 'Customer_Dim'!E:E, "Not Found")</f>
        <v>54</v>
      </c>
      <c r="Q667" t="str">
        <f>VLOOKUP(Sales_fact[[#This Row],[Customer_ID]], 'Customer_Dim'!A:F, 6, FALSE)</f>
        <v>Male</v>
      </c>
      <c r="R667" s="13" t="str">
        <f>_xlfn.XLOOKUP(Sales_fact[[#This Row],[Product_ID]],Product_Dim!A:A,Product_Dim!C:C,"OTHERS")</f>
        <v>Sports</v>
      </c>
    </row>
    <row r="668" spans="1:18" x14ac:dyDescent="0.3">
      <c r="A668" t="s">
        <v>2492</v>
      </c>
      <c r="B668" s="2">
        <v>45654</v>
      </c>
      <c r="C668" t="s">
        <v>230</v>
      </c>
      <c r="D668" t="s">
        <v>1622</v>
      </c>
      <c r="E668" t="str">
        <f ca="1">TRIM(Sales_fact[[#This Row],[Store_ID]])</f>
        <v>STORE11</v>
      </c>
      <c r="F668">
        <v>3</v>
      </c>
      <c r="G668">
        <f>IF(ISBLANK(F668),MODE($F$2:$F$2001),F668)</f>
        <v>3</v>
      </c>
      <c r="H668">
        <v>917.64</v>
      </c>
      <c r="I668">
        <f>IF(ISBLANK(H668),AVERAGE($H$2:$H$2001),H668)</f>
        <v>917.64</v>
      </c>
      <c r="J668">
        <v>0.24</v>
      </c>
      <c r="K668">
        <f>IF(ISBLANK(J668),MODE($J$2:$J$2001),J668)</f>
        <v>0.24</v>
      </c>
      <c r="L668" t="s">
        <v>1826</v>
      </c>
      <c r="M668">
        <v>2092.2192</v>
      </c>
      <c r="N668">
        <f t="shared" si="10"/>
        <v>2092.2192</v>
      </c>
      <c r="O668" t="str">
        <f>_xlfn.XLOOKUP(Sales_fact[[#This Row],[Customer_ID]],'Customer_Dim'!A:A,'Customer_Dim'!K:K,"Not Found")</f>
        <v>Bronze</v>
      </c>
      <c r="P668">
        <f>_xlfn.XLOOKUP(Sales_fact[[#This Row],[Customer_ID]],'Customer_Dim'!A:A, 'Customer_Dim'!E:E, "Not Found")</f>
        <v>50</v>
      </c>
      <c r="Q668" t="str">
        <f>VLOOKUP(Sales_fact[[#This Row],[Customer_ID]], 'Customer_Dim'!A:F, 6, FALSE)</f>
        <v>Male</v>
      </c>
      <c r="R668" s="13" t="str">
        <f>_xlfn.XLOOKUP(Sales_fact[[#This Row],[Product_ID]],Product_Dim!A:A,Product_Dim!C:C,"OTHERS")</f>
        <v>Clothing</v>
      </c>
    </row>
    <row r="669" spans="1:18" x14ac:dyDescent="0.3">
      <c r="A669" t="s">
        <v>2493</v>
      </c>
      <c r="B669" s="2">
        <v>45594</v>
      </c>
      <c r="C669" t="s">
        <v>195</v>
      </c>
      <c r="D669" t="s">
        <v>1590</v>
      </c>
      <c r="E669" t="str">
        <f ca="1">TRIM(Sales_fact[[#This Row],[Store_ID]])</f>
        <v>STORE0</v>
      </c>
      <c r="F669">
        <v>1</v>
      </c>
      <c r="G669">
        <f>IF(ISBLANK(F669),MODE($F$2:$F$2001),F669)</f>
        <v>1</v>
      </c>
      <c r="H669">
        <v>242.08</v>
      </c>
      <c r="I669">
        <f>IF(ISBLANK(H669),AVERAGE($H$2:$H$2001),H669)</f>
        <v>242.08</v>
      </c>
      <c r="J669">
        <v>0.18</v>
      </c>
      <c r="K669">
        <f>IF(ISBLANK(J669),MODE($J$2:$J$2001),J669)</f>
        <v>0.18</v>
      </c>
      <c r="L669" t="s">
        <v>1826</v>
      </c>
      <c r="M669">
        <v>198.50559999999999</v>
      </c>
      <c r="N669">
        <f t="shared" si="10"/>
        <v>198.50560000000002</v>
      </c>
      <c r="O669" t="str">
        <f>_xlfn.XLOOKUP(Sales_fact[[#This Row],[Customer_ID]],'Customer_Dim'!A:A,'Customer_Dim'!K:K,"Not Found")</f>
        <v>Gold</v>
      </c>
      <c r="P669">
        <f>_xlfn.XLOOKUP(Sales_fact[[#This Row],[Customer_ID]],'Customer_Dim'!A:A, 'Customer_Dim'!E:E, "Not Found")</f>
        <v>23</v>
      </c>
      <c r="Q669" t="str">
        <f>VLOOKUP(Sales_fact[[#This Row],[Customer_ID]], 'Customer_Dim'!A:F, 6, FALSE)</f>
        <v>Female</v>
      </c>
      <c r="R669" s="13" t="str">
        <f>_xlfn.XLOOKUP(Sales_fact[[#This Row],[Product_ID]],Product_Dim!A:A,Product_Dim!C:C,"OTHERS")</f>
        <v>Home</v>
      </c>
    </row>
    <row r="670" spans="1:18" x14ac:dyDescent="0.3">
      <c r="A670" t="s">
        <v>2494</v>
      </c>
      <c r="B670" s="2">
        <v>45581</v>
      </c>
      <c r="C670" t="s">
        <v>214</v>
      </c>
      <c r="D670" t="s">
        <v>1674</v>
      </c>
      <c r="E670" t="str">
        <f ca="1">TRIM(Sales_fact[[#This Row],[Store_ID]])</f>
        <v>STORE7</v>
      </c>
      <c r="F670">
        <v>1</v>
      </c>
      <c r="G670">
        <f>IF(ISBLANK(F670),MODE($F$2:$F$2001),F670)</f>
        <v>1</v>
      </c>
      <c r="H670">
        <v>536.67999999999995</v>
      </c>
      <c r="I670">
        <f>IF(ISBLANK(H670),AVERAGE($H$2:$H$2001),H670)</f>
        <v>536.67999999999995</v>
      </c>
      <c r="J670">
        <v>0.27</v>
      </c>
      <c r="K670">
        <f>IF(ISBLANK(J670),MODE($J$2:$J$2001),J670)</f>
        <v>0.27</v>
      </c>
      <c r="L670" t="s">
        <v>1824</v>
      </c>
      <c r="M670">
        <v>391.77640000000002</v>
      </c>
      <c r="N670">
        <f t="shared" si="10"/>
        <v>391.77639999999997</v>
      </c>
      <c r="O670" t="str">
        <f>_xlfn.XLOOKUP(Sales_fact[[#This Row],[Customer_ID]],'Customer_Dim'!A:A,'Customer_Dim'!K:K,"Not Found")</f>
        <v>Platinum</v>
      </c>
      <c r="P670">
        <f>_xlfn.XLOOKUP(Sales_fact[[#This Row],[Customer_ID]],'Customer_Dim'!A:A, 'Customer_Dim'!E:E, "Not Found")</f>
        <v>43</v>
      </c>
      <c r="Q670" t="str">
        <f>VLOOKUP(Sales_fact[[#This Row],[Customer_ID]], 'Customer_Dim'!A:F, 6, FALSE)</f>
        <v>Female</v>
      </c>
      <c r="R670" s="13" t="str">
        <f>_xlfn.XLOOKUP(Sales_fact[[#This Row],[Product_ID]],Product_Dim!A:A,Product_Dim!C:C,"OTHERS")</f>
        <v>Beauty</v>
      </c>
    </row>
    <row r="671" spans="1:18" x14ac:dyDescent="0.3">
      <c r="A671" t="s">
        <v>2495</v>
      </c>
      <c r="B671" s="2">
        <v>45748</v>
      </c>
      <c r="C671" t="s">
        <v>338</v>
      </c>
      <c r="D671" t="s">
        <v>1606</v>
      </c>
      <c r="E671" t="str">
        <f ca="1">TRIM(Sales_fact[[#This Row],[Store_ID]])</f>
        <v>STORE4</v>
      </c>
      <c r="F671">
        <v>2</v>
      </c>
      <c r="G671">
        <f>IF(ISBLANK(F671),MODE($F$2:$F$2001),F671)</f>
        <v>2</v>
      </c>
      <c r="H671">
        <v>145.18</v>
      </c>
      <c r="I671">
        <f>IF(ISBLANK(H671),AVERAGE($H$2:$H$2001),H671)</f>
        <v>145.18</v>
      </c>
      <c r="J671">
        <v>0.26</v>
      </c>
      <c r="K671">
        <f>IF(ISBLANK(J671),MODE($J$2:$J$2001),J671)</f>
        <v>0.26</v>
      </c>
      <c r="L671" t="s">
        <v>1826</v>
      </c>
      <c r="M671">
        <v>214.8664</v>
      </c>
      <c r="N671">
        <f t="shared" si="10"/>
        <v>214.8664</v>
      </c>
      <c r="O671" t="str">
        <f>_xlfn.XLOOKUP(Sales_fact[[#This Row],[Customer_ID]],'Customer_Dim'!A:A,'Customer_Dim'!K:K,"Not Found")</f>
        <v>Gold</v>
      </c>
      <c r="P671">
        <f>_xlfn.XLOOKUP(Sales_fact[[#This Row],[Customer_ID]],'Customer_Dim'!A:A, 'Customer_Dim'!E:E, "Not Found")</f>
        <v>43</v>
      </c>
      <c r="Q671" t="str">
        <f>VLOOKUP(Sales_fact[[#This Row],[Customer_ID]], 'Customer_Dim'!A:F, 6, FALSE)</f>
        <v>Female</v>
      </c>
      <c r="R671" s="13" t="str">
        <f>_xlfn.XLOOKUP(Sales_fact[[#This Row],[Product_ID]],Product_Dim!A:A,Product_Dim!C:C,"OTHERS")</f>
        <v>Home</v>
      </c>
    </row>
    <row r="672" spans="1:18" x14ac:dyDescent="0.3">
      <c r="A672" t="s">
        <v>2496</v>
      </c>
      <c r="B672" s="2">
        <v>45369</v>
      </c>
      <c r="C672" t="s">
        <v>716</v>
      </c>
      <c r="D672" t="s">
        <v>1682</v>
      </c>
      <c r="E672" t="str">
        <f ca="1">TRIM(Sales_fact[[#This Row],[Store_ID]])</f>
        <v>STORE4</v>
      </c>
      <c r="F672">
        <v>2</v>
      </c>
      <c r="G672">
        <f>IF(ISBLANK(F672),MODE($F$2:$F$2001),F672)</f>
        <v>2</v>
      </c>
      <c r="H672">
        <v>132.77000000000001</v>
      </c>
      <c r="I672">
        <f>IF(ISBLANK(H672),AVERAGE($H$2:$H$2001),H672)</f>
        <v>132.77000000000001</v>
      </c>
      <c r="J672">
        <v>0.13</v>
      </c>
      <c r="K672">
        <f>IF(ISBLANK(J672),MODE($J$2:$J$2001),J672)</f>
        <v>0.13</v>
      </c>
      <c r="L672" t="s">
        <v>1829</v>
      </c>
      <c r="M672">
        <v>231.0198</v>
      </c>
      <c r="N672">
        <f t="shared" si="10"/>
        <v>231.0198</v>
      </c>
      <c r="O672" t="str">
        <f>_xlfn.XLOOKUP(Sales_fact[[#This Row],[Customer_ID]],'Customer_Dim'!A:A,'Customer_Dim'!K:K,"Not Found")</f>
        <v>Platinum</v>
      </c>
      <c r="P672">
        <f>_xlfn.XLOOKUP(Sales_fact[[#This Row],[Customer_ID]],'Customer_Dim'!A:A, 'Customer_Dim'!E:E, "Not Found")</f>
        <v>38</v>
      </c>
      <c r="Q672" t="str">
        <f>VLOOKUP(Sales_fact[[#This Row],[Customer_ID]], 'Customer_Dim'!A:F, 6, FALSE)</f>
        <v>Male</v>
      </c>
      <c r="R672" s="13" t="str">
        <f>_xlfn.XLOOKUP(Sales_fact[[#This Row],[Product_ID]],Product_Dim!A:A,Product_Dim!C:C,"OTHERS")</f>
        <v>Electronics</v>
      </c>
    </row>
    <row r="673" spans="1:18" x14ac:dyDescent="0.3">
      <c r="A673" t="s">
        <v>2497</v>
      </c>
      <c r="B673" s="2">
        <v>45701</v>
      </c>
      <c r="C673" t="s">
        <v>63</v>
      </c>
      <c r="D673" t="s">
        <v>1630</v>
      </c>
      <c r="E673" t="str">
        <f ca="1">TRIM(Sales_fact[[#This Row],[Store_ID]])</f>
        <v>STORE9</v>
      </c>
      <c r="F673">
        <v>4</v>
      </c>
      <c r="G673">
        <f>IF(ISBLANK(F673),MODE($F$2:$F$2001),F673)</f>
        <v>4</v>
      </c>
      <c r="H673">
        <v>682.11</v>
      </c>
      <c r="I673">
        <f>IF(ISBLANK(H673),AVERAGE($H$2:$H$2001),H673)</f>
        <v>682.11</v>
      </c>
      <c r="J673">
        <v>0.14000000000000001</v>
      </c>
      <c r="K673">
        <f>IF(ISBLANK(J673),MODE($J$2:$J$2001),J673)</f>
        <v>0.14000000000000001</v>
      </c>
      <c r="L673" t="s">
        <v>1824</v>
      </c>
      <c r="M673">
        <v>2346.4584</v>
      </c>
      <c r="N673">
        <f t="shared" si="10"/>
        <v>2346.4584</v>
      </c>
      <c r="O673" t="str">
        <f>_xlfn.XLOOKUP(Sales_fact[[#This Row],[Customer_ID]],'Customer_Dim'!A:A,'Customer_Dim'!K:K,"Not Found")</f>
        <v>Silver</v>
      </c>
      <c r="P673">
        <f>_xlfn.XLOOKUP(Sales_fact[[#This Row],[Customer_ID]],'Customer_Dim'!A:A, 'Customer_Dim'!E:E, "Not Found")</f>
        <v>32</v>
      </c>
      <c r="Q673" t="str">
        <f>VLOOKUP(Sales_fact[[#This Row],[Customer_ID]], 'Customer_Dim'!A:F, 6, FALSE)</f>
        <v>Female</v>
      </c>
      <c r="R673" s="13" t="str">
        <f>_xlfn.XLOOKUP(Sales_fact[[#This Row],[Product_ID]],Product_Dim!A:A,Product_Dim!C:C,"OTHERS")</f>
        <v>Sports</v>
      </c>
    </row>
    <row r="674" spans="1:18" x14ac:dyDescent="0.3">
      <c r="A674" t="s">
        <v>2498</v>
      </c>
      <c r="B674" s="2">
        <v>45510</v>
      </c>
      <c r="C674" t="s">
        <v>1495</v>
      </c>
      <c r="D674" t="s">
        <v>1628</v>
      </c>
      <c r="E674" t="str">
        <f ca="1">TRIM(Sales_fact[[#This Row],[Store_ID]])</f>
        <v>STORE17</v>
      </c>
      <c r="F674">
        <v>4</v>
      </c>
      <c r="G674">
        <f>IF(ISBLANK(F674),MODE($F$2:$F$2001),F674)</f>
        <v>4</v>
      </c>
      <c r="H674">
        <v>502.95</v>
      </c>
      <c r="I674">
        <f>IF(ISBLANK(H674),AVERAGE($H$2:$H$2001),H674)</f>
        <v>502.95</v>
      </c>
      <c r="J674">
        <v>0.14000000000000001</v>
      </c>
      <c r="K674">
        <f>IF(ISBLANK(J674),MODE($J$2:$J$2001),J674)</f>
        <v>0.14000000000000001</v>
      </c>
      <c r="L674" t="s">
        <v>1829</v>
      </c>
      <c r="M674">
        <v>1730.1479999999999</v>
      </c>
      <c r="N674">
        <f t="shared" si="10"/>
        <v>1730.1479999999999</v>
      </c>
      <c r="O674" t="str">
        <f>_xlfn.XLOOKUP(Sales_fact[[#This Row],[Customer_ID]],'Customer_Dim'!A:A,'Customer_Dim'!K:K,"Not Found")</f>
        <v>Not Found</v>
      </c>
      <c r="P674" t="str">
        <f>_xlfn.XLOOKUP(Sales_fact[[#This Row],[Customer_ID]],'Customer_Dim'!A:A, 'Customer_Dim'!E:E, "Not Found")</f>
        <v>Not Found</v>
      </c>
      <c r="Q674" t="e">
        <f>VLOOKUP(Sales_fact[[#This Row],[Customer_ID]], 'Customer_Dim'!A:F, 6, FALSE)</f>
        <v>#N/A</v>
      </c>
      <c r="R674" s="13" t="str">
        <f>_xlfn.XLOOKUP(Sales_fact[[#This Row],[Product_ID]],Product_Dim!A:A,Product_Dim!C:C,"OTHERS")</f>
        <v>Electronics</v>
      </c>
    </row>
    <row r="675" spans="1:18" x14ac:dyDescent="0.3">
      <c r="A675" t="s">
        <v>2499</v>
      </c>
      <c r="B675" s="2">
        <v>45538</v>
      </c>
      <c r="C675" t="s">
        <v>752</v>
      </c>
      <c r="D675" t="s">
        <v>1622</v>
      </c>
      <c r="E675" t="str">
        <f ca="1">TRIM(Sales_fact[[#This Row],[Store_ID]])</f>
        <v>STORE16</v>
      </c>
      <c r="F675">
        <v>2</v>
      </c>
      <c r="G675">
        <f>IF(ISBLANK(F675),MODE($F$2:$F$2001),F675)</f>
        <v>2</v>
      </c>
      <c r="H675">
        <v>472.08</v>
      </c>
      <c r="I675">
        <f>IF(ISBLANK(H675),AVERAGE($H$2:$H$2001),H675)</f>
        <v>472.08</v>
      </c>
      <c r="J675">
        <v>7.0000000000000007E-2</v>
      </c>
      <c r="K675">
        <f>IF(ISBLANK(J675),MODE($J$2:$J$2001),J675)</f>
        <v>7.0000000000000007E-2</v>
      </c>
      <c r="L675" t="s">
        <v>1824</v>
      </c>
      <c r="M675">
        <v>878.0687999999999</v>
      </c>
      <c r="N675">
        <f t="shared" si="10"/>
        <v>878.0687999999999</v>
      </c>
      <c r="O675" t="str">
        <f>_xlfn.XLOOKUP(Sales_fact[[#This Row],[Customer_ID]],'Customer_Dim'!A:A,'Customer_Dim'!K:K,"Not Found")</f>
        <v>Gold</v>
      </c>
      <c r="P675">
        <f>_xlfn.XLOOKUP(Sales_fact[[#This Row],[Customer_ID]],'Customer_Dim'!A:A, 'Customer_Dim'!E:E, "Not Found")</f>
        <v>43</v>
      </c>
      <c r="Q675" t="str">
        <f>VLOOKUP(Sales_fact[[#This Row],[Customer_ID]], 'Customer_Dim'!A:F, 6, FALSE)</f>
        <v>Female</v>
      </c>
      <c r="R675" s="13" t="str">
        <f>_xlfn.XLOOKUP(Sales_fact[[#This Row],[Product_ID]],Product_Dim!A:A,Product_Dim!C:C,"OTHERS")</f>
        <v>Clothing</v>
      </c>
    </row>
    <row r="676" spans="1:18" x14ac:dyDescent="0.3">
      <c r="A676" t="s">
        <v>2500</v>
      </c>
      <c r="B676" s="2">
        <v>45665</v>
      </c>
      <c r="C676" t="s">
        <v>1458</v>
      </c>
      <c r="D676" t="s">
        <v>1662</v>
      </c>
      <c r="E676" t="str">
        <f ca="1">TRIM(Sales_fact[[#This Row],[Store_ID]])</f>
        <v>STORE17</v>
      </c>
      <c r="F676">
        <v>2</v>
      </c>
      <c r="G676">
        <f>IF(ISBLANK(F676),MODE($F$2:$F$2001),F676)</f>
        <v>2</v>
      </c>
      <c r="H676">
        <v>218.11</v>
      </c>
      <c r="I676">
        <f>IF(ISBLANK(H676),AVERAGE($H$2:$H$2001),H676)</f>
        <v>218.11</v>
      </c>
      <c r="J676">
        <v>0.02</v>
      </c>
      <c r="K676">
        <f>IF(ISBLANK(J676),MODE($J$2:$J$2001),J676)</f>
        <v>0.02</v>
      </c>
      <c r="L676" t="s">
        <v>1829</v>
      </c>
      <c r="M676">
        <v>427.49560000000002</v>
      </c>
      <c r="N676">
        <f t="shared" si="10"/>
        <v>427.49560000000002</v>
      </c>
      <c r="O676" t="str">
        <f>_xlfn.XLOOKUP(Sales_fact[[#This Row],[Customer_ID]],'Customer_Dim'!A:A,'Customer_Dim'!K:K,"Not Found")</f>
        <v>Bronze</v>
      </c>
      <c r="P676">
        <f>_xlfn.XLOOKUP(Sales_fact[[#This Row],[Customer_ID]],'Customer_Dim'!A:A, 'Customer_Dim'!E:E, "Not Found")</f>
        <v>53</v>
      </c>
      <c r="Q676" t="str">
        <f>VLOOKUP(Sales_fact[[#This Row],[Customer_ID]], 'Customer_Dim'!A:F, 6, FALSE)</f>
        <v>Male</v>
      </c>
      <c r="R676" s="13" t="str">
        <f>_xlfn.XLOOKUP(Sales_fact[[#This Row],[Product_ID]],Product_Dim!A:A,Product_Dim!C:C,"OTHERS")</f>
        <v>Sports</v>
      </c>
    </row>
    <row r="677" spans="1:18" x14ac:dyDescent="0.3">
      <c r="A677" t="s">
        <v>2501</v>
      </c>
      <c r="B677" s="2">
        <v>45859</v>
      </c>
      <c r="C677" t="s">
        <v>214</v>
      </c>
      <c r="D677" t="s">
        <v>1546</v>
      </c>
      <c r="E677" t="str">
        <f ca="1">TRIM(Sales_fact[[#This Row],[Store_ID]])</f>
        <v>STORE6</v>
      </c>
      <c r="F677">
        <v>4</v>
      </c>
      <c r="G677">
        <f>IF(ISBLANK(F677),MODE($F$2:$F$2001),F677)</f>
        <v>4</v>
      </c>
      <c r="H677">
        <v>845.58</v>
      </c>
      <c r="I677">
        <f>IF(ISBLANK(H677),AVERAGE($H$2:$H$2001),H677)</f>
        <v>845.58</v>
      </c>
      <c r="J677">
        <v>0.06</v>
      </c>
      <c r="K677">
        <f>IF(ISBLANK(J677),MODE($J$2:$J$2001),J677)</f>
        <v>0.06</v>
      </c>
      <c r="L677" t="s">
        <v>1826</v>
      </c>
      <c r="M677">
        <v>3179.3807999999999</v>
      </c>
      <c r="N677">
        <f t="shared" si="10"/>
        <v>3179.3807999999999</v>
      </c>
      <c r="O677" t="str">
        <f>_xlfn.XLOOKUP(Sales_fact[[#This Row],[Customer_ID]],'Customer_Dim'!A:A,'Customer_Dim'!K:K,"Not Found")</f>
        <v>Platinum</v>
      </c>
      <c r="P677">
        <f>_xlfn.XLOOKUP(Sales_fact[[#This Row],[Customer_ID]],'Customer_Dim'!A:A, 'Customer_Dim'!E:E, "Not Found")</f>
        <v>43</v>
      </c>
      <c r="Q677" t="str">
        <f>VLOOKUP(Sales_fact[[#This Row],[Customer_ID]], 'Customer_Dim'!A:F, 6, FALSE)</f>
        <v>Female</v>
      </c>
      <c r="R677" s="13" t="str">
        <f>_xlfn.XLOOKUP(Sales_fact[[#This Row],[Product_ID]],Product_Dim!A:A,Product_Dim!C:C,"OTHERS")</f>
        <v>Clothing</v>
      </c>
    </row>
    <row r="678" spans="1:18" x14ac:dyDescent="0.3">
      <c r="A678" t="s">
        <v>2502</v>
      </c>
      <c r="B678" s="2">
        <v>45255</v>
      </c>
      <c r="C678" t="s">
        <v>441</v>
      </c>
      <c r="D678" t="s">
        <v>1708</v>
      </c>
      <c r="E678" t="str">
        <f ca="1">TRIM(Sales_fact[[#This Row],[Store_ID]])</f>
        <v>STORE2</v>
      </c>
      <c r="F678">
        <v>2</v>
      </c>
      <c r="G678">
        <f>IF(ISBLANK(F678),MODE($F$2:$F$2001),F678)</f>
        <v>2</v>
      </c>
      <c r="H678">
        <v>111.28</v>
      </c>
      <c r="I678">
        <f>IF(ISBLANK(H678),AVERAGE($H$2:$H$2001),H678)</f>
        <v>111.28</v>
      </c>
      <c r="J678">
        <v>0.14000000000000001</v>
      </c>
      <c r="K678">
        <f>IF(ISBLANK(J678),MODE($J$2:$J$2001),J678)</f>
        <v>0.14000000000000001</v>
      </c>
      <c r="L678" t="s">
        <v>1824</v>
      </c>
      <c r="M678">
        <v>191.4016</v>
      </c>
      <c r="N678">
        <f t="shared" si="10"/>
        <v>191.4016</v>
      </c>
      <c r="O678" t="str">
        <f>_xlfn.XLOOKUP(Sales_fact[[#This Row],[Customer_ID]],'Customer_Dim'!A:A,'Customer_Dim'!K:K,"Not Found")</f>
        <v>Silver</v>
      </c>
      <c r="P678">
        <f>_xlfn.XLOOKUP(Sales_fact[[#This Row],[Customer_ID]],'Customer_Dim'!A:A, 'Customer_Dim'!E:E, "Not Found")</f>
        <v>45</v>
      </c>
      <c r="Q678" t="str">
        <f>VLOOKUP(Sales_fact[[#This Row],[Customer_ID]], 'Customer_Dim'!A:F, 6, FALSE)</f>
        <v>Male</v>
      </c>
      <c r="R678" s="13" t="str">
        <f>_xlfn.XLOOKUP(Sales_fact[[#This Row],[Product_ID]],Product_Dim!A:A,Product_Dim!C:C,"OTHERS")</f>
        <v>Home</v>
      </c>
    </row>
    <row r="679" spans="1:18" x14ac:dyDescent="0.3">
      <c r="A679" t="s">
        <v>2503</v>
      </c>
      <c r="B679" s="2">
        <v>45842</v>
      </c>
      <c r="C679" t="s">
        <v>585</v>
      </c>
      <c r="D679" t="s">
        <v>1666</v>
      </c>
      <c r="E679" t="str">
        <f ca="1">TRIM(Sales_fact[[#This Row],[Store_ID]])</f>
        <v>STORE14</v>
      </c>
      <c r="F679">
        <v>2</v>
      </c>
      <c r="G679">
        <f>IF(ISBLANK(F679),MODE($F$2:$F$2001),F679)</f>
        <v>2</v>
      </c>
      <c r="H679">
        <v>37.21</v>
      </c>
      <c r="I679">
        <f>IF(ISBLANK(H679),AVERAGE($H$2:$H$2001),H679)</f>
        <v>37.21</v>
      </c>
      <c r="J679">
        <v>0.19</v>
      </c>
      <c r="K679">
        <f>IF(ISBLANK(J679),MODE($J$2:$J$2001),J679)</f>
        <v>0.19</v>
      </c>
      <c r="L679" t="s">
        <v>1824</v>
      </c>
      <c r="M679">
        <v>60.280200000000008</v>
      </c>
      <c r="N679">
        <f t="shared" si="10"/>
        <v>60.280200000000008</v>
      </c>
      <c r="O679" t="str">
        <f>_xlfn.XLOOKUP(Sales_fact[[#This Row],[Customer_ID]],'Customer_Dim'!A:A,'Customer_Dim'!K:K,"Not Found")</f>
        <v>Platinum</v>
      </c>
      <c r="P679">
        <f>_xlfn.XLOOKUP(Sales_fact[[#This Row],[Customer_ID]],'Customer_Dim'!A:A, 'Customer_Dim'!E:E, "Not Found")</f>
        <v>55</v>
      </c>
      <c r="Q679" t="str">
        <f>VLOOKUP(Sales_fact[[#This Row],[Customer_ID]], 'Customer_Dim'!A:F, 6, FALSE)</f>
        <v>Male</v>
      </c>
      <c r="R679" s="13" t="str">
        <f>_xlfn.XLOOKUP(Sales_fact[[#This Row],[Product_ID]],Product_Dim!A:A,Product_Dim!C:C,"OTHERS")</f>
        <v>Beauty</v>
      </c>
    </row>
    <row r="680" spans="1:18" x14ac:dyDescent="0.3">
      <c r="A680" t="s">
        <v>2504</v>
      </c>
      <c r="B680" s="2">
        <v>45220</v>
      </c>
      <c r="C680" t="s">
        <v>1295</v>
      </c>
      <c r="D680" t="s">
        <v>1672</v>
      </c>
      <c r="E680" t="str">
        <f ca="1">TRIM(Sales_fact[[#This Row],[Store_ID]])</f>
        <v>STORE13</v>
      </c>
      <c r="F680">
        <v>1</v>
      </c>
      <c r="G680">
        <f>IF(ISBLANK(F680),MODE($F$2:$F$2001),F680)</f>
        <v>1</v>
      </c>
      <c r="H680">
        <v>331.73</v>
      </c>
      <c r="I680">
        <f>IF(ISBLANK(H680),AVERAGE($H$2:$H$2001),H680)</f>
        <v>331.73</v>
      </c>
      <c r="J680">
        <v>0.04</v>
      </c>
      <c r="K680">
        <f>IF(ISBLANK(J680),MODE($J$2:$J$2001),J680)</f>
        <v>0.04</v>
      </c>
      <c r="L680" t="s">
        <v>1824</v>
      </c>
      <c r="M680">
        <v>318.46080000000001</v>
      </c>
      <c r="N680">
        <f t="shared" si="10"/>
        <v>318.46080000000001</v>
      </c>
      <c r="O680" t="str">
        <f>_xlfn.XLOOKUP(Sales_fact[[#This Row],[Customer_ID]],'Customer_Dim'!A:A,'Customer_Dim'!K:K,"Not Found")</f>
        <v>Bronze</v>
      </c>
      <c r="P680">
        <f>_xlfn.XLOOKUP(Sales_fact[[#This Row],[Customer_ID]],'Customer_Dim'!A:A, 'Customer_Dim'!E:E, "Not Found")</f>
        <v>64</v>
      </c>
      <c r="Q680" t="str">
        <f>VLOOKUP(Sales_fact[[#This Row],[Customer_ID]], 'Customer_Dim'!A:F, 6, FALSE)</f>
        <v>Female</v>
      </c>
      <c r="R680" s="13" t="str">
        <f>_xlfn.XLOOKUP(Sales_fact[[#This Row],[Product_ID]],Product_Dim!A:A,Product_Dim!C:C,"OTHERS")</f>
        <v>Electronics</v>
      </c>
    </row>
    <row r="681" spans="1:18" x14ac:dyDescent="0.3">
      <c r="A681" t="s">
        <v>2505</v>
      </c>
      <c r="B681" s="2">
        <v>45273</v>
      </c>
      <c r="C681" t="s">
        <v>1139</v>
      </c>
      <c r="D681" t="s">
        <v>1688</v>
      </c>
      <c r="E681" t="str">
        <f ca="1">TRIM(Sales_fact[[#This Row],[Store_ID]])</f>
        <v>STORE12</v>
      </c>
      <c r="F681">
        <v>3</v>
      </c>
      <c r="G681">
        <f>IF(ISBLANK(F681),MODE($F$2:$F$2001),F681)</f>
        <v>3</v>
      </c>
      <c r="H681">
        <v>306.70999999999998</v>
      </c>
      <c r="I681">
        <f>IF(ISBLANK(H681),AVERAGE($H$2:$H$2001),H681)</f>
        <v>306.70999999999998</v>
      </c>
      <c r="J681">
        <v>0.09</v>
      </c>
      <c r="K681">
        <f>IF(ISBLANK(J681),MODE($J$2:$J$2001),J681)</f>
        <v>0.09</v>
      </c>
      <c r="L681" t="s">
        <v>1826</v>
      </c>
      <c r="M681">
        <v>837.31829999999991</v>
      </c>
      <c r="N681">
        <f t="shared" si="10"/>
        <v>837.31829999999991</v>
      </c>
      <c r="O681" t="str">
        <f>_xlfn.XLOOKUP(Sales_fact[[#This Row],[Customer_ID]],'Customer_Dim'!A:A,'Customer_Dim'!K:K,"Not Found")</f>
        <v>Bronze</v>
      </c>
      <c r="P681">
        <f>_xlfn.XLOOKUP(Sales_fact[[#This Row],[Customer_ID]],'Customer_Dim'!A:A, 'Customer_Dim'!E:E, "Not Found")</f>
        <v>58</v>
      </c>
      <c r="Q681" t="str">
        <f>VLOOKUP(Sales_fact[[#This Row],[Customer_ID]], 'Customer_Dim'!A:F, 6, FALSE)</f>
        <v>Male</v>
      </c>
      <c r="R681" s="13" t="str">
        <f>_xlfn.XLOOKUP(Sales_fact[[#This Row],[Product_ID]],Product_Dim!A:A,Product_Dim!C:C,"OTHERS")</f>
        <v>Home</v>
      </c>
    </row>
    <row r="682" spans="1:18" x14ac:dyDescent="0.3">
      <c r="A682" t="s">
        <v>2506</v>
      </c>
      <c r="B682" s="2">
        <v>45456</v>
      </c>
      <c r="C682" t="s">
        <v>860</v>
      </c>
      <c r="D682" t="s">
        <v>1598</v>
      </c>
      <c r="E682" t="str">
        <f ca="1">TRIM(Sales_fact[[#This Row],[Store_ID]])</f>
        <v>STORE6</v>
      </c>
      <c r="F682">
        <v>4</v>
      </c>
      <c r="G682">
        <f>IF(ISBLANK(F682),MODE($F$2:$F$2001),F682)</f>
        <v>4</v>
      </c>
      <c r="H682">
        <v>484.92</v>
      </c>
      <c r="I682">
        <f>IF(ISBLANK(H682),AVERAGE($H$2:$H$2001),H682)</f>
        <v>484.92</v>
      </c>
      <c r="J682">
        <v>0.28000000000000003</v>
      </c>
      <c r="K682">
        <f>IF(ISBLANK(J682),MODE($J$2:$J$2001),J682)</f>
        <v>0.28000000000000003</v>
      </c>
      <c r="L682" t="s">
        <v>1826</v>
      </c>
      <c r="M682">
        <v>1396.5696</v>
      </c>
      <c r="N682">
        <f t="shared" si="10"/>
        <v>1396.5696</v>
      </c>
      <c r="O682" t="str">
        <f>_xlfn.XLOOKUP(Sales_fact[[#This Row],[Customer_ID]],'Customer_Dim'!A:A,'Customer_Dim'!K:K,"Not Found")</f>
        <v>Gold</v>
      </c>
      <c r="P682">
        <f>_xlfn.XLOOKUP(Sales_fact[[#This Row],[Customer_ID]],'Customer_Dim'!A:A, 'Customer_Dim'!E:E, "Not Found")</f>
        <v>31</v>
      </c>
      <c r="Q682" t="str">
        <f>VLOOKUP(Sales_fact[[#This Row],[Customer_ID]], 'Customer_Dim'!A:F, 6, FALSE)</f>
        <v>Female</v>
      </c>
      <c r="R682" s="13" t="str">
        <f>_xlfn.XLOOKUP(Sales_fact[[#This Row],[Product_ID]],Product_Dim!A:A,Product_Dim!C:C,"OTHERS")</f>
        <v>Clothing</v>
      </c>
    </row>
    <row r="683" spans="1:18" x14ac:dyDescent="0.3">
      <c r="A683" t="s">
        <v>2507</v>
      </c>
      <c r="B683" s="2">
        <v>45292</v>
      </c>
      <c r="C683" t="s">
        <v>168</v>
      </c>
      <c r="D683" t="s">
        <v>1648</v>
      </c>
      <c r="E683" t="str">
        <f ca="1">TRIM(Sales_fact[[#This Row],[Store_ID]])</f>
        <v>STORE5</v>
      </c>
      <c r="F683">
        <v>2</v>
      </c>
      <c r="G683">
        <f>IF(ISBLANK(F683),MODE($F$2:$F$2001),F683)</f>
        <v>2</v>
      </c>
      <c r="H683">
        <v>42.04</v>
      </c>
      <c r="I683">
        <f>IF(ISBLANK(H683),AVERAGE($H$2:$H$2001),H683)</f>
        <v>42.04</v>
      </c>
      <c r="J683">
        <v>7.0000000000000007E-2</v>
      </c>
      <c r="K683">
        <f>IF(ISBLANK(J683),MODE($J$2:$J$2001),J683)</f>
        <v>7.0000000000000007E-2</v>
      </c>
      <c r="L683" t="s">
        <v>1824</v>
      </c>
      <c r="M683">
        <v>78.194399999999987</v>
      </c>
      <c r="N683">
        <f t="shared" si="10"/>
        <v>78.194399999999987</v>
      </c>
      <c r="O683" t="str">
        <f>_xlfn.XLOOKUP(Sales_fact[[#This Row],[Customer_ID]],'Customer_Dim'!A:A,'Customer_Dim'!K:K,"Not Found")</f>
        <v>Gold</v>
      </c>
      <c r="P683">
        <f>_xlfn.XLOOKUP(Sales_fact[[#This Row],[Customer_ID]],'Customer_Dim'!A:A, 'Customer_Dim'!E:E, "Not Found")</f>
        <v>45</v>
      </c>
      <c r="Q683" t="str">
        <f>VLOOKUP(Sales_fact[[#This Row],[Customer_ID]], 'Customer_Dim'!A:F, 6, FALSE)</f>
        <v>Male</v>
      </c>
      <c r="R683" s="13" t="str">
        <f>_xlfn.XLOOKUP(Sales_fact[[#This Row],[Product_ID]],Product_Dim!A:A,Product_Dim!C:C,"OTHERS")</f>
        <v>Sports</v>
      </c>
    </row>
    <row r="684" spans="1:18" x14ac:dyDescent="0.3">
      <c r="A684" t="s">
        <v>2508</v>
      </c>
      <c r="B684" s="2">
        <v>45278</v>
      </c>
      <c r="C684" t="s">
        <v>893</v>
      </c>
      <c r="D684" t="s">
        <v>1658</v>
      </c>
      <c r="E684" t="str">
        <f ca="1">TRIM(Sales_fact[[#This Row],[Store_ID]])</f>
        <v>STORE6</v>
      </c>
      <c r="F684">
        <v>3</v>
      </c>
      <c r="G684">
        <f>IF(ISBLANK(F684),MODE($F$2:$F$2001),F684)</f>
        <v>3</v>
      </c>
      <c r="H684">
        <v>599.48</v>
      </c>
      <c r="I684">
        <f>IF(ISBLANK(H684),AVERAGE($H$2:$H$2001),H684)</f>
        <v>599.48</v>
      </c>
      <c r="J684">
        <v>0.22</v>
      </c>
      <c r="K684">
        <f>IF(ISBLANK(J684),MODE($J$2:$J$2001),J684)</f>
        <v>0.22</v>
      </c>
      <c r="L684" t="s">
        <v>1826</v>
      </c>
      <c r="M684">
        <v>1402.7832000000001</v>
      </c>
      <c r="N684">
        <f t="shared" si="10"/>
        <v>1402.7832000000001</v>
      </c>
      <c r="O684" t="str">
        <f>_xlfn.XLOOKUP(Sales_fact[[#This Row],[Customer_ID]],'Customer_Dim'!A:A,'Customer_Dim'!K:K,"Not Found")</f>
        <v>Platinum</v>
      </c>
      <c r="P684">
        <f>_xlfn.XLOOKUP(Sales_fact[[#This Row],[Customer_ID]],'Customer_Dim'!A:A, 'Customer_Dim'!E:E, "Not Found")</f>
        <v>59</v>
      </c>
      <c r="Q684" t="str">
        <f>VLOOKUP(Sales_fact[[#This Row],[Customer_ID]], 'Customer_Dim'!A:F, 6, FALSE)</f>
        <v>Male</v>
      </c>
      <c r="R684" s="13" t="str">
        <f>_xlfn.XLOOKUP(Sales_fact[[#This Row],[Product_ID]],Product_Dim!A:A,Product_Dim!C:C,"OTHERS")</f>
        <v>Home</v>
      </c>
    </row>
    <row r="685" spans="1:18" x14ac:dyDescent="0.3">
      <c r="A685" t="s">
        <v>2509</v>
      </c>
      <c r="B685" s="2">
        <v>45232</v>
      </c>
      <c r="C685" t="s">
        <v>1118</v>
      </c>
      <c r="D685" t="s">
        <v>1582</v>
      </c>
      <c r="E685" t="str">
        <f ca="1">TRIM(Sales_fact[[#This Row],[Store_ID]])</f>
        <v>STORE1</v>
      </c>
      <c r="F685">
        <v>3</v>
      </c>
      <c r="G685">
        <f>IF(ISBLANK(F685),MODE($F$2:$F$2001),F685)</f>
        <v>3</v>
      </c>
      <c r="H685">
        <v>401.42</v>
      </c>
      <c r="I685">
        <f>IF(ISBLANK(H685),AVERAGE($H$2:$H$2001),H685)</f>
        <v>401.42</v>
      </c>
      <c r="J685">
        <v>0.01</v>
      </c>
      <c r="K685">
        <f>IF(ISBLANK(J685),MODE($J$2:$J$2001),J685)</f>
        <v>0.01</v>
      </c>
      <c r="L685" t="s">
        <v>1829</v>
      </c>
      <c r="M685">
        <v>1192.2174</v>
      </c>
      <c r="N685">
        <f t="shared" si="10"/>
        <v>1192.2174</v>
      </c>
      <c r="O685" t="str">
        <f>_xlfn.XLOOKUP(Sales_fact[[#This Row],[Customer_ID]],'Customer_Dim'!A:A,'Customer_Dim'!K:K,"Not Found")</f>
        <v>Gold</v>
      </c>
      <c r="P685">
        <f>_xlfn.XLOOKUP(Sales_fact[[#This Row],[Customer_ID]],'Customer_Dim'!A:A, 'Customer_Dim'!E:E, "Not Found")</f>
        <v>41</v>
      </c>
      <c r="Q685" t="str">
        <f>VLOOKUP(Sales_fact[[#This Row],[Customer_ID]], 'Customer_Dim'!A:F, 6, FALSE)</f>
        <v>Male</v>
      </c>
      <c r="R685" s="13" t="str">
        <f>_xlfn.XLOOKUP(Sales_fact[[#This Row],[Product_ID]],Product_Dim!A:A,Product_Dim!C:C,"OTHERS")</f>
        <v>Sports</v>
      </c>
    </row>
    <row r="686" spans="1:18" x14ac:dyDescent="0.3">
      <c r="A686" t="s">
        <v>2510</v>
      </c>
      <c r="B686" s="2">
        <v>45907</v>
      </c>
      <c r="C686" t="s">
        <v>631</v>
      </c>
      <c r="D686" t="s">
        <v>1640</v>
      </c>
      <c r="E686" t="str">
        <f ca="1">TRIM(Sales_fact[[#This Row],[Store_ID]])</f>
        <v>STORE8</v>
      </c>
      <c r="F686">
        <v>4</v>
      </c>
      <c r="G686">
        <f>IF(ISBLANK(F686),MODE($F$2:$F$2001),F686)</f>
        <v>4</v>
      </c>
      <c r="H686">
        <v>442.54</v>
      </c>
      <c r="I686">
        <f>IF(ISBLANK(H686),AVERAGE($H$2:$H$2001),H686)</f>
        <v>442.54</v>
      </c>
      <c r="J686">
        <v>0.06</v>
      </c>
      <c r="K686">
        <f>IF(ISBLANK(J686),MODE($J$2:$J$2001),J686)</f>
        <v>0.06</v>
      </c>
      <c r="L686" t="s">
        <v>1824</v>
      </c>
      <c r="M686">
        <v>1663.9503999999999</v>
      </c>
      <c r="N686">
        <f t="shared" si="10"/>
        <v>1663.9503999999999</v>
      </c>
      <c r="O686" t="str">
        <f>_xlfn.XLOOKUP(Sales_fact[[#This Row],[Customer_ID]],'Customer_Dim'!A:A,'Customer_Dim'!K:K,"Not Found")</f>
        <v>Gold</v>
      </c>
      <c r="P686">
        <f>_xlfn.XLOOKUP(Sales_fact[[#This Row],[Customer_ID]],'Customer_Dim'!A:A, 'Customer_Dim'!E:E, "Not Found")</f>
        <v>26</v>
      </c>
      <c r="Q686" t="str">
        <f>VLOOKUP(Sales_fact[[#This Row],[Customer_ID]], 'Customer_Dim'!A:F, 6, FALSE)</f>
        <v>Male</v>
      </c>
      <c r="R686" s="13" t="str">
        <f>_xlfn.XLOOKUP(Sales_fact[[#This Row],[Product_ID]],Product_Dim!A:A,Product_Dim!C:C,"OTHERS")</f>
        <v>Clothing</v>
      </c>
    </row>
    <row r="687" spans="1:18" x14ac:dyDescent="0.3">
      <c r="A687" t="s">
        <v>2511</v>
      </c>
      <c r="B687" s="2">
        <v>45270</v>
      </c>
      <c r="C687" t="s">
        <v>1408</v>
      </c>
      <c r="D687" t="s">
        <v>1724</v>
      </c>
      <c r="E687" t="str">
        <f ca="1">TRIM(Sales_fact[[#This Row],[Store_ID]])</f>
        <v>STORE13</v>
      </c>
      <c r="F687">
        <v>4</v>
      </c>
      <c r="G687">
        <f>IF(ISBLANK(F687),MODE($F$2:$F$2001),F687)</f>
        <v>4</v>
      </c>
      <c r="H687">
        <v>451.41</v>
      </c>
      <c r="I687">
        <f>IF(ISBLANK(H687),AVERAGE($H$2:$H$2001),H687)</f>
        <v>451.41</v>
      </c>
      <c r="J687">
        <v>0.06</v>
      </c>
      <c r="K687">
        <f>IF(ISBLANK(J687),MODE($J$2:$J$2001),J687)</f>
        <v>0.06</v>
      </c>
      <c r="L687" t="s">
        <v>1826</v>
      </c>
      <c r="M687">
        <v>1697.3016</v>
      </c>
      <c r="N687">
        <f t="shared" si="10"/>
        <v>1697.3016</v>
      </c>
      <c r="O687" t="str">
        <f>_xlfn.XLOOKUP(Sales_fact[[#This Row],[Customer_ID]],'Customer_Dim'!A:A,'Customer_Dim'!K:K,"Not Found")</f>
        <v>Gold</v>
      </c>
      <c r="P687">
        <f>_xlfn.XLOOKUP(Sales_fact[[#This Row],[Customer_ID]],'Customer_Dim'!A:A, 'Customer_Dim'!E:E, "Not Found")</f>
        <v>59</v>
      </c>
      <c r="Q687" t="str">
        <f>VLOOKUP(Sales_fact[[#This Row],[Customer_ID]], 'Customer_Dim'!A:F, 6, FALSE)</f>
        <v>Female</v>
      </c>
      <c r="R687" s="13" t="str">
        <f>_xlfn.XLOOKUP(Sales_fact[[#This Row],[Product_ID]],Product_Dim!A:A,Product_Dim!C:C,"OTHERS")</f>
        <v>Sports</v>
      </c>
    </row>
    <row r="688" spans="1:18" x14ac:dyDescent="0.3">
      <c r="A688" t="s">
        <v>2512</v>
      </c>
      <c r="B688" s="2">
        <v>45942</v>
      </c>
      <c r="C688" t="s">
        <v>846</v>
      </c>
      <c r="D688" t="s">
        <v>1730</v>
      </c>
      <c r="E688" t="str">
        <f ca="1">TRIM(Sales_fact[[#This Row],[Store_ID]])</f>
        <v>STORE9</v>
      </c>
      <c r="F688">
        <v>4</v>
      </c>
      <c r="G688">
        <f>IF(ISBLANK(F688),MODE($F$2:$F$2001),F688)</f>
        <v>4</v>
      </c>
      <c r="H688">
        <v>547.21</v>
      </c>
      <c r="I688">
        <f>IF(ISBLANK(H688),AVERAGE($H$2:$H$2001),H688)</f>
        <v>547.21</v>
      </c>
      <c r="J688">
        <v>0.25</v>
      </c>
      <c r="K688">
        <f>IF(ISBLANK(J688),MODE($J$2:$J$2001),J688)</f>
        <v>0.25</v>
      </c>
      <c r="L688" t="s">
        <v>1824</v>
      </c>
      <c r="M688">
        <v>1641.63</v>
      </c>
      <c r="N688">
        <f t="shared" si="10"/>
        <v>1641.63</v>
      </c>
      <c r="O688" t="str">
        <f>_xlfn.XLOOKUP(Sales_fact[[#This Row],[Customer_ID]],'Customer_Dim'!A:A,'Customer_Dim'!K:K,"Not Found")</f>
        <v>Silver</v>
      </c>
      <c r="P688">
        <f>_xlfn.XLOOKUP(Sales_fact[[#This Row],[Customer_ID]],'Customer_Dim'!A:A, 'Customer_Dim'!E:E, "Not Found")</f>
        <v>38</v>
      </c>
      <c r="Q688" t="str">
        <f>VLOOKUP(Sales_fact[[#This Row],[Customer_ID]], 'Customer_Dim'!A:F, 6, FALSE)</f>
        <v>Male</v>
      </c>
      <c r="R688" s="13" t="str">
        <f>_xlfn.XLOOKUP(Sales_fact[[#This Row],[Product_ID]],Product_Dim!A:A,Product_Dim!C:C,"OTHERS")</f>
        <v>Clothing</v>
      </c>
    </row>
    <row r="689" spans="1:18" x14ac:dyDescent="0.3">
      <c r="A689" t="s">
        <v>2513</v>
      </c>
      <c r="B689" s="2">
        <v>45750</v>
      </c>
      <c r="C689" t="s">
        <v>663</v>
      </c>
      <c r="D689" t="s">
        <v>1722</v>
      </c>
      <c r="E689" t="str">
        <f ca="1">TRIM(Sales_fact[[#This Row],[Store_ID]])</f>
        <v>STORE4</v>
      </c>
      <c r="F689">
        <v>1</v>
      </c>
      <c r="G689">
        <f>IF(ISBLANK(F689),MODE($F$2:$F$2001),F689)</f>
        <v>1</v>
      </c>
      <c r="H689">
        <v>979.28</v>
      </c>
      <c r="I689">
        <f>IF(ISBLANK(H689),AVERAGE($H$2:$H$2001),H689)</f>
        <v>979.28</v>
      </c>
      <c r="J689">
        <v>0.2</v>
      </c>
      <c r="K689">
        <f>IF(ISBLANK(J689),MODE($J$2:$J$2001),J689)</f>
        <v>0.2</v>
      </c>
      <c r="L689" t="s">
        <v>1826</v>
      </c>
      <c r="M689">
        <v>783.42399999999998</v>
      </c>
      <c r="N689">
        <f t="shared" si="10"/>
        <v>783.42399999999998</v>
      </c>
      <c r="O689" t="str">
        <f>_xlfn.XLOOKUP(Sales_fact[[#This Row],[Customer_ID]],'Customer_Dim'!A:A,'Customer_Dim'!K:K,"Not Found")</f>
        <v>Platinum</v>
      </c>
      <c r="P689">
        <f>_xlfn.XLOOKUP(Sales_fact[[#This Row],[Customer_ID]],'Customer_Dim'!A:A, 'Customer_Dim'!E:E, "Not Found")</f>
        <v>47</v>
      </c>
      <c r="Q689" t="str">
        <f>VLOOKUP(Sales_fact[[#This Row],[Customer_ID]], 'Customer_Dim'!A:F, 6, FALSE)</f>
        <v>Male</v>
      </c>
      <c r="R689" s="13" t="str">
        <f>_xlfn.XLOOKUP(Sales_fact[[#This Row],[Product_ID]],Product_Dim!A:A,Product_Dim!C:C,"OTHERS")</f>
        <v>Home</v>
      </c>
    </row>
    <row r="690" spans="1:18" x14ac:dyDescent="0.3">
      <c r="A690" t="s">
        <v>2514</v>
      </c>
      <c r="B690" s="2">
        <v>45300</v>
      </c>
      <c r="C690" t="s">
        <v>1431</v>
      </c>
      <c r="D690" t="s">
        <v>1660</v>
      </c>
      <c r="E690" t="str">
        <f ca="1">TRIM(Sales_fact[[#This Row],[Store_ID]])</f>
        <v>STORE7</v>
      </c>
      <c r="F690">
        <v>4</v>
      </c>
      <c r="G690">
        <f>IF(ISBLANK(F690),MODE($F$2:$F$2001),F690)</f>
        <v>4</v>
      </c>
      <c r="H690">
        <v>263.58999999999997</v>
      </c>
      <c r="I690">
        <f>IF(ISBLANK(H690),AVERAGE($H$2:$H$2001),H690)</f>
        <v>263.58999999999997</v>
      </c>
      <c r="J690">
        <v>0.04</v>
      </c>
      <c r="K690">
        <f>IF(ISBLANK(J690),MODE($J$2:$J$2001),J690)</f>
        <v>0.04</v>
      </c>
      <c r="L690" t="s">
        <v>1824</v>
      </c>
      <c r="M690">
        <v>1012.1856</v>
      </c>
      <c r="N690">
        <f t="shared" si="10"/>
        <v>1012.1855999999999</v>
      </c>
      <c r="O690" t="str">
        <f>_xlfn.XLOOKUP(Sales_fact[[#This Row],[Customer_ID]],'Customer_Dim'!A:A,'Customer_Dim'!K:K,"Not Found")</f>
        <v>Not Found</v>
      </c>
      <c r="P690" t="str">
        <f>_xlfn.XLOOKUP(Sales_fact[[#This Row],[Customer_ID]],'Customer_Dim'!A:A, 'Customer_Dim'!E:E, "Not Found")</f>
        <v>Not Found</v>
      </c>
      <c r="Q690" t="e">
        <f>VLOOKUP(Sales_fact[[#This Row],[Customer_ID]], 'Customer_Dim'!A:F, 6, FALSE)</f>
        <v>#N/A</v>
      </c>
      <c r="R690" s="13" t="str">
        <f>_xlfn.XLOOKUP(Sales_fact[[#This Row],[Product_ID]],Product_Dim!A:A,Product_Dim!C:C,"OTHERS")</f>
        <v>Home</v>
      </c>
    </row>
    <row r="691" spans="1:18" x14ac:dyDescent="0.3">
      <c r="A691" t="s">
        <v>2515</v>
      </c>
      <c r="B691" s="2">
        <v>45876</v>
      </c>
      <c r="C691" t="s">
        <v>20</v>
      </c>
      <c r="D691" t="s">
        <v>1656</v>
      </c>
      <c r="E691" t="str">
        <f ca="1">TRIM(Sales_fact[[#This Row],[Store_ID]])</f>
        <v>STORE5</v>
      </c>
      <c r="F691">
        <v>1</v>
      </c>
      <c r="G691">
        <f>IF(ISBLANK(F691),MODE($F$2:$F$2001),F691)</f>
        <v>1</v>
      </c>
      <c r="H691">
        <v>692.75</v>
      </c>
      <c r="I691">
        <f>IF(ISBLANK(H691),AVERAGE($H$2:$H$2001),H691)</f>
        <v>692.75</v>
      </c>
      <c r="J691">
        <v>0.11</v>
      </c>
      <c r="K691">
        <f>IF(ISBLANK(J691),MODE($J$2:$J$2001),J691)</f>
        <v>0.11</v>
      </c>
      <c r="L691" t="s">
        <v>1829</v>
      </c>
      <c r="M691">
        <v>616.54750000000001</v>
      </c>
      <c r="N691">
        <f t="shared" si="10"/>
        <v>616.54750000000001</v>
      </c>
      <c r="O691" t="str">
        <f>_xlfn.XLOOKUP(Sales_fact[[#This Row],[Customer_ID]],'Customer_Dim'!A:A,'Customer_Dim'!K:K,"Not Found")</f>
        <v>Platinum</v>
      </c>
      <c r="P691">
        <f>_xlfn.XLOOKUP(Sales_fact[[#This Row],[Customer_ID]],'Customer_Dim'!A:A, 'Customer_Dim'!E:E, "Not Found")</f>
        <v>29</v>
      </c>
      <c r="Q691" t="str">
        <f>VLOOKUP(Sales_fact[[#This Row],[Customer_ID]], 'Customer_Dim'!A:F, 6, FALSE)</f>
        <v>Female</v>
      </c>
      <c r="R691" s="13" t="str">
        <f>_xlfn.XLOOKUP(Sales_fact[[#This Row],[Product_ID]],Product_Dim!A:A,Product_Dim!C:C,"OTHERS")</f>
        <v>Sports</v>
      </c>
    </row>
    <row r="692" spans="1:18" x14ac:dyDescent="0.3">
      <c r="A692" t="s">
        <v>2516</v>
      </c>
      <c r="B692" s="2">
        <v>45301</v>
      </c>
      <c r="C692" t="s">
        <v>544</v>
      </c>
      <c r="D692" t="s">
        <v>1674</v>
      </c>
      <c r="E692" t="str">
        <f ca="1">TRIM(Sales_fact[[#This Row],[Store_ID]])</f>
        <v>STORE3</v>
      </c>
      <c r="F692">
        <v>3</v>
      </c>
      <c r="G692">
        <f>IF(ISBLANK(F692),MODE($F$2:$F$2001),F692)</f>
        <v>3</v>
      </c>
      <c r="H692">
        <v>142.83000000000001</v>
      </c>
      <c r="I692">
        <f>IF(ISBLANK(H692),AVERAGE($H$2:$H$2001),H692)</f>
        <v>142.83000000000001</v>
      </c>
      <c r="J692">
        <v>0.01</v>
      </c>
      <c r="K692">
        <f>IF(ISBLANK(J692),MODE($J$2:$J$2001),J692)</f>
        <v>0.01</v>
      </c>
      <c r="L692" t="s">
        <v>1824</v>
      </c>
      <c r="M692">
        <v>424.20510000000002</v>
      </c>
      <c r="N692">
        <f t="shared" si="10"/>
        <v>424.20510000000002</v>
      </c>
      <c r="O692" t="str">
        <f>_xlfn.XLOOKUP(Sales_fact[[#This Row],[Customer_ID]],'Customer_Dim'!A:A,'Customer_Dim'!K:K,"Not Found")</f>
        <v>Bronze</v>
      </c>
      <c r="P692">
        <f>_xlfn.XLOOKUP(Sales_fact[[#This Row],[Customer_ID]],'Customer_Dim'!A:A, 'Customer_Dim'!E:E, "Not Found")</f>
        <v>21</v>
      </c>
      <c r="Q692" t="str">
        <f>VLOOKUP(Sales_fact[[#This Row],[Customer_ID]], 'Customer_Dim'!A:F, 6, FALSE)</f>
        <v>Male</v>
      </c>
      <c r="R692" s="13" t="str">
        <f>_xlfn.XLOOKUP(Sales_fact[[#This Row],[Product_ID]],Product_Dim!A:A,Product_Dim!C:C,"OTHERS")</f>
        <v>Beauty</v>
      </c>
    </row>
    <row r="693" spans="1:18" x14ac:dyDescent="0.3">
      <c r="A693" t="s">
        <v>2517</v>
      </c>
      <c r="B693" s="2">
        <v>45857</v>
      </c>
      <c r="C693" t="s">
        <v>428</v>
      </c>
      <c r="D693" t="s">
        <v>1592</v>
      </c>
      <c r="E693" t="str">
        <f ca="1">TRIM(Sales_fact[[#This Row],[Store_ID]])</f>
        <v>STORE2</v>
      </c>
      <c r="F693">
        <v>2</v>
      </c>
      <c r="G693">
        <f>IF(ISBLANK(F693),MODE($F$2:$F$2001),F693)</f>
        <v>2</v>
      </c>
      <c r="H693">
        <v>419.25</v>
      </c>
      <c r="I693">
        <f>IF(ISBLANK(H693),AVERAGE($H$2:$H$2001),H693)</f>
        <v>419.25</v>
      </c>
      <c r="J693">
        <v>0.17</v>
      </c>
      <c r="K693">
        <f>IF(ISBLANK(J693),MODE($J$2:$J$2001),J693)</f>
        <v>0.17</v>
      </c>
      <c r="L693" t="s">
        <v>1826</v>
      </c>
      <c r="M693">
        <v>695.95499999999993</v>
      </c>
      <c r="N693">
        <f t="shared" si="10"/>
        <v>695.95499999999993</v>
      </c>
      <c r="O693" t="str">
        <f>_xlfn.XLOOKUP(Sales_fact[[#This Row],[Customer_ID]],'Customer_Dim'!A:A,'Customer_Dim'!K:K,"Not Found")</f>
        <v>Bronze</v>
      </c>
      <c r="P693">
        <f>_xlfn.XLOOKUP(Sales_fact[[#This Row],[Customer_ID]],'Customer_Dim'!A:A, 'Customer_Dim'!E:E, "Not Found")</f>
        <v>26</v>
      </c>
      <c r="Q693" t="str">
        <f>VLOOKUP(Sales_fact[[#This Row],[Customer_ID]], 'Customer_Dim'!A:F, 6, FALSE)</f>
        <v>Male</v>
      </c>
      <c r="R693" s="13" t="str">
        <f>_xlfn.XLOOKUP(Sales_fact[[#This Row],[Product_ID]],Product_Dim!A:A,Product_Dim!C:C,"OTHERS")</f>
        <v>Sports</v>
      </c>
    </row>
    <row r="694" spans="1:18" x14ac:dyDescent="0.3">
      <c r="A694" t="s">
        <v>2518</v>
      </c>
      <c r="B694" s="2">
        <v>45650</v>
      </c>
      <c r="C694" t="s">
        <v>770</v>
      </c>
      <c r="D694" t="s">
        <v>1600</v>
      </c>
      <c r="E694" t="str">
        <f ca="1">TRIM(Sales_fact[[#This Row],[Store_ID]])</f>
        <v>STORE19</v>
      </c>
      <c r="F694">
        <v>2</v>
      </c>
      <c r="G694">
        <f>IF(ISBLANK(F694),MODE($F$2:$F$2001),F694)</f>
        <v>2</v>
      </c>
      <c r="H694">
        <v>800.84</v>
      </c>
      <c r="I694">
        <f>IF(ISBLANK(H694),AVERAGE($H$2:$H$2001),H694)</f>
        <v>800.84</v>
      </c>
      <c r="J694">
        <v>0.27</v>
      </c>
      <c r="K694">
        <f>IF(ISBLANK(J694),MODE($J$2:$J$2001),J694)</f>
        <v>0.27</v>
      </c>
      <c r="L694" t="s">
        <v>1829</v>
      </c>
      <c r="M694">
        <v>1169.2264</v>
      </c>
      <c r="N694">
        <f t="shared" si="10"/>
        <v>1169.2264</v>
      </c>
      <c r="O694" t="str">
        <f>_xlfn.XLOOKUP(Sales_fact[[#This Row],[Customer_ID]],'Customer_Dim'!A:A,'Customer_Dim'!K:K,"Not Found")</f>
        <v>Platinum</v>
      </c>
      <c r="P694">
        <f>_xlfn.XLOOKUP(Sales_fact[[#This Row],[Customer_ID]],'Customer_Dim'!A:A, 'Customer_Dim'!E:E, "Not Found")</f>
        <v>59</v>
      </c>
      <c r="Q694" t="str">
        <f>VLOOKUP(Sales_fact[[#This Row],[Customer_ID]], 'Customer_Dim'!A:F, 6, FALSE)</f>
        <v>Female</v>
      </c>
      <c r="R694" s="13" t="str">
        <f>_xlfn.XLOOKUP(Sales_fact[[#This Row],[Product_ID]],Product_Dim!A:A,Product_Dim!C:C,"OTHERS")</f>
        <v>Electronics</v>
      </c>
    </row>
    <row r="695" spans="1:18" x14ac:dyDescent="0.3">
      <c r="A695" t="s">
        <v>2519</v>
      </c>
      <c r="B695" s="2">
        <v>45520</v>
      </c>
      <c r="C695" t="s">
        <v>14</v>
      </c>
      <c r="D695" t="s">
        <v>1644</v>
      </c>
      <c r="E695" t="str">
        <f ca="1">TRIM(Sales_fact[[#This Row],[Store_ID]])</f>
        <v>STORE2</v>
      </c>
      <c r="F695">
        <v>1</v>
      </c>
      <c r="G695">
        <f>IF(ISBLANK(F695),MODE($F$2:$F$2001),F695)</f>
        <v>1</v>
      </c>
      <c r="H695">
        <v>301.24</v>
      </c>
      <c r="I695">
        <f>IF(ISBLANK(H695),AVERAGE($H$2:$H$2001),H695)</f>
        <v>301.24</v>
      </c>
      <c r="J695">
        <v>0.11</v>
      </c>
      <c r="K695">
        <f>IF(ISBLANK(J695),MODE($J$2:$J$2001),J695)</f>
        <v>0.11</v>
      </c>
      <c r="L695" t="s">
        <v>1826</v>
      </c>
      <c r="M695">
        <v>268.10359999999997</v>
      </c>
      <c r="N695">
        <f t="shared" si="10"/>
        <v>268.10360000000003</v>
      </c>
      <c r="O695" t="str">
        <f>_xlfn.XLOOKUP(Sales_fact[[#This Row],[Customer_ID]],'Customer_Dim'!A:A,'Customer_Dim'!K:K,"Not Found")</f>
        <v>Platinum</v>
      </c>
      <c r="P695">
        <f>_xlfn.XLOOKUP(Sales_fact[[#This Row],[Customer_ID]],'Customer_Dim'!A:A, 'Customer_Dim'!E:E, "Not Found")</f>
        <v>26</v>
      </c>
      <c r="Q695" t="str">
        <f>VLOOKUP(Sales_fact[[#This Row],[Customer_ID]], 'Customer_Dim'!A:F, 6, FALSE)</f>
        <v>Female</v>
      </c>
      <c r="R695" s="13" t="str">
        <f>_xlfn.XLOOKUP(Sales_fact[[#This Row],[Product_ID]],Product_Dim!A:A,Product_Dim!C:C,"OTHERS")</f>
        <v>Electronics</v>
      </c>
    </row>
    <row r="696" spans="1:18" x14ac:dyDescent="0.3">
      <c r="A696" t="s">
        <v>2520</v>
      </c>
      <c r="B696" s="2">
        <v>45497</v>
      </c>
      <c r="C696" t="s">
        <v>914</v>
      </c>
      <c r="D696" t="s">
        <v>1718</v>
      </c>
      <c r="E696" t="str">
        <f ca="1">TRIM(Sales_fact[[#This Row],[Store_ID]])</f>
        <v>STORE5</v>
      </c>
      <c r="F696">
        <v>2</v>
      </c>
      <c r="G696">
        <f>IF(ISBLANK(F696),MODE($F$2:$F$2001),F696)</f>
        <v>2</v>
      </c>
      <c r="H696">
        <v>701.49</v>
      </c>
      <c r="I696">
        <f>IF(ISBLANK(H696),AVERAGE($H$2:$H$2001),H696)</f>
        <v>701.49</v>
      </c>
      <c r="J696">
        <v>0.09</v>
      </c>
      <c r="K696">
        <f>IF(ISBLANK(J696),MODE($J$2:$J$2001),J696)</f>
        <v>0.09</v>
      </c>
      <c r="L696" t="s">
        <v>1826</v>
      </c>
      <c r="M696">
        <v>1276.7118</v>
      </c>
      <c r="N696">
        <f t="shared" si="10"/>
        <v>1276.7118</v>
      </c>
      <c r="O696" t="str">
        <f>_xlfn.XLOOKUP(Sales_fact[[#This Row],[Customer_ID]],'Customer_Dim'!A:A,'Customer_Dim'!K:K,"Not Found")</f>
        <v>Gold</v>
      </c>
      <c r="P696">
        <f>_xlfn.XLOOKUP(Sales_fact[[#This Row],[Customer_ID]],'Customer_Dim'!A:A, 'Customer_Dim'!E:E, "Not Found")</f>
        <v>58</v>
      </c>
      <c r="Q696" t="str">
        <f>VLOOKUP(Sales_fact[[#This Row],[Customer_ID]], 'Customer_Dim'!A:F, 6, FALSE)</f>
        <v>Male</v>
      </c>
      <c r="R696" s="13" t="str">
        <f>_xlfn.XLOOKUP(Sales_fact[[#This Row],[Product_ID]],Product_Dim!A:A,Product_Dim!C:C,"OTHERS")</f>
        <v>Clothing</v>
      </c>
    </row>
    <row r="697" spans="1:18" x14ac:dyDescent="0.3">
      <c r="A697" t="s">
        <v>2521</v>
      </c>
      <c r="B697" s="2">
        <v>45615</v>
      </c>
      <c r="C697" t="s">
        <v>1101</v>
      </c>
      <c r="D697" t="s">
        <v>1600</v>
      </c>
      <c r="E697" t="str">
        <f ca="1">TRIM(Sales_fact[[#This Row],[Store_ID]])</f>
        <v>STORE10</v>
      </c>
      <c r="F697">
        <v>4</v>
      </c>
      <c r="G697">
        <f>IF(ISBLANK(F697),MODE($F$2:$F$2001),F697)</f>
        <v>4</v>
      </c>
      <c r="H697">
        <v>413.48</v>
      </c>
      <c r="I697">
        <f>IF(ISBLANK(H697),AVERAGE($H$2:$H$2001),H697)</f>
        <v>413.48</v>
      </c>
      <c r="J697">
        <v>0.02</v>
      </c>
      <c r="K697">
        <f>IF(ISBLANK(J697),MODE($J$2:$J$2001),J697)</f>
        <v>0.02</v>
      </c>
      <c r="L697" t="s">
        <v>1826</v>
      </c>
      <c r="M697">
        <v>1620.8416</v>
      </c>
      <c r="N697">
        <f t="shared" si="10"/>
        <v>1620.8416</v>
      </c>
      <c r="O697" t="str">
        <f>_xlfn.XLOOKUP(Sales_fact[[#This Row],[Customer_ID]],'Customer_Dim'!A:A,'Customer_Dim'!K:K,"Not Found")</f>
        <v>Bronze</v>
      </c>
      <c r="P697">
        <f>_xlfn.XLOOKUP(Sales_fact[[#This Row],[Customer_ID]],'Customer_Dim'!A:A, 'Customer_Dim'!E:E, "Not Found")</f>
        <v>25</v>
      </c>
      <c r="Q697" t="str">
        <f>VLOOKUP(Sales_fact[[#This Row],[Customer_ID]], 'Customer_Dim'!A:F, 6, FALSE)</f>
        <v>Female</v>
      </c>
      <c r="R697" s="13" t="str">
        <f>_xlfn.XLOOKUP(Sales_fact[[#This Row],[Product_ID]],Product_Dim!A:A,Product_Dim!C:C,"OTHERS")</f>
        <v>Electronics</v>
      </c>
    </row>
    <row r="698" spans="1:18" x14ac:dyDescent="0.3">
      <c r="A698" t="s">
        <v>2522</v>
      </c>
      <c r="B698" s="2">
        <v>45365</v>
      </c>
      <c r="C698" t="s">
        <v>646</v>
      </c>
      <c r="D698" t="s">
        <v>1562</v>
      </c>
      <c r="E698" t="str">
        <f ca="1">TRIM(Sales_fact[[#This Row],[Store_ID]])</f>
        <v>STORE1</v>
      </c>
      <c r="F698">
        <v>4</v>
      </c>
      <c r="G698">
        <f>IF(ISBLANK(F698),MODE($F$2:$F$2001),F698)</f>
        <v>4</v>
      </c>
      <c r="H698">
        <v>167.83</v>
      </c>
      <c r="I698">
        <f>IF(ISBLANK(H698),AVERAGE($H$2:$H$2001),H698)</f>
        <v>167.83</v>
      </c>
      <c r="J698">
        <v>0.15</v>
      </c>
      <c r="K698">
        <f>IF(ISBLANK(J698),MODE($J$2:$J$2001),J698)</f>
        <v>0.15</v>
      </c>
      <c r="L698" t="s">
        <v>1824</v>
      </c>
      <c r="M698">
        <v>570.62200000000007</v>
      </c>
      <c r="N698">
        <f t="shared" si="10"/>
        <v>570.62200000000007</v>
      </c>
      <c r="O698" t="str">
        <f>_xlfn.XLOOKUP(Sales_fact[[#This Row],[Customer_ID]],'Customer_Dim'!A:A,'Customer_Dim'!K:K,"Not Found")</f>
        <v>Platinum</v>
      </c>
      <c r="P698">
        <f>_xlfn.XLOOKUP(Sales_fact[[#This Row],[Customer_ID]],'Customer_Dim'!A:A, 'Customer_Dim'!E:E, "Not Found")</f>
        <v>45</v>
      </c>
      <c r="Q698" t="str">
        <f>VLOOKUP(Sales_fact[[#This Row],[Customer_ID]], 'Customer_Dim'!A:F, 6, FALSE)</f>
        <v>Female</v>
      </c>
      <c r="R698" s="13" t="str">
        <f>_xlfn.XLOOKUP(Sales_fact[[#This Row],[Product_ID]],Product_Dim!A:A,Product_Dim!C:C,"OTHERS")</f>
        <v>Electronics</v>
      </c>
    </row>
    <row r="699" spans="1:18" x14ac:dyDescent="0.3">
      <c r="A699" t="s">
        <v>2523</v>
      </c>
      <c r="B699" s="2">
        <v>45832</v>
      </c>
      <c r="C699" t="s">
        <v>472</v>
      </c>
      <c r="D699" t="s">
        <v>1578</v>
      </c>
      <c r="E699" t="str">
        <f ca="1">TRIM(Sales_fact[[#This Row],[Store_ID]])</f>
        <v>STORE18</v>
      </c>
      <c r="F699">
        <v>2</v>
      </c>
      <c r="G699">
        <f>IF(ISBLANK(F699),MODE($F$2:$F$2001),F699)</f>
        <v>2</v>
      </c>
      <c r="H699">
        <v>669.12</v>
      </c>
      <c r="I699">
        <f>IF(ISBLANK(H699),AVERAGE($H$2:$H$2001),H699)</f>
        <v>669.12</v>
      </c>
      <c r="J699">
        <v>0.22</v>
      </c>
      <c r="K699">
        <f>IF(ISBLANK(J699),MODE($J$2:$J$2001),J699)</f>
        <v>0.22</v>
      </c>
      <c r="L699" t="s">
        <v>1824</v>
      </c>
      <c r="M699">
        <v>1043.8271999999999</v>
      </c>
      <c r="N699">
        <f t="shared" si="10"/>
        <v>1043.8271999999999</v>
      </c>
      <c r="O699" t="str">
        <f>_xlfn.XLOOKUP(Sales_fact[[#This Row],[Customer_ID]],'Customer_Dim'!A:A,'Customer_Dim'!K:K,"Not Found")</f>
        <v>Bronze</v>
      </c>
      <c r="P699">
        <f>_xlfn.XLOOKUP(Sales_fact[[#This Row],[Customer_ID]],'Customer_Dim'!A:A, 'Customer_Dim'!E:E, "Not Found")</f>
        <v>32</v>
      </c>
      <c r="Q699" t="str">
        <f>VLOOKUP(Sales_fact[[#This Row],[Customer_ID]], 'Customer_Dim'!A:F, 6, FALSE)</f>
        <v>Male</v>
      </c>
      <c r="R699" s="13" t="str">
        <f>_xlfn.XLOOKUP(Sales_fact[[#This Row],[Product_ID]],Product_Dim!A:A,Product_Dim!C:C,"OTHERS")</f>
        <v>Electronics</v>
      </c>
    </row>
    <row r="700" spans="1:18" x14ac:dyDescent="0.3">
      <c r="A700" t="s">
        <v>2524</v>
      </c>
      <c r="B700" s="2">
        <v>45530</v>
      </c>
      <c r="C700" t="s">
        <v>153</v>
      </c>
      <c r="D700" t="s">
        <v>1622</v>
      </c>
      <c r="E700" t="str">
        <f ca="1">TRIM(Sales_fact[[#This Row],[Store_ID]])</f>
        <v>STORE7</v>
      </c>
      <c r="F700">
        <v>3</v>
      </c>
      <c r="G700">
        <f>IF(ISBLANK(F700),MODE($F$2:$F$2001),F700)</f>
        <v>3</v>
      </c>
      <c r="H700">
        <v>346.77</v>
      </c>
      <c r="I700">
        <f>IF(ISBLANK(H700),AVERAGE($H$2:$H$2001),H700)</f>
        <v>346.77</v>
      </c>
      <c r="J700">
        <v>0.18</v>
      </c>
      <c r="K700">
        <f>IF(ISBLANK(J700),MODE($J$2:$J$2001),J700)</f>
        <v>0.18</v>
      </c>
      <c r="L700" t="s">
        <v>1826</v>
      </c>
      <c r="M700">
        <v>853.05420000000004</v>
      </c>
      <c r="N700">
        <f t="shared" si="10"/>
        <v>853.05420000000004</v>
      </c>
      <c r="O700" t="str">
        <f>_xlfn.XLOOKUP(Sales_fact[[#This Row],[Customer_ID]],'Customer_Dim'!A:A,'Customer_Dim'!K:K,"Not Found")</f>
        <v>Gold</v>
      </c>
      <c r="P700">
        <f>_xlfn.XLOOKUP(Sales_fact[[#This Row],[Customer_ID]],'Customer_Dim'!A:A, 'Customer_Dim'!E:E, "Not Found")</f>
        <v>55</v>
      </c>
      <c r="Q700" t="str">
        <f>VLOOKUP(Sales_fact[[#This Row],[Customer_ID]], 'Customer_Dim'!A:F, 6, FALSE)</f>
        <v>Female</v>
      </c>
      <c r="R700" s="13" t="str">
        <f>_xlfn.XLOOKUP(Sales_fact[[#This Row],[Product_ID]],Product_Dim!A:A,Product_Dim!C:C,"OTHERS")</f>
        <v>Clothing</v>
      </c>
    </row>
    <row r="701" spans="1:18" x14ac:dyDescent="0.3">
      <c r="A701" t="s">
        <v>2525</v>
      </c>
      <c r="B701" s="2">
        <v>45939</v>
      </c>
      <c r="C701" t="s">
        <v>221</v>
      </c>
      <c r="D701" t="s">
        <v>1594</v>
      </c>
      <c r="E701" t="str">
        <f ca="1">TRIM(Sales_fact[[#This Row],[Store_ID]])</f>
        <v>STORE19</v>
      </c>
      <c r="F701">
        <v>3</v>
      </c>
      <c r="G701">
        <f>IF(ISBLANK(F701),MODE($F$2:$F$2001),F701)</f>
        <v>3</v>
      </c>
      <c r="H701">
        <v>648.33000000000004</v>
      </c>
      <c r="I701">
        <f>IF(ISBLANK(H701),AVERAGE($H$2:$H$2001),H701)</f>
        <v>648.33000000000004</v>
      </c>
      <c r="J701">
        <v>0.2</v>
      </c>
      <c r="K701">
        <f>IF(ISBLANK(J701),MODE($J$2:$J$2001),J701)</f>
        <v>0.2</v>
      </c>
      <c r="L701" t="s">
        <v>1829</v>
      </c>
      <c r="M701">
        <v>1555.992</v>
      </c>
      <c r="N701">
        <f t="shared" si="10"/>
        <v>1555.9920000000002</v>
      </c>
      <c r="O701" t="str">
        <f>_xlfn.XLOOKUP(Sales_fact[[#This Row],[Customer_ID]],'Customer_Dim'!A:A,'Customer_Dim'!K:K,"Not Found")</f>
        <v>Platinum</v>
      </c>
      <c r="P701">
        <f>_xlfn.XLOOKUP(Sales_fact[[#This Row],[Customer_ID]],'Customer_Dim'!A:A, 'Customer_Dim'!E:E, "Not Found")</f>
        <v>53</v>
      </c>
      <c r="Q701" t="str">
        <f>VLOOKUP(Sales_fact[[#This Row],[Customer_ID]], 'Customer_Dim'!A:F, 6, FALSE)</f>
        <v>Male</v>
      </c>
      <c r="R701" s="13" t="str">
        <f>_xlfn.XLOOKUP(Sales_fact[[#This Row],[Product_ID]],Product_Dim!A:A,Product_Dim!C:C,"OTHERS")</f>
        <v>Clothing</v>
      </c>
    </row>
    <row r="702" spans="1:18" x14ac:dyDescent="0.3">
      <c r="A702" t="s">
        <v>2526</v>
      </c>
      <c r="B702" s="2">
        <v>45401</v>
      </c>
      <c r="C702" t="s">
        <v>905</v>
      </c>
      <c r="D702" t="s">
        <v>1557</v>
      </c>
      <c r="E702" t="str">
        <f ca="1">TRIM(Sales_fact[[#This Row],[Store_ID]])</f>
        <v>STORE2</v>
      </c>
      <c r="F702">
        <v>4</v>
      </c>
      <c r="G702">
        <f>IF(ISBLANK(F702),MODE($F$2:$F$2001),F702)</f>
        <v>4</v>
      </c>
      <c r="H702">
        <v>254.94</v>
      </c>
      <c r="I702">
        <f>IF(ISBLANK(H702),AVERAGE($H$2:$H$2001),H702)</f>
        <v>254.94</v>
      </c>
      <c r="J702">
        <v>0.06</v>
      </c>
      <c r="K702">
        <f>IF(ISBLANK(J702),MODE($J$2:$J$2001),J702)</f>
        <v>0.06</v>
      </c>
      <c r="L702" t="s">
        <v>1826</v>
      </c>
      <c r="M702">
        <v>958.57439999999997</v>
      </c>
      <c r="N702">
        <f t="shared" si="10"/>
        <v>958.57439999999997</v>
      </c>
      <c r="O702" t="str">
        <f>_xlfn.XLOOKUP(Sales_fact[[#This Row],[Customer_ID]],'Customer_Dim'!A:A,'Customer_Dim'!K:K,"Not Found")</f>
        <v>Silver</v>
      </c>
      <c r="P702">
        <f>_xlfn.XLOOKUP(Sales_fact[[#This Row],[Customer_ID]],'Customer_Dim'!A:A, 'Customer_Dim'!E:E, "Not Found")</f>
        <v>46</v>
      </c>
      <c r="Q702" t="str">
        <f>VLOOKUP(Sales_fact[[#This Row],[Customer_ID]], 'Customer_Dim'!A:F, 6, FALSE)</f>
        <v>Female</v>
      </c>
      <c r="R702" s="13" t="str">
        <f>_xlfn.XLOOKUP(Sales_fact[[#This Row],[Product_ID]],Product_Dim!A:A,Product_Dim!C:C,"OTHERS")</f>
        <v>Beauty</v>
      </c>
    </row>
    <row r="703" spans="1:18" x14ac:dyDescent="0.3">
      <c r="A703" t="s">
        <v>2527</v>
      </c>
      <c r="B703" s="2">
        <v>45420</v>
      </c>
      <c r="C703" t="s">
        <v>1062</v>
      </c>
      <c r="D703" t="s">
        <v>1710</v>
      </c>
      <c r="E703" t="str">
        <f ca="1">TRIM(Sales_fact[[#This Row],[Store_ID]])</f>
        <v>STORE4</v>
      </c>
      <c r="F703">
        <v>1</v>
      </c>
      <c r="G703">
        <f>IF(ISBLANK(F703),MODE($F$2:$F$2001),F703)</f>
        <v>1</v>
      </c>
      <c r="H703">
        <v>445.5</v>
      </c>
      <c r="I703">
        <f>IF(ISBLANK(H703),AVERAGE($H$2:$H$2001),H703)</f>
        <v>445.5</v>
      </c>
      <c r="J703">
        <v>0.28000000000000003</v>
      </c>
      <c r="K703">
        <f>IF(ISBLANK(J703),MODE($J$2:$J$2001),J703)</f>
        <v>0.28000000000000003</v>
      </c>
      <c r="L703" t="s">
        <v>1824</v>
      </c>
      <c r="M703">
        <v>320.76</v>
      </c>
      <c r="N703">
        <f t="shared" si="10"/>
        <v>320.76</v>
      </c>
      <c r="O703" t="str">
        <f>_xlfn.XLOOKUP(Sales_fact[[#This Row],[Customer_ID]],'Customer_Dim'!A:A,'Customer_Dim'!K:K,"Not Found")</f>
        <v>Silver</v>
      </c>
      <c r="P703">
        <f>_xlfn.XLOOKUP(Sales_fact[[#This Row],[Customer_ID]],'Customer_Dim'!A:A, 'Customer_Dim'!E:E, "Not Found")</f>
        <v>46</v>
      </c>
      <c r="Q703" t="str">
        <f>VLOOKUP(Sales_fact[[#This Row],[Customer_ID]], 'Customer_Dim'!A:F, 6, FALSE)</f>
        <v>Female</v>
      </c>
      <c r="R703" s="13" t="str">
        <f>_xlfn.XLOOKUP(Sales_fact[[#This Row],[Product_ID]],Product_Dim!A:A,Product_Dim!C:C,"OTHERS")</f>
        <v>Sports</v>
      </c>
    </row>
    <row r="704" spans="1:18" x14ac:dyDescent="0.3">
      <c r="A704" t="s">
        <v>2528</v>
      </c>
      <c r="B704" s="2">
        <v>45459</v>
      </c>
      <c r="C704" t="s">
        <v>716</v>
      </c>
      <c r="D704" t="s">
        <v>1728</v>
      </c>
      <c r="E704" t="str">
        <f ca="1">TRIM(Sales_fact[[#This Row],[Store_ID]])</f>
        <v>STORE4</v>
      </c>
      <c r="F704">
        <v>1</v>
      </c>
      <c r="G704">
        <f>IF(ISBLANK(F704),MODE($F$2:$F$2001),F704)</f>
        <v>1</v>
      </c>
      <c r="H704">
        <v>900.94</v>
      </c>
      <c r="I704">
        <f>IF(ISBLANK(H704),AVERAGE($H$2:$H$2001),H704)</f>
        <v>900.94</v>
      </c>
      <c r="J704">
        <v>0.1</v>
      </c>
      <c r="K704">
        <f>IF(ISBLANK(J704),MODE($J$2:$J$2001),J704)</f>
        <v>0.1</v>
      </c>
      <c r="L704" t="s">
        <v>1824</v>
      </c>
      <c r="M704">
        <v>810.84600000000012</v>
      </c>
      <c r="N704">
        <f t="shared" si="10"/>
        <v>810.84600000000012</v>
      </c>
      <c r="O704" t="str">
        <f>_xlfn.XLOOKUP(Sales_fact[[#This Row],[Customer_ID]],'Customer_Dim'!A:A,'Customer_Dim'!K:K,"Not Found")</f>
        <v>Platinum</v>
      </c>
      <c r="P704">
        <f>_xlfn.XLOOKUP(Sales_fact[[#This Row],[Customer_ID]],'Customer_Dim'!A:A, 'Customer_Dim'!E:E, "Not Found")</f>
        <v>38</v>
      </c>
      <c r="Q704" t="str">
        <f>VLOOKUP(Sales_fact[[#This Row],[Customer_ID]], 'Customer_Dim'!A:F, 6, FALSE)</f>
        <v>Male</v>
      </c>
      <c r="R704" s="13" t="str">
        <f>_xlfn.XLOOKUP(Sales_fact[[#This Row],[Product_ID]],Product_Dim!A:A,Product_Dim!C:C,"OTHERS")</f>
        <v>Electronics</v>
      </c>
    </row>
    <row r="705" spans="1:18" x14ac:dyDescent="0.3">
      <c r="A705" t="s">
        <v>2529</v>
      </c>
      <c r="B705" s="2">
        <v>45429</v>
      </c>
      <c r="C705" t="s">
        <v>643</v>
      </c>
      <c r="D705" t="s">
        <v>1578</v>
      </c>
      <c r="E705" t="str">
        <f ca="1">TRIM(Sales_fact[[#This Row],[Store_ID]])</f>
        <v>STORE16</v>
      </c>
      <c r="F705">
        <v>3</v>
      </c>
      <c r="G705">
        <f>IF(ISBLANK(F705),MODE($F$2:$F$2001),F705)</f>
        <v>3</v>
      </c>
      <c r="H705">
        <v>262.69</v>
      </c>
      <c r="I705">
        <f>IF(ISBLANK(H705),AVERAGE($H$2:$H$2001),H705)</f>
        <v>262.69</v>
      </c>
      <c r="J705">
        <v>0.04</v>
      </c>
      <c r="K705">
        <f>IF(ISBLANK(J705),MODE($J$2:$J$2001),J705)</f>
        <v>0.04</v>
      </c>
      <c r="L705" t="s">
        <v>1826</v>
      </c>
      <c r="M705">
        <v>756.54719999999986</v>
      </c>
      <c r="N705">
        <f t="shared" si="10"/>
        <v>756.54719999999986</v>
      </c>
      <c r="O705" t="str">
        <f>_xlfn.XLOOKUP(Sales_fact[[#This Row],[Customer_ID]],'Customer_Dim'!A:A,'Customer_Dim'!K:K,"Not Found")</f>
        <v>Platinum</v>
      </c>
      <c r="P705">
        <f>_xlfn.XLOOKUP(Sales_fact[[#This Row],[Customer_ID]],'Customer_Dim'!A:A, 'Customer_Dim'!E:E, "Not Found")</f>
        <v>18</v>
      </c>
      <c r="Q705" t="str">
        <f>VLOOKUP(Sales_fact[[#This Row],[Customer_ID]], 'Customer_Dim'!A:F, 6, FALSE)</f>
        <v>Female</v>
      </c>
      <c r="R705" s="13" t="str">
        <f>_xlfn.XLOOKUP(Sales_fact[[#This Row],[Product_ID]],Product_Dim!A:A,Product_Dim!C:C,"OTHERS")</f>
        <v>Electronics</v>
      </c>
    </row>
    <row r="706" spans="1:18" x14ac:dyDescent="0.3">
      <c r="A706" t="s">
        <v>2530</v>
      </c>
      <c r="B706" s="2">
        <v>45386</v>
      </c>
      <c r="C706" t="s">
        <v>1484</v>
      </c>
      <c r="D706" t="s">
        <v>1684</v>
      </c>
      <c r="E706" t="str">
        <f ca="1">TRIM(Sales_fact[[#This Row],[Store_ID]])</f>
        <v>STORE2</v>
      </c>
      <c r="F706">
        <v>3</v>
      </c>
      <c r="G706">
        <f>IF(ISBLANK(F706),MODE($F$2:$F$2001),F706)</f>
        <v>3</v>
      </c>
      <c r="H706">
        <v>212.72</v>
      </c>
      <c r="I706">
        <f>IF(ISBLANK(H706),AVERAGE($H$2:$H$2001),H706)</f>
        <v>212.72</v>
      </c>
      <c r="J706">
        <v>0.22</v>
      </c>
      <c r="K706">
        <f>IF(ISBLANK(J706),MODE($J$2:$J$2001),J706)</f>
        <v>0.22</v>
      </c>
      <c r="L706" t="s">
        <v>1826</v>
      </c>
      <c r="M706">
        <v>497.76479999999998</v>
      </c>
      <c r="N706">
        <f t="shared" si="10"/>
        <v>497.76479999999998</v>
      </c>
      <c r="O706" t="str">
        <f>_xlfn.XLOOKUP(Sales_fact[[#This Row],[Customer_ID]],'Customer_Dim'!A:A,'Customer_Dim'!K:K,"Not Found")</f>
        <v>Platinum</v>
      </c>
      <c r="P706">
        <f>_xlfn.XLOOKUP(Sales_fact[[#This Row],[Customer_ID]],'Customer_Dim'!A:A, 'Customer_Dim'!E:E, "Not Found")</f>
        <v>26</v>
      </c>
      <c r="Q706" t="str">
        <f>VLOOKUP(Sales_fact[[#This Row],[Customer_ID]], 'Customer_Dim'!A:F, 6, FALSE)</f>
        <v>Male</v>
      </c>
      <c r="R706" s="13" t="str">
        <f>_xlfn.XLOOKUP(Sales_fact[[#This Row],[Product_ID]],Product_Dim!A:A,Product_Dim!C:C,"OTHERS")</f>
        <v>Home</v>
      </c>
    </row>
    <row r="707" spans="1:18" x14ac:dyDescent="0.3">
      <c r="A707" t="s">
        <v>2531</v>
      </c>
      <c r="B707" s="2">
        <v>45803</v>
      </c>
      <c r="C707" t="s">
        <v>508</v>
      </c>
      <c r="D707" t="s">
        <v>1596</v>
      </c>
      <c r="E707" t="str">
        <f ca="1">TRIM(Sales_fact[[#This Row],[Store_ID]])</f>
        <v>STORE18</v>
      </c>
      <c r="F707">
        <v>4</v>
      </c>
      <c r="G707">
        <f>IF(ISBLANK(F707),MODE($F$2:$F$2001),F707)</f>
        <v>4</v>
      </c>
      <c r="H707">
        <v>757.9</v>
      </c>
      <c r="I707">
        <f>IF(ISBLANK(H707),AVERAGE($H$2:$H$2001),H707)</f>
        <v>757.9</v>
      </c>
      <c r="J707">
        <v>0.22</v>
      </c>
      <c r="K707">
        <f>IF(ISBLANK(J707),MODE($J$2:$J$2001),J707)</f>
        <v>0.22</v>
      </c>
      <c r="L707" t="s">
        <v>1826</v>
      </c>
      <c r="M707">
        <v>2364.6480000000001</v>
      </c>
      <c r="N707">
        <f t="shared" ref="N707:N770" si="11">G707*I707*(1-K707)</f>
        <v>2364.6480000000001</v>
      </c>
      <c r="O707" t="str">
        <f>_xlfn.XLOOKUP(Sales_fact[[#This Row],[Customer_ID]],'Customer_Dim'!A:A,'Customer_Dim'!K:K,"Not Found")</f>
        <v>Gold</v>
      </c>
      <c r="P707">
        <f>_xlfn.XLOOKUP(Sales_fact[[#This Row],[Customer_ID]],'Customer_Dim'!A:A, 'Customer_Dim'!E:E, "Not Found")</f>
        <v>25</v>
      </c>
      <c r="Q707" t="str">
        <f>VLOOKUP(Sales_fact[[#This Row],[Customer_ID]], 'Customer_Dim'!A:F, 6, FALSE)</f>
        <v>Female</v>
      </c>
      <c r="R707" s="13" t="str">
        <f>_xlfn.XLOOKUP(Sales_fact[[#This Row],[Product_ID]],Product_Dim!A:A,Product_Dim!C:C,"OTHERS")</f>
        <v>Sports</v>
      </c>
    </row>
    <row r="708" spans="1:18" x14ac:dyDescent="0.3">
      <c r="A708" t="s">
        <v>2532</v>
      </c>
      <c r="B708" s="2">
        <v>45346</v>
      </c>
      <c r="C708" t="s">
        <v>78</v>
      </c>
      <c r="D708" t="s">
        <v>1708</v>
      </c>
      <c r="E708" t="str">
        <f ca="1">TRIM(Sales_fact[[#This Row],[Store_ID]])</f>
        <v>STORE17</v>
      </c>
      <c r="F708">
        <v>1</v>
      </c>
      <c r="G708">
        <f>IF(ISBLANK(F708),MODE($F$2:$F$2001),F708)</f>
        <v>1</v>
      </c>
      <c r="H708">
        <v>846.04</v>
      </c>
      <c r="I708">
        <f>IF(ISBLANK(H708),AVERAGE($H$2:$H$2001),H708)</f>
        <v>846.04</v>
      </c>
      <c r="J708">
        <v>0.08</v>
      </c>
      <c r="K708">
        <f>IF(ISBLANK(J708),MODE($J$2:$J$2001),J708)</f>
        <v>0.08</v>
      </c>
      <c r="L708" t="s">
        <v>1826</v>
      </c>
      <c r="M708">
        <v>778.35680000000002</v>
      </c>
      <c r="N708">
        <f t="shared" si="11"/>
        <v>778.35680000000002</v>
      </c>
      <c r="O708" t="str">
        <f>_xlfn.XLOOKUP(Sales_fact[[#This Row],[Customer_ID]],'Customer_Dim'!A:A,'Customer_Dim'!K:K,"Not Found")</f>
        <v>Platinum</v>
      </c>
      <c r="P708">
        <f>_xlfn.XLOOKUP(Sales_fact[[#This Row],[Customer_ID]],'Customer_Dim'!A:A, 'Customer_Dim'!E:E, "Not Found")</f>
        <v>60</v>
      </c>
      <c r="Q708" t="str">
        <f>VLOOKUP(Sales_fact[[#This Row],[Customer_ID]], 'Customer_Dim'!A:F, 6, FALSE)</f>
        <v>Female</v>
      </c>
      <c r="R708" s="13" t="str">
        <f>_xlfn.XLOOKUP(Sales_fact[[#This Row],[Product_ID]],Product_Dim!A:A,Product_Dim!C:C,"OTHERS")</f>
        <v>Home</v>
      </c>
    </row>
    <row r="709" spans="1:18" x14ac:dyDescent="0.3">
      <c r="A709" t="s">
        <v>2533</v>
      </c>
      <c r="B709" s="2">
        <v>45267</v>
      </c>
      <c r="C709" t="s">
        <v>532</v>
      </c>
      <c r="D709" t="s">
        <v>1624</v>
      </c>
      <c r="E709" t="str">
        <f ca="1">TRIM(Sales_fact[[#This Row],[Store_ID]])</f>
        <v>STORE7</v>
      </c>
      <c r="F709">
        <v>3</v>
      </c>
      <c r="G709">
        <f>IF(ISBLANK(F709),MODE($F$2:$F$2001),F709)</f>
        <v>3</v>
      </c>
      <c r="H709">
        <v>179.7</v>
      </c>
      <c r="I709">
        <f>IF(ISBLANK(H709),AVERAGE($H$2:$H$2001),H709)</f>
        <v>179.7</v>
      </c>
      <c r="J709">
        <v>0.17</v>
      </c>
      <c r="K709">
        <f>IF(ISBLANK(J709),MODE($J$2:$J$2001),J709)</f>
        <v>0.17</v>
      </c>
      <c r="L709" t="s">
        <v>1829</v>
      </c>
      <c r="M709">
        <v>447.45299999999992</v>
      </c>
      <c r="N709">
        <f t="shared" si="11"/>
        <v>447.45299999999992</v>
      </c>
      <c r="O709" t="str">
        <f>_xlfn.XLOOKUP(Sales_fact[[#This Row],[Customer_ID]],'Customer_Dim'!A:A,'Customer_Dim'!K:K,"Not Found")</f>
        <v>Gold</v>
      </c>
      <c r="P709">
        <f>_xlfn.XLOOKUP(Sales_fact[[#This Row],[Customer_ID]],'Customer_Dim'!A:A, 'Customer_Dim'!E:E, "Not Found")</f>
        <v>46</v>
      </c>
      <c r="Q709" t="str">
        <f>VLOOKUP(Sales_fact[[#This Row],[Customer_ID]], 'Customer_Dim'!A:F, 6, FALSE)</f>
        <v>Female</v>
      </c>
      <c r="R709" s="13" t="str">
        <f>_xlfn.XLOOKUP(Sales_fact[[#This Row],[Product_ID]],Product_Dim!A:A,Product_Dim!C:C,"OTHERS")</f>
        <v>Sports</v>
      </c>
    </row>
    <row r="710" spans="1:18" x14ac:dyDescent="0.3">
      <c r="A710" t="s">
        <v>2534</v>
      </c>
      <c r="B710" s="2">
        <v>45572</v>
      </c>
      <c r="C710" t="s">
        <v>1380</v>
      </c>
      <c r="D710" t="s">
        <v>1610</v>
      </c>
      <c r="E710" t="str">
        <f ca="1">TRIM(Sales_fact[[#This Row],[Store_ID]])</f>
        <v>STORE4</v>
      </c>
      <c r="F710">
        <v>4</v>
      </c>
      <c r="G710">
        <f>IF(ISBLANK(F710),MODE($F$2:$F$2001),F710)</f>
        <v>4</v>
      </c>
      <c r="H710">
        <v>681.08</v>
      </c>
      <c r="I710">
        <f>IF(ISBLANK(H710),AVERAGE($H$2:$H$2001),H710)</f>
        <v>681.08</v>
      </c>
      <c r="J710">
        <v>0</v>
      </c>
      <c r="K710">
        <f>IF(ISBLANK(J710),MODE($J$2:$J$2001),J710)</f>
        <v>0</v>
      </c>
      <c r="L710" t="s">
        <v>1826</v>
      </c>
      <c r="M710">
        <v>2724.32</v>
      </c>
      <c r="N710">
        <f t="shared" si="11"/>
        <v>2724.32</v>
      </c>
      <c r="O710" t="str">
        <f>_xlfn.XLOOKUP(Sales_fact[[#This Row],[Customer_ID]],'Customer_Dim'!A:A,'Customer_Dim'!K:K,"Not Found")</f>
        <v>Silver</v>
      </c>
      <c r="P710">
        <f>_xlfn.XLOOKUP(Sales_fact[[#This Row],[Customer_ID]],'Customer_Dim'!A:A, 'Customer_Dim'!E:E, "Not Found")</f>
        <v>35</v>
      </c>
      <c r="Q710" t="str">
        <f>VLOOKUP(Sales_fact[[#This Row],[Customer_ID]], 'Customer_Dim'!A:F, 6, FALSE)</f>
        <v>Male</v>
      </c>
      <c r="R710" s="13" t="str">
        <f>_xlfn.XLOOKUP(Sales_fact[[#This Row],[Product_ID]],Product_Dim!A:A,Product_Dim!C:C,"OTHERS")</f>
        <v>Sports</v>
      </c>
    </row>
    <row r="711" spans="1:18" x14ac:dyDescent="0.3">
      <c r="A711" t="s">
        <v>2535</v>
      </c>
      <c r="B711" s="2">
        <v>45252</v>
      </c>
      <c r="C711" t="s">
        <v>1254</v>
      </c>
      <c r="D711" t="s">
        <v>1553</v>
      </c>
      <c r="E711" t="str">
        <f ca="1">TRIM(Sales_fact[[#This Row],[Store_ID]])</f>
        <v>STORE7</v>
      </c>
      <c r="F711">
        <v>4</v>
      </c>
      <c r="G711">
        <f>IF(ISBLANK(F711),MODE($F$2:$F$2001),F711)</f>
        <v>4</v>
      </c>
      <c r="H711">
        <v>723.44</v>
      </c>
      <c r="I711">
        <f>IF(ISBLANK(H711),AVERAGE($H$2:$H$2001),H711)</f>
        <v>723.44</v>
      </c>
      <c r="J711">
        <v>0.14000000000000001</v>
      </c>
      <c r="K711">
        <f>IF(ISBLANK(J711),MODE($J$2:$J$2001),J711)</f>
        <v>0.14000000000000001</v>
      </c>
      <c r="L711" t="s">
        <v>1826</v>
      </c>
      <c r="M711">
        <v>2488.6336000000001</v>
      </c>
      <c r="N711">
        <f t="shared" si="11"/>
        <v>2488.6336000000001</v>
      </c>
      <c r="O711" t="str">
        <f>_xlfn.XLOOKUP(Sales_fact[[#This Row],[Customer_ID]],'Customer_Dim'!A:A,'Customer_Dim'!K:K,"Not Found")</f>
        <v>Bronze</v>
      </c>
      <c r="P711">
        <f>_xlfn.XLOOKUP(Sales_fact[[#This Row],[Customer_ID]],'Customer_Dim'!A:A, 'Customer_Dim'!E:E, "Not Found")</f>
        <v>34</v>
      </c>
      <c r="Q711" t="str">
        <f>VLOOKUP(Sales_fact[[#This Row],[Customer_ID]], 'Customer_Dim'!A:F, 6, FALSE)</f>
        <v>Male</v>
      </c>
      <c r="R711" s="13" t="str">
        <f>_xlfn.XLOOKUP(Sales_fact[[#This Row],[Product_ID]],Product_Dim!A:A,Product_Dim!C:C,"OTHERS")</f>
        <v>Clothing</v>
      </c>
    </row>
    <row r="712" spans="1:18" x14ac:dyDescent="0.3">
      <c r="A712" t="s">
        <v>2536</v>
      </c>
      <c r="B712" s="2">
        <v>45939</v>
      </c>
      <c r="C712" t="s">
        <v>435</v>
      </c>
      <c r="D712" t="s">
        <v>1610</v>
      </c>
      <c r="E712" t="str">
        <f ca="1">TRIM(Sales_fact[[#This Row],[Store_ID]])</f>
        <v>STORE14</v>
      </c>
      <c r="F712">
        <v>4</v>
      </c>
      <c r="G712">
        <f>IF(ISBLANK(F712),MODE($F$2:$F$2001),F712)</f>
        <v>4</v>
      </c>
      <c r="H712">
        <v>471.89</v>
      </c>
      <c r="I712">
        <f>IF(ISBLANK(H712),AVERAGE($H$2:$H$2001),H712)</f>
        <v>471.89</v>
      </c>
      <c r="J712">
        <v>0.12</v>
      </c>
      <c r="K712">
        <f>IF(ISBLANK(J712),MODE($J$2:$J$2001),J712)</f>
        <v>0.12</v>
      </c>
      <c r="L712" t="s">
        <v>1829</v>
      </c>
      <c r="M712">
        <v>1661.0527999999999</v>
      </c>
      <c r="N712">
        <f t="shared" si="11"/>
        <v>1661.0527999999999</v>
      </c>
      <c r="O712" t="str">
        <f>_xlfn.XLOOKUP(Sales_fact[[#This Row],[Customer_ID]],'Customer_Dim'!A:A,'Customer_Dim'!K:K,"Not Found")</f>
        <v>Gold</v>
      </c>
      <c r="P712">
        <f>_xlfn.XLOOKUP(Sales_fact[[#This Row],[Customer_ID]],'Customer_Dim'!A:A, 'Customer_Dim'!E:E, "Not Found")</f>
        <v>62</v>
      </c>
      <c r="Q712" t="str">
        <f>VLOOKUP(Sales_fact[[#This Row],[Customer_ID]], 'Customer_Dim'!A:F, 6, FALSE)</f>
        <v>Female</v>
      </c>
      <c r="R712" s="13" t="str">
        <f>_xlfn.XLOOKUP(Sales_fact[[#This Row],[Product_ID]],Product_Dim!A:A,Product_Dim!C:C,"OTHERS")</f>
        <v>Sports</v>
      </c>
    </row>
    <row r="713" spans="1:18" x14ac:dyDescent="0.3">
      <c r="A713" t="s">
        <v>2537</v>
      </c>
      <c r="B713" s="2">
        <v>45559</v>
      </c>
      <c r="C713" t="s">
        <v>1145</v>
      </c>
      <c r="D713" t="s">
        <v>1690</v>
      </c>
      <c r="E713" t="str">
        <f ca="1">TRIM(Sales_fact[[#This Row],[Store_ID]])</f>
        <v>STORE17</v>
      </c>
      <c r="F713">
        <v>1</v>
      </c>
      <c r="G713">
        <f>IF(ISBLANK(F713),MODE($F$2:$F$2001),F713)</f>
        <v>1</v>
      </c>
      <c r="H713">
        <v>613.17999999999995</v>
      </c>
      <c r="I713">
        <f>IF(ISBLANK(H713),AVERAGE($H$2:$H$2001),H713)</f>
        <v>613.17999999999995</v>
      </c>
      <c r="J713">
        <v>0.14000000000000001</v>
      </c>
      <c r="K713">
        <f>IF(ISBLANK(J713),MODE($J$2:$J$2001),J713)</f>
        <v>0.14000000000000001</v>
      </c>
      <c r="L713" t="s">
        <v>1829</v>
      </c>
      <c r="M713">
        <v>527.33479999999997</v>
      </c>
      <c r="N713">
        <f t="shared" si="11"/>
        <v>527.33479999999997</v>
      </c>
      <c r="O713" t="str">
        <f>_xlfn.XLOOKUP(Sales_fact[[#This Row],[Customer_ID]],'Customer_Dim'!A:A,'Customer_Dim'!K:K,"Not Found")</f>
        <v>Platinum</v>
      </c>
      <c r="P713">
        <f>_xlfn.XLOOKUP(Sales_fact[[#This Row],[Customer_ID]],'Customer_Dim'!A:A, 'Customer_Dim'!E:E, "Not Found")</f>
        <v>40</v>
      </c>
      <c r="Q713" t="str">
        <f>VLOOKUP(Sales_fact[[#This Row],[Customer_ID]], 'Customer_Dim'!A:F, 6, FALSE)</f>
        <v>Female</v>
      </c>
      <c r="R713" s="13" t="str">
        <f>_xlfn.XLOOKUP(Sales_fact[[#This Row],[Product_ID]],Product_Dim!A:A,Product_Dim!C:C,"OTHERS")</f>
        <v>Beauty</v>
      </c>
    </row>
    <row r="714" spans="1:18" x14ac:dyDescent="0.3">
      <c r="A714" t="s">
        <v>2538</v>
      </c>
      <c r="B714" s="2">
        <v>45229</v>
      </c>
      <c r="C714" t="s">
        <v>195</v>
      </c>
      <c r="D714" t="s">
        <v>1634</v>
      </c>
      <c r="E714" t="str">
        <f ca="1">TRIM(Sales_fact[[#This Row],[Store_ID]])</f>
        <v>STORE4</v>
      </c>
      <c r="F714">
        <v>1</v>
      </c>
      <c r="G714">
        <f>IF(ISBLANK(F714),MODE($F$2:$F$2001),F714)</f>
        <v>1</v>
      </c>
      <c r="H714">
        <v>651.30999999999995</v>
      </c>
      <c r="I714">
        <f>IF(ISBLANK(H714),AVERAGE($H$2:$H$2001),H714)</f>
        <v>651.30999999999995</v>
      </c>
      <c r="J714">
        <v>0.24</v>
      </c>
      <c r="K714">
        <f>IF(ISBLANK(J714),MODE($J$2:$J$2001),J714)</f>
        <v>0.24</v>
      </c>
      <c r="L714" t="s">
        <v>1826</v>
      </c>
      <c r="M714">
        <v>494.99560000000002</v>
      </c>
      <c r="N714">
        <f t="shared" si="11"/>
        <v>494.99559999999997</v>
      </c>
      <c r="O714" t="str">
        <f>_xlfn.XLOOKUP(Sales_fact[[#This Row],[Customer_ID]],'Customer_Dim'!A:A,'Customer_Dim'!K:K,"Not Found")</f>
        <v>Gold</v>
      </c>
      <c r="P714">
        <f>_xlfn.XLOOKUP(Sales_fact[[#This Row],[Customer_ID]],'Customer_Dim'!A:A, 'Customer_Dim'!E:E, "Not Found")</f>
        <v>23</v>
      </c>
      <c r="Q714" t="str">
        <f>VLOOKUP(Sales_fact[[#This Row],[Customer_ID]], 'Customer_Dim'!A:F, 6, FALSE)</f>
        <v>Female</v>
      </c>
      <c r="R714" s="13" t="str">
        <f>_xlfn.XLOOKUP(Sales_fact[[#This Row],[Product_ID]],Product_Dim!A:A,Product_Dim!C:C,"OTHERS")</f>
        <v>Electronics</v>
      </c>
    </row>
    <row r="715" spans="1:18" x14ac:dyDescent="0.3">
      <c r="A715" t="s">
        <v>2539</v>
      </c>
      <c r="B715" s="2">
        <v>45333</v>
      </c>
      <c r="C715" t="s">
        <v>103</v>
      </c>
      <c r="D715" t="s">
        <v>1551</v>
      </c>
      <c r="E715" t="str">
        <f ca="1">TRIM(Sales_fact[[#This Row],[Store_ID]])</f>
        <v>STORE6</v>
      </c>
      <c r="F715">
        <v>2</v>
      </c>
      <c r="G715">
        <f>IF(ISBLANK(F715),MODE($F$2:$F$2001),F715)</f>
        <v>2</v>
      </c>
      <c r="H715">
        <v>635.14</v>
      </c>
      <c r="I715">
        <f>IF(ISBLANK(H715),AVERAGE($H$2:$H$2001),H715)</f>
        <v>635.14</v>
      </c>
      <c r="J715">
        <v>0.1</v>
      </c>
      <c r="K715">
        <f>IF(ISBLANK(J715),MODE($J$2:$J$2001),J715)</f>
        <v>0.1</v>
      </c>
      <c r="L715" t="s">
        <v>1829</v>
      </c>
      <c r="M715">
        <v>1143.252</v>
      </c>
      <c r="N715">
        <f t="shared" si="11"/>
        <v>1143.252</v>
      </c>
      <c r="O715" t="str">
        <f>_xlfn.XLOOKUP(Sales_fact[[#This Row],[Customer_ID]],'Customer_Dim'!A:A,'Customer_Dim'!K:K,"Not Found")</f>
        <v>Platinum</v>
      </c>
      <c r="P715">
        <f>_xlfn.XLOOKUP(Sales_fact[[#This Row],[Customer_ID]],'Customer_Dim'!A:A, 'Customer_Dim'!E:E, "Not Found")</f>
        <v>40</v>
      </c>
      <c r="Q715" t="str">
        <f>VLOOKUP(Sales_fact[[#This Row],[Customer_ID]], 'Customer_Dim'!A:F, 6, FALSE)</f>
        <v>Male</v>
      </c>
      <c r="R715" s="13" t="str">
        <f>_xlfn.XLOOKUP(Sales_fact[[#This Row],[Product_ID]],Product_Dim!A:A,Product_Dim!C:C,"OTHERS")</f>
        <v>OTHERS</v>
      </c>
    </row>
    <row r="716" spans="1:18" x14ac:dyDescent="0.3">
      <c r="A716" t="s">
        <v>2540</v>
      </c>
      <c r="B716" s="2">
        <v>45752</v>
      </c>
      <c r="C716" t="s">
        <v>1187</v>
      </c>
      <c r="D716" t="s">
        <v>1744</v>
      </c>
      <c r="E716" t="str">
        <f ca="1">TRIM(Sales_fact[[#This Row],[Store_ID]])</f>
        <v>STORE14</v>
      </c>
      <c r="F716">
        <v>4</v>
      </c>
      <c r="G716">
        <f>IF(ISBLANK(F716),MODE($F$2:$F$2001),F716)</f>
        <v>4</v>
      </c>
      <c r="H716">
        <v>912.61</v>
      </c>
      <c r="I716">
        <f>IF(ISBLANK(H716),AVERAGE($H$2:$H$2001),H716)</f>
        <v>912.61</v>
      </c>
      <c r="J716">
        <v>0.14000000000000001</v>
      </c>
      <c r="K716">
        <f>IF(ISBLANK(J716),MODE($J$2:$J$2001),J716)</f>
        <v>0.14000000000000001</v>
      </c>
      <c r="L716" t="s">
        <v>1824</v>
      </c>
      <c r="M716">
        <v>3139.3784000000001</v>
      </c>
      <c r="N716">
        <f t="shared" si="11"/>
        <v>3139.3784000000001</v>
      </c>
      <c r="O716" t="str">
        <f>_xlfn.XLOOKUP(Sales_fact[[#This Row],[Customer_ID]],'Customer_Dim'!A:A,'Customer_Dim'!K:K,"Not Found")</f>
        <v>Gold</v>
      </c>
      <c r="P716">
        <f>_xlfn.XLOOKUP(Sales_fact[[#This Row],[Customer_ID]],'Customer_Dim'!A:A, 'Customer_Dim'!E:E, "Not Found")</f>
        <v>23</v>
      </c>
      <c r="Q716" t="str">
        <f>VLOOKUP(Sales_fact[[#This Row],[Customer_ID]], 'Customer_Dim'!A:F, 6, FALSE)</f>
        <v>Male</v>
      </c>
      <c r="R716" s="13" t="str">
        <f>_xlfn.XLOOKUP(Sales_fact[[#This Row],[Product_ID]],Product_Dim!A:A,Product_Dim!C:C,"OTHERS")</f>
        <v>Electronics</v>
      </c>
    </row>
    <row r="717" spans="1:18" x14ac:dyDescent="0.3">
      <c r="A717" t="s">
        <v>2541</v>
      </c>
      <c r="B717" s="2">
        <v>45795</v>
      </c>
      <c r="C717" t="s">
        <v>872</v>
      </c>
      <c r="D717" t="s">
        <v>1642</v>
      </c>
      <c r="E717" t="str">
        <f ca="1">TRIM(Sales_fact[[#This Row],[Store_ID]])</f>
        <v>STORE7</v>
      </c>
      <c r="F717">
        <v>3</v>
      </c>
      <c r="G717">
        <f>IF(ISBLANK(F717),MODE($F$2:$F$2001),F717)</f>
        <v>3</v>
      </c>
      <c r="H717">
        <v>79.77</v>
      </c>
      <c r="I717">
        <f>IF(ISBLANK(H717),AVERAGE($H$2:$H$2001),H717)</f>
        <v>79.77</v>
      </c>
      <c r="J717">
        <v>0.09</v>
      </c>
      <c r="K717">
        <f>IF(ISBLANK(J717),MODE($J$2:$J$2001),J717)</f>
        <v>0.09</v>
      </c>
      <c r="L717" t="s">
        <v>1824</v>
      </c>
      <c r="M717">
        <v>217.77209999999999</v>
      </c>
      <c r="N717">
        <f t="shared" si="11"/>
        <v>217.77210000000002</v>
      </c>
      <c r="O717" t="str">
        <f>_xlfn.XLOOKUP(Sales_fact[[#This Row],[Customer_ID]],'Customer_Dim'!A:A,'Customer_Dim'!K:K,"Not Found")</f>
        <v>Silver</v>
      </c>
      <c r="P717">
        <f>_xlfn.XLOOKUP(Sales_fact[[#This Row],[Customer_ID]],'Customer_Dim'!A:A, 'Customer_Dim'!E:E, "Not Found")</f>
        <v>38</v>
      </c>
      <c r="Q717" t="str">
        <f>VLOOKUP(Sales_fact[[#This Row],[Customer_ID]], 'Customer_Dim'!A:F, 6, FALSE)</f>
        <v>Male</v>
      </c>
      <c r="R717" s="13" t="str">
        <f>_xlfn.XLOOKUP(Sales_fact[[#This Row],[Product_ID]],Product_Dim!A:A,Product_Dim!C:C,"OTHERS")</f>
        <v>Beauty</v>
      </c>
    </row>
    <row r="718" spans="1:18" x14ac:dyDescent="0.3">
      <c r="A718" t="s">
        <v>2542</v>
      </c>
      <c r="B718" s="2">
        <v>45755</v>
      </c>
      <c r="C718" t="s">
        <v>881</v>
      </c>
      <c r="D718" t="s">
        <v>1736</v>
      </c>
      <c r="E718" t="str">
        <f ca="1">TRIM(Sales_fact[[#This Row],[Store_ID]])</f>
        <v>STORE15</v>
      </c>
      <c r="F718">
        <v>4</v>
      </c>
      <c r="G718">
        <f>IF(ISBLANK(F718),MODE($F$2:$F$2001),F718)</f>
        <v>4</v>
      </c>
      <c r="H718">
        <v>603.52</v>
      </c>
      <c r="I718">
        <f>IF(ISBLANK(H718),AVERAGE($H$2:$H$2001),H718)</f>
        <v>603.52</v>
      </c>
      <c r="J718">
        <v>0.25</v>
      </c>
      <c r="K718">
        <f>IF(ISBLANK(J718),MODE($J$2:$J$2001),J718)</f>
        <v>0.25</v>
      </c>
      <c r="L718" t="s">
        <v>1824</v>
      </c>
      <c r="M718">
        <v>1810.56</v>
      </c>
      <c r="N718">
        <f t="shared" si="11"/>
        <v>1810.56</v>
      </c>
      <c r="O718" t="str">
        <f>_xlfn.XLOOKUP(Sales_fact[[#This Row],[Customer_ID]],'Customer_Dim'!A:A,'Customer_Dim'!K:K,"Not Found")</f>
        <v>Platinum</v>
      </c>
      <c r="P718">
        <f>_xlfn.XLOOKUP(Sales_fact[[#This Row],[Customer_ID]],'Customer_Dim'!A:A, 'Customer_Dim'!E:E, "Not Found")</f>
        <v>22</v>
      </c>
      <c r="Q718" t="str">
        <f>VLOOKUP(Sales_fact[[#This Row],[Customer_ID]], 'Customer_Dim'!A:F, 6, FALSE)</f>
        <v>Female</v>
      </c>
      <c r="R718" s="13" t="str">
        <f>_xlfn.XLOOKUP(Sales_fact[[#This Row],[Product_ID]],Product_Dim!A:A,Product_Dim!C:C,"OTHERS")</f>
        <v>Beauty</v>
      </c>
    </row>
    <row r="719" spans="1:18" x14ac:dyDescent="0.3">
      <c r="A719" t="s">
        <v>2543</v>
      </c>
      <c r="B719" s="2">
        <v>45625</v>
      </c>
      <c r="C719" t="s">
        <v>281</v>
      </c>
      <c r="D719" t="s">
        <v>1702</v>
      </c>
      <c r="E719" t="str">
        <f ca="1">TRIM(Sales_fact[[#This Row],[Store_ID]])</f>
        <v>STORE12</v>
      </c>
      <c r="F719">
        <v>4</v>
      </c>
      <c r="G719">
        <f>IF(ISBLANK(F719),MODE($F$2:$F$2001),F719)</f>
        <v>4</v>
      </c>
      <c r="H719">
        <v>453.12</v>
      </c>
      <c r="I719">
        <f>IF(ISBLANK(H719),AVERAGE($H$2:$H$2001),H719)</f>
        <v>453.12</v>
      </c>
      <c r="J719">
        <v>0.23</v>
      </c>
      <c r="K719">
        <f>IF(ISBLANK(J719),MODE($J$2:$J$2001),J719)</f>
        <v>0.23</v>
      </c>
      <c r="L719" t="s">
        <v>1829</v>
      </c>
      <c r="M719">
        <v>1395.6096</v>
      </c>
      <c r="N719">
        <f t="shared" si="11"/>
        <v>1395.6096</v>
      </c>
      <c r="O719" t="str">
        <f>_xlfn.XLOOKUP(Sales_fact[[#This Row],[Customer_ID]],'Customer_Dim'!A:A,'Customer_Dim'!K:K,"Not Found")</f>
        <v>Gold</v>
      </c>
      <c r="P719">
        <f>_xlfn.XLOOKUP(Sales_fact[[#This Row],[Customer_ID]],'Customer_Dim'!A:A, 'Customer_Dim'!E:E, "Not Found")</f>
        <v>29</v>
      </c>
      <c r="Q719" t="str">
        <f>VLOOKUP(Sales_fact[[#This Row],[Customer_ID]], 'Customer_Dim'!A:F, 6, FALSE)</f>
        <v>Male</v>
      </c>
      <c r="R719" s="13" t="str">
        <f>_xlfn.XLOOKUP(Sales_fact[[#This Row],[Product_ID]],Product_Dim!A:A,Product_Dim!C:C,"OTHERS")</f>
        <v>Electronics</v>
      </c>
    </row>
    <row r="720" spans="1:18" x14ac:dyDescent="0.3">
      <c r="A720" t="s">
        <v>2544</v>
      </c>
      <c r="B720" s="2">
        <v>45656</v>
      </c>
      <c r="C720" t="s">
        <v>1527</v>
      </c>
      <c r="D720" t="s">
        <v>1614</v>
      </c>
      <c r="E720" t="str">
        <f ca="1">TRIM(Sales_fact[[#This Row],[Store_ID]])</f>
        <v>STORE9</v>
      </c>
      <c r="F720">
        <v>2</v>
      </c>
      <c r="G720">
        <f>IF(ISBLANK(F720),MODE($F$2:$F$2001),F720)</f>
        <v>2</v>
      </c>
      <c r="H720">
        <v>974.35</v>
      </c>
      <c r="I720">
        <f>IF(ISBLANK(H720),AVERAGE($H$2:$H$2001),H720)</f>
        <v>974.35</v>
      </c>
      <c r="J720">
        <v>0.15</v>
      </c>
      <c r="K720">
        <f>IF(ISBLANK(J720),MODE($J$2:$J$2001),J720)</f>
        <v>0.15</v>
      </c>
      <c r="L720" t="s">
        <v>1824</v>
      </c>
      <c r="M720">
        <v>1656.395</v>
      </c>
      <c r="N720">
        <f t="shared" si="11"/>
        <v>1656.395</v>
      </c>
      <c r="O720" t="str">
        <f>_xlfn.XLOOKUP(Sales_fact[[#This Row],[Customer_ID]],'Customer_Dim'!A:A,'Customer_Dim'!K:K,"Not Found")</f>
        <v>Gold</v>
      </c>
      <c r="P720">
        <f>_xlfn.XLOOKUP(Sales_fact[[#This Row],[Customer_ID]],'Customer_Dim'!A:A, 'Customer_Dim'!E:E, "Not Found")</f>
        <v>47</v>
      </c>
      <c r="Q720" t="str">
        <f>VLOOKUP(Sales_fact[[#This Row],[Customer_ID]], 'Customer_Dim'!A:F, 6, FALSE)</f>
        <v>Female</v>
      </c>
      <c r="R720" s="13" t="str">
        <f>_xlfn.XLOOKUP(Sales_fact[[#This Row],[Product_ID]],Product_Dim!A:A,Product_Dim!C:C,"OTHERS")</f>
        <v>Home</v>
      </c>
    </row>
    <row r="721" spans="1:18" x14ac:dyDescent="0.3">
      <c r="A721" t="s">
        <v>2545</v>
      </c>
      <c r="B721" s="2">
        <v>45824</v>
      </c>
      <c r="C721" t="s">
        <v>1466</v>
      </c>
      <c r="D721" t="s">
        <v>1738</v>
      </c>
      <c r="E721" t="str">
        <f ca="1">TRIM(Sales_fact[[#This Row],[Store_ID]])</f>
        <v>STORE17</v>
      </c>
      <c r="F721">
        <v>4</v>
      </c>
      <c r="G721">
        <f>IF(ISBLANK(F721),MODE($F$2:$F$2001),F721)</f>
        <v>4</v>
      </c>
      <c r="H721">
        <v>52.35</v>
      </c>
      <c r="I721">
        <f>IF(ISBLANK(H721),AVERAGE($H$2:$H$2001),H721)</f>
        <v>52.35</v>
      </c>
      <c r="J721">
        <v>0.23</v>
      </c>
      <c r="K721">
        <f>IF(ISBLANK(J721),MODE($J$2:$J$2001),J721)</f>
        <v>0.23</v>
      </c>
      <c r="L721" t="s">
        <v>1829</v>
      </c>
      <c r="M721">
        <v>161.238</v>
      </c>
      <c r="N721">
        <f t="shared" si="11"/>
        <v>161.238</v>
      </c>
      <c r="O721" t="str">
        <f>_xlfn.XLOOKUP(Sales_fact[[#This Row],[Customer_ID]],'Customer_Dim'!A:A,'Customer_Dim'!K:K,"Not Found")</f>
        <v>Gold</v>
      </c>
      <c r="P721">
        <f>_xlfn.XLOOKUP(Sales_fact[[#This Row],[Customer_ID]],'Customer_Dim'!A:A, 'Customer_Dim'!E:E, "Not Found")</f>
        <v>33</v>
      </c>
      <c r="Q721" t="str">
        <f>VLOOKUP(Sales_fact[[#This Row],[Customer_ID]], 'Customer_Dim'!A:F, 6, FALSE)</f>
        <v>Female</v>
      </c>
      <c r="R721" s="13" t="str">
        <f>_xlfn.XLOOKUP(Sales_fact[[#This Row],[Product_ID]],Product_Dim!A:A,Product_Dim!C:C,"OTHERS")</f>
        <v>Sports</v>
      </c>
    </row>
    <row r="722" spans="1:18" x14ac:dyDescent="0.3">
      <c r="A722" t="s">
        <v>2546</v>
      </c>
      <c r="B722" s="2">
        <v>45824</v>
      </c>
      <c r="C722" t="s">
        <v>1157</v>
      </c>
      <c r="D722" t="s">
        <v>1678</v>
      </c>
      <c r="E722" t="str">
        <f ca="1">TRIM(Sales_fact[[#This Row],[Store_ID]])</f>
        <v>STORE17</v>
      </c>
      <c r="F722">
        <v>3</v>
      </c>
      <c r="G722">
        <f>IF(ISBLANK(F722),MODE($F$2:$F$2001),F722)</f>
        <v>3</v>
      </c>
      <c r="H722">
        <v>681.58</v>
      </c>
      <c r="I722">
        <f>IF(ISBLANK(H722),AVERAGE($H$2:$H$2001),H722)</f>
        <v>681.58</v>
      </c>
      <c r="J722">
        <v>0.23</v>
      </c>
      <c r="K722">
        <f>IF(ISBLANK(J722),MODE($J$2:$J$2001),J722)</f>
        <v>0.23</v>
      </c>
      <c r="L722" t="s">
        <v>1824</v>
      </c>
      <c r="M722">
        <v>1574.4498000000001</v>
      </c>
      <c r="N722">
        <f t="shared" si="11"/>
        <v>1574.4498000000003</v>
      </c>
      <c r="O722" t="str">
        <f>_xlfn.XLOOKUP(Sales_fact[[#This Row],[Customer_ID]],'Customer_Dim'!A:A,'Customer_Dim'!K:K,"Not Found")</f>
        <v>Silver</v>
      </c>
      <c r="P722">
        <f>_xlfn.XLOOKUP(Sales_fact[[#This Row],[Customer_ID]],'Customer_Dim'!A:A, 'Customer_Dim'!E:E, "Not Found")</f>
        <v>45</v>
      </c>
      <c r="Q722" t="str">
        <f>VLOOKUP(Sales_fact[[#This Row],[Customer_ID]], 'Customer_Dim'!A:F, 6, FALSE)</f>
        <v>Male</v>
      </c>
      <c r="R722" s="13" t="str">
        <f>_xlfn.XLOOKUP(Sales_fact[[#This Row],[Product_ID]],Product_Dim!A:A,Product_Dim!C:C,"OTHERS")</f>
        <v>Sports</v>
      </c>
    </row>
    <row r="723" spans="1:18" x14ac:dyDescent="0.3">
      <c r="A723" t="s">
        <v>2547</v>
      </c>
      <c r="B723" s="2">
        <v>45384</v>
      </c>
      <c r="C723" t="s">
        <v>585</v>
      </c>
      <c r="D723" t="s">
        <v>1714</v>
      </c>
      <c r="E723" t="str">
        <f ca="1">TRIM(Sales_fact[[#This Row],[Store_ID]])</f>
        <v>STORE15</v>
      </c>
      <c r="F723">
        <v>3</v>
      </c>
      <c r="G723">
        <f>IF(ISBLANK(F723),MODE($F$2:$F$2001),F723)</f>
        <v>3</v>
      </c>
      <c r="H723">
        <v>71.23</v>
      </c>
      <c r="I723">
        <f>IF(ISBLANK(H723),AVERAGE($H$2:$H$2001),H723)</f>
        <v>71.23</v>
      </c>
      <c r="J723">
        <v>0.03</v>
      </c>
      <c r="K723">
        <f>IF(ISBLANK(J723),MODE($J$2:$J$2001),J723)</f>
        <v>0.03</v>
      </c>
      <c r="L723" t="s">
        <v>1824</v>
      </c>
      <c r="M723">
        <v>207.27930000000001</v>
      </c>
      <c r="N723">
        <f t="shared" si="11"/>
        <v>207.27929999999998</v>
      </c>
      <c r="O723" t="str">
        <f>_xlfn.XLOOKUP(Sales_fact[[#This Row],[Customer_ID]],'Customer_Dim'!A:A,'Customer_Dim'!K:K,"Not Found")</f>
        <v>Platinum</v>
      </c>
      <c r="P723">
        <f>_xlfn.XLOOKUP(Sales_fact[[#This Row],[Customer_ID]],'Customer_Dim'!A:A, 'Customer_Dim'!E:E, "Not Found")</f>
        <v>55</v>
      </c>
      <c r="Q723" t="str">
        <f>VLOOKUP(Sales_fact[[#This Row],[Customer_ID]], 'Customer_Dim'!A:F, 6, FALSE)</f>
        <v>Male</v>
      </c>
      <c r="R723" s="13" t="str">
        <f>_xlfn.XLOOKUP(Sales_fact[[#This Row],[Product_ID]],Product_Dim!A:A,Product_Dim!C:C,"OTHERS")</f>
        <v>Beauty</v>
      </c>
    </row>
    <row r="724" spans="1:18" x14ac:dyDescent="0.3">
      <c r="A724" t="s">
        <v>2548</v>
      </c>
      <c r="B724" s="2">
        <v>45379</v>
      </c>
      <c r="C724" t="s">
        <v>773</v>
      </c>
      <c r="D724" t="s">
        <v>1578</v>
      </c>
      <c r="E724" t="str">
        <f ca="1">TRIM(Sales_fact[[#This Row],[Store_ID]])</f>
        <v>STORE14</v>
      </c>
      <c r="F724">
        <v>1</v>
      </c>
      <c r="G724">
        <f>IF(ISBLANK(F724),MODE($F$2:$F$2001),F724)</f>
        <v>1</v>
      </c>
      <c r="H724">
        <v>31.36</v>
      </c>
      <c r="I724">
        <f>IF(ISBLANK(H724),AVERAGE($H$2:$H$2001),H724)</f>
        <v>31.36</v>
      </c>
      <c r="J724">
        <v>0.21</v>
      </c>
      <c r="K724">
        <f>IF(ISBLANK(J724),MODE($J$2:$J$2001),J724)</f>
        <v>0.21</v>
      </c>
      <c r="L724" t="s">
        <v>1829</v>
      </c>
      <c r="M724">
        <v>24.7744</v>
      </c>
      <c r="N724">
        <f t="shared" si="11"/>
        <v>24.7744</v>
      </c>
      <c r="O724" t="str">
        <f>_xlfn.XLOOKUP(Sales_fact[[#This Row],[Customer_ID]],'Customer_Dim'!A:A,'Customer_Dim'!K:K,"Not Found")</f>
        <v>Platinum</v>
      </c>
      <c r="P724">
        <f>_xlfn.XLOOKUP(Sales_fact[[#This Row],[Customer_ID]],'Customer_Dim'!A:A, 'Customer_Dim'!E:E, "Not Found")</f>
        <v>31</v>
      </c>
      <c r="Q724" t="str">
        <f>VLOOKUP(Sales_fact[[#This Row],[Customer_ID]], 'Customer_Dim'!A:F, 6, FALSE)</f>
        <v>Male</v>
      </c>
      <c r="R724" s="13" t="str">
        <f>_xlfn.XLOOKUP(Sales_fact[[#This Row],[Product_ID]],Product_Dim!A:A,Product_Dim!C:C,"OTHERS")</f>
        <v>Electronics</v>
      </c>
    </row>
    <row r="725" spans="1:18" x14ac:dyDescent="0.3">
      <c r="A725" t="s">
        <v>2549</v>
      </c>
      <c r="B725" s="2">
        <v>45674</v>
      </c>
      <c r="C725" t="s">
        <v>1071</v>
      </c>
      <c r="D725" t="s">
        <v>1630</v>
      </c>
      <c r="E725" t="str">
        <f ca="1">TRIM(Sales_fact[[#This Row],[Store_ID]])</f>
        <v>STORE13</v>
      </c>
      <c r="F725">
        <v>2</v>
      </c>
      <c r="G725">
        <f>IF(ISBLANK(F725),MODE($F$2:$F$2001),F725)</f>
        <v>2</v>
      </c>
      <c r="H725">
        <v>555.54999999999995</v>
      </c>
      <c r="I725">
        <f>IF(ISBLANK(H725),AVERAGE($H$2:$H$2001),H725)</f>
        <v>555.54999999999995</v>
      </c>
      <c r="J725">
        <v>0.14000000000000001</v>
      </c>
      <c r="K725">
        <f>IF(ISBLANK(J725),MODE($J$2:$J$2001),J725)</f>
        <v>0.14000000000000001</v>
      </c>
      <c r="L725" t="s">
        <v>1824</v>
      </c>
      <c r="M725">
        <v>955.54599999999994</v>
      </c>
      <c r="N725">
        <f t="shared" si="11"/>
        <v>955.54599999999994</v>
      </c>
      <c r="O725" t="str">
        <f>_xlfn.XLOOKUP(Sales_fact[[#This Row],[Customer_ID]],'Customer_Dim'!A:A,'Customer_Dim'!K:K,"Not Found")</f>
        <v>Bronze</v>
      </c>
      <c r="P725">
        <f>_xlfn.XLOOKUP(Sales_fact[[#This Row],[Customer_ID]],'Customer_Dim'!A:A, 'Customer_Dim'!E:E, "Not Found")</f>
        <v>56</v>
      </c>
      <c r="Q725" t="str">
        <f>VLOOKUP(Sales_fact[[#This Row],[Customer_ID]], 'Customer_Dim'!A:F, 6, FALSE)</f>
        <v>Female</v>
      </c>
      <c r="R725" s="13" t="str">
        <f>_xlfn.XLOOKUP(Sales_fact[[#This Row],[Product_ID]],Product_Dim!A:A,Product_Dim!C:C,"OTHERS")</f>
        <v>Sports</v>
      </c>
    </row>
    <row r="726" spans="1:18" x14ac:dyDescent="0.3">
      <c r="A726" t="s">
        <v>2550</v>
      </c>
      <c r="B726" s="2">
        <v>45760</v>
      </c>
      <c r="C726" t="s">
        <v>803</v>
      </c>
      <c r="D726" t="s">
        <v>1680</v>
      </c>
      <c r="E726" t="str">
        <f ca="1">TRIM(Sales_fact[[#This Row],[Store_ID]])</f>
        <v>STORE16</v>
      </c>
      <c r="F726">
        <v>4</v>
      </c>
      <c r="G726">
        <f>IF(ISBLANK(F726),MODE($F$2:$F$2001),F726)</f>
        <v>4</v>
      </c>
      <c r="H726">
        <v>805.99</v>
      </c>
      <c r="I726">
        <f>IF(ISBLANK(H726),AVERAGE($H$2:$H$2001),H726)</f>
        <v>805.99</v>
      </c>
      <c r="J726">
        <v>0.06</v>
      </c>
      <c r="K726">
        <f>IF(ISBLANK(J726),MODE($J$2:$J$2001),J726)</f>
        <v>0.06</v>
      </c>
      <c r="L726" t="s">
        <v>1824</v>
      </c>
      <c r="M726">
        <v>3030.5223999999998</v>
      </c>
      <c r="N726">
        <f t="shared" si="11"/>
        <v>3030.5223999999998</v>
      </c>
      <c r="O726" t="str">
        <f>_xlfn.XLOOKUP(Sales_fact[[#This Row],[Customer_ID]],'Customer_Dim'!A:A,'Customer_Dim'!K:K,"Not Found")</f>
        <v>Silver</v>
      </c>
      <c r="P726">
        <f>_xlfn.XLOOKUP(Sales_fact[[#This Row],[Customer_ID]],'Customer_Dim'!A:A, 'Customer_Dim'!E:E, "Not Found")</f>
        <v>64</v>
      </c>
      <c r="Q726" t="str">
        <f>VLOOKUP(Sales_fact[[#This Row],[Customer_ID]], 'Customer_Dim'!A:F, 6, FALSE)</f>
        <v>Male</v>
      </c>
      <c r="R726" s="13" t="str">
        <f>_xlfn.XLOOKUP(Sales_fact[[#This Row],[Product_ID]],Product_Dim!A:A,Product_Dim!C:C,"OTHERS")</f>
        <v>Beauty</v>
      </c>
    </row>
    <row r="727" spans="1:18" x14ac:dyDescent="0.3">
      <c r="A727" t="s">
        <v>2551</v>
      </c>
      <c r="B727" s="2">
        <v>45474</v>
      </c>
      <c r="C727" t="s">
        <v>1211</v>
      </c>
      <c r="D727" t="s">
        <v>1690</v>
      </c>
      <c r="E727" t="str">
        <f ca="1">TRIM(Sales_fact[[#This Row],[Store_ID]])</f>
        <v>STORE1</v>
      </c>
      <c r="F727">
        <v>1</v>
      </c>
      <c r="G727">
        <f>IF(ISBLANK(F727),MODE($F$2:$F$2001),F727)</f>
        <v>1</v>
      </c>
      <c r="H727">
        <v>506.55</v>
      </c>
      <c r="I727">
        <f>IF(ISBLANK(H727),AVERAGE($H$2:$H$2001),H727)</f>
        <v>506.55</v>
      </c>
      <c r="J727">
        <v>0.28000000000000003</v>
      </c>
      <c r="K727">
        <f>IF(ISBLANK(J727),MODE($J$2:$J$2001),J727)</f>
        <v>0.28000000000000003</v>
      </c>
      <c r="L727" t="s">
        <v>1824</v>
      </c>
      <c r="M727">
        <v>364.71600000000001</v>
      </c>
      <c r="N727">
        <f t="shared" si="11"/>
        <v>364.71600000000001</v>
      </c>
      <c r="O727" t="str">
        <f>_xlfn.XLOOKUP(Sales_fact[[#This Row],[Customer_ID]],'Customer_Dim'!A:A,'Customer_Dim'!K:K,"Not Found")</f>
        <v>Platinum</v>
      </c>
      <c r="P727">
        <f>_xlfn.XLOOKUP(Sales_fact[[#This Row],[Customer_ID]],'Customer_Dim'!A:A, 'Customer_Dim'!E:E, "Not Found")</f>
        <v>53</v>
      </c>
      <c r="Q727" t="str">
        <f>VLOOKUP(Sales_fact[[#This Row],[Customer_ID]], 'Customer_Dim'!A:F, 6, FALSE)</f>
        <v>Male</v>
      </c>
      <c r="R727" s="13" t="str">
        <f>_xlfn.XLOOKUP(Sales_fact[[#This Row],[Product_ID]],Product_Dim!A:A,Product_Dim!C:C,"OTHERS")</f>
        <v>Beauty</v>
      </c>
    </row>
    <row r="728" spans="1:18" x14ac:dyDescent="0.3">
      <c r="A728" t="s">
        <v>2552</v>
      </c>
      <c r="B728" s="2">
        <v>45640</v>
      </c>
      <c r="C728" t="s">
        <v>447</v>
      </c>
      <c r="D728" t="s">
        <v>1630</v>
      </c>
      <c r="E728" t="str">
        <f ca="1">TRIM(Sales_fact[[#This Row],[Store_ID]])</f>
        <v>STORE11</v>
      </c>
      <c r="F728">
        <v>3</v>
      </c>
      <c r="G728">
        <f>IF(ISBLANK(F728),MODE($F$2:$F$2001),F728)</f>
        <v>3</v>
      </c>
      <c r="H728">
        <v>28.69</v>
      </c>
      <c r="I728">
        <f>IF(ISBLANK(H728),AVERAGE($H$2:$H$2001),H728)</f>
        <v>28.69</v>
      </c>
      <c r="J728">
        <v>0.02</v>
      </c>
      <c r="K728">
        <f>IF(ISBLANK(J728),MODE($J$2:$J$2001),J728)</f>
        <v>0.02</v>
      </c>
      <c r="L728" t="s">
        <v>1824</v>
      </c>
      <c r="M728">
        <v>84.348600000000005</v>
      </c>
      <c r="N728">
        <f t="shared" si="11"/>
        <v>84.348600000000005</v>
      </c>
      <c r="O728" t="str">
        <f>_xlfn.XLOOKUP(Sales_fact[[#This Row],[Customer_ID]],'Customer_Dim'!A:A,'Customer_Dim'!K:K,"Not Found")</f>
        <v>Platinum</v>
      </c>
      <c r="P728">
        <f>_xlfn.XLOOKUP(Sales_fact[[#This Row],[Customer_ID]],'Customer_Dim'!A:A, 'Customer_Dim'!E:E, "Not Found")</f>
        <v>29</v>
      </c>
      <c r="Q728" t="str">
        <f>VLOOKUP(Sales_fact[[#This Row],[Customer_ID]], 'Customer_Dim'!A:F, 6, FALSE)</f>
        <v>Male</v>
      </c>
      <c r="R728" s="13" t="str">
        <f>_xlfn.XLOOKUP(Sales_fact[[#This Row],[Product_ID]],Product_Dim!A:A,Product_Dim!C:C,"OTHERS")</f>
        <v>Sports</v>
      </c>
    </row>
    <row r="729" spans="1:18" x14ac:dyDescent="0.3">
      <c r="A729" t="s">
        <v>2553</v>
      </c>
      <c r="B729" s="2">
        <v>45253</v>
      </c>
      <c r="C729" t="s">
        <v>1208</v>
      </c>
      <c r="D729" t="s">
        <v>1700</v>
      </c>
      <c r="E729" t="str">
        <f ca="1">TRIM(Sales_fact[[#This Row],[Store_ID]])</f>
        <v>STORE4</v>
      </c>
      <c r="F729">
        <v>1</v>
      </c>
      <c r="G729">
        <f>IF(ISBLANK(F729),MODE($F$2:$F$2001),F729)</f>
        <v>1</v>
      </c>
      <c r="H729">
        <v>106.07</v>
      </c>
      <c r="I729">
        <f>IF(ISBLANK(H729),AVERAGE($H$2:$H$2001),H729)</f>
        <v>106.07</v>
      </c>
      <c r="J729">
        <v>0.23</v>
      </c>
      <c r="K729">
        <f>IF(ISBLANK(J729),MODE($J$2:$J$2001),J729)</f>
        <v>0.23</v>
      </c>
      <c r="L729" t="s">
        <v>1829</v>
      </c>
      <c r="M729">
        <v>81.673900000000003</v>
      </c>
      <c r="N729">
        <f t="shared" si="11"/>
        <v>81.673900000000003</v>
      </c>
      <c r="O729" t="str">
        <f>_xlfn.XLOOKUP(Sales_fact[[#This Row],[Customer_ID]],'Customer_Dim'!A:A,'Customer_Dim'!K:K,"Not Found")</f>
        <v>Silver</v>
      </c>
      <c r="P729">
        <f>_xlfn.XLOOKUP(Sales_fact[[#This Row],[Customer_ID]],'Customer_Dim'!A:A, 'Customer_Dim'!E:E, "Not Found")</f>
        <v>28</v>
      </c>
      <c r="Q729" t="str">
        <f>VLOOKUP(Sales_fact[[#This Row],[Customer_ID]], 'Customer_Dim'!A:F, 6, FALSE)</f>
        <v>Female</v>
      </c>
      <c r="R729" s="13" t="str">
        <f>_xlfn.XLOOKUP(Sales_fact[[#This Row],[Product_ID]],Product_Dim!A:A,Product_Dim!C:C,"OTHERS")</f>
        <v>Electronics</v>
      </c>
    </row>
    <row r="730" spans="1:18" x14ac:dyDescent="0.3">
      <c r="A730" t="s">
        <v>2554</v>
      </c>
      <c r="B730" s="2">
        <v>45225</v>
      </c>
      <c r="C730" t="s">
        <v>830</v>
      </c>
      <c r="D730" t="s">
        <v>1730</v>
      </c>
      <c r="E730" t="str">
        <f ca="1">TRIM(Sales_fact[[#This Row],[Store_ID]])</f>
        <v>STORE0</v>
      </c>
      <c r="F730">
        <v>4</v>
      </c>
      <c r="G730">
        <f>IF(ISBLANK(F730),MODE($F$2:$F$2001),F730)</f>
        <v>4</v>
      </c>
      <c r="H730">
        <v>289.77</v>
      </c>
      <c r="I730">
        <f>IF(ISBLANK(H730),AVERAGE($H$2:$H$2001),H730)</f>
        <v>289.77</v>
      </c>
      <c r="J730">
        <v>0.06</v>
      </c>
      <c r="K730">
        <f>IF(ISBLANK(J730),MODE($J$2:$J$2001),J730)</f>
        <v>0.06</v>
      </c>
      <c r="L730" t="s">
        <v>1826</v>
      </c>
      <c r="M730">
        <v>1089.5352</v>
      </c>
      <c r="N730">
        <f t="shared" si="11"/>
        <v>1089.5351999999998</v>
      </c>
      <c r="O730" t="str">
        <f>_xlfn.XLOOKUP(Sales_fact[[#This Row],[Customer_ID]],'Customer_Dim'!A:A,'Customer_Dim'!K:K,"Not Found")</f>
        <v>Platinum</v>
      </c>
      <c r="P730">
        <f>_xlfn.XLOOKUP(Sales_fact[[#This Row],[Customer_ID]],'Customer_Dim'!A:A, 'Customer_Dim'!E:E, "Not Found")</f>
        <v>63</v>
      </c>
      <c r="Q730" t="str">
        <f>VLOOKUP(Sales_fact[[#This Row],[Customer_ID]], 'Customer_Dim'!A:F, 6, FALSE)</f>
        <v>Female</v>
      </c>
      <c r="R730" s="13" t="str">
        <f>_xlfn.XLOOKUP(Sales_fact[[#This Row],[Product_ID]],Product_Dim!A:A,Product_Dim!C:C,"OTHERS")</f>
        <v>Clothing</v>
      </c>
    </row>
    <row r="731" spans="1:18" x14ac:dyDescent="0.3">
      <c r="A731" t="s">
        <v>2555</v>
      </c>
      <c r="B731" s="2">
        <v>45263</v>
      </c>
      <c r="C731" t="s">
        <v>523</v>
      </c>
      <c r="D731" t="s">
        <v>1714</v>
      </c>
      <c r="E731" t="str">
        <f ca="1">TRIM(Sales_fact[[#This Row],[Store_ID]])</f>
        <v>STORE18</v>
      </c>
      <c r="F731">
        <v>2</v>
      </c>
      <c r="G731">
        <f>IF(ISBLANK(F731),MODE($F$2:$F$2001),F731)</f>
        <v>2</v>
      </c>
      <c r="H731">
        <v>354.26</v>
      </c>
      <c r="I731">
        <f>IF(ISBLANK(H731),AVERAGE($H$2:$H$2001),H731)</f>
        <v>354.26</v>
      </c>
      <c r="J731">
        <v>0.01</v>
      </c>
      <c r="K731">
        <f>IF(ISBLANK(J731),MODE($J$2:$J$2001),J731)</f>
        <v>0.01</v>
      </c>
      <c r="L731" t="s">
        <v>1829</v>
      </c>
      <c r="M731">
        <v>701.4348</v>
      </c>
      <c r="N731">
        <f t="shared" si="11"/>
        <v>701.4348</v>
      </c>
      <c r="O731" t="str">
        <f>_xlfn.XLOOKUP(Sales_fact[[#This Row],[Customer_ID]],'Customer_Dim'!A:A,'Customer_Dim'!K:K,"Not Found")</f>
        <v>Bronze</v>
      </c>
      <c r="P731">
        <f>_xlfn.XLOOKUP(Sales_fact[[#This Row],[Customer_ID]],'Customer_Dim'!A:A, 'Customer_Dim'!E:E, "Not Found")</f>
        <v>46</v>
      </c>
      <c r="Q731" t="str">
        <f>VLOOKUP(Sales_fact[[#This Row],[Customer_ID]], 'Customer_Dim'!A:F, 6, FALSE)</f>
        <v>Male</v>
      </c>
      <c r="R731" s="13" t="str">
        <f>_xlfn.XLOOKUP(Sales_fact[[#This Row],[Product_ID]],Product_Dim!A:A,Product_Dim!C:C,"OTHERS")</f>
        <v>Beauty</v>
      </c>
    </row>
    <row r="732" spans="1:18" x14ac:dyDescent="0.3">
      <c r="A732" t="s">
        <v>2556</v>
      </c>
      <c r="B732" s="2">
        <v>45554</v>
      </c>
      <c r="C732" t="s">
        <v>1202</v>
      </c>
      <c r="D732" t="s">
        <v>1684</v>
      </c>
      <c r="E732" t="str">
        <f ca="1">TRIM(Sales_fact[[#This Row],[Store_ID]])</f>
        <v>STORE14</v>
      </c>
      <c r="F732">
        <v>1</v>
      </c>
      <c r="G732">
        <f>IF(ISBLANK(F732),MODE($F$2:$F$2001),F732)</f>
        <v>1</v>
      </c>
      <c r="H732">
        <v>522.72</v>
      </c>
      <c r="I732">
        <f>IF(ISBLANK(H732),AVERAGE($H$2:$H$2001),H732)</f>
        <v>522.72</v>
      </c>
      <c r="J732">
        <v>0.25</v>
      </c>
      <c r="K732">
        <f>IF(ISBLANK(J732),MODE($J$2:$J$2001),J732)</f>
        <v>0.25</v>
      </c>
      <c r="L732" t="s">
        <v>1826</v>
      </c>
      <c r="M732">
        <v>392.04</v>
      </c>
      <c r="N732">
        <f t="shared" si="11"/>
        <v>392.04</v>
      </c>
      <c r="O732" t="str">
        <f>_xlfn.XLOOKUP(Sales_fact[[#This Row],[Customer_ID]],'Customer_Dim'!A:A,'Customer_Dim'!K:K,"Not Found")</f>
        <v>Gold</v>
      </c>
      <c r="P732">
        <f>_xlfn.XLOOKUP(Sales_fact[[#This Row],[Customer_ID]],'Customer_Dim'!A:A, 'Customer_Dim'!E:E, "Not Found")</f>
        <v>60</v>
      </c>
      <c r="Q732" t="str">
        <f>VLOOKUP(Sales_fact[[#This Row],[Customer_ID]], 'Customer_Dim'!A:F, 6, FALSE)</f>
        <v>Male</v>
      </c>
      <c r="R732" s="13" t="str">
        <f>_xlfn.XLOOKUP(Sales_fact[[#This Row],[Product_ID]],Product_Dim!A:A,Product_Dim!C:C,"OTHERS")</f>
        <v>Home</v>
      </c>
    </row>
    <row r="733" spans="1:18" x14ac:dyDescent="0.3">
      <c r="A733" t="s">
        <v>2557</v>
      </c>
      <c r="B733" s="2">
        <v>45569</v>
      </c>
      <c r="C733" t="s">
        <v>214</v>
      </c>
      <c r="D733" t="s">
        <v>1555</v>
      </c>
      <c r="E733" t="str">
        <f ca="1">TRIM(Sales_fact[[#This Row],[Store_ID]])</f>
        <v>STORE9</v>
      </c>
      <c r="F733">
        <v>3</v>
      </c>
      <c r="G733">
        <f>IF(ISBLANK(F733),MODE($F$2:$F$2001),F733)</f>
        <v>3</v>
      </c>
      <c r="H733">
        <v>966.02</v>
      </c>
      <c r="I733">
        <f>IF(ISBLANK(H733),AVERAGE($H$2:$H$2001),H733)</f>
        <v>966.02</v>
      </c>
      <c r="J733">
        <v>0.03</v>
      </c>
      <c r="K733">
        <f>IF(ISBLANK(J733),MODE($J$2:$J$2001),J733)</f>
        <v>0.03</v>
      </c>
      <c r="L733" t="s">
        <v>1829</v>
      </c>
      <c r="M733">
        <v>2811.1181999999999</v>
      </c>
      <c r="N733">
        <f t="shared" si="11"/>
        <v>2811.1181999999999</v>
      </c>
      <c r="O733" t="str">
        <f>_xlfn.XLOOKUP(Sales_fact[[#This Row],[Customer_ID]],'Customer_Dim'!A:A,'Customer_Dim'!K:K,"Not Found")</f>
        <v>Platinum</v>
      </c>
      <c r="P733">
        <f>_xlfn.XLOOKUP(Sales_fact[[#This Row],[Customer_ID]],'Customer_Dim'!A:A, 'Customer_Dim'!E:E, "Not Found")</f>
        <v>43</v>
      </c>
      <c r="Q733" t="str">
        <f>VLOOKUP(Sales_fact[[#This Row],[Customer_ID]], 'Customer_Dim'!A:F, 6, FALSE)</f>
        <v>Female</v>
      </c>
      <c r="R733" s="13" t="str">
        <f>_xlfn.XLOOKUP(Sales_fact[[#This Row],[Product_ID]],Product_Dim!A:A,Product_Dim!C:C,"OTHERS")</f>
        <v>Clothing</v>
      </c>
    </row>
    <row r="734" spans="1:18" x14ac:dyDescent="0.3">
      <c r="A734" t="s">
        <v>2558</v>
      </c>
      <c r="B734" s="2">
        <v>45217</v>
      </c>
      <c r="C734" t="s">
        <v>724</v>
      </c>
      <c r="D734" t="s">
        <v>1648</v>
      </c>
      <c r="E734" t="str">
        <f ca="1">TRIM(Sales_fact[[#This Row],[Store_ID]])</f>
        <v>STORE17</v>
      </c>
      <c r="F734">
        <v>1</v>
      </c>
      <c r="G734">
        <f>IF(ISBLANK(F734),MODE($F$2:$F$2001),F734)</f>
        <v>1</v>
      </c>
      <c r="H734">
        <v>498.61</v>
      </c>
      <c r="I734">
        <f>IF(ISBLANK(H734),AVERAGE($H$2:$H$2001),H734)</f>
        <v>498.61</v>
      </c>
      <c r="J734">
        <v>0.04</v>
      </c>
      <c r="K734">
        <f>IF(ISBLANK(J734),MODE($J$2:$J$2001),J734)</f>
        <v>0.04</v>
      </c>
      <c r="L734" t="s">
        <v>1826</v>
      </c>
      <c r="M734">
        <v>478.66559999999998</v>
      </c>
      <c r="N734">
        <f t="shared" si="11"/>
        <v>478.66559999999998</v>
      </c>
      <c r="O734" t="str">
        <f>_xlfn.XLOOKUP(Sales_fact[[#This Row],[Customer_ID]],'Customer_Dim'!A:A,'Customer_Dim'!K:K,"Not Found")</f>
        <v>Silver</v>
      </c>
      <c r="P734">
        <f>_xlfn.XLOOKUP(Sales_fact[[#This Row],[Customer_ID]],'Customer_Dim'!A:A, 'Customer_Dim'!E:E, "Not Found")</f>
        <v>29</v>
      </c>
      <c r="Q734" t="str">
        <f>VLOOKUP(Sales_fact[[#This Row],[Customer_ID]], 'Customer_Dim'!A:F, 6, FALSE)</f>
        <v>Male</v>
      </c>
      <c r="R734" s="13" t="str">
        <f>_xlfn.XLOOKUP(Sales_fact[[#This Row],[Product_ID]],Product_Dim!A:A,Product_Dim!C:C,"OTHERS")</f>
        <v>Sports</v>
      </c>
    </row>
    <row r="735" spans="1:18" x14ac:dyDescent="0.3">
      <c r="A735" t="s">
        <v>2559</v>
      </c>
      <c r="B735" s="2">
        <v>45783</v>
      </c>
      <c r="C735" t="s">
        <v>1038</v>
      </c>
      <c r="D735" t="s">
        <v>1632</v>
      </c>
      <c r="E735" t="str">
        <f ca="1">TRIM(Sales_fact[[#This Row],[Store_ID]])</f>
        <v>STORE6</v>
      </c>
      <c r="F735">
        <v>4</v>
      </c>
      <c r="G735">
        <f>IF(ISBLANK(F735),MODE($F$2:$F$2001),F735)</f>
        <v>4</v>
      </c>
      <c r="H735">
        <v>758.27</v>
      </c>
      <c r="I735">
        <f>IF(ISBLANK(H735),AVERAGE($H$2:$H$2001),H735)</f>
        <v>758.27</v>
      </c>
      <c r="J735">
        <v>0.05</v>
      </c>
      <c r="K735">
        <f>IF(ISBLANK(J735),MODE($J$2:$J$2001),J735)</f>
        <v>0.05</v>
      </c>
      <c r="L735" t="s">
        <v>1826</v>
      </c>
      <c r="M735">
        <v>2881.4259999999999</v>
      </c>
      <c r="N735">
        <f t="shared" si="11"/>
        <v>2881.4259999999999</v>
      </c>
      <c r="O735" t="str">
        <f>_xlfn.XLOOKUP(Sales_fact[[#This Row],[Customer_ID]],'Customer_Dim'!A:A,'Customer_Dim'!K:K,"Not Found")</f>
        <v>Platinum</v>
      </c>
      <c r="P735">
        <f>_xlfn.XLOOKUP(Sales_fact[[#This Row],[Customer_ID]],'Customer_Dim'!A:A, 'Customer_Dim'!E:E, "Not Found")</f>
        <v>54</v>
      </c>
      <c r="Q735" t="str">
        <f>VLOOKUP(Sales_fact[[#This Row],[Customer_ID]], 'Customer_Dim'!A:F, 6, FALSE)</f>
        <v>Male</v>
      </c>
      <c r="R735" s="13" t="str">
        <f>_xlfn.XLOOKUP(Sales_fact[[#This Row],[Product_ID]],Product_Dim!A:A,Product_Dim!C:C,"OTHERS")</f>
        <v>Electronics</v>
      </c>
    </row>
    <row r="736" spans="1:18" x14ac:dyDescent="0.3">
      <c r="A736" t="s">
        <v>2560</v>
      </c>
      <c r="B736" s="2">
        <v>45371</v>
      </c>
      <c r="C736" t="s">
        <v>648</v>
      </c>
      <c r="D736" t="s">
        <v>1551</v>
      </c>
      <c r="E736" t="str">
        <f ca="1">TRIM(Sales_fact[[#This Row],[Store_ID]])</f>
        <v>STORE2</v>
      </c>
      <c r="F736">
        <v>2</v>
      </c>
      <c r="G736">
        <f>IF(ISBLANK(F736),MODE($F$2:$F$2001),F736)</f>
        <v>2</v>
      </c>
      <c r="H736">
        <v>371.03</v>
      </c>
      <c r="I736">
        <f>IF(ISBLANK(H736),AVERAGE($H$2:$H$2001),H736)</f>
        <v>371.03</v>
      </c>
      <c r="J736">
        <v>0.23</v>
      </c>
      <c r="K736">
        <f>IF(ISBLANK(J736),MODE($J$2:$J$2001),J736)</f>
        <v>0.23</v>
      </c>
      <c r="L736" t="s">
        <v>1826</v>
      </c>
      <c r="M736">
        <v>571.38619999999992</v>
      </c>
      <c r="N736">
        <f t="shared" si="11"/>
        <v>571.38619999999992</v>
      </c>
      <c r="O736" t="str">
        <f>_xlfn.XLOOKUP(Sales_fact[[#This Row],[Customer_ID]],'Customer_Dim'!A:A,'Customer_Dim'!K:K,"Not Found")</f>
        <v>Bronze</v>
      </c>
      <c r="P736">
        <f>_xlfn.XLOOKUP(Sales_fact[[#This Row],[Customer_ID]],'Customer_Dim'!A:A, 'Customer_Dim'!E:E, "Not Found")</f>
        <v>54</v>
      </c>
      <c r="Q736" t="str">
        <f>VLOOKUP(Sales_fact[[#This Row],[Customer_ID]], 'Customer_Dim'!A:F, 6, FALSE)</f>
        <v>Male</v>
      </c>
      <c r="R736" s="13" t="str">
        <f>_xlfn.XLOOKUP(Sales_fact[[#This Row],[Product_ID]],Product_Dim!A:A,Product_Dim!C:C,"OTHERS")</f>
        <v>OTHERS</v>
      </c>
    </row>
    <row r="737" spans="1:18" x14ac:dyDescent="0.3">
      <c r="A737" t="s">
        <v>2561</v>
      </c>
      <c r="B737" s="2">
        <v>45453</v>
      </c>
      <c r="C737" t="s">
        <v>1112</v>
      </c>
      <c r="D737" t="s">
        <v>1730</v>
      </c>
      <c r="E737" t="str">
        <f ca="1">TRIM(Sales_fact[[#This Row],[Store_ID]])</f>
        <v>STORE17</v>
      </c>
      <c r="F737">
        <v>1</v>
      </c>
      <c r="G737">
        <f>IF(ISBLANK(F737),MODE($F$2:$F$2001),F737)</f>
        <v>1</v>
      </c>
      <c r="H737">
        <v>230.32</v>
      </c>
      <c r="I737">
        <f>IF(ISBLANK(H737),AVERAGE($H$2:$H$2001),H737)</f>
        <v>230.32</v>
      </c>
      <c r="J737">
        <v>0.05</v>
      </c>
      <c r="K737">
        <f>IF(ISBLANK(J737),MODE($J$2:$J$2001),J737)</f>
        <v>0.05</v>
      </c>
      <c r="L737" t="s">
        <v>1829</v>
      </c>
      <c r="M737">
        <v>218.804</v>
      </c>
      <c r="N737">
        <f t="shared" si="11"/>
        <v>218.80399999999997</v>
      </c>
      <c r="O737" t="str">
        <f>_xlfn.XLOOKUP(Sales_fact[[#This Row],[Customer_ID]],'Customer_Dim'!A:A,'Customer_Dim'!K:K,"Not Found")</f>
        <v>Gold</v>
      </c>
      <c r="P737">
        <f>_xlfn.XLOOKUP(Sales_fact[[#This Row],[Customer_ID]],'Customer_Dim'!A:A, 'Customer_Dim'!E:E, "Not Found")</f>
        <v>20</v>
      </c>
      <c r="Q737" t="str">
        <f>VLOOKUP(Sales_fact[[#This Row],[Customer_ID]], 'Customer_Dim'!A:F, 6, FALSE)</f>
        <v>Male</v>
      </c>
      <c r="R737" s="13" t="str">
        <f>_xlfn.XLOOKUP(Sales_fact[[#This Row],[Product_ID]],Product_Dim!A:A,Product_Dim!C:C,"OTHERS")</f>
        <v>Clothing</v>
      </c>
    </row>
    <row r="738" spans="1:18" x14ac:dyDescent="0.3">
      <c r="A738" t="s">
        <v>2562</v>
      </c>
      <c r="B738" s="2">
        <v>45526</v>
      </c>
      <c r="C738" t="s">
        <v>1074</v>
      </c>
      <c r="D738" t="s">
        <v>1670</v>
      </c>
      <c r="E738" t="str">
        <f ca="1">TRIM(Sales_fact[[#This Row],[Store_ID]])</f>
        <v>STORE6</v>
      </c>
      <c r="F738">
        <v>2</v>
      </c>
      <c r="G738">
        <f>IF(ISBLANK(F738),MODE($F$2:$F$2001),F738)</f>
        <v>2</v>
      </c>
      <c r="H738">
        <v>985.43</v>
      </c>
      <c r="I738">
        <f>IF(ISBLANK(H738),AVERAGE($H$2:$H$2001),H738)</f>
        <v>985.43</v>
      </c>
      <c r="J738">
        <v>0.28000000000000003</v>
      </c>
      <c r="K738">
        <f>IF(ISBLANK(J738),MODE($J$2:$J$2001),J738)</f>
        <v>0.28000000000000003</v>
      </c>
      <c r="L738" t="s">
        <v>1829</v>
      </c>
      <c r="M738">
        <v>1419.0192</v>
      </c>
      <c r="N738">
        <f t="shared" si="11"/>
        <v>1419.0192</v>
      </c>
      <c r="O738" t="str">
        <f>_xlfn.XLOOKUP(Sales_fact[[#This Row],[Customer_ID]],'Customer_Dim'!A:A,'Customer_Dim'!K:K,"Not Found")</f>
        <v>Bronze</v>
      </c>
      <c r="P738">
        <f>_xlfn.XLOOKUP(Sales_fact[[#This Row],[Customer_ID]],'Customer_Dim'!A:A, 'Customer_Dim'!E:E, "Not Found")</f>
        <v>30</v>
      </c>
      <c r="Q738" t="str">
        <f>VLOOKUP(Sales_fact[[#This Row],[Customer_ID]], 'Customer_Dim'!A:F, 6, FALSE)</f>
        <v>Female</v>
      </c>
      <c r="R738" s="13" t="str">
        <f>_xlfn.XLOOKUP(Sales_fact[[#This Row],[Product_ID]],Product_Dim!A:A,Product_Dim!C:C,"OTHERS")</f>
        <v>Sports</v>
      </c>
    </row>
    <row r="739" spans="1:18" x14ac:dyDescent="0.3">
      <c r="A739" t="s">
        <v>2563</v>
      </c>
      <c r="B739" s="2">
        <v>45756</v>
      </c>
      <c r="C739" t="s">
        <v>1310</v>
      </c>
      <c r="D739" t="s">
        <v>1565</v>
      </c>
      <c r="E739" t="str">
        <f ca="1">TRIM(Sales_fact[[#This Row],[Store_ID]])</f>
        <v>STORE4</v>
      </c>
      <c r="F739">
        <v>2</v>
      </c>
      <c r="G739">
        <f>IF(ISBLANK(F739),MODE($F$2:$F$2001),F739)</f>
        <v>2</v>
      </c>
      <c r="H739">
        <v>492.5</v>
      </c>
      <c r="I739">
        <f>IF(ISBLANK(H739),AVERAGE($H$2:$H$2001),H739)</f>
        <v>492.5</v>
      </c>
      <c r="J739">
        <v>0.3</v>
      </c>
      <c r="K739">
        <f>IF(ISBLANK(J739),MODE($J$2:$J$2001),J739)</f>
        <v>0.3</v>
      </c>
      <c r="L739" t="s">
        <v>1826</v>
      </c>
      <c r="M739">
        <v>689.5</v>
      </c>
      <c r="N739">
        <f t="shared" si="11"/>
        <v>689.5</v>
      </c>
      <c r="O739" t="str">
        <f>_xlfn.XLOOKUP(Sales_fact[[#This Row],[Customer_ID]],'Customer_Dim'!A:A,'Customer_Dim'!K:K,"Not Found")</f>
        <v>Platinum</v>
      </c>
      <c r="P739">
        <f>_xlfn.XLOOKUP(Sales_fact[[#This Row],[Customer_ID]],'Customer_Dim'!A:A, 'Customer_Dim'!E:E, "Not Found")</f>
        <v>42</v>
      </c>
      <c r="Q739" t="str">
        <f>VLOOKUP(Sales_fact[[#This Row],[Customer_ID]], 'Customer_Dim'!A:F, 6, FALSE)</f>
        <v>Female</v>
      </c>
      <c r="R739" s="13" t="str">
        <f>_xlfn.XLOOKUP(Sales_fact[[#This Row],[Product_ID]],Product_Dim!A:A,Product_Dim!C:C,"OTHERS")</f>
        <v>Sports</v>
      </c>
    </row>
    <row r="740" spans="1:18" x14ac:dyDescent="0.3">
      <c r="A740" t="s">
        <v>2564</v>
      </c>
      <c r="B740" s="2">
        <v>45657</v>
      </c>
      <c r="C740" t="s">
        <v>1139</v>
      </c>
      <c r="D740" t="s">
        <v>1640</v>
      </c>
      <c r="E740" t="str">
        <f ca="1">TRIM(Sales_fact[[#This Row],[Store_ID]])</f>
        <v>STORE11</v>
      </c>
      <c r="F740">
        <v>2</v>
      </c>
      <c r="G740">
        <f>IF(ISBLANK(F740),MODE($F$2:$F$2001),F740)</f>
        <v>2</v>
      </c>
      <c r="H740">
        <v>213.69</v>
      </c>
      <c r="I740">
        <f>IF(ISBLANK(H740),AVERAGE($H$2:$H$2001),H740)</f>
        <v>213.69</v>
      </c>
      <c r="J740">
        <v>0.28000000000000003</v>
      </c>
      <c r="K740">
        <f>IF(ISBLANK(J740),MODE($J$2:$J$2001),J740)</f>
        <v>0.28000000000000003</v>
      </c>
      <c r="L740" t="s">
        <v>1826</v>
      </c>
      <c r="M740">
        <v>307.71359999999999</v>
      </c>
      <c r="N740">
        <f t="shared" si="11"/>
        <v>307.71359999999999</v>
      </c>
      <c r="O740" t="str">
        <f>_xlfn.XLOOKUP(Sales_fact[[#This Row],[Customer_ID]],'Customer_Dim'!A:A,'Customer_Dim'!K:K,"Not Found")</f>
        <v>Bronze</v>
      </c>
      <c r="P740">
        <f>_xlfn.XLOOKUP(Sales_fact[[#This Row],[Customer_ID]],'Customer_Dim'!A:A, 'Customer_Dim'!E:E, "Not Found")</f>
        <v>58</v>
      </c>
      <c r="Q740" t="str">
        <f>VLOOKUP(Sales_fact[[#This Row],[Customer_ID]], 'Customer_Dim'!A:F, 6, FALSE)</f>
        <v>Male</v>
      </c>
      <c r="R740" s="13" t="str">
        <f>_xlfn.XLOOKUP(Sales_fact[[#This Row],[Product_ID]],Product_Dim!A:A,Product_Dim!C:C,"OTHERS")</f>
        <v>Clothing</v>
      </c>
    </row>
    <row r="741" spans="1:18" x14ac:dyDescent="0.3">
      <c r="A741" t="s">
        <v>2565</v>
      </c>
      <c r="B741" s="2">
        <v>45716</v>
      </c>
      <c r="C741" t="s">
        <v>241</v>
      </c>
      <c r="D741" t="s">
        <v>1588</v>
      </c>
      <c r="E741" t="str">
        <f ca="1">TRIM(Sales_fact[[#This Row],[Store_ID]])</f>
        <v>STORE8</v>
      </c>
      <c r="F741">
        <v>4</v>
      </c>
      <c r="G741">
        <f>IF(ISBLANK(F741),MODE($F$2:$F$2001),F741)</f>
        <v>4</v>
      </c>
      <c r="H741">
        <v>618.83000000000004</v>
      </c>
      <c r="I741">
        <f>IF(ISBLANK(H741),AVERAGE($H$2:$H$2001),H741)</f>
        <v>618.83000000000004</v>
      </c>
      <c r="J741">
        <v>0.08</v>
      </c>
      <c r="K741">
        <f>IF(ISBLANK(J741),MODE($J$2:$J$2001),J741)</f>
        <v>0.08</v>
      </c>
      <c r="L741" t="s">
        <v>1826</v>
      </c>
      <c r="M741">
        <v>2277.2944000000002</v>
      </c>
      <c r="N741">
        <f t="shared" si="11"/>
        <v>2277.2944000000002</v>
      </c>
      <c r="O741" t="str">
        <f>_xlfn.XLOOKUP(Sales_fact[[#This Row],[Customer_ID]],'Customer_Dim'!A:A,'Customer_Dim'!K:K,"Not Found")</f>
        <v>Silver</v>
      </c>
      <c r="P741">
        <f>_xlfn.XLOOKUP(Sales_fact[[#This Row],[Customer_ID]],'Customer_Dim'!A:A, 'Customer_Dim'!E:E, "Not Found")</f>
        <v>21</v>
      </c>
      <c r="Q741" t="str">
        <f>VLOOKUP(Sales_fact[[#This Row],[Customer_ID]], 'Customer_Dim'!A:F, 6, FALSE)</f>
        <v>Female</v>
      </c>
      <c r="R741" s="13" t="str">
        <f>_xlfn.XLOOKUP(Sales_fact[[#This Row],[Product_ID]],Product_Dim!A:A,Product_Dim!C:C,"OTHERS")</f>
        <v>Sports</v>
      </c>
    </row>
    <row r="742" spans="1:18" x14ac:dyDescent="0.3">
      <c r="A742" t="s">
        <v>2566</v>
      </c>
      <c r="B742" s="2">
        <v>45313</v>
      </c>
      <c r="C742" t="s">
        <v>335</v>
      </c>
      <c r="D742" t="s">
        <v>1666</v>
      </c>
      <c r="E742" t="str">
        <f ca="1">TRIM(Sales_fact[[#This Row],[Store_ID]])</f>
        <v>STORE11</v>
      </c>
      <c r="F742">
        <v>2</v>
      </c>
      <c r="G742">
        <f>IF(ISBLANK(F742),MODE($F$2:$F$2001),F742)</f>
        <v>2</v>
      </c>
      <c r="H742">
        <v>81.16</v>
      </c>
      <c r="I742">
        <f>IF(ISBLANK(H742),AVERAGE($H$2:$H$2001),H742)</f>
        <v>81.16</v>
      </c>
      <c r="J742">
        <v>0.16</v>
      </c>
      <c r="K742">
        <f>IF(ISBLANK(J742),MODE($J$2:$J$2001),J742)</f>
        <v>0.16</v>
      </c>
      <c r="L742" t="s">
        <v>1826</v>
      </c>
      <c r="M742">
        <v>136.34880000000001</v>
      </c>
      <c r="N742">
        <f t="shared" si="11"/>
        <v>136.34879999999998</v>
      </c>
      <c r="O742" t="str">
        <f>_xlfn.XLOOKUP(Sales_fact[[#This Row],[Customer_ID]],'Customer_Dim'!A:A,'Customer_Dim'!K:K,"Not Found")</f>
        <v>Gold</v>
      </c>
      <c r="P742">
        <f>_xlfn.XLOOKUP(Sales_fact[[#This Row],[Customer_ID]],'Customer_Dim'!A:A, 'Customer_Dim'!E:E, "Not Found")</f>
        <v>28</v>
      </c>
      <c r="Q742" t="str">
        <f>VLOOKUP(Sales_fact[[#This Row],[Customer_ID]], 'Customer_Dim'!A:F, 6, FALSE)</f>
        <v>Female</v>
      </c>
      <c r="R742" s="13" t="str">
        <f>_xlfn.XLOOKUP(Sales_fact[[#This Row],[Product_ID]],Product_Dim!A:A,Product_Dim!C:C,"OTHERS")</f>
        <v>Beauty</v>
      </c>
    </row>
    <row r="743" spans="1:18" x14ac:dyDescent="0.3">
      <c r="A743" t="s">
        <v>2567</v>
      </c>
      <c r="B743" s="2">
        <v>45372</v>
      </c>
      <c r="C743" t="s">
        <v>20</v>
      </c>
      <c r="D743" t="s">
        <v>1720</v>
      </c>
      <c r="E743" t="str">
        <f ca="1">TRIM(Sales_fact[[#This Row],[Store_ID]])</f>
        <v>STORE9</v>
      </c>
      <c r="F743">
        <v>1</v>
      </c>
      <c r="G743">
        <f>IF(ISBLANK(F743),MODE($F$2:$F$2001),F743)</f>
        <v>1</v>
      </c>
      <c r="H743">
        <v>431.69</v>
      </c>
      <c r="I743">
        <f>IF(ISBLANK(H743),AVERAGE($H$2:$H$2001),H743)</f>
        <v>431.69</v>
      </c>
      <c r="J743">
        <v>0.09</v>
      </c>
      <c r="K743">
        <f>IF(ISBLANK(J743),MODE($J$2:$J$2001),J743)</f>
        <v>0.09</v>
      </c>
      <c r="L743" t="s">
        <v>1824</v>
      </c>
      <c r="M743">
        <v>392.83789999999999</v>
      </c>
      <c r="N743">
        <f t="shared" si="11"/>
        <v>392.83789999999999</v>
      </c>
      <c r="O743" t="str">
        <f>_xlfn.XLOOKUP(Sales_fact[[#This Row],[Customer_ID]],'Customer_Dim'!A:A,'Customer_Dim'!K:K,"Not Found")</f>
        <v>Platinum</v>
      </c>
      <c r="P743">
        <f>_xlfn.XLOOKUP(Sales_fact[[#This Row],[Customer_ID]],'Customer_Dim'!A:A, 'Customer_Dim'!E:E, "Not Found")</f>
        <v>29</v>
      </c>
      <c r="Q743" t="str">
        <f>VLOOKUP(Sales_fact[[#This Row],[Customer_ID]], 'Customer_Dim'!A:F, 6, FALSE)</f>
        <v>Female</v>
      </c>
      <c r="R743" s="13" t="str">
        <f>_xlfn.XLOOKUP(Sales_fact[[#This Row],[Product_ID]],Product_Dim!A:A,Product_Dim!C:C,"OTHERS")</f>
        <v>Home</v>
      </c>
    </row>
    <row r="744" spans="1:18" x14ac:dyDescent="0.3">
      <c r="A744" t="s">
        <v>2568</v>
      </c>
      <c r="B744" s="2">
        <v>45648</v>
      </c>
      <c r="C744" t="s">
        <v>1260</v>
      </c>
      <c r="D744" t="s">
        <v>1584</v>
      </c>
      <c r="E744" t="str">
        <f ca="1">TRIM(Sales_fact[[#This Row],[Store_ID]])</f>
        <v>STORE5</v>
      </c>
      <c r="F744">
        <v>3</v>
      </c>
      <c r="G744">
        <f>IF(ISBLANK(F744),MODE($F$2:$F$2001),F744)</f>
        <v>3</v>
      </c>
      <c r="H744">
        <v>438.65</v>
      </c>
      <c r="I744">
        <f>IF(ISBLANK(H744),AVERAGE($H$2:$H$2001),H744)</f>
        <v>438.65</v>
      </c>
      <c r="J744">
        <v>0.28999999999999998</v>
      </c>
      <c r="K744">
        <f>IF(ISBLANK(J744),MODE($J$2:$J$2001),J744)</f>
        <v>0.28999999999999998</v>
      </c>
      <c r="L744" t="s">
        <v>1826</v>
      </c>
      <c r="M744">
        <v>934.32449999999983</v>
      </c>
      <c r="N744">
        <f t="shared" si="11"/>
        <v>934.32449999999983</v>
      </c>
      <c r="O744" t="str">
        <f>_xlfn.XLOOKUP(Sales_fact[[#This Row],[Customer_ID]],'Customer_Dim'!A:A,'Customer_Dim'!K:K,"Not Found")</f>
        <v>Gold</v>
      </c>
      <c r="P744">
        <f>_xlfn.XLOOKUP(Sales_fact[[#This Row],[Customer_ID]],'Customer_Dim'!A:A, 'Customer_Dim'!E:E, "Not Found")</f>
        <v>18</v>
      </c>
      <c r="Q744" t="str">
        <f>VLOOKUP(Sales_fact[[#This Row],[Customer_ID]], 'Customer_Dim'!A:F, 6, FALSE)</f>
        <v>Female</v>
      </c>
      <c r="R744" s="13" t="str">
        <f>_xlfn.XLOOKUP(Sales_fact[[#This Row],[Product_ID]],Product_Dim!A:A,Product_Dim!C:C,"OTHERS")</f>
        <v>Clothing</v>
      </c>
    </row>
    <row r="745" spans="1:18" x14ac:dyDescent="0.3">
      <c r="A745" t="s">
        <v>2569</v>
      </c>
      <c r="B745" s="2">
        <v>45384</v>
      </c>
      <c r="C745" t="s">
        <v>571</v>
      </c>
      <c r="D745" t="s">
        <v>1706</v>
      </c>
      <c r="E745" t="str">
        <f ca="1">TRIM(Sales_fact[[#This Row],[Store_ID]])</f>
        <v>STORE3</v>
      </c>
      <c r="F745">
        <v>3</v>
      </c>
      <c r="G745">
        <f>IF(ISBLANK(F745),MODE($F$2:$F$2001),F745)</f>
        <v>3</v>
      </c>
      <c r="H745">
        <v>339.41</v>
      </c>
      <c r="I745">
        <f>IF(ISBLANK(H745),AVERAGE($H$2:$H$2001),H745)</f>
        <v>339.41</v>
      </c>
      <c r="J745">
        <v>0.26</v>
      </c>
      <c r="K745">
        <f>IF(ISBLANK(J745),MODE($J$2:$J$2001),J745)</f>
        <v>0.26</v>
      </c>
      <c r="L745" t="s">
        <v>1824</v>
      </c>
      <c r="M745">
        <v>753.49019999999996</v>
      </c>
      <c r="N745">
        <f t="shared" si="11"/>
        <v>753.49019999999996</v>
      </c>
      <c r="O745" t="str">
        <f>_xlfn.XLOOKUP(Sales_fact[[#This Row],[Customer_ID]],'Customer_Dim'!A:A,'Customer_Dim'!K:K,"Not Found")</f>
        <v>Bronze</v>
      </c>
      <c r="P745">
        <f>_xlfn.XLOOKUP(Sales_fact[[#This Row],[Customer_ID]],'Customer_Dim'!A:A, 'Customer_Dim'!E:E, "Not Found")</f>
        <v>41</v>
      </c>
      <c r="Q745" t="str">
        <f>VLOOKUP(Sales_fact[[#This Row],[Customer_ID]], 'Customer_Dim'!A:F, 6, FALSE)</f>
        <v>Female</v>
      </c>
      <c r="R745" s="13" t="str">
        <f>_xlfn.XLOOKUP(Sales_fact[[#This Row],[Product_ID]],Product_Dim!A:A,Product_Dim!C:C,"OTHERS")</f>
        <v>Home</v>
      </c>
    </row>
    <row r="746" spans="1:18" x14ac:dyDescent="0.3">
      <c r="A746" t="s">
        <v>2570</v>
      </c>
      <c r="B746" s="2">
        <v>45687</v>
      </c>
      <c r="C746" t="s">
        <v>1449</v>
      </c>
      <c r="D746" t="s">
        <v>1706</v>
      </c>
      <c r="E746" t="str">
        <f ca="1">TRIM(Sales_fact[[#This Row],[Store_ID]])</f>
        <v>STORE9</v>
      </c>
      <c r="F746">
        <v>4</v>
      </c>
      <c r="G746">
        <f>IF(ISBLANK(F746),MODE($F$2:$F$2001),F746)</f>
        <v>4</v>
      </c>
      <c r="H746">
        <v>848.47</v>
      </c>
      <c r="I746">
        <f>IF(ISBLANK(H746),AVERAGE($H$2:$H$2001),H746)</f>
        <v>848.47</v>
      </c>
      <c r="J746">
        <v>0.21</v>
      </c>
      <c r="K746">
        <f>IF(ISBLANK(J746),MODE($J$2:$J$2001),J746)</f>
        <v>0.21</v>
      </c>
      <c r="L746" t="s">
        <v>1829</v>
      </c>
      <c r="M746">
        <v>2681.1651999999999</v>
      </c>
      <c r="N746">
        <f t="shared" si="11"/>
        <v>2681.1652000000004</v>
      </c>
      <c r="O746" t="str">
        <f>_xlfn.XLOOKUP(Sales_fact[[#This Row],[Customer_ID]],'Customer_Dim'!A:A,'Customer_Dim'!K:K,"Not Found")</f>
        <v>Gold</v>
      </c>
      <c r="P746">
        <f>_xlfn.XLOOKUP(Sales_fact[[#This Row],[Customer_ID]],'Customer_Dim'!A:A, 'Customer_Dim'!E:E, "Not Found")</f>
        <v>21</v>
      </c>
      <c r="Q746" t="str">
        <f>VLOOKUP(Sales_fact[[#This Row],[Customer_ID]], 'Customer_Dim'!A:F, 6, FALSE)</f>
        <v>Female</v>
      </c>
      <c r="R746" s="13" t="str">
        <f>_xlfn.XLOOKUP(Sales_fact[[#This Row],[Product_ID]],Product_Dim!A:A,Product_Dim!C:C,"OTHERS")</f>
        <v>Home</v>
      </c>
    </row>
    <row r="747" spans="1:18" x14ac:dyDescent="0.3">
      <c r="A747" t="s">
        <v>2571</v>
      </c>
      <c r="B747" s="2">
        <v>45747</v>
      </c>
      <c r="C747" t="s">
        <v>631</v>
      </c>
      <c r="D747" t="s">
        <v>1682</v>
      </c>
      <c r="E747" t="str">
        <f ca="1">TRIM(Sales_fact[[#This Row],[Store_ID]])</f>
        <v>STORE8</v>
      </c>
      <c r="F747">
        <v>1</v>
      </c>
      <c r="G747">
        <f>IF(ISBLANK(F747),MODE($F$2:$F$2001),F747)</f>
        <v>1</v>
      </c>
      <c r="H747">
        <v>664.87</v>
      </c>
      <c r="I747">
        <f>IF(ISBLANK(H747),AVERAGE($H$2:$H$2001),H747)</f>
        <v>664.87</v>
      </c>
      <c r="J747">
        <v>0.08</v>
      </c>
      <c r="K747">
        <f>IF(ISBLANK(J747),MODE($J$2:$J$2001),J747)</f>
        <v>0.08</v>
      </c>
      <c r="L747" t="s">
        <v>1826</v>
      </c>
      <c r="M747">
        <v>611.68040000000008</v>
      </c>
      <c r="N747">
        <f t="shared" si="11"/>
        <v>611.68040000000008</v>
      </c>
      <c r="O747" t="str">
        <f>_xlfn.XLOOKUP(Sales_fact[[#This Row],[Customer_ID]],'Customer_Dim'!A:A,'Customer_Dim'!K:K,"Not Found")</f>
        <v>Gold</v>
      </c>
      <c r="P747">
        <f>_xlfn.XLOOKUP(Sales_fact[[#This Row],[Customer_ID]],'Customer_Dim'!A:A, 'Customer_Dim'!E:E, "Not Found")</f>
        <v>26</v>
      </c>
      <c r="Q747" t="str">
        <f>VLOOKUP(Sales_fact[[#This Row],[Customer_ID]], 'Customer_Dim'!A:F, 6, FALSE)</f>
        <v>Male</v>
      </c>
      <c r="R747" s="13" t="str">
        <f>_xlfn.XLOOKUP(Sales_fact[[#This Row],[Product_ID]],Product_Dim!A:A,Product_Dim!C:C,"OTHERS")</f>
        <v>Electronics</v>
      </c>
    </row>
    <row r="748" spans="1:18" x14ac:dyDescent="0.3">
      <c r="A748" t="s">
        <v>2572</v>
      </c>
      <c r="B748" s="2">
        <v>45687</v>
      </c>
      <c r="C748" t="s">
        <v>353</v>
      </c>
      <c r="D748" t="s">
        <v>1596</v>
      </c>
      <c r="E748" t="str">
        <f ca="1">TRIM(Sales_fact[[#This Row],[Store_ID]])</f>
        <v>STORE7</v>
      </c>
      <c r="F748">
        <v>1</v>
      </c>
      <c r="G748">
        <f>IF(ISBLANK(F748),MODE($F$2:$F$2001),F748)</f>
        <v>1</v>
      </c>
      <c r="H748">
        <v>412.11</v>
      </c>
      <c r="I748">
        <f>IF(ISBLANK(H748),AVERAGE($H$2:$H$2001),H748)</f>
        <v>412.11</v>
      </c>
      <c r="J748">
        <v>0.23</v>
      </c>
      <c r="K748">
        <f>IF(ISBLANK(J748),MODE($J$2:$J$2001),J748)</f>
        <v>0.23</v>
      </c>
      <c r="L748" t="s">
        <v>1826</v>
      </c>
      <c r="M748">
        <v>317.32470000000001</v>
      </c>
      <c r="N748">
        <f t="shared" si="11"/>
        <v>317.32470000000001</v>
      </c>
      <c r="O748" t="str">
        <f>_xlfn.XLOOKUP(Sales_fact[[#This Row],[Customer_ID]],'Customer_Dim'!A:A,'Customer_Dim'!K:K,"Not Found")</f>
        <v>Silver</v>
      </c>
      <c r="P748">
        <f>_xlfn.XLOOKUP(Sales_fact[[#This Row],[Customer_ID]],'Customer_Dim'!A:A, 'Customer_Dim'!E:E, "Not Found")</f>
        <v>35</v>
      </c>
      <c r="Q748" t="str">
        <f>VLOOKUP(Sales_fact[[#This Row],[Customer_ID]], 'Customer_Dim'!A:F, 6, FALSE)</f>
        <v>Male</v>
      </c>
      <c r="R748" s="13" t="str">
        <f>_xlfn.XLOOKUP(Sales_fact[[#This Row],[Product_ID]],Product_Dim!A:A,Product_Dim!C:C,"OTHERS")</f>
        <v>Sports</v>
      </c>
    </row>
    <row r="749" spans="1:18" x14ac:dyDescent="0.3">
      <c r="A749" t="s">
        <v>2573</v>
      </c>
      <c r="B749" s="2">
        <v>45916</v>
      </c>
      <c r="C749" t="s">
        <v>422</v>
      </c>
      <c r="D749" t="s">
        <v>1736</v>
      </c>
      <c r="E749" t="str">
        <f ca="1">TRIM(Sales_fact[[#This Row],[Store_ID]])</f>
        <v>STORE1</v>
      </c>
      <c r="F749">
        <v>1</v>
      </c>
      <c r="G749">
        <f>IF(ISBLANK(F749),MODE($F$2:$F$2001),F749)</f>
        <v>1</v>
      </c>
      <c r="H749">
        <v>126.09</v>
      </c>
      <c r="I749">
        <f>IF(ISBLANK(H749),AVERAGE($H$2:$H$2001),H749)</f>
        <v>126.09</v>
      </c>
      <c r="J749">
        <v>0.05</v>
      </c>
      <c r="K749">
        <f>IF(ISBLANK(J749),MODE($J$2:$J$2001),J749)</f>
        <v>0.05</v>
      </c>
      <c r="L749" t="s">
        <v>1829</v>
      </c>
      <c r="M749">
        <v>119.7855</v>
      </c>
      <c r="N749">
        <f t="shared" si="11"/>
        <v>119.7855</v>
      </c>
      <c r="O749" t="str">
        <f>_xlfn.XLOOKUP(Sales_fact[[#This Row],[Customer_ID]],'Customer_Dim'!A:A,'Customer_Dim'!K:K,"Not Found")</f>
        <v>Platinum</v>
      </c>
      <c r="P749">
        <f>_xlfn.XLOOKUP(Sales_fact[[#This Row],[Customer_ID]],'Customer_Dim'!A:A, 'Customer_Dim'!E:E, "Not Found")</f>
        <v>50</v>
      </c>
      <c r="Q749" t="str">
        <f>VLOOKUP(Sales_fact[[#This Row],[Customer_ID]], 'Customer_Dim'!A:F, 6, FALSE)</f>
        <v>Male</v>
      </c>
      <c r="R749" s="13" t="str">
        <f>_xlfn.XLOOKUP(Sales_fact[[#This Row],[Product_ID]],Product_Dim!A:A,Product_Dim!C:C,"OTHERS")</f>
        <v>Beauty</v>
      </c>
    </row>
    <row r="750" spans="1:18" x14ac:dyDescent="0.3">
      <c r="A750" t="s">
        <v>2574</v>
      </c>
      <c r="B750" s="2">
        <v>45917</v>
      </c>
      <c r="C750" t="s">
        <v>648</v>
      </c>
      <c r="D750" t="s">
        <v>1682</v>
      </c>
      <c r="E750" t="str">
        <f ca="1">TRIM(Sales_fact[[#This Row],[Store_ID]])</f>
        <v>STORE10</v>
      </c>
      <c r="F750">
        <v>4</v>
      </c>
      <c r="G750">
        <f>IF(ISBLANK(F750),MODE($F$2:$F$2001),F750)</f>
        <v>4</v>
      </c>
      <c r="H750">
        <v>602.39</v>
      </c>
      <c r="I750">
        <f>IF(ISBLANK(H750),AVERAGE($H$2:$H$2001),H750)</f>
        <v>602.39</v>
      </c>
      <c r="J750">
        <v>0.19</v>
      </c>
      <c r="K750">
        <f>IF(ISBLANK(J750),MODE($J$2:$J$2001),J750)</f>
        <v>0.19</v>
      </c>
      <c r="L750" t="s">
        <v>1829</v>
      </c>
      <c r="M750">
        <v>1951.7436</v>
      </c>
      <c r="N750">
        <f t="shared" si="11"/>
        <v>1951.7436</v>
      </c>
      <c r="O750" t="str">
        <f>_xlfn.XLOOKUP(Sales_fact[[#This Row],[Customer_ID]],'Customer_Dim'!A:A,'Customer_Dim'!K:K,"Not Found")</f>
        <v>Bronze</v>
      </c>
      <c r="P750">
        <f>_xlfn.XLOOKUP(Sales_fact[[#This Row],[Customer_ID]],'Customer_Dim'!A:A, 'Customer_Dim'!E:E, "Not Found")</f>
        <v>54</v>
      </c>
      <c r="Q750" t="str">
        <f>VLOOKUP(Sales_fact[[#This Row],[Customer_ID]], 'Customer_Dim'!A:F, 6, FALSE)</f>
        <v>Male</v>
      </c>
      <c r="R750" s="13" t="str">
        <f>_xlfn.XLOOKUP(Sales_fact[[#This Row],[Product_ID]],Product_Dim!A:A,Product_Dim!C:C,"OTHERS")</f>
        <v>Electronics</v>
      </c>
    </row>
    <row r="751" spans="1:18" x14ac:dyDescent="0.3">
      <c r="A751" t="s">
        <v>2575</v>
      </c>
      <c r="B751" s="2">
        <v>45941</v>
      </c>
      <c r="C751" t="s">
        <v>1023</v>
      </c>
      <c r="D751" t="s">
        <v>1712</v>
      </c>
      <c r="E751" t="str">
        <f ca="1">TRIM(Sales_fact[[#This Row],[Store_ID]])</f>
        <v>STORE3</v>
      </c>
      <c r="F751">
        <v>3</v>
      </c>
      <c r="G751">
        <f>IF(ISBLANK(F751),MODE($F$2:$F$2001),F751)</f>
        <v>3</v>
      </c>
      <c r="H751">
        <v>447.69</v>
      </c>
      <c r="I751">
        <f>IF(ISBLANK(H751),AVERAGE($H$2:$H$2001),H751)</f>
        <v>447.69</v>
      </c>
      <c r="J751">
        <v>0.02</v>
      </c>
      <c r="K751">
        <f>IF(ISBLANK(J751),MODE($J$2:$J$2001),J751)</f>
        <v>0.02</v>
      </c>
      <c r="L751" t="s">
        <v>1829</v>
      </c>
      <c r="M751">
        <v>1316.2085999999999</v>
      </c>
      <c r="N751">
        <f t="shared" si="11"/>
        <v>1316.2085999999999</v>
      </c>
      <c r="O751" t="str">
        <f>_xlfn.XLOOKUP(Sales_fact[[#This Row],[Customer_ID]],'Customer_Dim'!A:A,'Customer_Dim'!K:K,"Not Found")</f>
        <v>Bronze</v>
      </c>
      <c r="P751">
        <f>_xlfn.XLOOKUP(Sales_fact[[#This Row],[Customer_ID]],'Customer_Dim'!A:A, 'Customer_Dim'!E:E, "Not Found")</f>
        <v>60</v>
      </c>
      <c r="Q751" t="str">
        <f>VLOOKUP(Sales_fact[[#This Row],[Customer_ID]], 'Customer_Dim'!A:F, 6, FALSE)</f>
        <v>Male</v>
      </c>
      <c r="R751" s="13" t="str">
        <f>_xlfn.XLOOKUP(Sales_fact[[#This Row],[Product_ID]],Product_Dim!A:A,Product_Dim!C:C,"OTHERS")</f>
        <v>Sports</v>
      </c>
    </row>
    <row r="752" spans="1:18" x14ac:dyDescent="0.3">
      <c r="A752" t="s">
        <v>2576</v>
      </c>
      <c r="B752" s="2">
        <v>45778</v>
      </c>
      <c r="C752" t="s">
        <v>794</v>
      </c>
      <c r="D752" t="s">
        <v>1616</v>
      </c>
      <c r="E752" t="str">
        <f ca="1">TRIM(Sales_fact[[#This Row],[Store_ID]])</f>
        <v>STORE3</v>
      </c>
      <c r="F752">
        <v>3</v>
      </c>
      <c r="G752">
        <f>IF(ISBLANK(F752),MODE($F$2:$F$2001),F752)</f>
        <v>3</v>
      </c>
      <c r="H752">
        <v>35.159999999999997</v>
      </c>
      <c r="I752">
        <f>IF(ISBLANK(H752),AVERAGE($H$2:$H$2001),H752)</f>
        <v>35.159999999999997</v>
      </c>
      <c r="J752">
        <v>0.04</v>
      </c>
      <c r="K752">
        <f>IF(ISBLANK(J752),MODE($J$2:$J$2001),J752)</f>
        <v>0.04</v>
      </c>
      <c r="L752" t="s">
        <v>1829</v>
      </c>
      <c r="M752">
        <v>101.2608</v>
      </c>
      <c r="N752">
        <f t="shared" si="11"/>
        <v>101.26079999999999</v>
      </c>
      <c r="O752" t="str">
        <f>_xlfn.XLOOKUP(Sales_fact[[#This Row],[Customer_ID]],'Customer_Dim'!A:A,'Customer_Dim'!K:K,"Not Found")</f>
        <v>Gold</v>
      </c>
      <c r="P752">
        <f>_xlfn.XLOOKUP(Sales_fact[[#This Row],[Customer_ID]],'Customer_Dim'!A:A, 'Customer_Dim'!E:E, "Not Found")</f>
        <v>19</v>
      </c>
      <c r="Q752" t="str">
        <f>VLOOKUP(Sales_fact[[#This Row],[Customer_ID]], 'Customer_Dim'!A:F, 6, FALSE)</f>
        <v>Male</v>
      </c>
      <c r="R752" s="13" t="str">
        <f>_xlfn.XLOOKUP(Sales_fact[[#This Row],[Product_ID]],Product_Dim!A:A,Product_Dim!C:C,"OTHERS")</f>
        <v>Electronics</v>
      </c>
    </row>
    <row r="753" spans="1:18" x14ac:dyDescent="0.3">
      <c r="A753" t="s">
        <v>2577</v>
      </c>
      <c r="B753" s="2">
        <v>45740</v>
      </c>
      <c r="C753" t="s">
        <v>1038</v>
      </c>
      <c r="D753" t="s">
        <v>1692</v>
      </c>
      <c r="E753" t="str">
        <f ca="1">TRIM(Sales_fact[[#This Row],[Store_ID]])</f>
        <v>STORE11</v>
      </c>
      <c r="F753">
        <v>2</v>
      </c>
      <c r="G753">
        <f>IF(ISBLANK(F753),MODE($F$2:$F$2001),F753)</f>
        <v>2</v>
      </c>
      <c r="H753">
        <v>838.59</v>
      </c>
      <c r="I753">
        <f>IF(ISBLANK(H753),AVERAGE($H$2:$H$2001),H753)</f>
        <v>838.59</v>
      </c>
      <c r="J753">
        <v>0.18</v>
      </c>
      <c r="K753">
        <f>IF(ISBLANK(J753),MODE($J$2:$J$2001),J753)</f>
        <v>0.18</v>
      </c>
      <c r="L753" t="s">
        <v>1829</v>
      </c>
      <c r="M753">
        <v>1375.2876000000001</v>
      </c>
      <c r="N753">
        <f t="shared" si="11"/>
        <v>1375.2876000000001</v>
      </c>
      <c r="O753" t="str">
        <f>_xlfn.XLOOKUP(Sales_fact[[#This Row],[Customer_ID]],'Customer_Dim'!A:A,'Customer_Dim'!K:K,"Not Found")</f>
        <v>Platinum</v>
      </c>
      <c r="P753">
        <f>_xlfn.XLOOKUP(Sales_fact[[#This Row],[Customer_ID]],'Customer_Dim'!A:A, 'Customer_Dim'!E:E, "Not Found")</f>
        <v>54</v>
      </c>
      <c r="Q753" t="str">
        <f>VLOOKUP(Sales_fact[[#This Row],[Customer_ID]], 'Customer_Dim'!A:F, 6, FALSE)</f>
        <v>Male</v>
      </c>
      <c r="R753" s="13" t="str">
        <f>_xlfn.XLOOKUP(Sales_fact[[#This Row],[Product_ID]],Product_Dim!A:A,Product_Dim!C:C,"OTHERS")</f>
        <v>Sports</v>
      </c>
    </row>
    <row r="754" spans="1:18" x14ac:dyDescent="0.3">
      <c r="A754" t="s">
        <v>2578</v>
      </c>
      <c r="B754" s="2">
        <v>45598</v>
      </c>
      <c r="C754" t="s">
        <v>321</v>
      </c>
      <c r="D754" t="s">
        <v>1666</v>
      </c>
      <c r="E754" t="str">
        <f ca="1">TRIM(Sales_fact[[#This Row],[Store_ID]])</f>
        <v>STORE6</v>
      </c>
      <c r="F754">
        <v>4</v>
      </c>
      <c r="G754">
        <f>IF(ISBLANK(F754),MODE($F$2:$F$2001),F754)</f>
        <v>4</v>
      </c>
      <c r="H754">
        <v>867.94</v>
      </c>
      <c r="I754">
        <f>IF(ISBLANK(H754),AVERAGE($H$2:$H$2001),H754)</f>
        <v>867.94</v>
      </c>
      <c r="J754">
        <v>0.26</v>
      </c>
      <c r="K754">
        <f>IF(ISBLANK(J754),MODE($J$2:$J$2001),J754)</f>
        <v>0.26</v>
      </c>
      <c r="L754" t="s">
        <v>1826</v>
      </c>
      <c r="M754">
        <v>2569.1024000000002</v>
      </c>
      <c r="N754">
        <f t="shared" si="11"/>
        <v>2569.1024000000002</v>
      </c>
      <c r="O754" t="str">
        <f>_xlfn.XLOOKUP(Sales_fact[[#This Row],[Customer_ID]],'Customer_Dim'!A:A,'Customer_Dim'!K:K,"Not Found")</f>
        <v>Platinum</v>
      </c>
      <c r="P754">
        <f>_xlfn.XLOOKUP(Sales_fact[[#This Row],[Customer_ID]],'Customer_Dim'!A:A, 'Customer_Dim'!E:E, "Not Found")</f>
        <v>43</v>
      </c>
      <c r="Q754" t="str">
        <f>VLOOKUP(Sales_fact[[#This Row],[Customer_ID]], 'Customer_Dim'!A:F, 6, FALSE)</f>
        <v>Male</v>
      </c>
      <c r="R754" s="13" t="str">
        <f>_xlfn.XLOOKUP(Sales_fact[[#This Row],[Product_ID]],Product_Dim!A:A,Product_Dim!C:C,"OTHERS")</f>
        <v>Beauty</v>
      </c>
    </row>
    <row r="755" spans="1:18" x14ac:dyDescent="0.3">
      <c r="A755" t="s">
        <v>2579</v>
      </c>
      <c r="B755" s="2">
        <v>45591</v>
      </c>
      <c r="C755" t="s">
        <v>643</v>
      </c>
      <c r="D755" t="s">
        <v>1626</v>
      </c>
      <c r="E755" t="str">
        <f ca="1">TRIM(Sales_fact[[#This Row],[Store_ID]])</f>
        <v>STORE17</v>
      </c>
      <c r="F755">
        <v>1</v>
      </c>
      <c r="G755">
        <f>IF(ISBLANK(F755),MODE($F$2:$F$2001),F755)</f>
        <v>1</v>
      </c>
      <c r="H755">
        <v>623.88</v>
      </c>
      <c r="I755">
        <f>IF(ISBLANK(H755),AVERAGE($H$2:$H$2001),H755)</f>
        <v>623.88</v>
      </c>
      <c r="J755">
        <v>0.25</v>
      </c>
      <c r="K755">
        <f>IF(ISBLANK(J755),MODE($J$2:$J$2001),J755)</f>
        <v>0.25</v>
      </c>
      <c r="L755" t="s">
        <v>1824</v>
      </c>
      <c r="M755">
        <v>467.91</v>
      </c>
      <c r="N755">
        <f t="shared" si="11"/>
        <v>467.90999999999997</v>
      </c>
      <c r="O755" t="str">
        <f>_xlfn.XLOOKUP(Sales_fact[[#This Row],[Customer_ID]],'Customer_Dim'!A:A,'Customer_Dim'!K:K,"Not Found")</f>
        <v>Platinum</v>
      </c>
      <c r="P755">
        <f>_xlfn.XLOOKUP(Sales_fact[[#This Row],[Customer_ID]],'Customer_Dim'!A:A, 'Customer_Dim'!E:E, "Not Found")</f>
        <v>18</v>
      </c>
      <c r="Q755" t="str">
        <f>VLOOKUP(Sales_fact[[#This Row],[Customer_ID]], 'Customer_Dim'!A:F, 6, FALSE)</f>
        <v>Female</v>
      </c>
      <c r="R755" s="13" t="str">
        <f>_xlfn.XLOOKUP(Sales_fact[[#This Row],[Product_ID]],Product_Dim!A:A,Product_Dim!C:C,"OTHERS")</f>
        <v>Electronics</v>
      </c>
    </row>
    <row r="756" spans="1:18" x14ac:dyDescent="0.3">
      <c r="A756" t="s">
        <v>2580</v>
      </c>
      <c r="B756" s="2">
        <v>45546</v>
      </c>
      <c r="C756" t="s">
        <v>585</v>
      </c>
      <c r="D756" t="s">
        <v>1632</v>
      </c>
      <c r="E756" t="str">
        <f ca="1">TRIM(Sales_fact[[#This Row],[Store_ID]])</f>
        <v>STORE14</v>
      </c>
      <c r="F756">
        <v>2</v>
      </c>
      <c r="G756">
        <f>IF(ISBLANK(F756),MODE($F$2:$F$2001),F756)</f>
        <v>2</v>
      </c>
      <c r="H756">
        <v>567.95000000000005</v>
      </c>
      <c r="I756">
        <f>IF(ISBLANK(H756),AVERAGE($H$2:$H$2001),H756)</f>
        <v>567.95000000000005</v>
      </c>
      <c r="J756">
        <v>0.12</v>
      </c>
      <c r="K756">
        <f>IF(ISBLANK(J756),MODE($J$2:$J$2001),J756)</f>
        <v>0.12</v>
      </c>
      <c r="L756" t="s">
        <v>1826</v>
      </c>
      <c r="M756">
        <v>999.5920000000001</v>
      </c>
      <c r="N756">
        <f t="shared" si="11"/>
        <v>999.5920000000001</v>
      </c>
      <c r="O756" t="str">
        <f>_xlfn.XLOOKUP(Sales_fact[[#This Row],[Customer_ID]],'Customer_Dim'!A:A,'Customer_Dim'!K:K,"Not Found")</f>
        <v>Platinum</v>
      </c>
      <c r="P756">
        <f>_xlfn.XLOOKUP(Sales_fact[[#This Row],[Customer_ID]],'Customer_Dim'!A:A, 'Customer_Dim'!E:E, "Not Found")</f>
        <v>55</v>
      </c>
      <c r="Q756" t="str">
        <f>VLOOKUP(Sales_fact[[#This Row],[Customer_ID]], 'Customer_Dim'!A:F, 6, FALSE)</f>
        <v>Male</v>
      </c>
      <c r="R756" s="13" t="str">
        <f>_xlfn.XLOOKUP(Sales_fact[[#This Row],[Product_ID]],Product_Dim!A:A,Product_Dim!C:C,"OTHERS")</f>
        <v>Electronics</v>
      </c>
    </row>
    <row r="757" spans="1:18" x14ac:dyDescent="0.3">
      <c r="A757" t="s">
        <v>2581</v>
      </c>
      <c r="B757" s="2">
        <v>45483</v>
      </c>
      <c r="C757" t="s">
        <v>1017</v>
      </c>
      <c r="D757" t="s">
        <v>1610</v>
      </c>
      <c r="E757" t="str">
        <f ca="1">TRIM(Sales_fact[[#This Row],[Store_ID]])</f>
        <v>STORE18</v>
      </c>
      <c r="F757">
        <v>2</v>
      </c>
      <c r="G757">
        <f>IF(ISBLANK(F757),MODE($F$2:$F$2001),F757)</f>
        <v>2</v>
      </c>
      <c r="H757">
        <v>671.69</v>
      </c>
      <c r="I757">
        <f>IF(ISBLANK(H757),AVERAGE($H$2:$H$2001),H757)</f>
        <v>671.69</v>
      </c>
      <c r="J757">
        <v>0.19</v>
      </c>
      <c r="K757">
        <f>IF(ISBLANK(J757),MODE($J$2:$J$2001),J757)</f>
        <v>0.19</v>
      </c>
      <c r="L757" t="s">
        <v>1824</v>
      </c>
      <c r="M757">
        <v>1088.1378</v>
      </c>
      <c r="N757">
        <f t="shared" si="11"/>
        <v>1088.1378000000002</v>
      </c>
      <c r="O757" t="str">
        <f>_xlfn.XLOOKUP(Sales_fact[[#This Row],[Customer_ID]],'Customer_Dim'!A:A,'Customer_Dim'!K:K,"Not Found")</f>
        <v>Platinum</v>
      </c>
      <c r="P757">
        <f>_xlfn.XLOOKUP(Sales_fact[[#This Row],[Customer_ID]],'Customer_Dim'!A:A, 'Customer_Dim'!E:E, "Not Found")</f>
        <v>64</v>
      </c>
      <c r="Q757" t="str">
        <f>VLOOKUP(Sales_fact[[#This Row],[Customer_ID]], 'Customer_Dim'!A:F, 6, FALSE)</f>
        <v>Female</v>
      </c>
      <c r="R757" s="13" t="str">
        <f>_xlfn.XLOOKUP(Sales_fact[[#This Row],[Product_ID]],Product_Dim!A:A,Product_Dim!C:C,"OTHERS")</f>
        <v>Sports</v>
      </c>
    </row>
    <row r="758" spans="1:18" x14ac:dyDescent="0.3">
      <c r="A758" t="s">
        <v>2582</v>
      </c>
      <c r="B758" s="2">
        <v>45786</v>
      </c>
      <c r="C758" t="s">
        <v>672</v>
      </c>
      <c r="D758" t="s">
        <v>1557</v>
      </c>
      <c r="E758" t="str">
        <f ca="1">TRIM(Sales_fact[[#This Row],[Store_ID]])</f>
        <v>STORE7</v>
      </c>
      <c r="F758">
        <v>2</v>
      </c>
      <c r="G758">
        <f>IF(ISBLANK(F758),MODE($F$2:$F$2001),F758)</f>
        <v>2</v>
      </c>
      <c r="H758">
        <v>257.95999999999998</v>
      </c>
      <c r="I758">
        <f>IF(ISBLANK(H758),AVERAGE($H$2:$H$2001),H758)</f>
        <v>257.95999999999998</v>
      </c>
      <c r="J758">
        <v>0.21</v>
      </c>
      <c r="K758">
        <f>IF(ISBLANK(J758),MODE($J$2:$J$2001),J758)</f>
        <v>0.21</v>
      </c>
      <c r="L758" t="s">
        <v>1826</v>
      </c>
      <c r="M758">
        <v>407.57679999999999</v>
      </c>
      <c r="N758">
        <f t="shared" si="11"/>
        <v>407.57679999999999</v>
      </c>
      <c r="O758" t="str">
        <f>_xlfn.XLOOKUP(Sales_fact[[#This Row],[Customer_ID]],'Customer_Dim'!A:A,'Customer_Dim'!K:K,"Not Found")</f>
        <v>Silver</v>
      </c>
      <c r="P758">
        <f>_xlfn.XLOOKUP(Sales_fact[[#This Row],[Customer_ID]],'Customer_Dim'!A:A, 'Customer_Dim'!E:E, "Not Found")</f>
        <v>26</v>
      </c>
      <c r="Q758" t="str">
        <f>VLOOKUP(Sales_fact[[#This Row],[Customer_ID]], 'Customer_Dim'!A:F, 6, FALSE)</f>
        <v>Female</v>
      </c>
      <c r="R758" s="13" t="str">
        <f>_xlfn.XLOOKUP(Sales_fact[[#This Row],[Product_ID]],Product_Dim!A:A,Product_Dim!C:C,"OTHERS")</f>
        <v>Beauty</v>
      </c>
    </row>
    <row r="759" spans="1:18" x14ac:dyDescent="0.3">
      <c r="A759" t="s">
        <v>2583</v>
      </c>
      <c r="B759" s="2">
        <v>45475</v>
      </c>
      <c r="C759" t="s">
        <v>666</v>
      </c>
      <c r="D759" t="s">
        <v>1744</v>
      </c>
      <c r="E759" t="str">
        <f ca="1">TRIM(Sales_fact[[#This Row],[Store_ID]])</f>
        <v>STORE19</v>
      </c>
      <c r="F759">
        <v>4</v>
      </c>
      <c r="G759">
        <f>IF(ISBLANK(F759),MODE($F$2:$F$2001),F759)</f>
        <v>4</v>
      </c>
      <c r="H759">
        <v>281.48</v>
      </c>
      <c r="I759">
        <f>IF(ISBLANK(H759),AVERAGE($H$2:$H$2001),H759)</f>
        <v>281.48</v>
      </c>
      <c r="J759">
        <v>0.27</v>
      </c>
      <c r="K759">
        <f>IF(ISBLANK(J759),MODE($J$2:$J$2001),J759)</f>
        <v>0.27</v>
      </c>
      <c r="L759" t="s">
        <v>1826</v>
      </c>
      <c r="M759">
        <v>821.92160000000001</v>
      </c>
      <c r="N759">
        <f t="shared" si="11"/>
        <v>821.92160000000001</v>
      </c>
      <c r="O759" t="str">
        <f>_xlfn.XLOOKUP(Sales_fact[[#This Row],[Customer_ID]],'Customer_Dim'!A:A,'Customer_Dim'!K:K,"Not Found")</f>
        <v>Platinum</v>
      </c>
      <c r="P759">
        <f>_xlfn.XLOOKUP(Sales_fact[[#This Row],[Customer_ID]],'Customer_Dim'!A:A, 'Customer_Dim'!E:E, "Not Found")</f>
        <v>52</v>
      </c>
      <c r="Q759" t="str">
        <f>VLOOKUP(Sales_fact[[#This Row],[Customer_ID]], 'Customer_Dim'!A:F, 6, FALSE)</f>
        <v>Male</v>
      </c>
      <c r="R759" s="13" t="str">
        <f>_xlfn.XLOOKUP(Sales_fact[[#This Row],[Product_ID]],Product_Dim!A:A,Product_Dim!C:C,"OTHERS")</f>
        <v>Electronics</v>
      </c>
    </row>
    <row r="760" spans="1:18" x14ac:dyDescent="0.3">
      <c r="A760" t="s">
        <v>2584</v>
      </c>
      <c r="B760" s="2">
        <v>45470</v>
      </c>
      <c r="C760" t="s">
        <v>996</v>
      </c>
      <c r="D760" t="s">
        <v>1588</v>
      </c>
      <c r="E760" t="str">
        <f ca="1">TRIM(Sales_fact[[#This Row],[Store_ID]])</f>
        <v>STORE11</v>
      </c>
      <c r="F760">
        <v>1</v>
      </c>
      <c r="G760">
        <f>IF(ISBLANK(F760),MODE($F$2:$F$2001),F760)</f>
        <v>1</v>
      </c>
      <c r="H760">
        <v>202.13</v>
      </c>
      <c r="I760">
        <f>IF(ISBLANK(H760),AVERAGE($H$2:$H$2001),H760)</f>
        <v>202.13</v>
      </c>
      <c r="J760">
        <v>0.13</v>
      </c>
      <c r="K760">
        <f>IF(ISBLANK(J760),MODE($J$2:$J$2001),J760)</f>
        <v>0.13</v>
      </c>
      <c r="L760" t="s">
        <v>1829</v>
      </c>
      <c r="M760">
        <v>175.85310000000001</v>
      </c>
      <c r="N760">
        <f t="shared" si="11"/>
        <v>175.85309999999998</v>
      </c>
      <c r="O760" t="str">
        <f>_xlfn.XLOOKUP(Sales_fact[[#This Row],[Customer_ID]],'Customer_Dim'!A:A,'Customer_Dim'!K:K,"Not Found")</f>
        <v>Gold</v>
      </c>
      <c r="P760">
        <f>_xlfn.XLOOKUP(Sales_fact[[#This Row],[Customer_ID]],'Customer_Dim'!A:A, 'Customer_Dim'!E:E, "Not Found")</f>
        <v>34</v>
      </c>
      <c r="Q760" t="str">
        <f>VLOOKUP(Sales_fact[[#This Row],[Customer_ID]], 'Customer_Dim'!A:F, 6, FALSE)</f>
        <v>Male</v>
      </c>
      <c r="R760" s="13" t="str">
        <f>_xlfn.XLOOKUP(Sales_fact[[#This Row],[Product_ID]],Product_Dim!A:A,Product_Dim!C:C,"OTHERS")</f>
        <v>Sports</v>
      </c>
    </row>
    <row r="761" spans="1:18" x14ac:dyDescent="0.3">
      <c r="A761" t="s">
        <v>2585</v>
      </c>
      <c r="B761" s="2">
        <v>45243</v>
      </c>
      <c r="C761" t="s">
        <v>863</v>
      </c>
      <c r="D761" t="s">
        <v>1696</v>
      </c>
      <c r="E761" t="str">
        <f ca="1">TRIM(Sales_fact[[#This Row],[Store_ID]])</f>
        <v>STORE5</v>
      </c>
      <c r="F761">
        <v>1</v>
      </c>
      <c r="G761">
        <f>IF(ISBLANK(F761),MODE($F$2:$F$2001),F761)</f>
        <v>1</v>
      </c>
      <c r="H761">
        <v>370.66</v>
      </c>
      <c r="I761">
        <f>IF(ISBLANK(H761),AVERAGE($H$2:$H$2001),H761)</f>
        <v>370.66</v>
      </c>
      <c r="J761">
        <v>0.01</v>
      </c>
      <c r="K761">
        <f>IF(ISBLANK(J761),MODE($J$2:$J$2001),J761)</f>
        <v>0.01</v>
      </c>
      <c r="L761" t="s">
        <v>1826</v>
      </c>
      <c r="M761">
        <v>366.95339999999999</v>
      </c>
      <c r="N761">
        <f t="shared" si="11"/>
        <v>366.95340000000004</v>
      </c>
      <c r="O761" t="str">
        <f>_xlfn.XLOOKUP(Sales_fact[[#This Row],[Customer_ID]],'Customer_Dim'!A:A,'Customer_Dim'!K:K,"Not Found")</f>
        <v>Platinum</v>
      </c>
      <c r="P761">
        <f>_xlfn.XLOOKUP(Sales_fact[[#This Row],[Customer_ID]],'Customer_Dim'!A:A, 'Customer_Dim'!E:E, "Not Found")</f>
        <v>64</v>
      </c>
      <c r="Q761" t="str">
        <f>VLOOKUP(Sales_fact[[#This Row],[Customer_ID]], 'Customer_Dim'!A:F, 6, FALSE)</f>
        <v>Male</v>
      </c>
      <c r="R761" s="13" t="str">
        <f>_xlfn.XLOOKUP(Sales_fact[[#This Row],[Product_ID]],Product_Dim!A:A,Product_Dim!C:C,"OTHERS")</f>
        <v>Electronics</v>
      </c>
    </row>
    <row r="762" spans="1:18" x14ac:dyDescent="0.3">
      <c r="A762" t="s">
        <v>2586</v>
      </c>
      <c r="B762" s="2">
        <v>45341</v>
      </c>
      <c r="C762" t="s">
        <v>32</v>
      </c>
      <c r="D762" t="s">
        <v>1670</v>
      </c>
      <c r="E762" t="str">
        <f ca="1">TRIM(Sales_fact[[#This Row],[Store_ID]])</f>
        <v>STORE12</v>
      </c>
      <c r="F762">
        <v>4</v>
      </c>
      <c r="G762">
        <f>IF(ISBLANK(F762),MODE($F$2:$F$2001),F762)</f>
        <v>4</v>
      </c>
      <c r="H762">
        <v>731.53</v>
      </c>
      <c r="I762">
        <f>IF(ISBLANK(H762),AVERAGE($H$2:$H$2001),H762)</f>
        <v>731.53</v>
      </c>
      <c r="J762">
        <v>0.12</v>
      </c>
      <c r="K762">
        <f>IF(ISBLANK(J762),MODE($J$2:$J$2001),J762)</f>
        <v>0.12</v>
      </c>
      <c r="L762" t="s">
        <v>1824</v>
      </c>
      <c r="M762">
        <v>2574.9856</v>
      </c>
      <c r="N762">
        <f t="shared" si="11"/>
        <v>2574.9856</v>
      </c>
      <c r="O762" t="str">
        <f>_xlfn.XLOOKUP(Sales_fact[[#This Row],[Customer_ID]],'Customer_Dim'!A:A,'Customer_Dim'!K:K,"Not Found")</f>
        <v>Bronze</v>
      </c>
      <c r="P762">
        <f>_xlfn.XLOOKUP(Sales_fact[[#This Row],[Customer_ID]],'Customer_Dim'!A:A, 'Customer_Dim'!E:E, "Not Found")</f>
        <v>24</v>
      </c>
      <c r="Q762" t="str">
        <f>VLOOKUP(Sales_fact[[#This Row],[Customer_ID]], 'Customer_Dim'!A:F, 6, FALSE)</f>
        <v>Male</v>
      </c>
      <c r="R762" s="13" t="str">
        <f>_xlfn.XLOOKUP(Sales_fact[[#This Row],[Product_ID]],Product_Dim!A:A,Product_Dim!C:C,"OTHERS")</f>
        <v>Sports</v>
      </c>
    </row>
    <row r="763" spans="1:18" x14ac:dyDescent="0.3">
      <c r="A763" t="s">
        <v>2587</v>
      </c>
      <c r="B763" s="2">
        <v>45371</v>
      </c>
      <c r="C763" t="s">
        <v>550</v>
      </c>
      <c r="D763" t="s">
        <v>1704</v>
      </c>
      <c r="E763" t="str">
        <f ca="1">TRIM(Sales_fact[[#This Row],[Store_ID]])</f>
        <v>STORE1</v>
      </c>
      <c r="F763">
        <v>3</v>
      </c>
      <c r="G763">
        <f>IF(ISBLANK(F763),MODE($F$2:$F$2001),F763)</f>
        <v>3</v>
      </c>
      <c r="H763">
        <v>468.25</v>
      </c>
      <c r="I763">
        <f>IF(ISBLANK(H763),AVERAGE($H$2:$H$2001),H763)</f>
        <v>468.25</v>
      </c>
      <c r="J763">
        <v>7.0000000000000007E-2</v>
      </c>
      <c r="K763">
        <f>IF(ISBLANK(J763),MODE($J$2:$J$2001),J763)</f>
        <v>7.0000000000000007E-2</v>
      </c>
      <c r="L763" t="s">
        <v>1826</v>
      </c>
      <c r="M763">
        <v>1306.4175</v>
      </c>
      <c r="N763">
        <f t="shared" si="11"/>
        <v>1306.4175</v>
      </c>
      <c r="O763" t="str">
        <f>_xlfn.XLOOKUP(Sales_fact[[#This Row],[Customer_ID]],'Customer_Dim'!A:A,'Customer_Dim'!K:K,"Not Found")</f>
        <v>Platinum</v>
      </c>
      <c r="P763">
        <f>_xlfn.XLOOKUP(Sales_fact[[#This Row],[Customer_ID]],'Customer_Dim'!A:A, 'Customer_Dim'!E:E, "Not Found")</f>
        <v>47</v>
      </c>
      <c r="Q763" t="str">
        <f>VLOOKUP(Sales_fact[[#This Row],[Customer_ID]], 'Customer_Dim'!A:F, 6, FALSE)</f>
        <v>Female</v>
      </c>
      <c r="R763" s="13" t="str">
        <f>_xlfn.XLOOKUP(Sales_fact[[#This Row],[Product_ID]],Product_Dim!A:A,Product_Dim!C:C,"OTHERS")</f>
        <v>Home</v>
      </c>
    </row>
    <row r="764" spans="1:18" x14ac:dyDescent="0.3">
      <c r="A764" t="s">
        <v>2588</v>
      </c>
      <c r="B764" s="2">
        <v>45360</v>
      </c>
      <c r="C764" t="s">
        <v>14</v>
      </c>
      <c r="D764" t="s">
        <v>1682</v>
      </c>
      <c r="E764" t="str">
        <f ca="1">TRIM(Sales_fact[[#This Row],[Store_ID]])</f>
        <v>STORE0</v>
      </c>
      <c r="F764">
        <v>1</v>
      </c>
      <c r="G764">
        <f>IF(ISBLANK(F764),MODE($F$2:$F$2001),F764)</f>
        <v>1</v>
      </c>
      <c r="H764">
        <v>928.72</v>
      </c>
      <c r="I764">
        <f>IF(ISBLANK(H764),AVERAGE($H$2:$H$2001),H764)</f>
        <v>928.72</v>
      </c>
      <c r="J764">
        <v>0.1</v>
      </c>
      <c r="K764">
        <f>IF(ISBLANK(J764),MODE($J$2:$J$2001),J764)</f>
        <v>0.1</v>
      </c>
      <c r="L764" t="s">
        <v>1829</v>
      </c>
      <c r="M764">
        <v>835.84800000000007</v>
      </c>
      <c r="N764">
        <f t="shared" si="11"/>
        <v>835.84800000000007</v>
      </c>
      <c r="O764" t="str">
        <f>_xlfn.XLOOKUP(Sales_fact[[#This Row],[Customer_ID]],'Customer_Dim'!A:A,'Customer_Dim'!K:K,"Not Found")</f>
        <v>Platinum</v>
      </c>
      <c r="P764">
        <f>_xlfn.XLOOKUP(Sales_fact[[#This Row],[Customer_ID]],'Customer_Dim'!A:A, 'Customer_Dim'!E:E, "Not Found")</f>
        <v>26</v>
      </c>
      <c r="Q764" t="str">
        <f>VLOOKUP(Sales_fact[[#This Row],[Customer_ID]], 'Customer_Dim'!A:F, 6, FALSE)</f>
        <v>Female</v>
      </c>
      <c r="R764" s="13" t="str">
        <f>_xlfn.XLOOKUP(Sales_fact[[#This Row],[Product_ID]],Product_Dim!A:A,Product_Dim!C:C,"OTHERS")</f>
        <v>Electronics</v>
      </c>
    </row>
    <row r="765" spans="1:18" x14ac:dyDescent="0.3">
      <c r="A765" t="s">
        <v>2589</v>
      </c>
      <c r="B765" s="2">
        <v>45499</v>
      </c>
      <c r="C765" t="s">
        <v>360</v>
      </c>
      <c r="D765" t="s">
        <v>1553</v>
      </c>
      <c r="E765" t="str">
        <f ca="1">TRIM(Sales_fact[[#This Row],[Store_ID]])</f>
        <v>STORE18</v>
      </c>
      <c r="F765">
        <v>3</v>
      </c>
      <c r="G765">
        <f>IF(ISBLANK(F765),MODE($F$2:$F$2001),F765)</f>
        <v>3</v>
      </c>
      <c r="H765">
        <v>217.22</v>
      </c>
      <c r="I765">
        <f>IF(ISBLANK(H765),AVERAGE($H$2:$H$2001),H765)</f>
        <v>217.22</v>
      </c>
      <c r="J765">
        <v>0.06</v>
      </c>
      <c r="K765">
        <f>IF(ISBLANK(J765),MODE($J$2:$J$2001),J765)</f>
        <v>0.06</v>
      </c>
      <c r="L765" t="s">
        <v>1826</v>
      </c>
      <c r="M765">
        <v>612.56039999999996</v>
      </c>
      <c r="N765">
        <f t="shared" si="11"/>
        <v>612.56039999999996</v>
      </c>
      <c r="O765" t="str">
        <f>_xlfn.XLOOKUP(Sales_fact[[#This Row],[Customer_ID]],'Customer_Dim'!A:A,'Customer_Dim'!K:K,"Not Found")</f>
        <v>Gold</v>
      </c>
      <c r="P765">
        <f>_xlfn.XLOOKUP(Sales_fact[[#This Row],[Customer_ID]],'Customer_Dim'!A:A, 'Customer_Dim'!E:E, "Not Found")</f>
        <v>29</v>
      </c>
      <c r="Q765" t="str">
        <f>VLOOKUP(Sales_fact[[#This Row],[Customer_ID]], 'Customer_Dim'!A:F, 6, FALSE)</f>
        <v>Male</v>
      </c>
      <c r="R765" s="13" t="str">
        <f>_xlfn.XLOOKUP(Sales_fact[[#This Row],[Product_ID]],Product_Dim!A:A,Product_Dim!C:C,"OTHERS")</f>
        <v>Clothing</v>
      </c>
    </row>
    <row r="766" spans="1:18" x14ac:dyDescent="0.3">
      <c r="A766" t="s">
        <v>2590</v>
      </c>
      <c r="B766" s="2">
        <v>45745</v>
      </c>
      <c r="C766" t="s">
        <v>1260</v>
      </c>
      <c r="D766" t="s">
        <v>1596</v>
      </c>
      <c r="E766" t="str">
        <f ca="1">TRIM(Sales_fact[[#This Row],[Store_ID]])</f>
        <v>STORE3</v>
      </c>
      <c r="F766">
        <v>1</v>
      </c>
      <c r="G766">
        <f>IF(ISBLANK(F766),MODE($F$2:$F$2001),F766)</f>
        <v>1</v>
      </c>
      <c r="H766">
        <v>387.99</v>
      </c>
      <c r="I766">
        <f>IF(ISBLANK(H766),AVERAGE($H$2:$H$2001),H766)</f>
        <v>387.99</v>
      </c>
      <c r="J766">
        <v>0.3</v>
      </c>
      <c r="K766">
        <f>IF(ISBLANK(J766),MODE($J$2:$J$2001),J766)</f>
        <v>0.3</v>
      </c>
      <c r="L766" t="s">
        <v>1824</v>
      </c>
      <c r="M766">
        <v>271.59300000000002</v>
      </c>
      <c r="N766">
        <f t="shared" si="11"/>
        <v>271.59299999999996</v>
      </c>
      <c r="O766" t="str">
        <f>_xlfn.XLOOKUP(Sales_fact[[#This Row],[Customer_ID]],'Customer_Dim'!A:A,'Customer_Dim'!K:K,"Not Found")</f>
        <v>Gold</v>
      </c>
      <c r="P766">
        <f>_xlfn.XLOOKUP(Sales_fact[[#This Row],[Customer_ID]],'Customer_Dim'!A:A, 'Customer_Dim'!E:E, "Not Found")</f>
        <v>18</v>
      </c>
      <c r="Q766" t="str">
        <f>VLOOKUP(Sales_fact[[#This Row],[Customer_ID]], 'Customer_Dim'!A:F, 6, FALSE)</f>
        <v>Female</v>
      </c>
      <c r="R766" s="13" t="str">
        <f>_xlfn.XLOOKUP(Sales_fact[[#This Row],[Product_ID]],Product_Dim!A:A,Product_Dim!C:C,"OTHERS")</f>
        <v>Sports</v>
      </c>
    </row>
    <row r="767" spans="1:18" x14ac:dyDescent="0.3">
      <c r="A767" t="s">
        <v>2591</v>
      </c>
      <c r="B767" s="2">
        <v>45718</v>
      </c>
      <c r="C767" t="s">
        <v>1466</v>
      </c>
      <c r="D767" t="s">
        <v>1584</v>
      </c>
      <c r="E767" t="str">
        <f ca="1">TRIM(Sales_fact[[#This Row],[Store_ID]])</f>
        <v>STORE6</v>
      </c>
      <c r="F767">
        <v>4</v>
      </c>
      <c r="G767">
        <f>IF(ISBLANK(F767),MODE($F$2:$F$2001),F767)</f>
        <v>4</v>
      </c>
      <c r="H767">
        <v>186.24</v>
      </c>
      <c r="I767">
        <f>IF(ISBLANK(H767),AVERAGE($H$2:$H$2001),H767)</f>
        <v>186.24</v>
      </c>
      <c r="J767">
        <v>0.23</v>
      </c>
      <c r="K767">
        <f>IF(ISBLANK(J767),MODE($J$2:$J$2001),J767)</f>
        <v>0.23</v>
      </c>
      <c r="L767" t="s">
        <v>1824</v>
      </c>
      <c r="M767">
        <v>573.61920000000009</v>
      </c>
      <c r="N767">
        <f t="shared" si="11"/>
        <v>573.61920000000009</v>
      </c>
      <c r="O767" t="str">
        <f>_xlfn.XLOOKUP(Sales_fact[[#This Row],[Customer_ID]],'Customer_Dim'!A:A,'Customer_Dim'!K:K,"Not Found")</f>
        <v>Gold</v>
      </c>
      <c r="P767">
        <f>_xlfn.XLOOKUP(Sales_fact[[#This Row],[Customer_ID]],'Customer_Dim'!A:A, 'Customer_Dim'!E:E, "Not Found")</f>
        <v>33</v>
      </c>
      <c r="Q767" t="str">
        <f>VLOOKUP(Sales_fact[[#This Row],[Customer_ID]], 'Customer_Dim'!A:F, 6, FALSE)</f>
        <v>Female</v>
      </c>
      <c r="R767" s="13" t="str">
        <f>_xlfn.XLOOKUP(Sales_fact[[#This Row],[Product_ID]],Product_Dim!A:A,Product_Dim!C:C,"OTHERS")</f>
        <v>Clothing</v>
      </c>
    </row>
    <row r="768" spans="1:18" x14ac:dyDescent="0.3">
      <c r="A768" t="s">
        <v>2592</v>
      </c>
      <c r="B768" s="2">
        <v>45454</v>
      </c>
      <c r="C768" t="s">
        <v>937</v>
      </c>
      <c r="D768" t="s">
        <v>1628</v>
      </c>
      <c r="E768" t="str">
        <f ca="1">TRIM(Sales_fact[[#This Row],[Store_ID]])</f>
        <v>STORE8</v>
      </c>
      <c r="F768">
        <v>4</v>
      </c>
      <c r="G768">
        <f>IF(ISBLANK(F768),MODE($F$2:$F$2001),F768)</f>
        <v>4</v>
      </c>
      <c r="H768">
        <v>609.05999999999995</v>
      </c>
      <c r="I768">
        <f>IF(ISBLANK(H768),AVERAGE($H$2:$H$2001),H768)</f>
        <v>609.05999999999995</v>
      </c>
      <c r="J768">
        <v>0.22</v>
      </c>
      <c r="K768">
        <f>IF(ISBLANK(J768),MODE($J$2:$J$2001),J768)</f>
        <v>0.22</v>
      </c>
      <c r="L768" t="s">
        <v>1829</v>
      </c>
      <c r="M768">
        <v>1900.2672</v>
      </c>
      <c r="N768">
        <f t="shared" si="11"/>
        <v>1900.2672</v>
      </c>
      <c r="O768" t="str">
        <f>_xlfn.XLOOKUP(Sales_fact[[#This Row],[Customer_ID]],'Customer_Dim'!A:A,'Customer_Dim'!K:K,"Not Found")</f>
        <v>Bronze</v>
      </c>
      <c r="P768">
        <f>_xlfn.XLOOKUP(Sales_fact[[#This Row],[Customer_ID]],'Customer_Dim'!A:A, 'Customer_Dim'!E:E, "Not Found")</f>
        <v>28</v>
      </c>
      <c r="Q768" t="str">
        <f>VLOOKUP(Sales_fact[[#This Row],[Customer_ID]], 'Customer_Dim'!A:F, 6, FALSE)</f>
        <v>Female</v>
      </c>
      <c r="R768" s="13" t="str">
        <f>_xlfn.XLOOKUP(Sales_fact[[#This Row],[Product_ID]],Product_Dim!A:A,Product_Dim!C:C,"OTHERS")</f>
        <v>Electronics</v>
      </c>
    </row>
    <row r="769" spans="1:18" x14ac:dyDescent="0.3">
      <c r="A769" t="s">
        <v>2593</v>
      </c>
      <c r="B769" s="2">
        <v>45434</v>
      </c>
      <c r="C769" t="s">
        <v>1355</v>
      </c>
      <c r="D769" t="s">
        <v>1614</v>
      </c>
      <c r="E769" t="str">
        <f ca="1">TRIM(Sales_fact[[#This Row],[Store_ID]])</f>
        <v>STORE11</v>
      </c>
      <c r="F769">
        <v>1</v>
      </c>
      <c r="G769">
        <f>IF(ISBLANK(F769),MODE($F$2:$F$2001),F769)</f>
        <v>1</v>
      </c>
      <c r="H769">
        <v>827.91</v>
      </c>
      <c r="I769">
        <f>IF(ISBLANK(H769),AVERAGE($H$2:$H$2001),H769)</f>
        <v>827.91</v>
      </c>
      <c r="J769">
        <v>0.21</v>
      </c>
      <c r="K769">
        <f>IF(ISBLANK(J769),MODE($J$2:$J$2001),J769)</f>
        <v>0.21</v>
      </c>
      <c r="L769" t="s">
        <v>1826</v>
      </c>
      <c r="M769">
        <v>654.0489</v>
      </c>
      <c r="N769">
        <f t="shared" si="11"/>
        <v>654.0489</v>
      </c>
      <c r="O769" t="str">
        <f>_xlfn.XLOOKUP(Sales_fact[[#This Row],[Customer_ID]],'Customer_Dim'!A:A,'Customer_Dim'!K:K,"Not Found")</f>
        <v>Platinum</v>
      </c>
      <c r="P769">
        <f>_xlfn.XLOOKUP(Sales_fact[[#This Row],[Customer_ID]],'Customer_Dim'!A:A, 'Customer_Dim'!E:E, "Not Found")</f>
        <v>47</v>
      </c>
      <c r="Q769" t="str">
        <f>VLOOKUP(Sales_fact[[#This Row],[Customer_ID]], 'Customer_Dim'!A:F, 6, FALSE)</f>
        <v>Female</v>
      </c>
      <c r="R769" s="13" t="str">
        <f>_xlfn.XLOOKUP(Sales_fact[[#This Row],[Product_ID]],Product_Dim!A:A,Product_Dim!C:C,"OTHERS")</f>
        <v>Home</v>
      </c>
    </row>
    <row r="770" spans="1:18" x14ac:dyDescent="0.3">
      <c r="A770" t="s">
        <v>2594</v>
      </c>
      <c r="B770" s="2">
        <v>45486</v>
      </c>
      <c r="C770" t="s">
        <v>582</v>
      </c>
      <c r="D770" t="s">
        <v>1714</v>
      </c>
      <c r="E770" t="str">
        <f ca="1">TRIM(Sales_fact[[#This Row],[Store_ID]])</f>
        <v>STORE0</v>
      </c>
      <c r="F770">
        <v>1</v>
      </c>
      <c r="G770">
        <f>IF(ISBLANK(F770),MODE($F$2:$F$2001),F770)</f>
        <v>1</v>
      </c>
      <c r="H770">
        <v>303.79000000000002</v>
      </c>
      <c r="I770">
        <f>IF(ISBLANK(H770),AVERAGE($H$2:$H$2001),H770)</f>
        <v>303.79000000000002</v>
      </c>
      <c r="J770">
        <v>0.24</v>
      </c>
      <c r="K770">
        <f>IF(ISBLANK(J770),MODE($J$2:$J$2001),J770)</f>
        <v>0.24</v>
      </c>
      <c r="L770" t="s">
        <v>1826</v>
      </c>
      <c r="M770">
        <v>230.88040000000001</v>
      </c>
      <c r="N770">
        <f t="shared" si="11"/>
        <v>230.88040000000001</v>
      </c>
      <c r="O770" t="str">
        <f>_xlfn.XLOOKUP(Sales_fact[[#This Row],[Customer_ID]],'Customer_Dim'!A:A,'Customer_Dim'!K:K,"Not Found")</f>
        <v>Silver</v>
      </c>
      <c r="P770">
        <f>_xlfn.XLOOKUP(Sales_fact[[#This Row],[Customer_ID]],'Customer_Dim'!A:A, 'Customer_Dim'!E:E, "Not Found")</f>
        <v>48</v>
      </c>
      <c r="Q770" t="str">
        <f>VLOOKUP(Sales_fact[[#This Row],[Customer_ID]], 'Customer_Dim'!A:F, 6, FALSE)</f>
        <v>Male</v>
      </c>
      <c r="R770" s="13" t="str">
        <f>_xlfn.XLOOKUP(Sales_fact[[#This Row],[Product_ID]],Product_Dim!A:A,Product_Dim!C:C,"OTHERS")</f>
        <v>Beauty</v>
      </c>
    </row>
    <row r="771" spans="1:18" x14ac:dyDescent="0.3">
      <c r="A771" t="s">
        <v>2595</v>
      </c>
      <c r="B771" s="2">
        <v>45902</v>
      </c>
      <c r="C771" t="s">
        <v>369</v>
      </c>
      <c r="D771" t="s">
        <v>1622</v>
      </c>
      <c r="E771" t="str">
        <f ca="1">TRIM(Sales_fact[[#This Row],[Store_ID]])</f>
        <v>STORE6</v>
      </c>
      <c r="F771">
        <v>2</v>
      </c>
      <c r="G771">
        <f>IF(ISBLANK(F771),MODE($F$2:$F$2001),F771)</f>
        <v>2</v>
      </c>
      <c r="H771">
        <v>365.91</v>
      </c>
      <c r="I771">
        <f>IF(ISBLANK(H771),AVERAGE($H$2:$H$2001),H771)</f>
        <v>365.91</v>
      </c>
      <c r="J771">
        <v>0.14000000000000001</v>
      </c>
      <c r="K771">
        <f>IF(ISBLANK(J771),MODE($J$2:$J$2001),J771)</f>
        <v>0.14000000000000001</v>
      </c>
      <c r="L771" t="s">
        <v>1829</v>
      </c>
      <c r="M771">
        <v>629.36520000000007</v>
      </c>
      <c r="N771">
        <f t="shared" ref="N771:N834" si="12">G771*I771*(1-K771)</f>
        <v>629.36520000000007</v>
      </c>
      <c r="O771" t="str">
        <f>_xlfn.XLOOKUP(Sales_fact[[#This Row],[Customer_ID]],'Customer_Dim'!A:A,'Customer_Dim'!K:K,"Not Found")</f>
        <v>Silver</v>
      </c>
      <c r="P771">
        <f>_xlfn.XLOOKUP(Sales_fact[[#This Row],[Customer_ID]],'Customer_Dim'!A:A, 'Customer_Dim'!E:E, "Not Found")</f>
        <v>64</v>
      </c>
      <c r="Q771" t="str">
        <f>VLOOKUP(Sales_fact[[#This Row],[Customer_ID]], 'Customer_Dim'!A:F, 6, FALSE)</f>
        <v>Male</v>
      </c>
      <c r="R771" s="13" t="str">
        <f>_xlfn.XLOOKUP(Sales_fact[[#This Row],[Product_ID]],Product_Dim!A:A,Product_Dim!C:C,"OTHERS")</f>
        <v>Clothing</v>
      </c>
    </row>
    <row r="772" spans="1:18" x14ac:dyDescent="0.3">
      <c r="A772" t="s">
        <v>2596</v>
      </c>
      <c r="B772" s="2">
        <v>45762</v>
      </c>
      <c r="C772" t="s">
        <v>255</v>
      </c>
      <c r="D772" t="s">
        <v>1598</v>
      </c>
      <c r="E772" t="str">
        <f ca="1">TRIM(Sales_fact[[#This Row],[Store_ID]])</f>
        <v>STORE17</v>
      </c>
      <c r="F772">
        <v>3</v>
      </c>
      <c r="G772">
        <f>IF(ISBLANK(F772),MODE($F$2:$F$2001),F772)</f>
        <v>3</v>
      </c>
      <c r="H772">
        <v>852.72</v>
      </c>
      <c r="I772">
        <f>IF(ISBLANK(H772),AVERAGE($H$2:$H$2001),H772)</f>
        <v>852.72</v>
      </c>
      <c r="J772">
        <v>0.16</v>
      </c>
      <c r="K772">
        <f>IF(ISBLANK(J772),MODE($J$2:$J$2001),J772)</f>
        <v>0.16</v>
      </c>
      <c r="L772" t="s">
        <v>1824</v>
      </c>
      <c r="M772">
        <v>2148.8544000000002</v>
      </c>
      <c r="N772">
        <f t="shared" si="12"/>
        <v>2148.8543999999997</v>
      </c>
      <c r="O772" t="str">
        <f>_xlfn.XLOOKUP(Sales_fact[[#This Row],[Customer_ID]],'Customer_Dim'!A:A,'Customer_Dim'!K:K,"Not Found")</f>
        <v>Platinum</v>
      </c>
      <c r="P772">
        <f>_xlfn.XLOOKUP(Sales_fact[[#This Row],[Customer_ID]],'Customer_Dim'!A:A, 'Customer_Dim'!E:E, "Not Found")</f>
        <v>24</v>
      </c>
      <c r="Q772" t="str">
        <f>VLOOKUP(Sales_fact[[#This Row],[Customer_ID]], 'Customer_Dim'!A:F, 6, FALSE)</f>
        <v>Female</v>
      </c>
      <c r="R772" s="13" t="str">
        <f>_xlfn.XLOOKUP(Sales_fact[[#This Row],[Product_ID]],Product_Dim!A:A,Product_Dim!C:C,"OTHERS")</f>
        <v>Clothing</v>
      </c>
    </row>
    <row r="773" spans="1:18" x14ac:dyDescent="0.3">
      <c r="A773" t="s">
        <v>2597</v>
      </c>
      <c r="B773" s="2">
        <v>45752</v>
      </c>
      <c r="C773" t="s">
        <v>791</v>
      </c>
      <c r="D773" t="s">
        <v>1568</v>
      </c>
      <c r="E773" t="str">
        <f ca="1">TRIM(Sales_fact[[#This Row],[Store_ID]])</f>
        <v>STORE4</v>
      </c>
      <c r="F773">
        <v>1</v>
      </c>
      <c r="G773">
        <f>IF(ISBLANK(F773),MODE($F$2:$F$2001),F773)</f>
        <v>1</v>
      </c>
      <c r="H773">
        <v>768.25</v>
      </c>
      <c r="I773">
        <f>IF(ISBLANK(H773),AVERAGE($H$2:$H$2001),H773)</f>
        <v>768.25</v>
      </c>
      <c r="J773">
        <v>0.18</v>
      </c>
      <c r="K773">
        <f>IF(ISBLANK(J773),MODE($J$2:$J$2001),J773)</f>
        <v>0.18</v>
      </c>
      <c r="L773" t="s">
        <v>1824</v>
      </c>
      <c r="M773">
        <v>629.96500000000003</v>
      </c>
      <c r="N773">
        <f t="shared" si="12"/>
        <v>629.96500000000003</v>
      </c>
      <c r="O773" t="str">
        <f>_xlfn.XLOOKUP(Sales_fact[[#This Row],[Customer_ID]],'Customer_Dim'!A:A,'Customer_Dim'!K:K,"Not Found")</f>
        <v>Platinum</v>
      </c>
      <c r="P773">
        <f>_xlfn.XLOOKUP(Sales_fact[[#This Row],[Customer_ID]],'Customer_Dim'!A:A, 'Customer_Dim'!E:E, "Not Found")</f>
        <v>32</v>
      </c>
      <c r="Q773" t="str">
        <f>VLOOKUP(Sales_fact[[#This Row],[Customer_ID]], 'Customer_Dim'!A:F, 6, FALSE)</f>
        <v>Male</v>
      </c>
      <c r="R773" s="13" t="str">
        <f>_xlfn.XLOOKUP(Sales_fact[[#This Row],[Product_ID]],Product_Dim!A:A,Product_Dim!C:C,"OTHERS")</f>
        <v>Home</v>
      </c>
    </row>
    <row r="774" spans="1:18" x14ac:dyDescent="0.3">
      <c r="A774" t="s">
        <v>2598</v>
      </c>
      <c r="B774" s="2">
        <v>45254</v>
      </c>
      <c r="C774" t="s">
        <v>1098</v>
      </c>
      <c r="D774" t="s">
        <v>1732</v>
      </c>
      <c r="E774" t="str">
        <f ca="1">TRIM(Sales_fact[[#This Row],[Store_ID]])</f>
        <v>STORE19</v>
      </c>
      <c r="F774">
        <v>2</v>
      </c>
      <c r="G774">
        <f>IF(ISBLANK(F774),MODE($F$2:$F$2001),F774)</f>
        <v>2</v>
      </c>
      <c r="H774">
        <v>318.62</v>
      </c>
      <c r="I774">
        <f>IF(ISBLANK(H774),AVERAGE($H$2:$H$2001),H774)</f>
        <v>318.62</v>
      </c>
      <c r="J774">
        <v>0.02</v>
      </c>
      <c r="K774">
        <f>IF(ISBLANK(J774),MODE($J$2:$J$2001),J774)</f>
        <v>0.02</v>
      </c>
      <c r="L774" t="s">
        <v>1829</v>
      </c>
      <c r="M774">
        <v>624.49519999999995</v>
      </c>
      <c r="N774">
        <f t="shared" si="12"/>
        <v>624.49519999999995</v>
      </c>
      <c r="O774" t="str">
        <f>_xlfn.XLOOKUP(Sales_fact[[#This Row],[Customer_ID]],'Customer_Dim'!A:A,'Customer_Dim'!K:K,"Not Found")</f>
        <v>Silver</v>
      </c>
      <c r="P774">
        <f>_xlfn.XLOOKUP(Sales_fact[[#This Row],[Customer_ID]],'Customer_Dim'!A:A, 'Customer_Dim'!E:E, "Not Found")</f>
        <v>26</v>
      </c>
      <c r="Q774" t="str">
        <f>VLOOKUP(Sales_fact[[#This Row],[Customer_ID]], 'Customer_Dim'!A:F, 6, FALSE)</f>
        <v>Male</v>
      </c>
      <c r="R774" s="13" t="str">
        <f>_xlfn.XLOOKUP(Sales_fact[[#This Row],[Product_ID]],Product_Dim!A:A,Product_Dim!C:C,"OTHERS")</f>
        <v>Home</v>
      </c>
    </row>
    <row r="775" spans="1:18" x14ac:dyDescent="0.3">
      <c r="A775" t="s">
        <v>2599</v>
      </c>
      <c r="B775" s="2">
        <v>45683</v>
      </c>
      <c r="C775" t="s">
        <v>188</v>
      </c>
      <c r="D775" t="s">
        <v>1700</v>
      </c>
      <c r="E775" t="str">
        <f ca="1">TRIM(Sales_fact[[#This Row],[Store_ID]])</f>
        <v>STORE2</v>
      </c>
      <c r="F775">
        <v>4</v>
      </c>
      <c r="G775">
        <f>IF(ISBLANK(F775),MODE($F$2:$F$2001),F775)</f>
        <v>4</v>
      </c>
      <c r="H775">
        <v>402.11</v>
      </c>
      <c r="I775">
        <f>IF(ISBLANK(H775),AVERAGE($H$2:$H$2001),H775)</f>
        <v>402.11</v>
      </c>
      <c r="J775">
        <v>0.14000000000000001</v>
      </c>
      <c r="K775">
        <f>IF(ISBLANK(J775),MODE($J$2:$J$2001),J775)</f>
        <v>0.14000000000000001</v>
      </c>
      <c r="L775" t="s">
        <v>1826</v>
      </c>
      <c r="M775">
        <v>1383.2583999999999</v>
      </c>
      <c r="N775">
        <f t="shared" si="12"/>
        <v>1383.2583999999999</v>
      </c>
      <c r="O775" t="str">
        <f>_xlfn.XLOOKUP(Sales_fact[[#This Row],[Customer_ID]],'Customer_Dim'!A:A,'Customer_Dim'!K:K,"Not Found")</f>
        <v>Gold</v>
      </c>
      <c r="P775">
        <f>_xlfn.XLOOKUP(Sales_fact[[#This Row],[Customer_ID]],'Customer_Dim'!A:A, 'Customer_Dim'!E:E, "Not Found")</f>
        <v>45</v>
      </c>
      <c r="Q775" t="str">
        <f>VLOOKUP(Sales_fact[[#This Row],[Customer_ID]], 'Customer_Dim'!A:F, 6, FALSE)</f>
        <v>Female</v>
      </c>
      <c r="R775" s="13" t="str">
        <f>_xlfn.XLOOKUP(Sales_fact[[#This Row],[Product_ID]],Product_Dim!A:A,Product_Dim!C:C,"OTHERS")</f>
        <v>Electronics</v>
      </c>
    </row>
    <row r="776" spans="1:18" x14ac:dyDescent="0.3">
      <c r="A776" t="s">
        <v>2600</v>
      </c>
      <c r="B776" s="2">
        <v>45804</v>
      </c>
      <c r="C776" t="s">
        <v>1269</v>
      </c>
      <c r="D776" t="s">
        <v>1716</v>
      </c>
      <c r="E776" t="str">
        <f ca="1">TRIM(Sales_fact[[#This Row],[Store_ID]])</f>
        <v>STORE17</v>
      </c>
      <c r="F776">
        <v>3</v>
      </c>
      <c r="G776">
        <f>IF(ISBLANK(F776),MODE($F$2:$F$2001),F776)</f>
        <v>3</v>
      </c>
      <c r="H776">
        <v>846.31</v>
      </c>
      <c r="I776">
        <f>IF(ISBLANK(H776),AVERAGE($H$2:$H$2001),H776)</f>
        <v>846.31</v>
      </c>
      <c r="J776">
        <v>0.18</v>
      </c>
      <c r="K776">
        <f>IF(ISBLANK(J776),MODE($J$2:$J$2001),J776)</f>
        <v>0.18</v>
      </c>
      <c r="L776" t="s">
        <v>1829</v>
      </c>
      <c r="M776">
        <v>2081.9225999999999</v>
      </c>
      <c r="N776">
        <f t="shared" si="12"/>
        <v>2081.9225999999999</v>
      </c>
      <c r="O776" t="str">
        <f>_xlfn.XLOOKUP(Sales_fact[[#This Row],[Customer_ID]],'Customer_Dim'!A:A,'Customer_Dim'!K:K,"Not Found")</f>
        <v>Gold</v>
      </c>
      <c r="P776">
        <f>_xlfn.XLOOKUP(Sales_fact[[#This Row],[Customer_ID]],'Customer_Dim'!A:A, 'Customer_Dim'!E:E, "Not Found")</f>
        <v>36</v>
      </c>
      <c r="Q776" t="str">
        <f>VLOOKUP(Sales_fact[[#This Row],[Customer_ID]], 'Customer_Dim'!A:F, 6, FALSE)</f>
        <v>Male</v>
      </c>
      <c r="R776" s="13" t="str">
        <f>_xlfn.XLOOKUP(Sales_fact[[#This Row],[Product_ID]],Product_Dim!A:A,Product_Dim!C:C,"OTHERS")</f>
        <v>Home</v>
      </c>
    </row>
    <row r="777" spans="1:18" x14ac:dyDescent="0.3">
      <c r="A777" t="s">
        <v>2601</v>
      </c>
      <c r="B777" s="2">
        <v>45821</v>
      </c>
      <c r="C777" t="s">
        <v>559</v>
      </c>
      <c r="D777" t="s">
        <v>1736</v>
      </c>
      <c r="E777" t="str">
        <f ca="1">TRIM(Sales_fact[[#This Row],[Store_ID]])</f>
        <v>STORE14</v>
      </c>
      <c r="F777">
        <v>1</v>
      </c>
      <c r="G777">
        <f>IF(ISBLANK(F777),MODE($F$2:$F$2001),F777)</f>
        <v>1</v>
      </c>
      <c r="H777">
        <v>269.94</v>
      </c>
      <c r="I777">
        <f>IF(ISBLANK(H777),AVERAGE($H$2:$H$2001),H777)</f>
        <v>269.94</v>
      </c>
      <c r="J777">
        <v>7.0000000000000007E-2</v>
      </c>
      <c r="K777">
        <f>IF(ISBLANK(J777),MODE($J$2:$J$2001),J777)</f>
        <v>7.0000000000000007E-2</v>
      </c>
      <c r="L777" t="s">
        <v>1829</v>
      </c>
      <c r="M777">
        <v>251.04419999999999</v>
      </c>
      <c r="N777">
        <f t="shared" si="12"/>
        <v>251.04419999999999</v>
      </c>
      <c r="O777" t="str">
        <f>_xlfn.XLOOKUP(Sales_fact[[#This Row],[Customer_ID]],'Customer_Dim'!A:A,'Customer_Dim'!K:K,"Not Found")</f>
        <v>Platinum</v>
      </c>
      <c r="P777">
        <f>_xlfn.XLOOKUP(Sales_fact[[#This Row],[Customer_ID]],'Customer_Dim'!A:A, 'Customer_Dim'!E:E, "Not Found")</f>
        <v>36</v>
      </c>
      <c r="Q777" t="str">
        <f>VLOOKUP(Sales_fact[[#This Row],[Customer_ID]], 'Customer_Dim'!A:F, 6, FALSE)</f>
        <v>Female</v>
      </c>
      <c r="R777" s="13" t="str">
        <f>_xlfn.XLOOKUP(Sales_fact[[#This Row],[Product_ID]],Product_Dim!A:A,Product_Dim!C:C,"OTHERS")</f>
        <v>Beauty</v>
      </c>
    </row>
    <row r="778" spans="1:18" x14ac:dyDescent="0.3">
      <c r="A778" t="s">
        <v>2602</v>
      </c>
      <c r="B778" s="2">
        <v>45472</v>
      </c>
      <c r="C778" t="s">
        <v>773</v>
      </c>
      <c r="D778" t="s">
        <v>1588</v>
      </c>
      <c r="E778" t="str">
        <f ca="1">TRIM(Sales_fact[[#This Row],[Store_ID]])</f>
        <v>STORE4</v>
      </c>
      <c r="F778">
        <v>3</v>
      </c>
      <c r="G778">
        <f>IF(ISBLANK(F778),MODE($F$2:$F$2001),F778)</f>
        <v>3</v>
      </c>
      <c r="H778">
        <v>909.25</v>
      </c>
      <c r="I778">
        <f>IF(ISBLANK(H778),AVERAGE($H$2:$H$2001),H778)</f>
        <v>909.25</v>
      </c>
      <c r="J778">
        <v>0.28999999999999998</v>
      </c>
      <c r="K778">
        <f>IF(ISBLANK(J778),MODE($J$2:$J$2001),J778)</f>
        <v>0.28999999999999998</v>
      </c>
      <c r="L778" t="s">
        <v>1829</v>
      </c>
      <c r="M778">
        <v>1936.7025000000001</v>
      </c>
      <c r="N778">
        <f t="shared" si="12"/>
        <v>1936.7024999999999</v>
      </c>
      <c r="O778" t="str">
        <f>_xlfn.XLOOKUP(Sales_fact[[#This Row],[Customer_ID]],'Customer_Dim'!A:A,'Customer_Dim'!K:K,"Not Found")</f>
        <v>Platinum</v>
      </c>
      <c r="P778">
        <f>_xlfn.XLOOKUP(Sales_fact[[#This Row],[Customer_ID]],'Customer_Dim'!A:A, 'Customer_Dim'!E:E, "Not Found")</f>
        <v>31</v>
      </c>
      <c r="Q778" t="str">
        <f>VLOOKUP(Sales_fact[[#This Row],[Customer_ID]], 'Customer_Dim'!A:F, 6, FALSE)</f>
        <v>Male</v>
      </c>
      <c r="R778" s="13" t="str">
        <f>_xlfn.XLOOKUP(Sales_fact[[#This Row],[Product_ID]],Product_Dim!A:A,Product_Dim!C:C,"OTHERS")</f>
        <v>Sports</v>
      </c>
    </row>
    <row r="779" spans="1:18" x14ac:dyDescent="0.3">
      <c r="A779" t="s">
        <v>2603</v>
      </c>
      <c r="B779" s="2">
        <v>45331</v>
      </c>
      <c r="C779" t="s">
        <v>1136</v>
      </c>
      <c r="D779" t="s">
        <v>1730</v>
      </c>
      <c r="E779" t="str">
        <f ca="1">TRIM(Sales_fact[[#This Row],[Store_ID]])</f>
        <v>STORE12</v>
      </c>
      <c r="F779">
        <v>2</v>
      </c>
      <c r="G779">
        <f>IF(ISBLANK(F779),MODE($F$2:$F$2001),F779)</f>
        <v>2</v>
      </c>
      <c r="H779">
        <v>229.81</v>
      </c>
      <c r="I779">
        <f>IF(ISBLANK(H779),AVERAGE($H$2:$H$2001),H779)</f>
        <v>229.81</v>
      </c>
      <c r="J779">
        <v>0.21</v>
      </c>
      <c r="K779">
        <f>IF(ISBLANK(J779),MODE($J$2:$J$2001),J779)</f>
        <v>0.21</v>
      </c>
      <c r="L779" t="s">
        <v>1829</v>
      </c>
      <c r="M779">
        <v>363.09980000000002</v>
      </c>
      <c r="N779">
        <f t="shared" si="12"/>
        <v>363.09980000000002</v>
      </c>
      <c r="O779" t="str">
        <f>_xlfn.XLOOKUP(Sales_fact[[#This Row],[Customer_ID]],'Customer_Dim'!A:A,'Customer_Dim'!K:K,"Not Found")</f>
        <v>Bronze</v>
      </c>
      <c r="P779">
        <f>_xlfn.XLOOKUP(Sales_fact[[#This Row],[Customer_ID]],'Customer_Dim'!A:A, 'Customer_Dim'!E:E, "Not Found")</f>
        <v>23</v>
      </c>
      <c r="Q779" t="str">
        <f>VLOOKUP(Sales_fact[[#This Row],[Customer_ID]], 'Customer_Dim'!A:F, 6, FALSE)</f>
        <v>Male</v>
      </c>
      <c r="R779" s="13" t="str">
        <f>_xlfn.XLOOKUP(Sales_fact[[#This Row],[Product_ID]],Product_Dim!A:A,Product_Dim!C:C,"OTHERS")</f>
        <v>Clothing</v>
      </c>
    </row>
    <row r="780" spans="1:18" x14ac:dyDescent="0.3">
      <c r="A780" t="s">
        <v>2604</v>
      </c>
      <c r="B780" s="2">
        <v>45451</v>
      </c>
      <c r="C780" t="s">
        <v>147</v>
      </c>
      <c r="D780" t="s">
        <v>1704</v>
      </c>
      <c r="E780" t="str">
        <f ca="1">TRIM(Sales_fact[[#This Row],[Store_ID]])</f>
        <v>STORE15</v>
      </c>
      <c r="F780">
        <v>3</v>
      </c>
      <c r="G780">
        <f>IF(ISBLANK(F780),MODE($F$2:$F$2001),F780)</f>
        <v>3</v>
      </c>
      <c r="H780">
        <v>442.36</v>
      </c>
      <c r="I780">
        <f>IF(ISBLANK(H780),AVERAGE($H$2:$H$2001),H780)</f>
        <v>442.36</v>
      </c>
      <c r="J780">
        <v>0.06</v>
      </c>
      <c r="K780">
        <f>IF(ISBLANK(J780),MODE($J$2:$J$2001),J780)</f>
        <v>0.06</v>
      </c>
      <c r="L780" t="s">
        <v>1826</v>
      </c>
      <c r="M780">
        <v>1247.4552000000001</v>
      </c>
      <c r="N780">
        <f t="shared" si="12"/>
        <v>1247.4551999999999</v>
      </c>
      <c r="O780" t="str">
        <f>_xlfn.XLOOKUP(Sales_fact[[#This Row],[Customer_ID]],'Customer_Dim'!A:A,'Customer_Dim'!K:K,"Not Found")</f>
        <v>UNKNOWN</v>
      </c>
      <c r="P780">
        <f>_xlfn.XLOOKUP(Sales_fact[[#This Row],[Customer_ID]],'Customer_Dim'!A:A, 'Customer_Dim'!E:E, "Not Found")</f>
        <v>27</v>
      </c>
      <c r="Q780" t="str">
        <f>VLOOKUP(Sales_fact[[#This Row],[Customer_ID]], 'Customer_Dim'!A:F, 6, FALSE)</f>
        <v>Female</v>
      </c>
      <c r="R780" s="13" t="str">
        <f>_xlfn.XLOOKUP(Sales_fact[[#This Row],[Product_ID]],Product_Dim!A:A,Product_Dim!C:C,"OTHERS")</f>
        <v>Home</v>
      </c>
    </row>
    <row r="781" spans="1:18" x14ac:dyDescent="0.3">
      <c r="A781" t="s">
        <v>2605</v>
      </c>
      <c r="B781" s="2">
        <v>45386</v>
      </c>
      <c r="C781" t="s">
        <v>767</v>
      </c>
      <c r="D781" t="s">
        <v>1720</v>
      </c>
      <c r="E781" t="str">
        <f ca="1">TRIM(Sales_fact[[#This Row],[Store_ID]])</f>
        <v>STORE3</v>
      </c>
      <c r="F781">
        <v>3</v>
      </c>
      <c r="G781">
        <f>IF(ISBLANK(F781),MODE($F$2:$F$2001),F781)</f>
        <v>3</v>
      </c>
      <c r="H781">
        <v>413.74</v>
      </c>
      <c r="I781">
        <f>IF(ISBLANK(H781),AVERAGE($H$2:$H$2001),H781)</f>
        <v>413.74</v>
      </c>
      <c r="J781">
        <v>0.01</v>
      </c>
      <c r="K781">
        <f>IF(ISBLANK(J781),MODE($J$2:$J$2001),J781)</f>
        <v>0.01</v>
      </c>
      <c r="L781" t="s">
        <v>1824</v>
      </c>
      <c r="M781">
        <v>1228.8078</v>
      </c>
      <c r="N781">
        <f t="shared" si="12"/>
        <v>1228.8078</v>
      </c>
      <c r="O781" t="str">
        <f>_xlfn.XLOOKUP(Sales_fact[[#This Row],[Customer_ID]],'Customer_Dim'!A:A,'Customer_Dim'!K:K,"Not Found")</f>
        <v>Platinum</v>
      </c>
      <c r="P781">
        <f>_xlfn.XLOOKUP(Sales_fact[[#This Row],[Customer_ID]],'Customer_Dim'!A:A, 'Customer_Dim'!E:E, "Not Found")</f>
        <v>58</v>
      </c>
      <c r="Q781" t="str">
        <f>VLOOKUP(Sales_fact[[#This Row],[Customer_ID]], 'Customer_Dim'!A:F, 6, FALSE)</f>
        <v>Female</v>
      </c>
      <c r="R781" s="13" t="str">
        <f>_xlfn.XLOOKUP(Sales_fact[[#This Row],[Product_ID]],Product_Dim!A:A,Product_Dim!C:C,"OTHERS")</f>
        <v>Home</v>
      </c>
    </row>
    <row r="782" spans="1:18" x14ac:dyDescent="0.3">
      <c r="A782" t="s">
        <v>2606</v>
      </c>
      <c r="B782" s="2">
        <v>45477</v>
      </c>
      <c r="C782" t="s">
        <v>1524</v>
      </c>
      <c r="D782" t="s">
        <v>1726</v>
      </c>
      <c r="E782" t="str">
        <f ca="1">TRIM(Sales_fact[[#This Row],[Store_ID]])</f>
        <v>STORE14</v>
      </c>
      <c r="F782">
        <v>4</v>
      </c>
      <c r="G782">
        <f>IF(ISBLANK(F782),MODE($F$2:$F$2001),F782)</f>
        <v>4</v>
      </c>
      <c r="H782">
        <v>79.75</v>
      </c>
      <c r="I782">
        <f>IF(ISBLANK(H782),AVERAGE($H$2:$H$2001),H782)</f>
        <v>79.75</v>
      </c>
      <c r="J782">
        <v>0.18</v>
      </c>
      <c r="K782">
        <f>IF(ISBLANK(J782),MODE($J$2:$J$2001),J782)</f>
        <v>0.18</v>
      </c>
      <c r="L782" t="s">
        <v>1826</v>
      </c>
      <c r="M782">
        <v>261.58</v>
      </c>
      <c r="N782">
        <f t="shared" si="12"/>
        <v>261.58000000000004</v>
      </c>
      <c r="O782" t="str">
        <f>_xlfn.XLOOKUP(Sales_fact[[#This Row],[Customer_ID]],'Customer_Dim'!A:A,'Customer_Dim'!K:K,"Not Found")</f>
        <v>Bronze</v>
      </c>
      <c r="P782">
        <f>_xlfn.XLOOKUP(Sales_fact[[#This Row],[Customer_ID]],'Customer_Dim'!A:A, 'Customer_Dim'!E:E, "Not Found")</f>
        <v>56</v>
      </c>
      <c r="Q782" t="str">
        <f>VLOOKUP(Sales_fact[[#This Row],[Customer_ID]], 'Customer_Dim'!A:F, 6, FALSE)</f>
        <v>Male</v>
      </c>
      <c r="R782" s="13" t="str">
        <f>_xlfn.XLOOKUP(Sales_fact[[#This Row],[Product_ID]],Product_Dim!A:A,Product_Dim!C:C,"OTHERS")</f>
        <v>Beauty</v>
      </c>
    </row>
    <row r="783" spans="1:18" x14ac:dyDescent="0.3">
      <c r="A783" t="s">
        <v>2607</v>
      </c>
      <c r="B783" s="2">
        <v>45433</v>
      </c>
      <c r="C783" t="s">
        <v>1521</v>
      </c>
      <c r="D783" t="s">
        <v>1628</v>
      </c>
      <c r="E783" t="str">
        <f ca="1">TRIM(Sales_fact[[#This Row],[Store_ID]])</f>
        <v>STORE12</v>
      </c>
      <c r="F783">
        <v>4</v>
      </c>
      <c r="G783">
        <f>IF(ISBLANK(F783),MODE($F$2:$F$2001),F783)</f>
        <v>4</v>
      </c>
      <c r="H783">
        <v>95.06</v>
      </c>
      <c r="I783">
        <f>IF(ISBLANK(H783),AVERAGE($H$2:$H$2001),H783)</f>
        <v>95.06</v>
      </c>
      <c r="J783">
        <v>0.03</v>
      </c>
      <c r="K783">
        <f>IF(ISBLANK(J783),MODE($J$2:$J$2001),J783)</f>
        <v>0.03</v>
      </c>
      <c r="L783" t="s">
        <v>1824</v>
      </c>
      <c r="M783">
        <v>368.83280000000002</v>
      </c>
      <c r="N783">
        <f t="shared" si="12"/>
        <v>368.83280000000002</v>
      </c>
      <c r="O783" t="str">
        <f>_xlfn.XLOOKUP(Sales_fact[[#This Row],[Customer_ID]],'Customer_Dim'!A:A,'Customer_Dim'!K:K,"Not Found")</f>
        <v>Bronze</v>
      </c>
      <c r="P783">
        <f>_xlfn.XLOOKUP(Sales_fact[[#This Row],[Customer_ID]],'Customer_Dim'!A:A, 'Customer_Dim'!E:E, "Not Found")</f>
        <v>23</v>
      </c>
      <c r="Q783" t="str">
        <f>VLOOKUP(Sales_fact[[#This Row],[Customer_ID]], 'Customer_Dim'!A:F, 6, FALSE)</f>
        <v>Female</v>
      </c>
      <c r="R783" s="13" t="str">
        <f>_xlfn.XLOOKUP(Sales_fact[[#This Row],[Product_ID]],Product_Dim!A:A,Product_Dim!C:C,"OTHERS")</f>
        <v>Electronics</v>
      </c>
    </row>
    <row r="784" spans="1:18" x14ac:dyDescent="0.3">
      <c r="A784" t="s">
        <v>2608</v>
      </c>
      <c r="B784" s="2">
        <v>45759</v>
      </c>
      <c r="C784" t="s">
        <v>1292</v>
      </c>
      <c r="D784" t="s">
        <v>1744</v>
      </c>
      <c r="E784" t="str">
        <f ca="1">TRIM(Sales_fact[[#This Row],[Store_ID]])</f>
        <v>STORE7</v>
      </c>
      <c r="F784">
        <v>4</v>
      </c>
      <c r="G784">
        <f>IF(ISBLANK(F784),MODE($F$2:$F$2001),F784)</f>
        <v>4</v>
      </c>
      <c r="H784">
        <v>107.08</v>
      </c>
      <c r="I784">
        <f>IF(ISBLANK(H784),AVERAGE($H$2:$H$2001),H784)</f>
        <v>107.08</v>
      </c>
      <c r="J784">
        <v>0.27</v>
      </c>
      <c r="K784">
        <f>IF(ISBLANK(J784),MODE($J$2:$J$2001),J784)</f>
        <v>0.27</v>
      </c>
      <c r="L784" t="s">
        <v>1829</v>
      </c>
      <c r="M784">
        <v>312.67360000000002</v>
      </c>
      <c r="N784">
        <f t="shared" si="12"/>
        <v>312.67359999999996</v>
      </c>
      <c r="O784" t="str">
        <f>_xlfn.XLOOKUP(Sales_fact[[#This Row],[Customer_ID]],'Customer_Dim'!A:A,'Customer_Dim'!K:K,"Not Found")</f>
        <v>Platinum</v>
      </c>
      <c r="P784">
        <f>_xlfn.XLOOKUP(Sales_fact[[#This Row],[Customer_ID]],'Customer_Dim'!A:A, 'Customer_Dim'!E:E, "Not Found")</f>
        <v>46</v>
      </c>
      <c r="Q784" t="str">
        <f>VLOOKUP(Sales_fact[[#This Row],[Customer_ID]], 'Customer_Dim'!A:F, 6, FALSE)</f>
        <v>Male</v>
      </c>
      <c r="R784" s="13" t="str">
        <f>_xlfn.XLOOKUP(Sales_fact[[#This Row],[Product_ID]],Product_Dim!A:A,Product_Dim!C:C,"OTHERS")</f>
        <v>Electronics</v>
      </c>
    </row>
    <row r="785" spans="1:18" x14ac:dyDescent="0.3">
      <c r="A785" t="s">
        <v>2609</v>
      </c>
      <c r="B785" s="2">
        <v>45794</v>
      </c>
      <c r="C785" t="s">
        <v>1461</v>
      </c>
      <c r="D785" t="s">
        <v>1746</v>
      </c>
      <c r="E785" t="str">
        <f ca="1">TRIM(Sales_fact[[#This Row],[Store_ID]])</f>
        <v>STORE18</v>
      </c>
      <c r="F785">
        <v>1</v>
      </c>
      <c r="G785">
        <f>IF(ISBLANK(F785),MODE($F$2:$F$2001),F785)</f>
        <v>1</v>
      </c>
      <c r="H785">
        <v>873.18</v>
      </c>
      <c r="I785">
        <f>IF(ISBLANK(H785),AVERAGE($H$2:$H$2001),H785)</f>
        <v>873.18</v>
      </c>
      <c r="J785">
        <v>0.03</v>
      </c>
      <c r="K785">
        <f>IF(ISBLANK(J785),MODE($J$2:$J$2001),J785)</f>
        <v>0.03</v>
      </c>
      <c r="L785" t="s">
        <v>1829</v>
      </c>
      <c r="M785">
        <v>846.98459999999989</v>
      </c>
      <c r="N785">
        <f t="shared" si="12"/>
        <v>846.98459999999989</v>
      </c>
      <c r="O785" t="str">
        <f>_xlfn.XLOOKUP(Sales_fact[[#This Row],[Customer_ID]],'Customer_Dim'!A:A,'Customer_Dim'!K:K,"Not Found")</f>
        <v>Platinum</v>
      </c>
      <c r="P785">
        <f>_xlfn.XLOOKUP(Sales_fact[[#This Row],[Customer_ID]],'Customer_Dim'!A:A, 'Customer_Dim'!E:E, "Not Found")</f>
        <v>32</v>
      </c>
      <c r="Q785" t="str">
        <f>VLOOKUP(Sales_fact[[#This Row],[Customer_ID]], 'Customer_Dim'!A:F, 6, FALSE)</f>
        <v>Female</v>
      </c>
      <c r="R785" s="13" t="str">
        <f>_xlfn.XLOOKUP(Sales_fact[[#This Row],[Product_ID]],Product_Dim!A:A,Product_Dim!C:C,"OTHERS")</f>
        <v>Home</v>
      </c>
    </row>
    <row r="786" spans="1:18" x14ac:dyDescent="0.3">
      <c r="A786" t="s">
        <v>2610</v>
      </c>
      <c r="B786" s="2">
        <v>45764</v>
      </c>
      <c r="C786" t="s">
        <v>1178</v>
      </c>
      <c r="D786" t="s">
        <v>1688</v>
      </c>
      <c r="E786" t="str">
        <f ca="1">TRIM(Sales_fact[[#This Row],[Store_ID]])</f>
        <v>STORE18</v>
      </c>
      <c r="F786">
        <v>1</v>
      </c>
      <c r="G786">
        <f>IF(ISBLANK(F786),MODE($F$2:$F$2001),F786)</f>
        <v>1</v>
      </c>
      <c r="H786">
        <v>914.75</v>
      </c>
      <c r="I786">
        <f>IF(ISBLANK(H786),AVERAGE($H$2:$H$2001),H786)</f>
        <v>914.75</v>
      </c>
      <c r="J786">
        <v>0.1</v>
      </c>
      <c r="K786">
        <f>IF(ISBLANK(J786),MODE($J$2:$J$2001),J786)</f>
        <v>0.1</v>
      </c>
      <c r="L786" t="s">
        <v>1829</v>
      </c>
      <c r="M786">
        <v>823.27499999999998</v>
      </c>
      <c r="N786">
        <f t="shared" si="12"/>
        <v>823.27499999999998</v>
      </c>
      <c r="O786" t="str">
        <f>_xlfn.XLOOKUP(Sales_fact[[#This Row],[Customer_ID]],'Customer_Dim'!A:A,'Customer_Dim'!K:K,"Not Found")</f>
        <v>Gold</v>
      </c>
      <c r="P786">
        <f>_xlfn.XLOOKUP(Sales_fact[[#This Row],[Customer_ID]],'Customer_Dim'!A:A, 'Customer_Dim'!E:E, "Not Found")</f>
        <v>39</v>
      </c>
      <c r="Q786" t="str">
        <f>VLOOKUP(Sales_fact[[#This Row],[Customer_ID]], 'Customer_Dim'!A:F, 6, FALSE)</f>
        <v>Female</v>
      </c>
      <c r="R786" s="13" t="str">
        <f>_xlfn.XLOOKUP(Sales_fact[[#This Row],[Product_ID]],Product_Dim!A:A,Product_Dim!C:C,"OTHERS")</f>
        <v>Home</v>
      </c>
    </row>
    <row r="787" spans="1:18" x14ac:dyDescent="0.3">
      <c r="A787" t="s">
        <v>2611</v>
      </c>
      <c r="B787" s="2">
        <v>45279</v>
      </c>
      <c r="C787" t="s">
        <v>188</v>
      </c>
      <c r="D787" t="s">
        <v>1694</v>
      </c>
      <c r="E787" t="str">
        <f ca="1">TRIM(Sales_fact[[#This Row],[Store_ID]])</f>
        <v>STORE13</v>
      </c>
      <c r="F787">
        <v>4</v>
      </c>
      <c r="G787">
        <f>IF(ISBLANK(F787),MODE($F$2:$F$2001),F787)</f>
        <v>4</v>
      </c>
      <c r="H787">
        <v>457.33</v>
      </c>
      <c r="I787">
        <f>IF(ISBLANK(H787),AVERAGE($H$2:$H$2001),H787)</f>
        <v>457.33</v>
      </c>
      <c r="J787">
        <v>0.1</v>
      </c>
      <c r="K787">
        <f>IF(ISBLANK(J787),MODE($J$2:$J$2001),J787)</f>
        <v>0.1</v>
      </c>
      <c r="L787" t="s">
        <v>1824</v>
      </c>
      <c r="M787">
        <v>1646.3879999999999</v>
      </c>
      <c r="N787">
        <f t="shared" si="12"/>
        <v>1646.3879999999999</v>
      </c>
      <c r="O787" t="str">
        <f>_xlfn.XLOOKUP(Sales_fact[[#This Row],[Customer_ID]],'Customer_Dim'!A:A,'Customer_Dim'!K:K,"Not Found")</f>
        <v>Gold</v>
      </c>
      <c r="P787">
        <f>_xlfn.XLOOKUP(Sales_fact[[#This Row],[Customer_ID]],'Customer_Dim'!A:A, 'Customer_Dim'!E:E, "Not Found")</f>
        <v>45</v>
      </c>
      <c r="Q787" t="str">
        <f>VLOOKUP(Sales_fact[[#This Row],[Customer_ID]], 'Customer_Dim'!A:F, 6, FALSE)</f>
        <v>Female</v>
      </c>
      <c r="R787" s="13" t="str">
        <f>_xlfn.XLOOKUP(Sales_fact[[#This Row],[Product_ID]],Product_Dim!A:A,Product_Dim!C:C,"OTHERS")</f>
        <v>Sports</v>
      </c>
    </row>
    <row r="788" spans="1:18" x14ac:dyDescent="0.3">
      <c r="A788" t="s">
        <v>2612</v>
      </c>
      <c r="B788" s="2">
        <v>45602</v>
      </c>
      <c r="C788" t="s">
        <v>926</v>
      </c>
      <c r="D788" t="s">
        <v>1746</v>
      </c>
      <c r="E788" t="str">
        <f ca="1">TRIM(Sales_fact[[#This Row],[Store_ID]])</f>
        <v>STORE3</v>
      </c>
      <c r="F788">
        <v>3</v>
      </c>
      <c r="G788">
        <f>IF(ISBLANK(F788),MODE($F$2:$F$2001),F788)</f>
        <v>3</v>
      </c>
      <c r="H788">
        <v>761.88</v>
      </c>
      <c r="I788">
        <f>IF(ISBLANK(H788),AVERAGE($H$2:$H$2001),H788)</f>
        <v>761.88</v>
      </c>
      <c r="J788">
        <v>0.23</v>
      </c>
      <c r="K788">
        <f>IF(ISBLANK(J788),MODE($J$2:$J$2001),J788)</f>
        <v>0.23</v>
      </c>
      <c r="L788" t="s">
        <v>1826</v>
      </c>
      <c r="M788">
        <v>1759.9428</v>
      </c>
      <c r="N788">
        <f t="shared" si="12"/>
        <v>1759.9428</v>
      </c>
      <c r="O788" t="str">
        <f>_xlfn.XLOOKUP(Sales_fact[[#This Row],[Customer_ID]],'Customer_Dim'!A:A,'Customer_Dim'!K:K,"Not Found")</f>
        <v>Silver</v>
      </c>
      <c r="P788">
        <f>_xlfn.XLOOKUP(Sales_fact[[#This Row],[Customer_ID]],'Customer_Dim'!A:A, 'Customer_Dim'!E:E, "Not Found")</f>
        <v>30</v>
      </c>
      <c r="Q788" t="str">
        <f>VLOOKUP(Sales_fact[[#This Row],[Customer_ID]], 'Customer_Dim'!A:F, 6, FALSE)</f>
        <v>Male</v>
      </c>
      <c r="R788" s="13" t="str">
        <f>_xlfn.XLOOKUP(Sales_fact[[#This Row],[Product_ID]],Product_Dim!A:A,Product_Dim!C:C,"OTHERS")</f>
        <v>Home</v>
      </c>
    </row>
    <row r="789" spans="1:18" x14ac:dyDescent="0.3">
      <c r="A789" t="s">
        <v>2613</v>
      </c>
      <c r="B789" s="2">
        <v>45793</v>
      </c>
      <c r="C789" t="s">
        <v>585</v>
      </c>
      <c r="D789" t="s">
        <v>1622</v>
      </c>
      <c r="E789" t="str">
        <f ca="1">TRIM(Sales_fact[[#This Row],[Store_ID]])</f>
        <v>STORE19</v>
      </c>
      <c r="F789">
        <v>4</v>
      </c>
      <c r="G789">
        <f>IF(ISBLANK(F789),MODE($F$2:$F$2001),F789)</f>
        <v>4</v>
      </c>
      <c r="H789">
        <v>122.87</v>
      </c>
      <c r="I789">
        <f>IF(ISBLANK(H789),AVERAGE($H$2:$H$2001),H789)</f>
        <v>122.87</v>
      </c>
      <c r="J789">
        <v>0.13</v>
      </c>
      <c r="K789">
        <f>IF(ISBLANK(J789),MODE($J$2:$J$2001),J789)</f>
        <v>0.13</v>
      </c>
      <c r="L789" t="s">
        <v>1824</v>
      </c>
      <c r="M789">
        <v>427.58760000000001</v>
      </c>
      <c r="N789">
        <f t="shared" si="12"/>
        <v>427.58760000000001</v>
      </c>
      <c r="O789" t="str">
        <f>_xlfn.XLOOKUP(Sales_fact[[#This Row],[Customer_ID]],'Customer_Dim'!A:A,'Customer_Dim'!K:K,"Not Found")</f>
        <v>Platinum</v>
      </c>
      <c r="P789">
        <f>_xlfn.XLOOKUP(Sales_fact[[#This Row],[Customer_ID]],'Customer_Dim'!A:A, 'Customer_Dim'!E:E, "Not Found")</f>
        <v>55</v>
      </c>
      <c r="Q789" t="str">
        <f>VLOOKUP(Sales_fact[[#This Row],[Customer_ID]], 'Customer_Dim'!A:F, 6, FALSE)</f>
        <v>Male</v>
      </c>
      <c r="R789" s="13" t="str">
        <f>_xlfn.XLOOKUP(Sales_fact[[#This Row],[Product_ID]],Product_Dim!A:A,Product_Dim!C:C,"OTHERS")</f>
        <v>Clothing</v>
      </c>
    </row>
    <row r="790" spans="1:18" x14ac:dyDescent="0.3">
      <c r="A790" t="s">
        <v>2614</v>
      </c>
      <c r="B790" s="2">
        <v>45778</v>
      </c>
      <c r="C790" t="s">
        <v>1464</v>
      </c>
      <c r="D790" t="s">
        <v>1694</v>
      </c>
      <c r="E790" t="str">
        <f ca="1">TRIM(Sales_fact[[#This Row],[Store_ID]])</f>
        <v>STORE4</v>
      </c>
      <c r="F790">
        <v>4</v>
      </c>
      <c r="G790">
        <f>IF(ISBLANK(F790),MODE($F$2:$F$2001),F790)</f>
        <v>4</v>
      </c>
      <c r="H790">
        <v>753</v>
      </c>
      <c r="I790">
        <f>IF(ISBLANK(H790),AVERAGE($H$2:$H$2001),H790)</f>
        <v>753</v>
      </c>
      <c r="J790">
        <v>0.28000000000000003</v>
      </c>
      <c r="K790">
        <f>IF(ISBLANK(J790),MODE($J$2:$J$2001),J790)</f>
        <v>0.28000000000000003</v>
      </c>
      <c r="L790" t="s">
        <v>1829</v>
      </c>
      <c r="M790">
        <v>2168.64</v>
      </c>
      <c r="N790">
        <f t="shared" si="12"/>
        <v>2168.64</v>
      </c>
      <c r="O790" t="str">
        <f>_xlfn.XLOOKUP(Sales_fact[[#This Row],[Customer_ID]],'Customer_Dim'!A:A,'Customer_Dim'!K:K,"Not Found")</f>
        <v>Platinum</v>
      </c>
      <c r="P790">
        <f>_xlfn.XLOOKUP(Sales_fact[[#This Row],[Customer_ID]],'Customer_Dim'!A:A, 'Customer_Dim'!E:E, "Not Found")</f>
        <v>18</v>
      </c>
      <c r="Q790" t="str">
        <f>VLOOKUP(Sales_fact[[#This Row],[Customer_ID]], 'Customer_Dim'!A:F, 6, FALSE)</f>
        <v>Female</v>
      </c>
      <c r="R790" s="13" t="str">
        <f>_xlfn.XLOOKUP(Sales_fact[[#This Row],[Product_ID]],Product_Dim!A:A,Product_Dim!C:C,"OTHERS")</f>
        <v>Sports</v>
      </c>
    </row>
    <row r="791" spans="1:18" x14ac:dyDescent="0.3">
      <c r="A791" t="s">
        <v>2615</v>
      </c>
      <c r="B791" s="2">
        <v>45325</v>
      </c>
      <c r="C791" t="s">
        <v>1157</v>
      </c>
      <c r="D791" t="s">
        <v>1555</v>
      </c>
      <c r="E791" t="str">
        <f ca="1">TRIM(Sales_fact[[#This Row],[Store_ID]])</f>
        <v>STORE5</v>
      </c>
      <c r="F791">
        <v>2</v>
      </c>
      <c r="G791">
        <f>IF(ISBLANK(F791),MODE($F$2:$F$2001),F791)</f>
        <v>2</v>
      </c>
      <c r="H791">
        <v>788.05</v>
      </c>
      <c r="I791">
        <f>IF(ISBLANK(H791),AVERAGE($H$2:$H$2001),H791)</f>
        <v>788.05</v>
      </c>
      <c r="J791">
        <v>0.21</v>
      </c>
      <c r="K791">
        <f>IF(ISBLANK(J791),MODE($J$2:$J$2001),J791)</f>
        <v>0.21</v>
      </c>
      <c r="L791" t="s">
        <v>1824</v>
      </c>
      <c r="M791">
        <v>1245.1189999999999</v>
      </c>
      <c r="N791">
        <f t="shared" si="12"/>
        <v>1245.1189999999999</v>
      </c>
      <c r="O791" t="str">
        <f>_xlfn.XLOOKUP(Sales_fact[[#This Row],[Customer_ID]],'Customer_Dim'!A:A,'Customer_Dim'!K:K,"Not Found")</f>
        <v>Silver</v>
      </c>
      <c r="P791">
        <f>_xlfn.XLOOKUP(Sales_fact[[#This Row],[Customer_ID]],'Customer_Dim'!A:A, 'Customer_Dim'!E:E, "Not Found")</f>
        <v>45</v>
      </c>
      <c r="Q791" t="str">
        <f>VLOOKUP(Sales_fact[[#This Row],[Customer_ID]], 'Customer_Dim'!A:F, 6, FALSE)</f>
        <v>Male</v>
      </c>
      <c r="R791" s="13" t="str">
        <f>_xlfn.XLOOKUP(Sales_fact[[#This Row],[Product_ID]],Product_Dim!A:A,Product_Dim!C:C,"OTHERS")</f>
        <v>Clothing</v>
      </c>
    </row>
    <row r="792" spans="1:18" x14ac:dyDescent="0.3">
      <c r="A792" t="s">
        <v>2616</v>
      </c>
      <c r="B792" s="2">
        <v>45875</v>
      </c>
      <c r="C792" t="s">
        <v>1425</v>
      </c>
      <c r="D792" t="s">
        <v>1712</v>
      </c>
      <c r="E792" t="str">
        <f ca="1">TRIM(Sales_fact[[#This Row],[Store_ID]])</f>
        <v>STORE10</v>
      </c>
      <c r="F792">
        <v>2</v>
      </c>
      <c r="G792">
        <f>IF(ISBLANK(F792),MODE($F$2:$F$2001),F792)</f>
        <v>2</v>
      </c>
      <c r="H792">
        <v>807.1</v>
      </c>
      <c r="I792">
        <f>IF(ISBLANK(H792),AVERAGE($H$2:$H$2001),H792)</f>
        <v>807.1</v>
      </c>
      <c r="J792">
        <v>0.28999999999999998</v>
      </c>
      <c r="K792">
        <f>IF(ISBLANK(J792),MODE($J$2:$J$2001),J792)</f>
        <v>0.28999999999999998</v>
      </c>
      <c r="L792" t="s">
        <v>1824</v>
      </c>
      <c r="M792">
        <v>1146.0820000000001</v>
      </c>
      <c r="N792">
        <f t="shared" si="12"/>
        <v>1146.0819999999999</v>
      </c>
      <c r="O792" t="str">
        <f>_xlfn.XLOOKUP(Sales_fact[[#This Row],[Customer_ID]],'Customer_Dim'!A:A,'Customer_Dim'!K:K,"Not Found")</f>
        <v>Silver</v>
      </c>
      <c r="P792">
        <f>_xlfn.XLOOKUP(Sales_fact[[#This Row],[Customer_ID]],'Customer_Dim'!A:A, 'Customer_Dim'!E:E, "Not Found")</f>
        <v>34</v>
      </c>
      <c r="Q792" t="str">
        <f>VLOOKUP(Sales_fact[[#This Row],[Customer_ID]], 'Customer_Dim'!A:F, 6, FALSE)</f>
        <v>Female</v>
      </c>
      <c r="R792" s="13" t="str">
        <f>_xlfn.XLOOKUP(Sales_fact[[#This Row],[Product_ID]],Product_Dim!A:A,Product_Dim!C:C,"OTHERS")</f>
        <v>Sports</v>
      </c>
    </row>
    <row r="793" spans="1:18" x14ac:dyDescent="0.3">
      <c r="A793" t="s">
        <v>2617</v>
      </c>
      <c r="B793" s="2">
        <v>45320</v>
      </c>
      <c r="C793" t="s">
        <v>458</v>
      </c>
      <c r="D793" t="s">
        <v>1562</v>
      </c>
      <c r="E793" t="str">
        <f ca="1">TRIM(Sales_fact[[#This Row],[Store_ID]])</f>
        <v>STORE1</v>
      </c>
      <c r="F793">
        <v>2</v>
      </c>
      <c r="G793">
        <f>IF(ISBLANK(F793),MODE($F$2:$F$2001),F793)</f>
        <v>2</v>
      </c>
      <c r="H793">
        <v>443.09</v>
      </c>
      <c r="I793">
        <f>IF(ISBLANK(H793),AVERAGE($H$2:$H$2001),H793)</f>
        <v>443.09</v>
      </c>
      <c r="J793">
        <v>0.02</v>
      </c>
      <c r="K793">
        <f>IF(ISBLANK(J793),MODE($J$2:$J$2001),J793)</f>
        <v>0.02</v>
      </c>
      <c r="L793" t="s">
        <v>1826</v>
      </c>
      <c r="M793">
        <v>868.45639999999992</v>
      </c>
      <c r="N793">
        <f t="shared" si="12"/>
        <v>868.45639999999992</v>
      </c>
      <c r="O793" t="str">
        <f>_xlfn.XLOOKUP(Sales_fact[[#This Row],[Customer_ID]],'Customer_Dim'!A:A,'Customer_Dim'!K:K,"Not Found")</f>
        <v>Gold</v>
      </c>
      <c r="P793">
        <f>_xlfn.XLOOKUP(Sales_fact[[#This Row],[Customer_ID]],'Customer_Dim'!A:A, 'Customer_Dim'!E:E, "Not Found")</f>
        <v>54</v>
      </c>
      <c r="Q793" t="str">
        <f>VLOOKUP(Sales_fact[[#This Row],[Customer_ID]], 'Customer_Dim'!A:F, 6, FALSE)</f>
        <v>Male</v>
      </c>
      <c r="R793" s="13" t="str">
        <f>_xlfn.XLOOKUP(Sales_fact[[#This Row],[Product_ID]],Product_Dim!A:A,Product_Dim!C:C,"OTHERS")</f>
        <v>Electronics</v>
      </c>
    </row>
    <row r="794" spans="1:18" x14ac:dyDescent="0.3">
      <c r="A794" t="s">
        <v>2618</v>
      </c>
      <c r="B794" s="2">
        <v>45870</v>
      </c>
      <c r="C794" t="s">
        <v>1443</v>
      </c>
      <c r="D794" t="s">
        <v>1586</v>
      </c>
      <c r="E794" t="str">
        <f ca="1">TRIM(Sales_fact[[#This Row],[Store_ID]])</f>
        <v>STORE15</v>
      </c>
      <c r="F794">
        <v>1</v>
      </c>
      <c r="G794">
        <f>IF(ISBLANK(F794),MODE($F$2:$F$2001),F794)</f>
        <v>1</v>
      </c>
      <c r="H794">
        <v>512.16</v>
      </c>
      <c r="I794">
        <f>IF(ISBLANK(H794),AVERAGE($H$2:$H$2001),H794)</f>
        <v>512.16</v>
      </c>
      <c r="J794">
        <v>0.02</v>
      </c>
      <c r="K794">
        <f>IF(ISBLANK(J794),MODE($J$2:$J$2001),J794)</f>
        <v>0.02</v>
      </c>
      <c r="L794" t="s">
        <v>1829</v>
      </c>
      <c r="M794">
        <v>501.91680000000002</v>
      </c>
      <c r="N794">
        <f t="shared" si="12"/>
        <v>501.91679999999997</v>
      </c>
      <c r="O794" t="str">
        <f>_xlfn.XLOOKUP(Sales_fact[[#This Row],[Customer_ID]],'Customer_Dim'!A:A,'Customer_Dim'!K:K,"Not Found")</f>
        <v>Bronze</v>
      </c>
      <c r="P794">
        <f>_xlfn.XLOOKUP(Sales_fact[[#This Row],[Customer_ID]],'Customer_Dim'!A:A, 'Customer_Dim'!E:E, "Not Found")</f>
        <v>45</v>
      </c>
      <c r="Q794" t="str">
        <f>VLOOKUP(Sales_fact[[#This Row],[Customer_ID]], 'Customer_Dim'!A:F, 6, FALSE)</f>
        <v>Male</v>
      </c>
      <c r="R794" s="13" t="str">
        <f>_xlfn.XLOOKUP(Sales_fact[[#This Row],[Product_ID]],Product_Dim!A:A,Product_Dim!C:C,"OTHERS")</f>
        <v>Sports</v>
      </c>
    </row>
    <row r="795" spans="1:18" x14ac:dyDescent="0.3">
      <c r="A795" t="s">
        <v>2619</v>
      </c>
      <c r="B795" s="2">
        <v>45577</v>
      </c>
      <c r="C795" t="s">
        <v>678</v>
      </c>
      <c r="D795" t="s">
        <v>1630</v>
      </c>
      <c r="E795" t="str">
        <f ca="1">TRIM(Sales_fact[[#This Row],[Store_ID]])</f>
        <v>STORE18</v>
      </c>
      <c r="F795">
        <v>2</v>
      </c>
      <c r="G795">
        <f>IF(ISBLANK(F795),MODE($F$2:$F$2001),F795)</f>
        <v>2</v>
      </c>
      <c r="H795">
        <v>602.54999999999995</v>
      </c>
      <c r="I795">
        <f>IF(ISBLANK(H795),AVERAGE($H$2:$H$2001),H795)</f>
        <v>602.54999999999995</v>
      </c>
      <c r="J795">
        <v>0.23</v>
      </c>
      <c r="K795">
        <f>IF(ISBLANK(J795),MODE($J$2:$J$2001),J795)</f>
        <v>0.23</v>
      </c>
      <c r="L795" t="s">
        <v>1829</v>
      </c>
      <c r="M795">
        <v>927.92699999999991</v>
      </c>
      <c r="N795">
        <f t="shared" si="12"/>
        <v>927.92699999999991</v>
      </c>
      <c r="O795" t="str">
        <f>_xlfn.XLOOKUP(Sales_fact[[#This Row],[Customer_ID]],'Customer_Dim'!A:A,'Customer_Dim'!K:K,"Not Found")</f>
        <v>Platinum</v>
      </c>
      <c r="P795">
        <f>_xlfn.XLOOKUP(Sales_fact[[#This Row],[Customer_ID]],'Customer_Dim'!A:A, 'Customer_Dim'!E:E, "Not Found")</f>
        <v>54</v>
      </c>
      <c r="Q795" t="str">
        <f>VLOOKUP(Sales_fact[[#This Row],[Customer_ID]], 'Customer_Dim'!A:F, 6, FALSE)</f>
        <v>Male</v>
      </c>
      <c r="R795" s="13" t="str">
        <f>_xlfn.XLOOKUP(Sales_fact[[#This Row],[Product_ID]],Product_Dim!A:A,Product_Dim!C:C,"OTHERS")</f>
        <v>Sports</v>
      </c>
    </row>
    <row r="796" spans="1:18" x14ac:dyDescent="0.3">
      <c r="A796" t="s">
        <v>2620</v>
      </c>
      <c r="B796" s="2">
        <v>45745</v>
      </c>
      <c r="C796" t="s">
        <v>547</v>
      </c>
      <c r="D796" t="s">
        <v>1632</v>
      </c>
      <c r="E796" t="str">
        <f ca="1">TRIM(Sales_fact[[#This Row],[Store_ID]])</f>
        <v>STORE0</v>
      </c>
      <c r="F796">
        <v>3</v>
      </c>
      <c r="G796">
        <f>IF(ISBLANK(F796),MODE($F$2:$F$2001),F796)</f>
        <v>3</v>
      </c>
      <c r="H796">
        <v>846.19</v>
      </c>
      <c r="I796">
        <f>IF(ISBLANK(H796),AVERAGE($H$2:$H$2001),H796)</f>
        <v>846.19</v>
      </c>
      <c r="J796">
        <v>0.09</v>
      </c>
      <c r="K796">
        <f>IF(ISBLANK(J796),MODE($J$2:$J$2001),J796)</f>
        <v>0.09</v>
      </c>
      <c r="L796" t="s">
        <v>1829</v>
      </c>
      <c r="M796">
        <v>2310.0987</v>
      </c>
      <c r="N796">
        <f t="shared" si="12"/>
        <v>2310.0987</v>
      </c>
      <c r="O796" t="str">
        <f>_xlfn.XLOOKUP(Sales_fact[[#This Row],[Customer_ID]],'Customer_Dim'!A:A,'Customer_Dim'!K:K,"Not Found")</f>
        <v>Silver</v>
      </c>
      <c r="P796">
        <f>_xlfn.XLOOKUP(Sales_fact[[#This Row],[Customer_ID]],'Customer_Dim'!A:A, 'Customer_Dim'!E:E, "Not Found")</f>
        <v>39</v>
      </c>
      <c r="Q796" t="str">
        <f>VLOOKUP(Sales_fact[[#This Row],[Customer_ID]], 'Customer_Dim'!A:F, 6, FALSE)</f>
        <v>Female</v>
      </c>
      <c r="R796" s="13" t="str">
        <f>_xlfn.XLOOKUP(Sales_fact[[#This Row],[Product_ID]],Product_Dim!A:A,Product_Dim!C:C,"OTHERS")</f>
        <v>Electronics</v>
      </c>
    </row>
    <row r="797" spans="1:18" x14ac:dyDescent="0.3">
      <c r="A797" t="s">
        <v>2621</v>
      </c>
      <c r="B797" s="2">
        <v>45772</v>
      </c>
      <c r="C797" t="s">
        <v>1026</v>
      </c>
      <c r="D797" t="s">
        <v>1686</v>
      </c>
      <c r="E797" t="str">
        <f ca="1">TRIM(Sales_fact[[#This Row],[Store_ID]])</f>
        <v>STORE8</v>
      </c>
      <c r="F797">
        <v>1</v>
      </c>
      <c r="G797">
        <f>IF(ISBLANK(F797),MODE($F$2:$F$2001),F797)</f>
        <v>1</v>
      </c>
      <c r="H797">
        <v>506.73</v>
      </c>
      <c r="I797">
        <f>IF(ISBLANK(H797),AVERAGE($H$2:$H$2001),H797)</f>
        <v>506.73</v>
      </c>
      <c r="J797">
        <v>0.28999999999999998</v>
      </c>
      <c r="K797">
        <f>IF(ISBLANK(J797),MODE($J$2:$J$2001),J797)</f>
        <v>0.28999999999999998</v>
      </c>
      <c r="L797" t="s">
        <v>1824</v>
      </c>
      <c r="M797">
        <v>359.7783</v>
      </c>
      <c r="N797">
        <f t="shared" si="12"/>
        <v>359.7783</v>
      </c>
      <c r="O797" t="str">
        <f>_xlfn.XLOOKUP(Sales_fact[[#This Row],[Customer_ID]],'Customer_Dim'!A:A,'Customer_Dim'!K:K,"Not Found")</f>
        <v>Gold</v>
      </c>
      <c r="P797">
        <f>_xlfn.XLOOKUP(Sales_fact[[#This Row],[Customer_ID]],'Customer_Dim'!A:A, 'Customer_Dim'!E:E, "Not Found")</f>
        <v>58</v>
      </c>
      <c r="Q797" t="str">
        <f>VLOOKUP(Sales_fact[[#This Row],[Customer_ID]], 'Customer_Dim'!A:F, 6, FALSE)</f>
        <v>Female</v>
      </c>
      <c r="R797" s="13" t="str">
        <f>_xlfn.XLOOKUP(Sales_fact[[#This Row],[Product_ID]],Product_Dim!A:A,Product_Dim!C:C,"OTHERS")</f>
        <v>Clothing</v>
      </c>
    </row>
    <row r="798" spans="1:18" x14ac:dyDescent="0.3">
      <c r="A798" t="s">
        <v>2622</v>
      </c>
      <c r="B798" s="2">
        <v>45299</v>
      </c>
      <c r="C798" t="s">
        <v>198</v>
      </c>
      <c r="D798" t="s">
        <v>1650</v>
      </c>
      <c r="E798" t="str">
        <f ca="1">TRIM(Sales_fact[[#This Row],[Store_ID]])</f>
        <v>STORE16</v>
      </c>
      <c r="F798">
        <v>1</v>
      </c>
      <c r="G798">
        <f>IF(ISBLANK(F798),MODE($F$2:$F$2001),F798)</f>
        <v>1</v>
      </c>
      <c r="H798">
        <v>408.66</v>
      </c>
      <c r="I798">
        <f>IF(ISBLANK(H798),AVERAGE($H$2:$H$2001),H798)</f>
        <v>408.66</v>
      </c>
      <c r="J798">
        <v>0.13</v>
      </c>
      <c r="K798">
        <f>IF(ISBLANK(J798),MODE($J$2:$J$2001),J798)</f>
        <v>0.13</v>
      </c>
      <c r="L798" t="s">
        <v>1829</v>
      </c>
      <c r="M798">
        <v>355.5342</v>
      </c>
      <c r="N798">
        <f t="shared" si="12"/>
        <v>355.5342</v>
      </c>
      <c r="O798" t="str">
        <f>_xlfn.XLOOKUP(Sales_fact[[#This Row],[Customer_ID]],'Customer_Dim'!A:A,'Customer_Dim'!K:K,"Not Found")</f>
        <v>Bronze</v>
      </c>
      <c r="P798">
        <f>_xlfn.XLOOKUP(Sales_fact[[#This Row],[Customer_ID]],'Customer_Dim'!A:A, 'Customer_Dim'!E:E, "Not Found")</f>
        <v>55</v>
      </c>
      <c r="Q798" t="str">
        <f>VLOOKUP(Sales_fact[[#This Row],[Customer_ID]], 'Customer_Dim'!A:F, 6, FALSE)</f>
        <v>Male</v>
      </c>
      <c r="R798" s="13" t="str">
        <f>_xlfn.XLOOKUP(Sales_fact[[#This Row],[Product_ID]],Product_Dim!A:A,Product_Dim!C:C,"OTHERS")</f>
        <v>Electronics</v>
      </c>
    </row>
    <row r="799" spans="1:18" x14ac:dyDescent="0.3">
      <c r="A799" t="s">
        <v>2623</v>
      </c>
      <c r="B799" s="2">
        <v>45447</v>
      </c>
      <c r="C799" t="s">
        <v>387</v>
      </c>
      <c r="D799" t="s">
        <v>1562</v>
      </c>
      <c r="E799" t="str">
        <f ca="1">TRIM(Sales_fact[[#This Row],[Store_ID]])</f>
        <v>STORE17</v>
      </c>
      <c r="F799">
        <v>3</v>
      </c>
      <c r="G799">
        <f>IF(ISBLANK(F799),MODE($F$2:$F$2001),F799)</f>
        <v>3</v>
      </c>
      <c r="H799">
        <v>170.48</v>
      </c>
      <c r="I799">
        <f>IF(ISBLANK(H799),AVERAGE($H$2:$H$2001),H799)</f>
        <v>170.48</v>
      </c>
      <c r="J799">
        <v>0.06</v>
      </c>
      <c r="K799">
        <f>IF(ISBLANK(J799),MODE($J$2:$J$2001),J799)</f>
        <v>0.06</v>
      </c>
      <c r="L799" t="s">
        <v>1829</v>
      </c>
      <c r="M799">
        <v>480.75359999999989</v>
      </c>
      <c r="N799">
        <f t="shared" si="12"/>
        <v>480.75359999999989</v>
      </c>
      <c r="O799" t="str">
        <f>_xlfn.XLOOKUP(Sales_fact[[#This Row],[Customer_ID]],'Customer_Dim'!A:A,'Customer_Dim'!K:K,"Not Found")</f>
        <v>Gold</v>
      </c>
      <c r="P799">
        <f>_xlfn.XLOOKUP(Sales_fact[[#This Row],[Customer_ID]],'Customer_Dim'!A:A, 'Customer_Dim'!E:E, "Not Found")</f>
        <v>40</v>
      </c>
      <c r="Q799" t="str">
        <f>VLOOKUP(Sales_fact[[#This Row],[Customer_ID]], 'Customer_Dim'!A:F, 6, FALSE)</f>
        <v>Female</v>
      </c>
      <c r="R799" s="13" t="str">
        <f>_xlfn.XLOOKUP(Sales_fact[[#This Row],[Product_ID]],Product_Dim!A:A,Product_Dim!C:C,"OTHERS")</f>
        <v>Electronics</v>
      </c>
    </row>
    <row r="800" spans="1:18" x14ac:dyDescent="0.3">
      <c r="A800" t="s">
        <v>2624</v>
      </c>
      <c r="B800" s="2">
        <v>45717</v>
      </c>
      <c r="C800" t="s">
        <v>347</v>
      </c>
      <c r="D800" t="s">
        <v>1584</v>
      </c>
      <c r="E800" t="str">
        <f ca="1">TRIM(Sales_fact[[#This Row],[Store_ID]])</f>
        <v>STORE9</v>
      </c>
      <c r="F800">
        <v>1</v>
      </c>
      <c r="G800">
        <f>IF(ISBLANK(F800),MODE($F$2:$F$2001),F800)</f>
        <v>1</v>
      </c>
      <c r="H800">
        <v>423.48</v>
      </c>
      <c r="I800">
        <f>IF(ISBLANK(H800),AVERAGE($H$2:$H$2001),H800)</f>
        <v>423.48</v>
      </c>
      <c r="J800">
        <v>0.18</v>
      </c>
      <c r="K800">
        <f>IF(ISBLANK(J800),MODE($J$2:$J$2001),J800)</f>
        <v>0.18</v>
      </c>
      <c r="L800" t="s">
        <v>1826</v>
      </c>
      <c r="M800">
        <v>347.25360000000012</v>
      </c>
      <c r="N800">
        <f t="shared" si="12"/>
        <v>347.25360000000006</v>
      </c>
      <c r="O800" t="str">
        <f>_xlfn.XLOOKUP(Sales_fact[[#This Row],[Customer_ID]],'Customer_Dim'!A:A,'Customer_Dim'!K:K,"Not Found")</f>
        <v>Silver</v>
      </c>
      <c r="P800">
        <f>_xlfn.XLOOKUP(Sales_fact[[#This Row],[Customer_ID]],'Customer_Dim'!A:A, 'Customer_Dim'!E:E, "Not Found")</f>
        <v>36</v>
      </c>
      <c r="Q800" t="str">
        <f>VLOOKUP(Sales_fact[[#This Row],[Customer_ID]], 'Customer_Dim'!A:F, 6, FALSE)</f>
        <v>Male</v>
      </c>
      <c r="R800" s="13" t="str">
        <f>_xlfn.XLOOKUP(Sales_fact[[#This Row],[Product_ID]],Product_Dim!A:A,Product_Dim!C:C,"OTHERS")</f>
        <v>Clothing</v>
      </c>
    </row>
    <row r="801" spans="1:18" x14ac:dyDescent="0.3">
      <c r="A801" t="s">
        <v>2625</v>
      </c>
      <c r="B801" s="2">
        <v>45213</v>
      </c>
      <c r="C801" t="s">
        <v>755</v>
      </c>
      <c r="D801" t="s">
        <v>1732</v>
      </c>
      <c r="E801" t="str">
        <f ca="1">TRIM(Sales_fact[[#This Row],[Store_ID]])</f>
        <v>STORE11</v>
      </c>
      <c r="F801">
        <v>4</v>
      </c>
      <c r="G801">
        <f>IF(ISBLANK(F801),MODE($F$2:$F$2001),F801)</f>
        <v>4</v>
      </c>
      <c r="H801">
        <v>23.57</v>
      </c>
      <c r="I801">
        <f>IF(ISBLANK(H801),AVERAGE($H$2:$H$2001),H801)</f>
        <v>23.57</v>
      </c>
      <c r="J801">
        <v>0.1</v>
      </c>
      <c r="K801">
        <f>IF(ISBLANK(J801),MODE($J$2:$J$2001),J801)</f>
        <v>0.1</v>
      </c>
      <c r="L801" t="s">
        <v>1824</v>
      </c>
      <c r="M801">
        <v>84.852000000000004</v>
      </c>
      <c r="N801">
        <f t="shared" si="12"/>
        <v>84.852000000000004</v>
      </c>
      <c r="O801" t="str">
        <f>_xlfn.XLOOKUP(Sales_fact[[#This Row],[Customer_ID]],'Customer_Dim'!A:A,'Customer_Dim'!K:K,"Not Found")</f>
        <v>Bronze</v>
      </c>
      <c r="P801">
        <f>_xlfn.XLOOKUP(Sales_fact[[#This Row],[Customer_ID]],'Customer_Dim'!A:A, 'Customer_Dim'!E:E, "Not Found")</f>
        <v>28</v>
      </c>
      <c r="Q801" t="str">
        <f>VLOOKUP(Sales_fact[[#This Row],[Customer_ID]], 'Customer_Dim'!A:F, 6, FALSE)</f>
        <v>Female</v>
      </c>
      <c r="R801" s="13" t="str">
        <f>_xlfn.XLOOKUP(Sales_fact[[#This Row],[Product_ID]],Product_Dim!A:A,Product_Dim!C:C,"OTHERS")</f>
        <v>Home</v>
      </c>
    </row>
    <row r="802" spans="1:18" x14ac:dyDescent="0.3">
      <c r="A802" t="s">
        <v>2626</v>
      </c>
      <c r="B802" s="2">
        <v>45837</v>
      </c>
      <c r="C802" t="s">
        <v>1190</v>
      </c>
      <c r="D802" t="s">
        <v>1632</v>
      </c>
      <c r="E802" t="str">
        <f ca="1">TRIM(Sales_fact[[#This Row],[Store_ID]])</f>
        <v>STORE18</v>
      </c>
      <c r="F802">
        <v>2</v>
      </c>
      <c r="G802">
        <f>IF(ISBLANK(F802),MODE($F$2:$F$2001),F802)</f>
        <v>2</v>
      </c>
      <c r="H802">
        <v>953.26</v>
      </c>
      <c r="I802">
        <f>IF(ISBLANK(H802),AVERAGE($H$2:$H$2001),H802)</f>
        <v>953.26</v>
      </c>
      <c r="J802">
        <v>0.1</v>
      </c>
      <c r="K802">
        <f>IF(ISBLANK(J802),MODE($J$2:$J$2001),J802)</f>
        <v>0.1</v>
      </c>
      <c r="L802" t="s">
        <v>1829</v>
      </c>
      <c r="M802">
        <v>1715.8679999999999</v>
      </c>
      <c r="N802">
        <f t="shared" si="12"/>
        <v>1715.8679999999999</v>
      </c>
      <c r="O802" t="str">
        <f>_xlfn.XLOOKUP(Sales_fact[[#This Row],[Customer_ID]],'Customer_Dim'!A:A,'Customer_Dim'!K:K,"Not Found")</f>
        <v>Silver</v>
      </c>
      <c r="P802">
        <f>_xlfn.XLOOKUP(Sales_fact[[#This Row],[Customer_ID]],'Customer_Dim'!A:A, 'Customer_Dim'!E:E, "Not Found")</f>
        <v>50</v>
      </c>
      <c r="Q802" t="str">
        <f>VLOOKUP(Sales_fact[[#This Row],[Customer_ID]], 'Customer_Dim'!A:F, 6, FALSE)</f>
        <v>Male</v>
      </c>
      <c r="R802" s="13" t="str">
        <f>_xlfn.XLOOKUP(Sales_fact[[#This Row],[Product_ID]],Product_Dim!A:A,Product_Dim!C:C,"OTHERS")</f>
        <v>Electronics</v>
      </c>
    </row>
    <row r="803" spans="1:18" x14ac:dyDescent="0.3">
      <c r="A803" t="s">
        <v>2627</v>
      </c>
      <c r="B803" s="2">
        <v>45277</v>
      </c>
      <c r="C803" t="s">
        <v>1089</v>
      </c>
      <c r="D803" t="s">
        <v>1694</v>
      </c>
      <c r="E803" t="str">
        <f ca="1">TRIM(Sales_fact[[#This Row],[Store_ID]])</f>
        <v>STORE7</v>
      </c>
      <c r="F803">
        <v>3</v>
      </c>
      <c r="G803">
        <f>IF(ISBLANK(F803),MODE($F$2:$F$2001),F803)</f>
        <v>3</v>
      </c>
      <c r="H803">
        <v>405.13</v>
      </c>
      <c r="I803">
        <f>IF(ISBLANK(H803),AVERAGE($H$2:$H$2001),H803)</f>
        <v>405.13</v>
      </c>
      <c r="J803">
        <v>0.14000000000000001</v>
      </c>
      <c r="K803">
        <f>IF(ISBLANK(J803),MODE($J$2:$J$2001),J803)</f>
        <v>0.14000000000000001</v>
      </c>
      <c r="L803" t="s">
        <v>1829</v>
      </c>
      <c r="M803">
        <v>1045.2354</v>
      </c>
      <c r="N803">
        <f t="shared" si="12"/>
        <v>1045.2353999999998</v>
      </c>
      <c r="O803" t="str">
        <f>_xlfn.XLOOKUP(Sales_fact[[#This Row],[Customer_ID]],'Customer_Dim'!A:A,'Customer_Dim'!K:K,"Not Found")</f>
        <v>Gold</v>
      </c>
      <c r="P803">
        <f>_xlfn.XLOOKUP(Sales_fact[[#This Row],[Customer_ID]],'Customer_Dim'!A:A, 'Customer_Dim'!E:E, "Not Found")</f>
        <v>39</v>
      </c>
      <c r="Q803" t="str">
        <f>VLOOKUP(Sales_fact[[#This Row],[Customer_ID]], 'Customer_Dim'!A:F, 6, FALSE)</f>
        <v>Female</v>
      </c>
      <c r="R803" s="13" t="str">
        <f>_xlfn.XLOOKUP(Sales_fact[[#This Row],[Product_ID]],Product_Dim!A:A,Product_Dim!C:C,"OTHERS")</f>
        <v>Sports</v>
      </c>
    </row>
    <row r="804" spans="1:18" x14ac:dyDescent="0.3">
      <c r="A804" t="s">
        <v>2628</v>
      </c>
      <c r="B804" s="2">
        <v>45248</v>
      </c>
      <c r="C804" t="s">
        <v>1065</v>
      </c>
      <c r="D804" t="s">
        <v>1549</v>
      </c>
      <c r="E804" t="str">
        <f ca="1">TRIM(Sales_fact[[#This Row],[Store_ID]])</f>
        <v>STORE4</v>
      </c>
      <c r="F804">
        <v>2</v>
      </c>
      <c r="G804">
        <f>IF(ISBLANK(F804),MODE($F$2:$F$2001),F804)</f>
        <v>2</v>
      </c>
      <c r="H804">
        <v>333.83</v>
      </c>
      <c r="I804">
        <f>IF(ISBLANK(H804),AVERAGE($H$2:$H$2001),H804)</f>
        <v>333.83</v>
      </c>
      <c r="J804">
        <v>0.26</v>
      </c>
      <c r="K804">
        <f>IF(ISBLANK(J804),MODE($J$2:$J$2001),J804)</f>
        <v>0.26</v>
      </c>
      <c r="L804" t="s">
        <v>1826</v>
      </c>
      <c r="M804">
        <v>494.0684</v>
      </c>
      <c r="N804">
        <f t="shared" si="12"/>
        <v>494.0684</v>
      </c>
      <c r="O804" t="str">
        <f>_xlfn.XLOOKUP(Sales_fact[[#This Row],[Customer_ID]],'Customer_Dim'!A:A,'Customer_Dim'!K:K,"Not Found")</f>
        <v>Platinum</v>
      </c>
      <c r="P804">
        <f>_xlfn.XLOOKUP(Sales_fact[[#This Row],[Customer_ID]],'Customer_Dim'!A:A, 'Customer_Dim'!E:E, "Not Found")</f>
        <v>52</v>
      </c>
      <c r="Q804" t="str">
        <f>VLOOKUP(Sales_fact[[#This Row],[Customer_ID]], 'Customer_Dim'!A:F, 6, FALSE)</f>
        <v>Female</v>
      </c>
      <c r="R804" s="13" t="str">
        <f>_xlfn.XLOOKUP(Sales_fact[[#This Row],[Product_ID]],Product_Dim!A:A,Product_Dim!C:C,"OTHERS")</f>
        <v>Clothing</v>
      </c>
    </row>
    <row r="805" spans="1:18" x14ac:dyDescent="0.3">
      <c r="A805" t="s">
        <v>2629</v>
      </c>
      <c r="B805" s="2">
        <v>45741</v>
      </c>
      <c r="C805" t="s">
        <v>1047</v>
      </c>
      <c r="D805" t="s">
        <v>1730</v>
      </c>
      <c r="E805" t="str">
        <f ca="1">TRIM(Sales_fact[[#This Row],[Store_ID]])</f>
        <v>STORE3</v>
      </c>
      <c r="F805">
        <v>2</v>
      </c>
      <c r="G805">
        <f>IF(ISBLANK(F805),MODE($F$2:$F$2001),F805)</f>
        <v>2</v>
      </c>
      <c r="H805">
        <v>727.18</v>
      </c>
      <c r="I805">
        <f>IF(ISBLANK(H805),AVERAGE($H$2:$H$2001),H805)</f>
        <v>727.18</v>
      </c>
      <c r="J805">
        <v>0.22</v>
      </c>
      <c r="K805">
        <f>IF(ISBLANK(J805),MODE($J$2:$J$2001),J805)</f>
        <v>0.22</v>
      </c>
      <c r="L805" t="s">
        <v>1826</v>
      </c>
      <c r="M805">
        <v>1134.4007999999999</v>
      </c>
      <c r="N805">
        <f t="shared" si="12"/>
        <v>1134.4007999999999</v>
      </c>
      <c r="O805" t="str">
        <f>_xlfn.XLOOKUP(Sales_fact[[#This Row],[Customer_ID]],'Customer_Dim'!A:A,'Customer_Dim'!K:K,"Not Found")</f>
        <v>Gold</v>
      </c>
      <c r="P805">
        <f>_xlfn.XLOOKUP(Sales_fact[[#This Row],[Customer_ID]],'Customer_Dim'!A:A, 'Customer_Dim'!E:E, "Not Found")</f>
        <v>64</v>
      </c>
      <c r="Q805" t="str">
        <f>VLOOKUP(Sales_fact[[#This Row],[Customer_ID]], 'Customer_Dim'!A:F, 6, FALSE)</f>
        <v>Female</v>
      </c>
      <c r="R805" s="13" t="str">
        <f>_xlfn.XLOOKUP(Sales_fact[[#This Row],[Product_ID]],Product_Dim!A:A,Product_Dim!C:C,"OTHERS")</f>
        <v>Clothing</v>
      </c>
    </row>
    <row r="806" spans="1:18" x14ac:dyDescent="0.3">
      <c r="A806" t="s">
        <v>2630</v>
      </c>
      <c r="B806" s="2">
        <v>45778</v>
      </c>
      <c r="C806" t="s">
        <v>966</v>
      </c>
      <c r="D806" t="s">
        <v>1555</v>
      </c>
      <c r="E806" t="str">
        <f ca="1">TRIM(Sales_fact[[#This Row],[Store_ID]])</f>
        <v>STORE10</v>
      </c>
      <c r="F806">
        <v>2</v>
      </c>
      <c r="G806">
        <f>IF(ISBLANK(F806),MODE($F$2:$F$2001),F806)</f>
        <v>2</v>
      </c>
      <c r="H806">
        <v>516.02</v>
      </c>
      <c r="I806">
        <f>IF(ISBLANK(H806),AVERAGE($H$2:$H$2001),H806)</f>
        <v>516.02</v>
      </c>
      <c r="J806">
        <v>0.19</v>
      </c>
      <c r="K806">
        <f>IF(ISBLANK(J806),MODE($J$2:$J$2001),J806)</f>
        <v>0.19</v>
      </c>
      <c r="L806" t="s">
        <v>1829</v>
      </c>
      <c r="M806">
        <v>835.95240000000001</v>
      </c>
      <c r="N806">
        <f t="shared" si="12"/>
        <v>835.95240000000001</v>
      </c>
      <c r="O806" t="str">
        <f>_xlfn.XLOOKUP(Sales_fact[[#This Row],[Customer_ID]],'Customer_Dim'!A:A,'Customer_Dim'!K:K,"Not Found")</f>
        <v>Platinum</v>
      </c>
      <c r="P806">
        <f>_xlfn.XLOOKUP(Sales_fact[[#This Row],[Customer_ID]],'Customer_Dim'!A:A, 'Customer_Dim'!E:E, "Not Found")</f>
        <v>44</v>
      </c>
      <c r="Q806" t="str">
        <f>VLOOKUP(Sales_fact[[#This Row],[Customer_ID]], 'Customer_Dim'!A:F, 6, FALSE)</f>
        <v>Male</v>
      </c>
      <c r="R806" s="13" t="str">
        <f>_xlfn.XLOOKUP(Sales_fact[[#This Row],[Product_ID]],Product_Dim!A:A,Product_Dim!C:C,"OTHERS")</f>
        <v>Clothing</v>
      </c>
    </row>
    <row r="807" spans="1:18" x14ac:dyDescent="0.3">
      <c r="A807" t="s">
        <v>2631</v>
      </c>
      <c r="B807" s="2">
        <v>45361</v>
      </c>
      <c r="C807" t="s">
        <v>932</v>
      </c>
      <c r="D807" t="s">
        <v>1632</v>
      </c>
      <c r="E807" t="str">
        <f ca="1">TRIM(Sales_fact[[#This Row],[Store_ID]])</f>
        <v>STORE11</v>
      </c>
      <c r="F807">
        <v>2</v>
      </c>
      <c r="G807">
        <f>IF(ISBLANK(F807),MODE($F$2:$F$2001),F807)</f>
        <v>2</v>
      </c>
      <c r="H807">
        <v>705.61</v>
      </c>
      <c r="I807">
        <f>IF(ISBLANK(H807),AVERAGE($H$2:$H$2001),H807)</f>
        <v>705.61</v>
      </c>
      <c r="J807">
        <v>0.28000000000000003</v>
      </c>
      <c r="K807">
        <f>IF(ISBLANK(J807),MODE($J$2:$J$2001),J807)</f>
        <v>0.28000000000000003</v>
      </c>
      <c r="L807" t="s">
        <v>1824</v>
      </c>
      <c r="M807">
        <v>1016.0784</v>
      </c>
      <c r="N807">
        <f t="shared" si="12"/>
        <v>1016.0784</v>
      </c>
      <c r="O807" t="str">
        <f>_xlfn.XLOOKUP(Sales_fact[[#This Row],[Customer_ID]],'Customer_Dim'!A:A,'Customer_Dim'!K:K,"Not Found")</f>
        <v>Platinum</v>
      </c>
      <c r="P807">
        <f>_xlfn.XLOOKUP(Sales_fact[[#This Row],[Customer_ID]],'Customer_Dim'!A:A, 'Customer_Dim'!E:E, "Not Found")</f>
        <v>29</v>
      </c>
      <c r="Q807" t="str">
        <f>VLOOKUP(Sales_fact[[#This Row],[Customer_ID]], 'Customer_Dim'!A:F, 6, FALSE)</f>
        <v>Male</v>
      </c>
      <c r="R807" s="13" t="str">
        <f>_xlfn.XLOOKUP(Sales_fact[[#This Row],[Product_ID]],Product_Dim!A:A,Product_Dim!C:C,"OTHERS")</f>
        <v>Electronics</v>
      </c>
    </row>
    <row r="808" spans="1:18" x14ac:dyDescent="0.3">
      <c r="A808" t="s">
        <v>2632</v>
      </c>
      <c r="B808" s="2">
        <v>45414</v>
      </c>
      <c r="C808" t="s">
        <v>875</v>
      </c>
      <c r="D808" t="s">
        <v>1716</v>
      </c>
      <c r="E808" t="str">
        <f ca="1">TRIM(Sales_fact[[#This Row],[Store_ID]])</f>
        <v>STORE8</v>
      </c>
      <c r="F808">
        <v>3</v>
      </c>
      <c r="G808">
        <f>IF(ISBLANK(F808),MODE($F$2:$F$2001),F808)</f>
        <v>3</v>
      </c>
      <c r="H808">
        <v>654.47</v>
      </c>
      <c r="I808">
        <f>IF(ISBLANK(H808),AVERAGE($H$2:$H$2001),H808)</f>
        <v>654.47</v>
      </c>
      <c r="J808">
        <v>0.18</v>
      </c>
      <c r="K808">
        <f>IF(ISBLANK(J808),MODE($J$2:$J$2001),J808)</f>
        <v>0.18</v>
      </c>
      <c r="L808" t="s">
        <v>1829</v>
      </c>
      <c r="M808">
        <v>1609.9962</v>
      </c>
      <c r="N808">
        <f t="shared" si="12"/>
        <v>1609.9962000000003</v>
      </c>
      <c r="O808" t="str">
        <f>_xlfn.XLOOKUP(Sales_fact[[#This Row],[Customer_ID]],'Customer_Dim'!A:A,'Customer_Dim'!K:K,"Not Found")</f>
        <v>Gold</v>
      </c>
      <c r="P808">
        <f>_xlfn.XLOOKUP(Sales_fact[[#This Row],[Customer_ID]],'Customer_Dim'!A:A, 'Customer_Dim'!E:E, "Not Found")</f>
        <v>22</v>
      </c>
      <c r="Q808" t="str">
        <f>VLOOKUP(Sales_fact[[#This Row],[Customer_ID]], 'Customer_Dim'!A:F, 6, FALSE)</f>
        <v>Male</v>
      </c>
      <c r="R808" s="13" t="str">
        <f>_xlfn.XLOOKUP(Sales_fact[[#This Row],[Product_ID]],Product_Dim!A:A,Product_Dim!C:C,"OTHERS")</f>
        <v>Home</v>
      </c>
    </row>
    <row r="809" spans="1:18" x14ac:dyDescent="0.3">
      <c r="A809" t="s">
        <v>2633</v>
      </c>
      <c r="B809" s="2">
        <v>45734</v>
      </c>
      <c r="C809" t="s">
        <v>568</v>
      </c>
      <c r="D809" t="s">
        <v>1724</v>
      </c>
      <c r="E809" t="str">
        <f ca="1">TRIM(Sales_fact[[#This Row],[Store_ID]])</f>
        <v>STORE15</v>
      </c>
      <c r="F809">
        <v>2</v>
      </c>
      <c r="G809">
        <f>IF(ISBLANK(F809),MODE($F$2:$F$2001),F809)</f>
        <v>2</v>
      </c>
      <c r="H809">
        <v>315.27</v>
      </c>
      <c r="I809">
        <f>IF(ISBLANK(H809),AVERAGE($H$2:$H$2001),H809)</f>
        <v>315.27</v>
      </c>
      <c r="J809">
        <v>0.23</v>
      </c>
      <c r="K809">
        <f>IF(ISBLANK(J809),MODE($J$2:$J$2001),J809)</f>
        <v>0.23</v>
      </c>
      <c r="L809" t="s">
        <v>1824</v>
      </c>
      <c r="M809">
        <v>485.51580000000001</v>
      </c>
      <c r="N809">
        <f t="shared" si="12"/>
        <v>485.51579999999996</v>
      </c>
      <c r="O809" t="str">
        <f>_xlfn.XLOOKUP(Sales_fact[[#This Row],[Customer_ID]],'Customer_Dim'!A:A,'Customer_Dim'!K:K,"Not Found")</f>
        <v>Platinum</v>
      </c>
      <c r="P809">
        <f>_xlfn.XLOOKUP(Sales_fact[[#This Row],[Customer_ID]],'Customer_Dim'!A:A, 'Customer_Dim'!E:E, "Not Found")</f>
        <v>44</v>
      </c>
      <c r="Q809" t="str">
        <f>VLOOKUP(Sales_fact[[#This Row],[Customer_ID]], 'Customer_Dim'!A:F, 6, FALSE)</f>
        <v>Female</v>
      </c>
      <c r="R809" s="13" t="str">
        <f>_xlfn.XLOOKUP(Sales_fact[[#This Row],[Product_ID]],Product_Dim!A:A,Product_Dim!C:C,"OTHERS")</f>
        <v>Sports</v>
      </c>
    </row>
    <row r="810" spans="1:18" x14ac:dyDescent="0.3">
      <c r="A810" t="s">
        <v>2634</v>
      </c>
      <c r="B810" s="2">
        <v>45623</v>
      </c>
      <c r="C810" t="s">
        <v>719</v>
      </c>
      <c r="D810" t="s">
        <v>1604</v>
      </c>
      <c r="E810" t="str">
        <f ca="1">TRIM(Sales_fact[[#This Row],[Store_ID]])</f>
        <v>STORE2</v>
      </c>
      <c r="F810">
        <v>1</v>
      </c>
      <c r="G810">
        <f>IF(ISBLANK(F810),MODE($F$2:$F$2001),F810)</f>
        <v>1</v>
      </c>
      <c r="H810">
        <v>974.47</v>
      </c>
      <c r="I810">
        <f>IF(ISBLANK(H810),AVERAGE($H$2:$H$2001),H810)</f>
        <v>974.47</v>
      </c>
      <c r="J810">
        <v>0.05</v>
      </c>
      <c r="K810">
        <f>IF(ISBLANK(J810),MODE($J$2:$J$2001),J810)</f>
        <v>0.05</v>
      </c>
      <c r="L810" t="s">
        <v>1824</v>
      </c>
      <c r="M810">
        <v>925.74649999999997</v>
      </c>
      <c r="N810">
        <f t="shared" si="12"/>
        <v>925.74649999999997</v>
      </c>
      <c r="O810" t="str">
        <f>_xlfn.XLOOKUP(Sales_fact[[#This Row],[Customer_ID]],'Customer_Dim'!A:A,'Customer_Dim'!K:K,"Not Found")</f>
        <v>Platinum</v>
      </c>
      <c r="P810">
        <f>_xlfn.XLOOKUP(Sales_fact[[#This Row],[Customer_ID]],'Customer_Dim'!A:A, 'Customer_Dim'!E:E, "Not Found")</f>
        <v>35</v>
      </c>
      <c r="Q810" t="str">
        <f>VLOOKUP(Sales_fact[[#This Row],[Customer_ID]], 'Customer_Dim'!A:F, 6, FALSE)</f>
        <v>Male</v>
      </c>
      <c r="R810" s="13" t="str">
        <f>_xlfn.XLOOKUP(Sales_fact[[#This Row],[Product_ID]],Product_Dim!A:A,Product_Dim!C:C,"OTHERS")</f>
        <v>Sports</v>
      </c>
    </row>
    <row r="811" spans="1:18" x14ac:dyDescent="0.3">
      <c r="A811" t="s">
        <v>2635</v>
      </c>
      <c r="B811" s="2">
        <v>45340</v>
      </c>
      <c r="C811" t="s">
        <v>247</v>
      </c>
      <c r="D811" t="s">
        <v>1549</v>
      </c>
      <c r="E811" t="str">
        <f ca="1">TRIM(Sales_fact[[#This Row],[Store_ID]])</f>
        <v>STORE4</v>
      </c>
      <c r="F811">
        <v>2</v>
      </c>
      <c r="G811">
        <f>IF(ISBLANK(F811),MODE($F$2:$F$2001),F811)</f>
        <v>2</v>
      </c>
      <c r="H811">
        <v>803.3</v>
      </c>
      <c r="I811">
        <f>IF(ISBLANK(H811),AVERAGE($H$2:$H$2001),H811)</f>
        <v>803.3</v>
      </c>
      <c r="J811">
        <v>0.17</v>
      </c>
      <c r="K811">
        <f>IF(ISBLANK(J811),MODE($J$2:$J$2001),J811)</f>
        <v>0.17</v>
      </c>
      <c r="L811" t="s">
        <v>1824</v>
      </c>
      <c r="M811">
        <v>1333.4780000000001</v>
      </c>
      <c r="N811">
        <f t="shared" si="12"/>
        <v>1333.4779999999998</v>
      </c>
      <c r="O811" t="str">
        <f>_xlfn.XLOOKUP(Sales_fact[[#This Row],[Customer_ID]],'Customer_Dim'!A:A,'Customer_Dim'!K:K,"Not Found")</f>
        <v>Silver</v>
      </c>
      <c r="P811">
        <f>_xlfn.XLOOKUP(Sales_fact[[#This Row],[Customer_ID]],'Customer_Dim'!A:A, 'Customer_Dim'!E:E, "Not Found")</f>
        <v>58</v>
      </c>
      <c r="Q811" t="str">
        <f>VLOOKUP(Sales_fact[[#This Row],[Customer_ID]], 'Customer_Dim'!A:F, 6, FALSE)</f>
        <v>Male</v>
      </c>
      <c r="R811" s="13" t="str">
        <f>_xlfn.XLOOKUP(Sales_fact[[#This Row],[Product_ID]],Product_Dim!A:A,Product_Dim!C:C,"OTHERS")</f>
        <v>Clothing</v>
      </c>
    </row>
    <row r="812" spans="1:18" x14ac:dyDescent="0.3">
      <c r="A812" t="s">
        <v>2636</v>
      </c>
      <c r="B812" s="2">
        <v>45447</v>
      </c>
      <c r="C812" t="s">
        <v>63</v>
      </c>
      <c r="D812" t="s">
        <v>1549</v>
      </c>
      <c r="E812" t="str">
        <f ca="1">TRIM(Sales_fact[[#This Row],[Store_ID]])</f>
        <v>STORE10</v>
      </c>
      <c r="F812">
        <v>4</v>
      </c>
      <c r="G812">
        <f>IF(ISBLANK(F812),MODE($F$2:$F$2001),F812)</f>
        <v>4</v>
      </c>
      <c r="H812">
        <v>863.87</v>
      </c>
      <c r="I812">
        <f>IF(ISBLANK(H812),AVERAGE($H$2:$H$2001),H812)</f>
        <v>863.87</v>
      </c>
      <c r="J812">
        <v>0.21</v>
      </c>
      <c r="K812">
        <f>IF(ISBLANK(J812),MODE($J$2:$J$2001),J812)</f>
        <v>0.21</v>
      </c>
      <c r="L812" t="s">
        <v>1829</v>
      </c>
      <c r="M812">
        <v>2729.8292000000001</v>
      </c>
      <c r="N812">
        <f t="shared" si="12"/>
        <v>2729.8292000000001</v>
      </c>
      <c r="O812" t="str">
        <f>_xlfn.XLOOKUP(Sales_fact[[#This Row],[Customer_ID]],'Customer_Dim'!A:A,'Customer_Dim'!K:K,"Not Found")</f>
        <v>Silver</v>
      </c>
      <c r="P812">
        <f>_xlfn.XLOOKUP(Sales_fact[[#This Row],[Customer_ID]],'Customer_Dim'!A:A, 'Customer_Dim'!E:E, "Not Found")</f>
        <v>32</v>
      </c>
      <c r="Q812" t="str">
        <f>VLOOKUP(Sales_fact[[#This Row],[Customer_ID]], 'Customer_Dim'!A:F, 6, FALSE)</f>
        <v>Female</v>
      </c>
      <c r="R812" s="13" t="str">
        <f>_xlfn.XLOOKUP(Sales_fact[[#This Row],[Product_ID]],Product_Dim!A:A,Product_Dim!C:C,"OTHERS")</f>
        <v>Clothing</v>
      </c>
    </row>
    <row r="813" spans="1:18" x14ac:dyDescent="0.3">
      <c r="A813" t="s">
        <v>2637</v>
      </c>
      <c r="B813" s="2">
        <v>45513</v>
      </c>
      <c r="C813" t="s">
        <v>1446</v>
      </c>
      <c r="D813" t="s">
        <v>1708</v>
      </c>
      <c r="E813" t="str">
        <f ca="1">TRIM(Sales_fact[[#This Row],[Store_ID]])</f>
        <v>STORE18</v>
      </c>
      <c r="F813">
        <v>1</v>
      </c>
      <c r="G813">
        <f>IF(ISBLANK(F813),MODE($F$2:$F$2001),F813)</f>
        <v>1</v>
      </c>
      <c r="H813">
        <v>450.11</v>
      </c>
      <c r="I813">
        <f>IF(ISBLANK(H813),AVERAGE($H$2:$H$2001),H813)</f>
        <v>450.11</v>
      </c>
      <c r="J813">
        <v>0.17</v>
      </c>
      <c r="K813">
        <f>IF(ISBLANK(J813),MODE($J$2:$J$2001),J813)</f>
        <v>0.17</v>
      </c>
      <c r="L813" t="s">
        <v>1824</v>
      </c>
      <c r="M813">
        <v>373.59129999999999</v>
      </c>
      <c r="N813">
        <f t="shared" si="12"/>
        <v>373.59129999999999</v>
      </c>
      <c r="O813" t="str">
        <f>_xlfn.XLOOKUP(Sales_fact[[#This Row],[Customer_ID]],'Customer_Dim'!A:A,'Customer_Dim'!K:K,"Not Found")</f>
        <v>Gold</v>
      </c>
      <c r="P813">
        <f>_xlfn.XLOOKUP(Sales_fact[[#This Row],[Customer_ID]],'Customer_Dim'!A:A, 'Customer_Dim'!E:E, "Not Found")</f>
        <v>19</v>
      </c>
      <c r="Q813" t="str">
        <f>VLOOKUP(Sales_fact[[#This Row],[Customer_ID]], 'Customer_Dim'!A:F, 6, FALSE)</f>
        <v>Male</v>
      </c>
      <c r="R813" s="13" t="str">
        <f>_xlfn.XLOOKUP(Sales_fact[[#This Row],[Product_ID]],Product_Dim!A:A,Product_Dim!C:C,"OTHERS")</f>
        <v>Home</v>
      </c>
    </row>
    <row r="814" spans="1:18" x14ac:dyDescent="0.3">
      <c r="A814" t="s">
        <v>2638</v>
      </c>
      <c r="B814" s="2">
        <v>45486</v>
      </c>
      <c r="C814" t="s">
        <v>740</v>
      </c>
      <c r="D814" t="s">
        <v>1684</v>
      </c>
      <c r="E814" t="str">
        <f ca="1">TRIM(Sales_fact[[#This Row],[Store_ID]])</f>
        <v>STORE13</v>
      </c>
      <c r="F814">
        <v>1</v>
      </c>
      <c r="G814">
        <f>IF(ISBLANK(F814),MODE($F$2:$F$2001),F814)</f>
        <v>1</v>
      </c>
      <c r="H814">
        <v>289.82</v>
      </c>
      <c r="I814">
        <f>IF(ISBLANK(H814),AVERAGE($H$2:$H$2001),H814)</f>
        <v>289.82</v>
      </c>
      <c r="J814">
        <v>0.18</v>
      </c>
      <c r="K814">
        <f>IF(ISBLANK(J814),MODE($J$2:$J$2001),J814)</f>
        <v>0.18</v>
      </c>
      <c r="L814" t="s">
        <v>1829</v>
      </c>
      <c r="M814">
        <v>237.6524</v>
      </c>
      <c r="N814">
        <f t="shared" si="12"/>
        <v>237.6524</v>
      </c>
      <c r="O814" t="str">
        <f>_xlfn.XLOOKUP(Sales_fact[[#This Row],[Customer_ID]],'Customer_Dim'!A:A,'Customer_Dim'!K:K,"Not Found")</f>
        <v>Bronze</v>
      </c>
      <c r="P814">
        <f>_xlfn.XLOOKUP(Sales_fact[[#This Row],[Customer_ID]],'Customer_Dim'!A:A, 'Customer_Dim'!E:E, "Not Found")</f>
        <v>29</v>
      </c>
      <c r="Q814" t="str">
        <f>VLOOKUP(Sales_fact[[#This Row],[Customer_ID]], 'Customer_Dim'!A:F, 6, FALSE)</f>
        <v>Male</v>
      </c>
      <c r="R814" s="13" t="str">
        <f>_xlfn.XLOOKUP(Sales_fact[[#This Row],[Product_ID]],Product_Dim!A:A,Product_Dim!C:C,"OTHERS")</f>
        <v>Home</v>
      </c>
    </row>
    <row r="815" spans="1:18" x14ac:dyDescent="0.3">
      <c r="A815" t="s">
        <v>2639</v>
      </c>
      <c r="B815" s="2">
        <v>45890</v>
      </c>
      <c r="C815" t="s">
        <v>1050</v>
      </c>
      <c r="D815" t="s">
        <v>1656</v>
      </c>
      <c r="E815" t="str">
        <f ca="1">TRIM(Sales_fact[[#This Row],[Store_ID]])</f>
        <v>STORE10</v>
      </c>
      <c r="F815">
        <v>4</v>
      </c>
      <c r="G815">
        <f>IF(ISBLANK(F815),MODE($F$2:$F$2001),F815)</f>
        <v>4</v>
      </c>
      <c r="H815">
        <v>250.64</v>
      </c>
      <c r="I815">
        <f>IF(ISBLANK(H815),AVERAGE($H$2:$H$2001),H815)</f>
        <v>250.64</v>
      </c>
      <c r="J815">
        <v>0.1</v>
      </c>
      <c r="K815">
        <f>IF(ISBLANK(J815),MODE($J$2:$J$2001),J815)</f>
        <v>0.1</v>
      </c>
      <c r="L815" t="s">
        <v>1826</v>
      </c>
      <c r="M815">
        <v>902.30399999999997</v>
      </c>
      <c r="N815">
        <f t="shared" si="12"/>
        <v>902.30399999999997</v>
      </c>
      <c r="O815" t="str">
        <f>_xlfn.XLOOKUP(Sales_fact[[#This Row],[Customer_ID]],'Customer_Dim'!A:A,'Customer_Dim'!K:K,"Not Found")</f>
        <v>Silver</v>
      </c>
      <c r="P815">
        <f>_xlfn.XLOOKUP(Sales_fact[[#This Row],[Customer_ID]],'Customer_Dim'!A:A, 'Customer_Dim'!E:E, "Not Found")</f>
        <v>50</v>
      </c>
      <c r="Q815" t="str">
        <f>VLOOKUP(Sales_fact[[#This Row],[Customer_ID]], 'Customer_Dim'!A:F, 6, FALSE)</f>
        <v>Female</v>
      </c>
      <c r="R815" s="13" t="str">
        <f>_xlfn.XLOOKUP(Sales_fact[[#This Row],[Product_ID]],Product_Dim!A:A,Product_Dim!C:C,"OTHERS")</f>
        <v>Sports</v>
      </c>
    </row>
    <row r="816" spans="1:18" x14ac:dyDescent="0.3">
      <c r="A816" t="s">
        <v>2640</v>
      </c>
      <c r="B816" s="2">
        <v>45876</v>
      </c>
      <c r="C816" t="s">
        <v>911</v>
      </c>
      <c r="D816" t="s">
        <v>1686</v>
      </c>
      <c r="E816" t="str">
        <f ca="1">TRIM(Sales_fact[[#This Row],[Store_ID]])</f>
        <v>STORE19</v>
      </c>
      <c r="F816">
        <v>4</v>
      </c>
      <c r="G816">
        <f>IF(ISBLANK(F816),MODE($F$2:$F$2001),F816)</f>
        <v>4</v>
      </c>
      <c r="H816">
        <v>373.49</v>
      </c>
      <c r="I816">
        <f>IF(ISBLANK(H816),AVERAGE($H$2:$H$2001),H816)</f>
        <v>373.49</v>
      </c>
      <c r="J816">
        <v>0.16</v>
      </c>
      <c r="K816">
        <f>IF(ISBLANK(J816),MODE($J$2:$J$2001),J816)</f>
        <v>0.16</v>
      </c>
      <c r="L816" t="s">
        <v>1829</v>
      </c>
      <c r="M816">
        <v>1254.9264000000001</v>
      </c>
      <c r="N816">
        <f t="shared" si="12"/>
        <v>1254.9264000000001</v>
      </c>
      <c r="O816" t="str">
        <f>_xlfn.XLOOKUP(Sales_fact[[#This Row],[Customer_ID]],'Customer_Dim'!A:A,'Customer_Dim'!K:K,"Not Found")</f>
        <v>Gold</v>
      </c>
      <c r="P816">
        <f>_xlfn.XLOOKUP(Sales_fact[[#This Row],[Customer_ID]],'Customer_Dim'!A:A, 'Customer_Dim'!E:E, "Not Found")</f>
        <v>22</v>
      </c>
      <c r="Q816" t="str">
        <f>VLOOKUP(Sales_fact[[#This Row],[Customer_ID]], 'Customer_Dim'!A:F, 6, FALSE)</f>
        <v>Female</v>
      </c>
      <c r="R816" s="13" t="str">
        <f>_xlfn.XLOOKUP(Sales_fact[[#This Row],[Product_ID]],Product_Dim!A:A,Product_Dim!C:C,"OTHERS")</f>
        <v>Clothing</v>
      </c>
    </row>
    <row r="817" spans="1:18" x14ac:dyDescent="0.3">
      <c r="A817" t="s">
        <v>2641</v>
      </c>
      <c r="B817" s="2">
        <v>45398</v>
      </c>
      <c r="C817" t="s">
        <v>244</v>
      </c>
      <c r="D817" t="s">
        <v>1551</v>
      </c>
      <c r="E817" t="str">
        <f ca="1">TRIM(Sales_fact[[#This Row],[Store_ID]])</f>
        <v>STORE9</v>
      </c>
      <c r="F817">
        <v>4</v>
      </c>
      <c r="G817">
        <f>IF(ISBLANK(F817),MODE($F$2:$F$2001),F817)</f>
        <v>4</v>
      </c>
      <c r="H817">
        <v>348.91</v>
      </c>
      <c r="I817">
        <f>IF(ISBLANK(H817),AVERAGE($H$2:$H$2001),H817)</f>
        <v>348.91</v>
      </c>
      <c r="J817">
        <v>0.18</v>
      </c>
      <c r="K817">
        <f>IF(ISBLANK(J817),MODE($J$2:$J$2001),J817)</f>
        <v>0.18</v>
      </c>
      <c r="L817" t="s">
        <v>1826</v>
      </c>
      <c r="M817">
        <v>1144.4248</v>
      </c>
      <c r="N817">
        <f t="shared" si="12"/>
        <v>1144.4248000000002</v>
      </c>
      <c r="O817" t="str">
        <f>_xlfn.XLOOKUP(Sales_fact[[#This Row],[Customer_ID]],'Customer_Dim'!A:A,'Customer_Dim'!K:K,"Not Found")</f>
        <v>Silver</v>
      </c>
      <c r="P817">
        <f>_xlfn.XLOOKUP(Sales_fact[[#This Row],[Customer_ID]],'Customer_Dim'!A:A, 'Customer_Dim'!E:E, "Not Found")</f>
        <v>27</v>
      </c>
      <c r="Q817" t="str">
        <f>VLOOKUP(Sales_fact[[#This Row],[Customer_ID]], 'Customer_Dim'!A:F, 6, FALSE)</f>
        <v>Female</v>
      </c>
      <c r="R817" s="13" t="str">
        <f>_xlfn.XLOOKUP(Sales_fact[[#This Row],[Product_ID]],Product_Dim!A:A,Product_Dim!C:C,"OTHERS")</f>
        <v>OTHERS</v>
      </c>
    </row>
    <row r="818" spans="1:18" x14ac:dyDescent="0.3">
      <c r="A818" t="s">
        <v>2642</v>
      </c>
      <c r="B818" s="2">
        <v>45390</v>
      </c>
      <c r="C818" t="s">
        <v>387</v>
      </c>
      <c r="D818" t="s">
        <v>1736</v>
      </c>
      <c r="E818" t="str">
        <f ca="1">TRIM(Sales_fact[[#This Row],[Store_ID]])</f>
        <v>STORE17</v>
      </c>
      <c r="F818">
        <v>4</v>
      </c>
      <c r="G818">
        <f>IF(ISBLANK(F818),MODE($F$2:$F$2001),F818)</f>
        <v>4</v>
      </c>
      <c r="H818">
        <v>212.96</v>
      </c>
      <c r="I818">
        <f>IF(ISBLANK(H818),AVERAGE($H$2:$H$2001),H818)</f>
        <v>212.96</v>
      </c>
      <c r="J818">
        <v>0.17</v>
      </c>
      <c r="K818">
        <f>IF(ISBLANK(J818),MODE($J$2:$J$2001),J818)</f>
        <v>0.17</v>
      </c>
      <c r="L818" t="s">
        <v>1824</v>
      </c>
      <c r="M818">
        <v>707.02719999999999</v>
      </c>
      <c r="N818">
        <f t="shared" si="12"/>
        <v>707.02719999999999</v>
      </c>
      <c r="O818" t="str">
        <f>_xlfn.XLOOKUP(Sales_fact[[#This Row],[Customer_ID]],'Customer_Dim'!A:A,'Customer_Dim'!K:K,"Not Found")</f>
        <v>Gold</v>
      </c>
      <c r="P818">
        <f>_xlfn.XLOOKUP(Sales_fact[[#This Row],[Customer_ID]],'Customer_Dim'!A:A, 'Customer_Dim'!E:E, "Not Found")</f>
        <v>40</v>
      </c>
      <c r="Q818" t="str">
        <f>VLOOKUP(Sales_fact[[#This Row],[Customer_ID]], 'Customer_Dim'!A:F, 6, FALSE)</f>
        <v>Female</v>
      </c>
      <c r="R818" s="13" t="str">
        <f>_xlfn.XLOOKUP(Sales_fact[[#This Row],[Product_ID]],Product_Dim!A:A,Product_Dim!C:C,"OTHERS")</f>
        <v>Beauty</v>
      </c>
    </row>
    <row r="819" spans="1:18" x14ac:dyDescent="0.3">
      <c r="A819" t="s">
        <v>2643</v>
      </c>
      <c r="B819" s="2">
        <v>45406</v>
      </c>
      <c r="C819" t="s">
        <v>625</v>
      </c>
      <c r="D819" t="s">
        <v>1602</v>
      </c>
      <c r="E819" t="str">
        <f ca="1">TRIM(Sales_fact[[#This Row],[Store_ID]])</f>
        <v>STORE19</v>
      </c>
      <c r="F819">
        <v>3</v>
      </c>
      <c r="G819">
        <f>IF(ISBLANK(F819),MODE($F$2:$F$2001),F819)</f>
        <v>3</v>
      </c>
      <c r="H819">
        <v>871.34</v>
      </c>
      <c r="I819">
        <f>IF(ISBLANK(H819),AVERAGE($H$2:$H$2001),H819)</f>
        <v>871.34</v>
      </c>
      <c r="J819">
        <v>0.11</v>
      </c>
      <c r="K819">
        <f>IF(ISBLANK(J819),MODE($J$2:$J$2001),J819)</f>
        <v>0.11</v>
      </c>
      <c r="L819" t="s">
        <v>1829</v>
      </c>
      <c r="M819">
        <v>2326.4778000000001</v>
      </c>
      <c r="N819">
        <f t="shared" si="12"/>
        <v>2326.4778000000001</v>
      </c>
      <c r="O819" t="str">
        <f>_xlfn.XLOOKUP(Sales_fact[[#This Row],[Customer_ID]],'Customer_Dim'!A:A,'Customer_Dim'!K:K,"Not Found")</f>
        <v>Bronze</v>
      </c>
      <c r="P819">
        <f>_xlfn.XLOOKUP(Sales_fact[[#This Row],[Customer_ID]],'Customer_Dim'!A:A, 'Customer_Dim'!E:E, "Not Found")</f>
        <v>21</v>
      </c>
      <c r="Q819" t="str">
        <f>VLOOKUP(Sales_fact[[#This Row],[Customer_ID]], 'Customer_Dim'!A:F, 6, FALSE)</f>
        <v>Male</v>
      </c>
      <c r="R819" s="13" t="str">
        <f>_xlfn.XLOOKUP(Sales_fact[[#This Row],[Product_ID]],Product_Dim!A:A,Product_Dim!C:C,"OTHERS")</f>
        <v>Home</v>
      </c>
    </row>
    <row r="820" spans="1:18" x14ac:dyDescent="0.3">
      <c r="A820" t="s">
        <v>2644</v>
      </c>
      <c r="B820" s="2">
        <v>45844</v>
      </c>
      <c r="C820" t="s">
        <v>356</v>
      </c>
      <c r="D820" t="s">
        <v>1736</v>
      </c>
      <c r="E820" t="str">
        <f ca="1">TRIM(Sales_fact[[#This Row],[Store_ID]])</f>
        <v>STORE0</v>
      </c>
      <c r="F820">
        <v>2</v>
      </c>
      <c r="G820">
        <f>IF(ISBLANK(F820),MODE($F$2:$F$2001),F820)</f>
        <v>2</v>
      </c>
      <c r="H820">
        <v>698.94</v>
      </c>
      <c r="I820">
        <f>IF(ISBLANK(H820),AVERAGE($H$2:$H$2001),H820)</f>
        <v>698.94</v>
      </c>
      <c r="J820">
        <v>0.06</v>
      </c>
      <c r="K820">
        <f>IF(ISBLANK(J820),MODE($J$2:$J$2001),J820)</f>
        <v>0.06</v>
      </c>
      <c r="L820" t="s">
        <v>1824</v>
      </c>
      <c r="M820">
        <v>1314.0072</v>
      </c>
      <c r="N820">
        <f t="shared" si="12"/>
        <v>1314.0072</v>
      </c>
      <c r="O820" t="str">
        <f>_xlfn.XLOOKUP(Sales_fact[[#This Row],[Customer_ID]],'Customer_Dim'!A:A,'Customer_Dim'!K:K,"Not Found")</f>
        <v>Platinum</v>
      </c>
      <c r="P820">
        <f>_xlfn.XLOOKUP(Sales_fact[[#This Row],[Customer_ID]],'Customer_Dim'!A:A, 'Customer_Dim'!E:E, "Not Found")</f>
        <v>53</v>
      </c>
      <c r="Q820" t="str">
        <f>VLOOKUP(Sales_fact[[#This Row],[Customer_ID]], 'Customer_Dim'!A:F, 6, FALSE)</f>
        <v>Female</v>
      </c>
      <c r="R820" s="13" t="str">
        <f>_xlfn.XLOOKUP(Sales_fact[[#This Row],[Product_ID]],Product_Dim!A:A,Product_Dim!C:C,"OTHERS")</f>
        <v>Beauty</v>
      </c>
    </row>
    <row r="821" spans="1:18" x14ac:dyDescent="0.3">
      <c r="A821" t="s">
        <v>2645</v>
      </c>
      <c r="B821" s="2">
        <v>45697</v>
      </c>
      <c r="C821" t="s">
        <v>996</v>
      </c>
      <c r="D821" t="s">
        <v>1696</v>
      </c>
      <c r="E821" t="str">
        <f ca="1">TRIM(Sales_fact[[#This Row],[Store_ID]])</f>
        <v>STORE0</v>
      </c>
      <c r="F821">
        <v>1</v>
      </c>
      <c r="G821">
        <f>IF(ISBLANK(F821),MODE($F$2:$F$2001),F821)</f>
        <v>1</v>
      </c>
      <c r="H821">
        <v>719.94</v>
      </c>
      <c r="I821">
        <f>IF(ISBLANK(H821),AVERAGE($H$2:$H$2001),H821)</f>
        <v>719.94</v>
      </c>
      <c r="J821">
        <v>0.23</v>
      </c>
      <c r="K821">
        <f>IF(ISBLANK(J821),MODE($J$2:$J$2001),J821)</f>
        <v>0.23</v>
      </c>
      <c r="L821" t="s">
        <v>1829</v>
      </c>
      <c r="M821">
        <v>554.35380000000009</v>
      </c>
      <c r="N821">
        <f t="shared" si="12"/>
        <v>554.35380000000009</v>
      </c>
      <c r="O821" t="str">
        <f>_xlfn.XLOOKUP(Sales_fact[[#This Row],[Customer_ID]],'Customer_Dim'!A:A,'Customer_Dim'!K:K,"Not Found")</f>
        <v>Gold</v>
      </c>
      <c r="P821">
        <f>_xlfn.XLOOKUP(Sales_fact[[#This Row],[Customer_ID]],'Customer_Dim'!A:A, 'Customer_Dim'!E:E, "Not Found")</f>
        <v>34</v>
      </c>
      <c r="Q821" t="str">
        <f>VLOOKUP(Sales_fact[[#This Row],[Customer_ID]], 'Customer_Dim'!A:F, 6, FALSE)</f>
        <v>Male</v>
      </c>
      <c r="R821" s="13" t="str">
        <f>_xlfn.XLOOKUP(Sales_fact[[#This Row],[Product_ID]],Product_Dim!A:A,Product_Dim!C:C,"OTHERS")</f>
        <v>Electronics</v>
      </c>
    </row>
    <row r="822" spans="1:18" x14ac:dyDescent="0.3">
      <c r="A822" t="s">
        <v>2646</v>
      </c>
      <c r="B822" s="2">
        <v>45607</v>
      </c>
      <c r="C822" t="s">
        <v>36</v>
      </c>
      <c r="D822" t="s">
        <v>1604</v>
      </c>
      <c r="E822" t="str">
        <f ca="1">TRIM(Sales_fact[[#This Row],[Store_ID]])</f>
        <v>STORE4</v>
      </c>
      <c r="F822">
        <v>2</v>
      </c>
      <c r="G822">
        <f>IF(ISBLANK(F822),MODE($F$2:$F$2001),F822)</f>
        <v>2</v>
      </c>
      <c r="H822">
        <v>278.16000000000003</v>
      </c>
      <c r="I822">
        <f>IF(ISBLANK(H822),AVERAGE($H$2:$H$2001),H822)</f>
        <v>278.16000000000003</v>
      </c>
      <c r="J822">
        <v>0.22</v>
      </c>
      <c r="K822">
        <f>IF(ISBLANK(J822),MODE($J$2:$J$2001),J822)</f>
        <v>0.22</v>
      </c>
      <c r="L822" t="s">
        <v>1826</v>
      </c>
      <c r="M822">
        <v>433.92960000000011</v>
      </c>
      <c r="N822">
        <f t="shared" si="12"/>
        <v>433.92960000000005</v>
      </c>
      <c r="O822" t="str">
        <f>_xlfn.XLOOKUP(Sales_fact[[#This Row],[Customer_ID]],'Customer_Dim'!A:A,'Customer_Dim'!K:K,"Not Found")</f>
        <v>Platinum</v>
      </c>
      <c r="P822">
        <f>_xlfn.XLOOKUP(Sales_fact[[#This Row],[Customer_ID]],'Customer_Dim'!A:A, 'Customer_Dim'!E:E, "Not Found")</f>
        <v>29</v>
      </c>
      <c r="Q822" t="str">
        <f>VLOOKUP(Sales_fact[[#This Row],[Customer_ID]], 'Customer_Dim'!A:F, 6, FALSE)</f>
        <v>Female</v>
      </c>
      <c r="R822" s="13" t="str">
        <f>_xlfn.XLOOKUP(Sales_fact[[#This Row],[Product_ID]],Product_Dim!A:A,Product_Dim!C:C,"OTHERS")</f>
        <v>Sports</v>
      </c>
    </row>
    <row r="823" spans="1:18" x14ac:dyDescent="0.3">
      <c r="A823" t="s">
        <v>2647</v>
      </c>
      <c r="B823" s="2">
        <v>45307</v>
      </c>
      <c r="C823" t="s">
        <v>202</v>
      </c>
      <c r="D823" t="s">
        <v>1646</v>
      </c>
      <c r="E823" t="str">
        <f ca="1">TRIM(Sales_fact[[#This Row],[Store_ID]])</f>
        <v>STORE5</v>
      </c>
      <c r="F823">
        <v>1</v>
      </c>
      <c r="G823">
        <f>IF(ISBLANK(F823),MODE($F$2:$F$2001),F823)</f>
        <v>1</v>
      </c>
      <c r="H823">
        <v>678.9</v>
      </c>
      <c r="I823">
        <f>IF(ISBLANK(H823),AVERAGE($H$2:$H$2001),H823)</f>
        <v>678.9</v>
      </c>
      <c r="J823">
        <v>0.17</v>
      </c>
      <c r="K823">
        <f>IF(ISBLANK(J823),MODE($J$2:$J$2001),J823)</f>
        <v>0.17</v>
      </c>
      <c r="L823" t="s">
        <v>1824</v>
      </c>
      <c r="M823">
        <v>563.48699999999997</v>
      </c>
      <c r="N823">
        <f t="shared" si="12"/>
        <v>563.48699999999997</v>
      </c>
      <c r="O823" t="str">
        <f>_xlfn.XLOOKUP(Sales_fact[[#This Row],[Customer_ID]],'Customer_Dim'!A:A,'Customer_Dim'!K:K,"Not Found")</f>
        <v>Gold</v>
      </c>
      <c r="P823">
        <f>_xlfn.XLOOKUP(Sales_fact[[#This Row],[Customer_ID]],'Customer_Dim'!A:A, 'Customer_Dim'!E:E, "Not Found")</f>
        <v>37</v>
      </c>
      <c r="Q823" t="str">
        <f>VLOOKUP(Sales_fact[[#This Row],[Customer_ID]], 'Customer_Dim'!A:F, 6, FALSE)</f>
        <v>Female</v>
      </c>
      <c r="R823" s="13" t="str">
        <f>_xlfn.XLOOKUP(Sales_fact[[#This Row],[Product_ID]],Product_Dim!A:A,Product_Dim!C:C,"OTHERS")</f>
        <v>Beauty</v>
      </c>
    </row>
    <row r="824" spans="1:18" x14ac:dyDescent="0.3">
      <c r="A824" t="s">
        <v>2648</v>
      </c>
      <c r="B824" s="2">
        <v>45520</v>
      </c>
      <c r="C824" t="s">
        <v>71</v>
      </c>
      <c r="D824" t="s">
        <v>1598</v>
      </c>
      <c r="E824" t="str">
        <f ca="1">TRIM(Sales_fact[[#This Row],[Store_ID]])</f>
        <v>STORE15</v>
      </c>
      <c r="F824">
        <v>4</v>
      </c>
      <c r="G824">
        <f>IF(ISBLANK(F824),MODE($F$2:$F$2001),F824)</f>
        <v>4</v>
      </c>
      <c r="H824">
        <v>94.13</v>
      </c>
      <c r="I824">
        <f>IF(ISBLANK(H824),AVERAGE($H$2:$H$2001),H824)</f>
        <v>94.13</v>
      </c>
      <c r="J824">
        <v>0.15</v>
      </c>
      <c r="K824">
        <f>IF(ISBLANK(J824),MODE($J$2:$J$2001),J824)</f>
        <v>0.15</v>
      </c>
      <c r="L824" t="s">
        <v>1824</v>
      </c>
      <c r="M824">
        <v>320.04199999999997</v>
      </c>
      <c r="N824">
        <f t="shared" si="12"/>
        <v>320.04199999999997</v>
      </c>
      <c r="O824" t="str">
        <f>_xlfn.XLOOKUP(Sales_fact[[#This Row],[Customer_ID]],'Customer_Dim'!A:A,'Customer_Dim'!K:K,"Not Found")</f>
        <v>Platinum</v>
      </c>
      <c r="P824">
        <f>_xlfn.XLOOKUP(Sales_fact[[#This Row],[Customer_ID]],'Customer_Dim'!A:A, 'Customer_Dim'!E:E, "Not Found")</f>
        <v>49</v>
      </c>
      <c r="Q824" t="str">
        <f>VLOOKUP(Sales_fact[[#This Row],[Customer_ID]], 'Customer_Dim'!A:F, 6, FALSE)</f>
        <v>Female</v>
      </c>
      <c r="R824" s="13" t="str">
        <f>_xlfn.XLOOKUP(Sales_fact[[#This Row],[Product_ID]],Product_Dim!A:A,Product_Dim!C:C,"OTHERS")</f>
        <v>Clothing</v>
      </c>
    </row>
    <row r="825" spans="1:18" x14ac:dyDescent="0.3">
      <c r="A825" t="s">
        <v>2649</v>
      </c>
      <c r="B825" s="2">
        <v>45933</v>
      </c>
      <c r="C825" t="s">
        <v>1365</v>
      </c>
      <c r="D825" t="s">
        <v>1636</v>
      </c>
      <c r="E825" t="str">
        <f ca="1">TRIM(Sales_fact[[#This Row],[Store_ID]])</f>
        <v>STORE1</v>
      </c>
      <c r="F825">
        <v>4</v>
      </c>
      <c r="G825">
        <f>IF(ISBLANK(F825),MODE($F$2:$F$2001),F825)</f>
        <v>4</v>
      </c>
      <c r="H825">
        <v>415.02</v>
      </c>
      <c r="I825">
        <f>IF(ISBLANK(H825),AVERAGE($H$2:$H$2001),H825)</f>
        <v>415.02</v>
      </c>
      <c r="J825">
        <v>0.01</v>
      </c>
      <c r="K825">
        <f>IF(ISBLANK(J825),MODE($J$2:$J$2001),J825)</f>
        <v>0.01</v>
      </c>
      <c r="L825" t="s">
        <v>1826</v>
      </c>
      <c r="M825">
        <v>1643.4792</v>
      </c>
      <c r="N825">
        <f t="shared" si="12"/>
        <v>1643.4792</v>
      </c>
      <c r="O825" t="str">
        <f>_xlfn.XLOOKUP(Sales_fact[[#This Row],[Customer_ID]],'Customer_Dim'!A:A,'Customer_Dim'!K:K,"Not Found")</f>
        <v>Silver</v>
      </c>
      <c r="P825">
        <f>_xlfn.XLOOKUP(Sales_fact[[#This Row],[Customer_ID]],'Customer_Dim'!A:A, 'Customer_Dim'!E:E, "Not Found")</f>
        <v>31</v>
      </c>
      <c r="Q825" t="str">
        <f>VLOOKUP(Sales_fact[[#This Row],[Customer_ID]], 'Customer_Dim'!A:F, 6, FALSE)</f>
        <v>Male</v>
      </c>
      <c r="R825" s="13" t="str">
        <f>_xlfn.XLOOKUP(Sales_fact[[#This Row],[Product_ID]],Product_Dim!A:A,Product_Dim!C:C,"OTHERS")</f>
        <v>Sports</v>
      </c>
    </row>
    <row r="826" spans="1:18" x14ac:dyDescent="0.3">
      <c r="A826" t="s">
        <v>2650</v>
      </c>
      <c r="B826" s="2">
        <v>45841</v>
      </c>
      <c r="C826" t="s">
        <v>195</v>
      </c>
      <c r="D826" t="s">
        <v>1570</v>
      </c>
      <c r="E826" t="str">
        <f ca="1">TRIM(Sales_fact[[#This Row],[Store_ID]])</f>
        <v>STORE4</v>
      </c>
      <c r="F826">
        <v>4</v>
      </c>
      <c r="G826">
        <f>IF(ISBLANK(F826),MODE($F$2:$F$2001),F826)</f>
        <v>4</v>
      </c>
      <c r="H826">
        <v>780.07</v>
      </c>
      <c r="I826">
        <f>IF(ISBLANK(H826),AVERAGE($H$2:$H$2001),H826)</f>
        <v>780.07</v>
      </c>
      <c r="J826">
        <v>0.03</v>
      </c>
      <c r="K826">
        <f>IF(ISBLANK(J826),MODE($J$2:$J$2001),J826)</f>
        <v>0.03</v>
      </c>
      <c r="L826" t="s">
        <v>1824</v>
      </c>
      <c r="M826">
        <v>3026.6716000000001</v>
      </c>
      <c r="N826">
        <f t="shared" si="12"/>
        <v>3026.6716000000001</v>
      </c>
      <c r="O826" t="str">
        <f>_xlfn.XLOOKUP(Sales_fact[[#This Row],[Customer_ID]],'Customer_Dim'!A:A,'Customer_Dim'!K:K,"Not Found")</f>
        <v>Gold</v>
      </c>
      <c r="P826">
        <f>_xlfn.XLOOKUP(Sales_fact[[#This Row],[Customer_ID]],'Customer_Dim'!A:A, 'Customer_Dim'!E:E, "Not Found")</f>
        <v>23</v>
      </c>
      <c r="Q826" t="str">
        <f>VLOOKUP(Sales_fact[[#This Row],[Customer_ID]], 'Customer_Dim'!A:F, 6, FALSE)</f>
        <v>Female</v>
      </c>
      <c r="R826" s="13" t="str">
        <f>_xlfn.XLOOKUP(Sales_fact[[#This Row],[Product_ID]],Product_Dim!A:A,Product_Dim!C:C,"OTHERS")</f>
        <v>Electronics</v>
      </c>
    </row>
    <row r="827" spans="1:18" x14ac:dyDescent="0.3">
      <c r="A827" t="s">
        <v>2651</v>
      </c>
      <c r="B827" s="2">
        <v>45877</v>
      </c>
      <c r="C827" t="s">
        <v>1328</v>
      </c>
      <c r="D827" t="s">
        <v>1622</v>
      </c>
      <c r="E827" t="str">
        <f ca="1">TRIM(Sales_fact[[#This Row],[Store_ID]])</f>
        <v>STORE15</v>
      </c>
      <c r="F827">
        <v>4</v>
      </c>
      <c r="G827">
        <f>IF(ISBLANK(F827),MODE($F$2:$F$2001),F827)</f>
        <v>4</v>
      </c>
      <c r="H827">
        <v>184.57</v>
      </c>
      <c r="I827">
        <f>IF(ISBLANK(H827),AVERAGE($H$2:$H$2001),H827)</f>
        <v>184.57</v>
      </c>
      <c r="J827">
        <v>0.28000000000000003</v>
      </c>
      <c r="K827">
        <f>IF(ISBLANK(J827),MODE($J$2:$J$2001),J827)</f>
        <v>0.28000000000000003</v>
      </c>
      <c r="L827" t="s">
        <v>1824</v>
      </c>
      <c r="M827">
        <v>531.5616</v>
      </c>
      <c r="N827">
        <f t="shared" si="12"/>
        <v>531.5616</v>
      </c>
      <c r="O827" t="str">
        <f>_xlfn.XLOOKUP(Sales_fact[[#This Row],[Customer_ID]],'Customer_Dim'!A:A,'Customer_Dim'!K:K,"Not Found")</f>
        <v>Bronze</v>
      </c>
      <c r="P827">
        <f>_xlfn.XLOOKUP(Sales_fact[[#This Row],[Customer_ID]],'Customer_Dim'!A:A, 'Customer_Dim'!E:E, "Not Found")</f>
        <v>27</v>
      </c>
      <c r="Q827" t="str">
        <f>VLOOKUP(Sales_fact[[#This Row],[Customer_ID]], 'Customer_Dim'!A:F, 6, FALSE)</f>
        <v>Female</v>
      </c>
      <c r="R827" s="13" t="str">
        <f>_xlfn.XLOOKUP(Sales_fact[[#This Row],[Product_ID]],Product_Dim!A:A,Product_Dim!C:C,"OTHERS")</f>
        <v>Clothing</v>
      </c>
    </row>
    <row r="828" spans="1:18" x14ac:dyDescent="0.3">
      <c r="A828" t="s">
        <v>2652</v>
      </c>
      <c r="B828" s="2">
        <v>45532</v>
      </c>
      <c r="C828" t="s">
        <v>911</v>
      </c>
      <c r="D828" t="s">
        <v>1678</v>
      </c>
      <c r="E828" t="str">
        <f ca="1">TRIM(Sales_fact[[#This Row],[Store_ID]])</f>
        <v>STORE4</v>
      </c>
      <c r="F828">
        <v>4</v>
      </c>
      <c r="G828">
        <f>IF(ISBLANK(F828),MODE($F$2:$F$2001),F828)</f>
        <v>4</v>
      </c>
      <c r="H828">
        <v>277.58</v>
      </c>
      <c r="I828">
        <f>IF(ISBLANK(H828),AVERAGE($H$2:$H$2001),H828)</f>
        <v>277.58</v>
      </c>
      <c r="J828">
        <v>0.22</v>
      </c>
      <c r="K828">
        <f>IF(ISBLANK(J828),MODE($J$2:$J$2001),J828)</f>
        <v>0.22</v>
      </c>
      <c r="L828" t="s">
        <v>1826</v>
      </c>
      <c r="M828">
        <v>866.04959999999994</v>
      </c>
      <c r="N828">
        <f t="shared" si="12"/>
        <v>866.04959999999994</v>
      </c>
      <c r="O828" t="str">
        <f>_xlfn.XLOOKUP(Sales_fact[[#This Row],[Customer_ID]],'Customer_Dim'!A:A,'Customer_Dim'!K:K,"Not Found")</f>
        <v>Gold</v>
      </c>
      <c r="P828">
        <f>_xlfn.XLOOKUP(Sales_fact[[#This Row],[Customer_ID]],'Customer_Dim'!A:A, 'Customer_Dim'!E:E, "Not Found")</f>
        <v>22</v>
      </c>
      <c r="Q828" t="str">
        <f>VLOOKUP(Sales_fact[[#This Row],[Customer_ID]], 'Customer_Dim'!A:F, 6, FALSE)</f>
        <v>Female</v>
      </c>
      <c r="R828" s="13" t="str">
        <f>_xlfn.XLOOKUP(Sales_fact[[#This Row],[Product_ID]],Product_Dim!A:A,Product_Dim!C:C,"OTHERS")</f>
        <v>Sports</v>
      </c>
    </row>
    <row r="829" spans="1:18" x14ac:dyDescent="0.3">
      <c r="A829" t="s">
        <v>2653</v>
      </c>
      <c r="B829" s="2">
        <v>45734</v>
      </c>
      <c r="C829" t="s">
        <v>369</v>
      </c>
      <c r="D829" t="s">
        <v>1610</v>
      </c>
      <c r="E829" t="str">
        <f ca="1">TRIM(Sales_fact[[#This Row],[Store_ID]])</f>
        <v>STORE3</v>
      </c>
      <c r="F829">
        <v>1</v>
      </c>
      <c r="G829">
        <f>IF(ISBLANK(F829),MODE($F$2:$F$2001),F829)</f>
        <v>1</v>
      </c>
      <c r="H829">
        <v>36.799999999999997</v>
      </c>
      <c r="I829">
        <f>IF(ISBLANK(H829),AVERAGE($H$2:$H$2001),H829)</f>
        <v>36.799999999999997</v>
      </c>
      <c r="J829">
        <v>0.18</v>
      </c>
      <c r="K829">
        <f>IF(ISBLANK(J829),MODE($J$2:$J$2001),J829)</f>
        <v>0.18</v>
      </c>
      <c r="L829" t="s">
        <v>1824</v>
      </c>
      <c r="M829">
        <v>30.175999999999998</v>
      </c>
      <c r="N829">
        <f t="shared" si="12"/>
        <v>30.175999999999998</v>
      </c>
      <c r="O829" t="str">
        <f>_xlfn.XLOOKUP(Sales_fact[[#This Row],[Customer_ID]],'Customer_Dim'!A:A,'Customer_Dim'!K:K,"Not Found")</f>
        <v>Silver</v>
      </c>
      <c r="P829">
        <f>_xlfn.XLOOKUP(Sales_fact[[#This Row],[Customer_ID]],'Customer_Dim'!A:A, 'Customer_Dim'!E:E, "Not Found")</f>
        <v>64</v>
      </c>
      <c r="Q829" t="str">
        <f>VLOOKUP(Sales_fact[[#This Row],[Customer_ID]], 'Customer_Dim'!A:F, 6, FALSE)</f>
        <v>Male</v>
      </c>
      <c r="R829" s="13" t="str">
        <f>_xlfn.XLOOKUP(Sales_fact[[#This Row],[Product_ID]],Product_Dim!A:A,Product_Dim!C:C,"OTHERS")</f>
        <v>Sports</v>
      </c>
    </row>
    <row r="830" spans="1:18" x14ac:dyDescent="0.3">
      <c r="A830" t="s">
        <v>2654</v>
      </c>
      <c r="B830" s="2">
        <v>45809</v>
      </c>
      <c r="C830" t="s">
        <v>1115</v>
      </c>
      <c r="D830" t="s">
        <v>1724</v>
      </c>
      <c r="E830" t="str">
        <f ca="1">TRIM(Sales_fact[[#This Row],[Store_ID]])</f>
        <v>STORE6</v>
      </c>
      <c r="F830">
        <v>1</v>
      </c>
      <c r="G830">
        <f>IF(ISBLANK(F830),MODE($F$2:$F$2001),F830)</f>
        <v>1</v>
      </c>
      <c r="H830">
        <v>539.37</v>
      </c>
      <c r="I830">
        <f>IF(ISBLANK(H830),AVERAGE($H$2:$H$2001),H830)</f>
        <v>539.37</v>
      </c>
      <c r="J830">
        <v>0.14000000000000001</v>
      </c>
      <c r="K830">
        <f>IF(ISBLANK(J830),MODE($J$2:$J$2001),J830)</f>
        <v>0.14000000000000001</v>
      </c>
      <c r="L830" t="s">
        <v>1824</v>
      </c>
      <c r="M830">
        <v>463.85820000000001</v>
      </c>
      <c r="N830">
        <f t="shared" si="12"/>
        <v>463.85820000000001</v>
      </c>
      <c r="O830" t="str">
        <f>_xlfn.XLOOKUP(Sales_fact[[#This Row],[Customer_ID]],'Customer_Dim'!A:A,'Customer_Dim'!K:K,"Not Found")</f>
        <v>Bronze</v>
      </c>
      <c r="P830">
        <f>_xlfn.XLOOKUP(Sales_fact[[#This Row],[Customer_ID]],'Customer_Dim'!A:A, 'Customer_Dim'!E:E, "Not Found")</f>
        <v>54</v>
      </c>
      <c r="Q830" t="str">
        <f>VLOOKUP(Sales_fact[[#This Row],[Customer_ID]], 'Customer_Dim'!A:F, 6, FALSE)</f>
        <v>Male</v>
      </c>
      <c r="R830" s="13" t="str">
        <f>_xlfn.XLOOKUP(Sales_fact[[#This Row],[Product_ID]],Product_Dim!A:A,Product_Dim!C:C,"OTHERS")</f>
        <v>Sports</v>
      </c>
    </row>
    <row r="831" spans="1:18" x14ac:dyDescent="0.3">
      <c r="A831" t="s">
        <v>2655</v>
      </c>
      <c r="B831" s="2">
        <v>45760</v>
      </c>
      <c r="C831" t="s">
        <v>321</v>
      </c>
      <c r="D831" t="s">
        <v>1588</v>
      </c>
      <c r="E831" t="str">
        <f ca="1">TRIM(Sales_fact[[#This Row],[Store_ID]])</f>
        <v>STORE18</v>
      </c>
      <c r="F831">
        <v>1</v>
      </c>
      <c r="G831">
        <f>IF(ISBLANK(F831),MODE($F$2:$F$2001),F831)</f>
        <v>1</v>
      </c>
      <c r="H831">
        <v>27.83</v>
      </c>
      <c r="I831">
        <f>IF(ISBLANK(H831),AVERAGE($H$2:$H$2001),H831)</f>
        <v>27.83</v>
      </c>
      <c r="J831">
        <v>0.3</v>
      </c>
      <c r="K831">
        <f>IF(ISBLANK(J831),MODE($J$2:$J$2001),J831)</f>
        <v>0.3</v>
      </c>
      <c r="L831" t="s">
        <v>1826</v>
      </c>
      <c r="M831">
        <v>19.481000000000002</v>
      </c>
      <c r="N831">
        <f t="shared" si="12"/>
        <v>19.480999999999998</v>
      </c>
      <c r="O831" t="str">
        <f>_xlfn.XLOOKUP(Sales_fact[[#This Row],[Customer_ID]],'Customer_Dim'!A:A,'Customer_Dim'!K:K,"Not Found")</f>
        <v>Platinum</v>
      </c>
      <c r="P831">
        <f>_xlfn.XLOOKUP(Sales_fact[[#This Row],[Customer_ID]],'Customer_Dim'!A:A, 'Customer_Dim'!E:E, "Not Found")</f>
        <v>43</v>
      </c>
      <c r="Q831" t="str">
        <f>VLOOKUP(Sales_fact[[#This Row],[Customer_ID]], 'Customer_Dim'!A:F, 6, FALSE)</f>
        <v>Male</v>
      </c>
      <c r="R831" s="13" t="str">
        <f>_xlfn.XLOOKUP(Sales_fact[[#This Row],[Product_ID]],Product_Dim!A:A,Product_Dim!C:C,"OTHERS")</f>
        <v>Sports</v>
      </c>
    </row>
    <row r="832" spans="1:18" x14ac:dyDescent="0.3">
      <c r="A832" t="s">
        <v>2656</v>
      </c>
      <c r="B832" s="2">
        <v>45456</v>
      </c>
      <c r="C832" t="s">
        <v>899</v>
      </c>
      <c r="D832" t="s">
        <v>1688</v>
      </c>
      <c r="E832" t="str">
        <f ca="1">TRIM(Sales_fact[[#This Row],[Store_ID]])</f>
        <v>STORE4</v>
      </c>
      <c r="F832">
        <v>3</v>
      </c>
      <c r="G832">
        <f>IF(ISBLANK(F832),MODE($F$2:$F$2001),F832)</f>
        <v>3</v>
      </c>
      <c r="H832">
        <v>698.72</v>
      </c>
      <c r="I832">
        <f>IF(ISBLANK(H832),AVERAGE($H$2:$H$2001),H832)</f>
        <v>698.72</v>
      </c>
      <c r="J832">
        <v>0.28000000000000003</v>
      </c>
      <c r="K832">
        <f>IF(ISBLANK(J832),MODE($J$2:$J$2001),J832)</f>
        <v>0.28000000000000003</v>
      </c>
      <c r="L832" t="s">
        <v>1829</v>
      </c>
      <c r="M832">
        <v>1509.2352000000001</v>
      </c>
      <c r="N832">
        <f t="shared" si="12"/>
        <v>1509.2351999999998</v>
      </c>
      <c r="O832" t="str">
        <f>_xlfn.XLOOKUP(Sales_fact[[#This Row],[Customer_ID]],'Customer_Dim'!A:A,'Customer_Dim'!K:K,"Not Found")</f>
        <v>Silver</v>
      </c>
      <c r="P832">
        <f>_xlfn.XLOOKUP(Sales_fact[[#This Row],[Customer_ID]],'Customer_Dim'!A:A, 'Customer_Dim'!E:E, "Not Found")</f>
        <v>54</v>
      </c>
      <c r="Q832" t="str">
        <f>VLOOKUP(Sales_fact[[#This Row],[Customer_ID]], 'Customer_Dim'!A:F, 6, FALSE)</f>
        <v>Female</v>
      </c>
      <c r="R832" s="13" t="str">
        <f>_xlfn.XLOOKUP(Sales_fact[[#This Row],[Product_ID]],Product_Dim!A:A,Product_Dim!C:C,"OTHERS")</f>
        <v>Home</v>
      </c>
    </row>
    <row r="833" spans="1:18" x14ac:dyDescent="0.3">
      <c r="A833" t="s">
        <v>2657</v>
      </c>
      <c r="B833" s="2">
        <v>45698</v>
      </c>
      <c r="C833" t="s">
        <v>59</v>
      </c>
      <c r="D833" t="s">
        <v>1700</v>
      </c>
      <c r="E833" t="str">
        <f ca="1">TRIM(Sales_fact[[#This Row],[Store_ID]])</f>
        <v>STORE13</v>
      </c>
      <c r="F833">
        <v>4</v>
      </c>
      <c r="G833">
        <f>IF(ISBLANK(F833),MODE($F$2:$F$2001),F833)</f>
        <v>4</v>
      </c>
      <c r="H833">
        <v>528.23</v>
      </c>
      <c r="I833">
        <f>IF(ISBLANK(H833),AVERAGE($H$2:$H$2001),H833)</f>
        <v>528.23</v>
      </c>
      <c r="J833">
        <v>0.15</v>
      </c>
      <c r="K833">
        <f>IF(ISBLANK(J833),MODE($J$2:$J$2001),J833)</f>
        <v>0.15</v>
      </c>
      <c r="L833" t="s">
        <v>1829</v>
      </c>
      <c r="M833">
        <v>1795.982</v>
      </c>
      <c r="N833">
        <f t="shared" si="12"/>
        <v>1795.982</v>
      </c>
      <c r="O833" t="str">
        <f>_xlfn.XLOOKUP(Sales_fact[[#This Row],[Customer_ID]],'Customer_Dim'!A:A,'Customer_Dim'!K:K,"Not Found")</f>
        <v>Platinum</v>
      </c>
      <c r="P833">
        <f>_xlfn.XLOOKUP(Sales_fact[[#This Row],[Customer_ID]],'Customer_Dim'!A:A, 'Customer_Dim'!E:E, "Not Found")</f>
        <v>55</v>
      </c>
      <c r="Q833" t="str">
        <f>VLOOKUP(Sales_fact[[#This Row],[Customer_ID]], 'Customer_Dim'!A:F, 6, FALSE)</f>
        <v>Female</v>
      </c>
      <c r="R833" s="13" t="str">
        <f>_xlfn.XLOOKUP(Sales_fact[[#This Row],[Product_ID]],Product_Dim!A:A,Product_Dim!C:C,"OTHERS")</f>
        <v>Electronics</v>
      </c>
    </row>
    <row r="834" spans="1:18" x14ac:dyDescent="0.3">
      <c r="A834" t="s">
        <v>2658</v>
      </c>
      <c r="B834" s="2">
        <v>45548</v>
      </c>
      <c r="C834" t="s">
        <v>1513</v>
      </c>
      <c r="D834" t="s">
        <v>1640</v>
      </c>
      <c r="E834" t="str">
        <f ca="1">TRIM(Sales_fact[[#This Row],[Store_ID]])</f>
        <v>STORE16</v>
      </c>
      <c r="F834">
        <v>2</v>
      </c>
      <c r="G834">
        <f>IF(ISBLANK(F834),MODE($F$2:$F$2001),F834)</f>
        <v>2</v>
      </c>
      <c r="H834">
        <v>780.9</v>
      </c>
      <c r="I834">
        <f>IF(ISBLANK(H834),AVERAGE($H$2:$H$2001),H834)</f>
        <v>780.9</v>
      </c>
      <c r="J834">
        <v>0.24</v>
      </c>
      <c r="K834">
        <f>IF(ISBLANK(J834),MODE($J$2:$J$2001),J834)</f>
        <v>0.24</v>
      </c>
      <c r="L834" t="s">
        <v>1826</v>
      </c>
      <c r="M834">
        <v>1186.9680000000001</v>
      </c>
      <c r="N834">
        <f t="shared" si="12"/>
        <v>1186.9680000000001</v>
      </c>
      <c r="O834" t="str">
        <f>_xlfn.XLOOKUP(Sales_fact[[#This Row],[Customer_ID]],'Customer_Dim'!A:A,'Customer_Dim'!K:K,"Not Found")</f>
        <v>Platinum</v>
      </c>
      <c r="P834">
        <f>_xlfn.XLOOKUP(Sales_fact[[#This Row],[Customer_ID]],'Customer_Dim'!A:A, 'Customer_Dim'!E:E, "Not Found")</f>
        <v>59</v>
      </c>
      <c r="Q834" t="str">
        <f>VLOOKUP(Sales_fact[[#This Row],[Customer_ID]], 'Customer_Dim'!A:F, 6, FALSE)</f>
        <v>Female</v>
      </c>
      <c r="R834" s="13" t="str">
        <f>_xlfn.XLOOKUP(Sales_fact[[#This Row],[Product_ID]],Product_Dim!A:A,Product_Dim!C:C,"OTHERS")</f>
        <v>Clothing</v>
      </c>
    </row>
    <row r="835" spans="1:18" x14ac:dyDescent="0.3">
      <c r="A835" t="s">
        <v>2659</v>
      </c>
      <c r="B835" s="2">
        <v>45236</v>
      </c>
      <c r="C835" t="s">
        <v>595</v>
      </c>
      <c r="D835" t="s">
        <v>1590</v>
      </c>
      <c r="E835" t="str">
        <f ca="1">TRIM(Sales_fact[[#This Row],[Store_ID]])</f>
        <v>STORE14</v>
      </c>
      <c r="F835">
        <v>1</v>
      </c>
      <c r="G835">
        <f>IF(ISBLANK(F835),MODE($F$2:$F$2001),F835)</f>
        <v>1</v>
      </c>
      <c r="H835">
        <v>977.97</v>
      </c>
      <c r="I835">
        <f>IF(ISBLANK(H835),AVERAGE($H$2:$H$2001),H835)</f>
        <v>977.97</v>
      </c>
      <c r="J835">
        <v>0.06</v>
      </c>
      <c r="K835">
        <f>IF(ISBLANK(J835),MODE($J$2:$J$2001),J835)</f>
        <v>0.06</v>
      </c>
      <c r="L835" t="s">
        <v>1829</v>
      </c>
      <c r="M835">
        <v>919.29179999999997</v>
      </c>
      <c r="N835">
        <f t="shared" ref="N835:N898" si="13">G835*I835*(1-K835)</f>
        <v>919.29179999999997</v>
      </c>
      <c r="O835" t="str">
        <f>_xlfn.XLOOKUP(Sales_fact[[#This Row],[Customer_ID]],'Customer_Dim'!A:A,'Customer_Dim'!K:K,"Not Found")</f>
        <v>Bronze</v>
      </c>
      <c r="P835">
        <f>_xlfn.XLOOKUP(Sales_fact[[#This Row],[Customer_ID]],'Customer_Dim'!A:A, 'Customer_Dim'!E:E, "Not Found")</f>
        <v>38</v>
      </c>
      <c r="Q835" t="str">
        <f>VLOOKUP(Sales_fact[[#This Row],[Customer_ID]], 'Customer_Dim'!A:F, 6, FALSE)</f>
        <v>Male</v>
      </c>
      <c r="R835" s="13" t="str">
        <f>_xlfn.XLOOKUP(Sales_fact[[#This Row],[Product_ID]],Product_Dim!A:A,Product_Dim!C:C,"OTHERS")</f>
        <v>Home</v>
      </c>
    </row>
    <row r="836" spans="1:18" x14ac:dyDescent="0.3">
      <c r="A836" t="s">
        <v>2660</v>
      </c>
      <c r="B836" s="2">
        <v>45310</v>
      </c>
      <c r="C836" t="s">
        <v>1154</v>
      </c>
      <c r="D836" t="s">
        <v>1714</v>
      </c>
      <c r="E836" t="str">
        <f ca="1">TRIM(Sales_fact[[#This Row],[Store_ID]])</f>
        <v>STORE12</v>
      </c>
      <c r="F836">
        <v>4</v>
      </c>
      <c r="G836">
        <f>IF(ISBLANK(F836),MODE($F$2:$F$2001),F836)</f>
        <v>4</v>
      </c>
      <c r="H836">
        <v>354.65</v>
      </c>
      <c r="I836">
        <f>IF(ISBLANK(H836),AVERAGE($H$2:$H$2001),H836)</f>
        <v>354.65</v>
      </c>
      <c r="J836">
        <v>0.19</v>
      </c>
      <c r="K836">
        <f>IF(ISBLANK(J836),MODE($J$2:$J$2001),J836)</f>
        <v>0.19</v>
      </c>
      <c r="L836" t="s">
        <v>1824</v>
      </c>
      <c r="M836">
        <v>1149.066</v>
      </c>
      <c r="N836">
        <f t="shared" si="13"/>
        <v>1149.066</v>
      </c>
      <c r="O836" t="str">
        <f>_xlfn.XLOOKUP(Sales_fact[[#This Row],[Customer_ID]],'Customer_Dim'!A:A,'Customer_Dim'!K:K,"Not Found")</f>
        <v>Platinum</v>
      </c>
      <c r="P836">
        <f>_xlfn.XLOOKUP(Sales_fact[[#This Row],[Customer_ID]],'Customer_Dim'!A:A, 'Customer_Dim'!E:E, "Not Found")</f>
        <v>20</v>
      </c>
      <c r="Q836" t="str">
        <f>VLOOKUP(Sales_fact[[#This Row],[Customer_ID]], 'Customer_Dim'!A:F, 6, FALSE)</f>
        <v>Female</v>
      </c>
      <c r="R836" s="13" t="str">
        <f>_xlfn.XLOOKUP(Sales_fact[[#This Row],[Product_ID]],Product_Dim!A:A,Product_Dim!C:C,"OTHERS")</f>
        <v>Beauty</v>
      </c>
    </row>
    <row r="837" spans="1:18" x14ac:dyDescent="0.3">
      <c r="A837" t="s">
        <v>2661</v>
      </c>
      <c r="B837" s="2">
        <v>45376</v>
      </c>
      <c r="C837" t="s">
        <v>899</v>
      </c>
      <c r="D837" t="s">
        <v>1684</v>
      </c>
      <c r="E837" t="str">
        <f ca="1">TRIM(Sales_fact[[#This Row],[Store_ID]])</f>
        <v>STORE19</v>
      </c>
      <c r="F837">
        <v>1</v>
      </c>
      <c r="G837">
        <f>IF(ISBLANK(F837),MODE($F$2:$F$2001),F837)</f>
        <v>1</v>
      </c>
      <c r="H837">
        <v>671.62</v>
      </c>
      <c r="I837">
        <f>IF(ISBLANK(H837),AVERAGE($H$2:$H$2001),H837)</f>
        <v>671.62</v>
      </c>
      <c r="J837">
        <v>0.09</v>
      </c>
      <c r="K837">
        <f>IF(ISBLANK(J837),MODE($J$2:$J$2001),J837)</f>
        <v>0.09</v>
      </c>
      <c r="L837" t="s">
        <v>1829</v>
      </c>
      <c r="M837">
        <v>611.17420000000004</v>
      </c>
      <c r="N837">
        <f t="shared" si="13"/>
        <v>611.17420000000004</v>
      </c>
      <c r="O837" t="str">
        <f>_xlfn.XLOOKUP(Sales_fact[[#This Row],[Customer_ID]],'Customer_Dim'!A:A,'Customer_Dim'!K:K,"Not Found")</f>
        <v>Silver</v>
      </c>
      <c r="P837">
        <f>_xlfn.XLOOKUP(Sales_fact[[#This Row],[Customer_ID]],'Customer_Dim'!A:A, 'Customer_Dim'!E:E, "Not Found")</f>
        <v>54</v>
      </c>
      <c r="Q837" t="str">
        <f>VLOOKUP(Sales_fact[[#This Row],[Customer_ID]], 'Customer_Dim'!A:F, 6, FALSE)</f>
        <v>Female</v>
      </c>
      <c r="R837" s="13" t="str">
        <f>_xlfn.XLOOKUP(Sales_fact[[#This Row],[Product_ID]],Product_Dim!A:A,Product_Dim!C:C,"OTHERS")</f>
        <v>Home</v>
      </c>
    </row>
    <row r="838" spans="1:18" x14ac:dyDescent="0.3">
      <c r="A838" t="s">
        <v>2662</v>
      </c>
      <c r="B838" s="2">
        <v>45914</v>
      </c>
      <c r="C838" t="s">
        <v>999</v>
      </c>
      <c r="D838" t="s">
        <v>1712</v>
      </c>
      <c r="E838" t="str">
        <f ca="1">TRIM(Sales_fact[[#This Row],[Store_ID]])</f>
        <v>STORE3</v>
      </c>
      <c r="F838">
        <v>1</v>
      </c>
      <c r="G838">
        <f>IF(ISBLANK(F838),MODE($F$2:$F$2001),F838)</f>
        <v>1</v>
      </c>
      <c r="H838">
        <v>867.32</v>
      </c>
      <c r="I838">
        <f>IF(ISBLANK(H838),AVERAGE($H$2:$H$2001),H838)</f>
        <v>867.32</v>
      </c>
      <c r="J838">
        <v>0.28999999999999998</v>
      </c>
      <c r="K838">
        <f>IF(ISBLANK(J838),MODE($J$2:$J$2001),J838)</f>
        <v>0.28999999999999998</v>
      </c>
      <c r="L838" t="s">
        <v>1826</v>
      </c>
      <c r="M838">
        <v>615.79719999999998</v>
      </c>
      <c r="N838">
        <f t="shared" si="13"/>
        <v>615.79719999999998</v>
      </c>
      <c r="O838" t="str">
        <f>_xlfn.XLOOKUP(Sales_fact[[#This Row],[Customer_ID]],'Customer_Dim'!A:A,'Customer_Dim'!K:K,"Not Found")</f>
        <v>Gold</v>
      </c>
      <c r="P838">
        <f>_xlfn.XLOOKUP(Sales_fact[[#This Row],[Customer_ID]],'Customer_Dim'!A:A, 'Customer_Dim'!E:E, "Not Found")</f>
        <v>64</v>
      </c>
      <c r="Q838" t="str">
        <f>VLOOKUP(Sales_fact[[#This Row],[Customer_ID]], 'Customer_Dim'!A:F, 6, FALSE)</f>
        <v>Female</v>
      </c>
      <c r="R838" s="13" t="str">
        <f>_xlfn.XLOOKUP(Sales_fact[[#This Row],[Product_ID]],Product_Dim!A:A,Product_Dim!C:C,"OTHERS")</f>
        <v>Sports</v>
      </c>
    </row>
    <row r="839" spans="1:18" x14ac:dyDescent="0.3">
      <c r="A839" t="s">
        <v>2663</v>
      </c>
      <c r="B839" s="2">
        <v>45336</v>
      </c>
      <c r="C839" t="s">
        <v>295</v>
      </c>
      <c r="D839" t="s">
        <v>1568</v>
      </c>
      <c r="E839" t="str">
        <f ca="1">TRIM(Sales_fact[[#This Row],[Store_ID]])</f>
        <v>STORE12</v>
      </c>
      <c r="F839">
        <v>3</v>
      </c>
      <c r="G839">
        <f>IF(ISBLANK(F839),MODE($F$2:$F$2001),F839)</f>
        <v>3</v>
      </c>
      <c r="H839">
        <v>240.27</v>
      </c>
      <c r="I839">
        <f>IF(ISBLANK(H839),AVERAGE($H$2:$H$2001),H839)</f>
        <v>240.27</v>
      </c>
      <c r="J839">
        <v>0.15</v>
      </c>
      <c r="K839">
        <f>IF(ISBLANK(J839),MODE($J$2:$J$2001),J839)</f>
        <v>0.15</v>
      </c>
      <c r="L839" t="s">
        <v>1826</v>
      </c>
      <c r="M839">
        <v>612.68850000000009</v>
      </c>
      <c r="N839">
        <f t="shared" si="13"/>
        <v>612.68850000000009</v>
      </c>
      <c r="O839" t="str">
        <f>_xlfn.XLOOKUP(Sales_fact[[#This Row],[Customer_ID]],'Customer_Dim'!A:A,'Customer_Dim'!K:K,"Not Found")</f>
        <v>Platinum</v>
      </c>
      <c r="P839">
        <f>_xlfn.XLOOKUP(Sales_fact[[#This Row],[Customer_ID]],'Customer_Dim'!A:A, 'Customer_Dim'!E:E, "Not Found")</f>
        <v>34</v>
      </c>
      <c r="Q839" t="str">
        <f>VLOOKUP(Sales_fact[[#This Row],[Customer_ID]], 'Customer_Dim'!A:F, 6, FALSE)</f>
        <v>Female</v>
      </c>
      <c r="R839" s="13" t="str">
        <f>_xlfn.XLOOKUP(Sales_fact[[#This Row],[Product_ID]],Product_Dim!A:A,Product_Dim!C:C,"OTHERS")</f>
        <v>Home</v>
      </c>
    </row>
    <row r="840" spans="1:18" x14ac:dyDescent="0.3">
      <c r="A840" t="s">
        <v>2664</v>
      </c>
      <c r="B840" s="2">
        <v>45728</v>
      </c>
      <c r="C840" t="s">
        <v>275</v>
      </c>
      <c r="D840" t="s">
        <v>1604</v>
      </c>
      <c r="E840" t="str">
        <f ca="1">TRIM(Sales_fact[[#This Row],[Store_ID]])</f>
        <v>STORE16</v>
      </c>
      <c r="F840">
        <v>2</v>
      </c>
      <c r="G840">
        <f>IF(ISBLANK(F840),MODE($F$2:$F$2001),F840)</f>
        <v>2</v>
      </c>
      <c r="H840">
        <v>619.12</v>
      </c>
      <c r="I840">
        <f>IF(ISBLANK(H840),AVERAGE($H$2:$H$2001),H840)</f>
        <v>619.12</v>
      </c>
      <c r="J840">
        <v>0.28000000000000003</v>
      </c>
      <c r="K840">
        <f>IF(ISBLANK(J840),MODE($J$2:$J$2001),J840)</f>
        <v>0.28000000000000003</v>
      </c>
      <c r="L840" t="s">
        <v>1829</v>
      </c>
      <c r="M840">
        <v>891.53279999999995</v>
      </c>
      <c r="N840">
        <f t="shared" si="13"/>
        <v>891.53279999999995</v>
      </c>
      <c r="O840" t="str">
        <f>_xlfn.XLOOKUP(Sales_fact[[#This Row],[Customer_ID]],'Customer_Dim'!A:A,'Customer_Dim'!K:K,"Not Found")</f>
        <v>Gold</v>
      </c>
      <c r="P840">
        <f>_xlfn.XLOOKUP(Sales_fact[[#This Row],[Customer_ID]],'Customer_Dim'!A:A, 'Customer_Dim'!E:E, "Not Found")</f>
        <v>61</v>
      </c>
      <c r="Q840" t="str">
        <f>VLOOKUP(Sales_fact[[#This Row],[Customer_ID]], 'Customer_Dim'!A:F, 6, FALSE)</f>
        <v>Female</v>
      </c>
      <c r="R840" s="13" t="str">
        <f>_xlfn.XLOOKUP(Sales_fact[[#This Row],[Product_ID]],Product_Dim!A:A,Product_Dim!C:C,"OTHERS")</f>
        <v>Sports</v>
      </c>
    </row>
    <row r="841" spans="1:18" x14ac:dyDescent="0.3">
      <c r="A841" t="s">
        <v>2665</v>
      </c>
      <c r="B841" s="2">
        <v>45755</v>
      </c>
      <c r="C841" t="s">
        <v>693</v>
      </c>
      <c r="D841" t="s">
        <v>1722</v>
      </c>
      <c r="E841" t="str">
        <f ca="1">TRIM(Sales_fact[[#This Row],[Store_ID]])</f>
        <v>STORE0</v>
      </c>
      <c r="F841">
        <v>3</v>
      </c>
      <c r="G841">
        <f>IF(ISBLANK(F841),MODE($F$2:$F$2001),F841)</f>
        <v>3</v>
      </c>
      <c r="H841">
        <v>693.42</v>
      </c>
      <c r="I841">
        <f>IF(ISBLANK(H841),AVERAGE($H$2:$H$2001),H841)</f>
        <v>693.42</v>
      </c>
      <c r="J841">
        <v>0.08</v>
      </c>
      <c r="K841">
        <f>IF(ISBLANK(J841),MODE($J$2:$J$2001),J841)</f>
        <v>0.08</v>
      </c>
      <c r="L841" t="s">
        <v>1826</v>
      </c>
      <c r="M841">
        <v>1913.8391999999999</v>
      </c>
      <c r="N841">
        <f t="shared" si="13"/>
        <v>1913.8391999999999</v>
      </c>
      <c r="O841" t="str">
        <f>_xlfn.XLOOKUP(Sales_fact[[#This Row],[Customer_ID]],'Customer_Dim'!A:A,'Customer_Dim'!K:K,"Not Found")</f>
        <v>Platinum</v>
      </c>
      <c r="P841">
        <f>_xlfn.XLOOKUP(Sales_fact[[#This Row],[Customer_ID]],'Customer_Dim'!A:A, 'Customer_Dim'!E:E, "Not Found")</f>
        <v>42</v>
      </c>
      <c r="Q841" t="str">
        <f>VLOOKUP(Sales_fact[[#This Row],[Customer_ID]], 'Customer_Dim'!A:F, 6, FALSE)</f>
        <v>Female</v>
      </c>
      <c r="R841" s="13" t="str">
        <f>_xlfn.XLOOKUP(Sales_fact[[#This Row],[Product_ID]],Product_Dim!A:A,Product_Dim!C:C,"OTHERS")</f>
        <v>Home</v>
      </c>
    </row>
    <row r="842" spans="1:18" x14ac:dyDescent="0.3">
      <c r="A842" t="s">
        <v>2666</v>
      </c>
      <c r="B842" s="2">
        <v>45695</v>
      </c>
      <c r="C842" t="s">
        <v>381</v>
      </c>
      <c r="D842" t="s">
        <v>1644</v>
      </c>
      <c r="E842" t="str">
        <f ca="1">TRIM(Sales_fact[[#This Row],[Store_ID]])</f>
        <v>STORE10</v>
      </c>
      <c r="F842">
        <v>4</v>
      </c>
      <c r="G842">
        <f>IF(ISBLANK(F842),MODE($F$2:$F$2001),F842)</f>
        <v>4</v>
      </c>
      <c r="H842">
        <v>751.63</v>
      </c>
      <c r="I842">
        <f>IF(ISBLANK(H842),AVERAGE($H$2:$H$2001),H842)</f>
        <v>751.63</v>
      </c>
      <c r="J842">
        <v>0.28000000000000003</v>
      </c>
      <c r="K842">
        <f>IF(ISBLANK(J842),MODE($J$2:$J$2001),J842)</f>
        <v>0.28000000000000003</v>
      </c>
      <c r="L842" t="s">
        <v>1829</v>
      </c>
      <c r="M842">
        <v>2164.6943999999999</v>
      </c>
      <c r="N842">
        <f t="shared" si="13"/>
        <v>2164.6943999999999</v>
      </c>
      <c r="O842" t="str">
        <f>_xlfn.XLOOKUP(Sales_fact[[#This Row],[Customer_ID]],'Customer_Dim'!A:A,'Customer_Dim'!K:K,"Not Found")</f>
        <v>Bronze</v>
      </c>
      <c r="P842">
        <f>_xlfn.XLOOKUP(Sales_fact[[#This Row],[Customer_ID]],'Customer_Dim'!A:A, 'Customer_Dim'!E:E, "Not Found")</f>
        <v>38</v>
      </c>
      <c r="Q842" t="str">
        <f>VLOOKUP(Sales_fact[[#This Row],[Customer_ID]], 'Customer_Dim'!A:F, 6, FALSE)</f>
        <v>Male</v>
      </c>
      <c r="R842" s="13" t="str">
        <f>_xlfn.XLOOKUP(Sales_fact[[#This Row],[Product_ID]],Product_Dim!A:A,Product_Dim!C:C,"OTHERS")</f>
        <v>Electronics</v>
      </c>
    </row>
    <row r="843" spans="1:18" x14ac:dyDescent="0.3">
      <c r="A843" t="s">
        <v>2667</v>
      </c>
      <c r="B843" s="2">
        <v>45380</v>
      </c>
      <c r="C843" t="s">
        <v>387</v>
      </c>
      <c r="D843" t="s">
        <v>1610</v>
      </c>
      <c r="E843" t="str">
        <f ca="1">TRIM(Sales_fact[[#This Row],[Store_ID]])</f>
        <v>STORE15</v>
      </c>
      <c r="F843">
        <v>3</v>
      </c>
      <c r="G843">
        <f>IF(ISBLANK(F843),MODE($F$2:$F$2001),F843)</f>
        <v>3</v>
      </c>
      <c r="H843">
        <v>108.14</v>
      </c>
      <c r="I843">
        <f>IF(ISBLANK(H843),AVERAGE($H$2:$H$2001),H843)</f>
        <v>108.14</v>
      </c>
      <c r="J843">
        <v>0.19</v>
      </c>
      <c r="K843">
        <f>IF(ISBLANK(J843),MODE($J$2:$J$2001),J843)</f>
        <v>0.19</v>
      </c>
      <c r="L843" t="s">
        <v>1829</v>
      </c>
      <c r="M843">
        <v>262.78019999999998</v>
      </c>
      <c r="N843">
        <f t="shared" si="13"/>
        <v>262.78020000000004</v>
      </c>
      <c r="O843" t="str">
        <f>_xlfn.XLOOKUP(Sales_fact[[#This Row],[Customer_ID]],'Customer_Dim'!A:A,'Customer_Dim'!K:K,"Not Found")</f>
        <v>Gold</v>
      </c>
      <c r="P843">
        <f>_xlfn.XLOOKUP(Sales_fact[[#This Row],[Customer_ID]],'Customer_Dim'!A:A, 'Customer_Dim'!E:E, "Not Found")</f>
        <v>40</v>
      </c>
      <c r="Q843" t="str">
        <f>VLOOKUP(Sales_fact[[#This Row],[Customer_ID]], 'Customer_Dim'!A:F, 6, FALSE)</f>
        <v>Female</v>
      </c>
      <c r="R843" s="13" t="str">
        <f>_xlfn.XLOOKUP(Sales_fact[[#This Row],[Product_ID]],Product_Dim!A:A,Product_Dim!C:C,"OTHERS")</f>
        <v>Sports</v>
      </c>
    </row>
    <row r="844" spans="1:18" x14ac:dyDescent="0.3">
      <c r="A844" t="s">
        <v>2668</v>
      </c>
      <c r="B844" s="2">
        <v>45446</v>
      </c>
      <c r="C844" t="s">
        <v>818</v>
      </c>
      <c r="D844" t="s">
        <v>1602</v>
      </c>
      <c r="E844" t="str">
        <f ca="1">TRIM(Sales_fact[[#This Row],[Store_ID]])</f>
        <v>STORE4</v>
      </c>
      <c r="F844">
        <v>1</v>
      </c>
      <c r="G844">
        <f>IF(ISBLANK(F844),MODE($F$2:$F$2001),F844)</f>
        <v>1</v>
      </c>
      <c r="H844">
        <v>964.11</v>
      </c>
      <c r="I844">
        <f>IF(ISBLANK(H844),AVERAGE($H$2:$H$2001),H844)</f>
        <v>964.11</v>
      </c>
      <c r="J844">
        <v>0.17</v>
      </c>
      <c r="K844">
        <f>IF(ISBLANK(J844),MODE($J$2:$J$2001),J844)</f>
        <v>0.17</v>
      </c>
      <c r="L844" t="s">
        <v>1829</v>
      </c>
      <c r="M844">
        <v>800.21129999999994</v>
      </c>
      <c r="N844">
        <f t="shared" si="13"/>
        <v>800.21129999999994</v>
      </c>
      <c r="O844" t="str">
        <f>_xlfn.XLOOKUP(Sales_fact[[#This Row],[Customer_ID]],'Customer_Dim'!A:A,'Customer_Dim'!K:K,"Not Found")</f>
        <v>Platinum</v>
      </c>
      <c r="P844">
        <f>_xlfn.XLOOKUP(Sales_fact[[#This Row],[Customer_ID]],'Customer_Dim'!A:A, 'Customer_Dim'!E:E, "Not Found")</f>
        <v>57</v>
      </c>
      <c r="Q844" t="str">
        <f>VLOOKUP(Sales_fact[[#This Row],[Customer_ID]], 'Customer_Dim'!A:F, 6, FALSE)</f>
        <v>Male</v>
      </c>
      <c r="R844" s="13" t="str">
        <f>_xlfn.XLOOKUP(Sales_fact[[#This Row],[Product_ID]],Product_Dim!A:A,Product_Dim!C:C,"OTHERS")</f>
        <v>Home</v>
      </c>
    </row>
    <row r="845" spans="1:18" x14ac:dyDescent="0.3">
      <c r="A845" t="s">
        <v>2669</v>
      </c>
      <c r="B845" s="2">
        <v>45525</v>
      </c>
      <c r="C845" t="s">
        <v>449</v>
      </c>
      <c r="D845" t="s">
        <v>1586</v>
      </c>
      <c r="E845" t="str">
        <f ca="1">TRIM(Sales_fact[[#This Row],[Store_ID]])</f>
        <v>STORE0</v>
      </c>
      <c r="F845">
        <v>1</v>
      </c>
      <c r="G845">
        <f>IF(ISBLANK(F845),MODE($F$2:$F$2001),F845)</f>
        <v>1</v>
      </c>
      <c r="H845">
        <v>346.2</v>
      </c>
      <c r="I845">
        <f>IF(ISBLANK(H845),AVERAGE($H$2:$H$2001),H845)</f>
        <v>346.2</v>
      </c>
      <c r="J845">
        <v>0.28999999999999998</v>
      </c>
      <c r="K845">
        <f>IF(ISBLANK(J845),MODE($J$2:$J$2001),J845)</f>
        <v>0.28999999999999998</v>
      </c>
      <c r="L845" t="s">
        <v>1824</v>
      </c>
      <c r="M845">
        <v>245.80199999999999</v>
      </c>
      <c r="N845">
        <f t="shared" si="13"/>
        <v>245.80199999999999</v>
      </c>
      <c r="O845" t="str">
        <f>_xlfn.XLOOKUP(Sales_fact[[#This Row],[Customer_ID]],'Customer_Dim'!A:A,'Customer_Dim'!K:K,"Not Found")</f>
        <v>Bronze</v>
      </c>
      <c r="P845">
        <f>_xlfn.XLOOKUP(Sales_fact[[#This Row],[Customer_ID]],'Customer_Dim'!A:A, 'Customer_Dim'!E:E, "Not Found")</f>
        <v>34</v>
      </c>
      <c r="Q845" t="str">
        <f>VLOOKUP(Sales_fact[[#This Row],[Customer_ID]], 'Customer_Dim'!A:F, 6, FALSE)</f>
        <v>Female</v>
      </c>
      <c r="R845" s="13" t="str">
        <f>_xlfn.XLOOKUP(Sales_fact[[#This Row],[Product_ID]],Product_Dim!A:A,Product_Dim!C:C,"OTHERS")</f>
        <v>Sports</v>
      </c>
    </row>
    <row r="846" spans="1:18" x14ac:dyDescent="0.3">
      <c r="A846" t="s">
        <v>2670</v>
      </c>
      <c r="B846" s="2">
        <v>45527</v>
      </c>
      <c r="C846" t="s">
        <v>1411</v>
      </c>
      <c r="D846" t="s">
        <v>1634</v>
      </c>
      <c r="E846" t="str">
        <f ca="1">TRIM(Sales_fact[[#This Row],[Store_ID]])</f>
        <v>STORE15</v>
      </c>
      <c r="F846">
        <v>3</v>
      </c>
      <c r="G846">
        <f>IF(ISBLANK(F846),MODE($F$2:$F$2001),F846)</f>
        <v>3</v>
      </c>
      <c r="H846">
        <v>791.75</v>
      </c>
      <c r="I846">
        <f>IF(ISBLANK(H846),AVERAGE($H$2:$H$2001),H846)</f>
        <v>791.75</v>
      </c>
      <c r="J846">
        <v>0.28999999999999998</v>
      </c>
      <c r="K846">
        <f>IF(ISBLANK(J846),MODE($J$2:$J$2001),J846)</f>
        <v>0.28999999999999998</v>
      </c>
      <c r="L846" t="s">
        <v>1824</v>
      </c>
      <c r="M846">
        <v>1686.4275</v>
      </c>
      <c r="N846">
        <f t="shared" si="13"/>
        <v>1686.4275</v>
      </c>
      <c r="O846" t="str">
        <f>_xlfn.XLOOKUP(Sales_fact[[#This Row],[Customer_ID]],'Customer_Dim'!A:A,'Customer_Dim'!K:K,"Not Found")</f>
        <v>Platinum</v>
      </c>
      <c r="P846">
        <f>_xlfn.XLOOKUP(Sales_fact[[#This Row],[Customer_ID]],'Customer_Dim'!A:A, 'Customer_Dim'!E:E, "Not Found")</f>
        <v>59</v>
      </c>
      <c r="Q846" t="str">
        <f>VLOOKUP(Sales_fact[[#This Row],[Customer_ID]], 'Customer_Dim'!A:F, 6, FALSE)</f>
        <v>Male</v>
      </c>
      <c r="R846" s="13" t="str">
        <f>_xlfn.XLOOKUP(Sales_fact[[#This Row],[Product_ID]],Product_Dim!A:A,Product_Dim!C:C,"OTHERS")</f>
        <v>Electronics</v>
      </c>
    </row>
    <row r="847" spans="1:18" x14ac:dyDescent="0.3">
      <c r="A847" t="s">
        <v>2671</v>
      </c>
      <c r="B847" s="2">
        <v>45265</v>
      </c>
      <c r="C847" t="s">
        <v>1005</v>
      </c>
      <c r="D847" t="s">
        <v>1626</v>
      </c>
      <c r="E847" t="str">
        <f ca="1">TRIM(Sales_fact[[#This Row],[Store_ID]])</f>
        <v>STORE13</v>
      </c>
      <c r="F847">
        <v>1</v>
      </c>
      <c r="G847">
        <f>IF(ISBLANK(F847),MODE($F$2:$F$2001),F847)</f>
        <v>1</v>
      </c>
      <c r="H847">
        <v>529.84</v>
      </c>
      <c r="I847">
        <f>IF(ISBLANK(H847),AVERAGE($H$2:$H$2001),H847)</f>
        <v>529.84</v>
      </c>
      <c r="J847">
        <v>0.13</v>
      </c>
      <c r="K847">
        <f>IF(ISBLANK(J847),MODE($J$2:$J$2001),J847)</f>
        <v>0.13</v>
      </c>
      <c r="L847" t="s">
        <v>1826</v>
      </c>
      <c r="M847">
        <v>460.96080000000001</v>
      </c>
      <c r="N847">
        <f t="shared" si="13"/>
        <v>460.96080000000001</v>
      </c>
      <c r="O847" t="str">
        <f>_xlfn.XLOOKUP(Sales_fact[[#This Row],[Customer_ID]],'Customer_Dim'!A:A,'Customer_Dim'!K:K,"Not Found")</f>
        <v>Platinum</v>
      </c>
      <c r="P847">
        <f>_xlfn.XLOOKUP(Sales_fact[[#This Row],[Customer_ID]],'Customer_Dim'!A:A, 'Customer_Dim'!E:E, "Not Found")</f>
        <v>54</v>
      </c>
      <c r="Q847" t="str">
        <f>VLOOKUP(Sales_fact[[#This Row],[Customer_ID]], 'Customer_Dim'!A:F, 6, FALSE)</f>
        <v>Male</v>
      </c>
      <c r="R847" s="13" t="str">
        <f>_xlfn.XLOOKUP(Sales_fact[[#This Row],[Product_ID]],Product_Dim!A:A,Product_Dim!C:C,"OTHERS")</f>
        <v>Electronics</v>
      </c>
    </row>
    <row r="848" spans="1:18" x14ac:dyDescent="0.3">
      <c r="A848" t="s">
        <v>2672</v>
      </c>
      <c r="B848" s="2">
        <v>45936</v>
      </c>
      <c r="C848" t="s">
        <v>1452</v>
      </c>
      <c r="D848" t="s">
        <v>1656</v>
      </c>
      <c r="E848" t="str">
        <f ca="1">TRIM(Sales_fact[[#This Row],[Store_ID]])</f>
        <v>STORE3</v>
      </c>
      <c r="F848">
        <v>3</v>
      </c>
      <c r="G848">
        <f>IF(ISBLANK(F848),MODE($F$2:$F$2001),F848)</f>
        <v>3</v>
      </c>
      <c r="H848">
        <v>582.57000000000005</v>
      </c>
      <c r="I848">
        <f>IF(ISBLANK(H848),AVERAGE($H$2:$H$2001),H848)</f>
        <v>582.57000000000005</v>
      </c>
      <c r="J848">
        <v>0.11</v>
      </c>
      <c r="K848">
        <f>IF(ISBLANK(J848),MODE($J$2:$J$2001),J848)</f>
        <v>0.11</v>
      </c>
      <c r="L848" t="s">
        <v>1826</v>
      </c>
      <c r="M848">
        <v>1555.4619</v>
      </c>
      <c r="N848">
        <f t="shared" si="13"/>
        <v>1555.4619</v>
      </c>
      <c r="O848" t="str">
        <f>_xlfn.XLOOKUP(Sales_fact[[#This Row],[Customer_ID]],'Customer_Dim'!A:A,'Customer_Dim'!K:K,"Not Found")</f>
        <v>Platinum</v>
      </c>
      <c r="P848">
        <f>_xlfn.XLOOKUP(Sales_fact[[#This Row],[Customer_ID]],'Customer_Dim'!A:A, 'Customer_Dim'!E:E, "Not Found")</f>
        <v>42</v>
      </c>
      <c r="Q848" t="str">
        <f>VLOOKUP(Sales_fact[[#This Row],[Customer_ID]], 'Customer_Dim'!A:F, 6, FALSE)</f>
        <v>Male</v>
      </c>
      <c r="R848" s="13" t="str">
        <f>_xlfn.XLOOKUP(Sales_fact[[#This Row],[Product_ID]],Product_Dim!A:A,Product_Dim!C:C,"OTHERS")</f>
        <v>Sports</v>
      </c>
    </row>
    <row r="849" spans="1:18" x14ac:dyDescent="0.3">
      <c r="A849" t="s">
        <v>2673</v>
      </c>
      <c r="B849" s="2">
        <v>45242</v>
      </c>
      <c r="C849" t="s">
        <v>687</v>
      </c>
      <c r="D849" t="s">
        <v>1738</v>
      </c>
      <c r="E849" t="str">
        <f ca="1">TRIM(Sales_fact[[#This Row],[Store_ID]])</f>
        <v>STORE17</v>
      </c>
      <c r="F849">
        <v>1</v>
      </c>
      <c r="G849">
        <f>IF(ISBLANK(F849),MODE($F$2:$F$2001),F849)</f>
        <v>1</v>
      </c>
      <c r="H849">
        <v>219.81</v>
      </c>
      <c r="I849">
        <f>IF(ISBLANK(H849),AVERAGE($H$2:$H$2001),H849)</f>
        <v>219.81</v>
      </c>
      <c r="J849">
        <v>0.22</v>
      </c>
      <c r="K849">
        <f>IF(ISBLANK(J849),MODE($J$2:$J$2001),J849)</f>
        <v>0.22</v>
      </c>
      <c r="L849" t="s">
        <v>1829</v>
      </c>
      <c r="M849">
        <v>171.45179999999999</v>
      </c>
      <c r="N849">
        <f t="shared" si="13"/>
        <v>171.45180000000002</v>
      </c>
      <c r="O849" t="str">
        <f>_xlfn.XLOOKUP(Sales_fact[[#This Row],[Customer_ID]],'Customer_Dim'!A:A,'Customer_Dim'!K:K,"Not Found")</f>
        <v>Silver</v>
      </c>
      <c r="P849">
        <f>_xlfn.XLOOKUP(Sales_fact[[#This Row],[Customer_ID]],'Customer_Dim'!A:A, 'Customer_Dim'!E:E, "Not Found")</f>
        <v>20</v>
      </c>
      <c r="Q849" t="str">
        <f>VLOOKUP(Sales_fact[[#This Row],[Customer_ID]], 'Customer_Dim'!A:F, 6, FALSE)</f>
        <v>Female</v>
      </c>
      <c r="R849" s="13" t="str">
        <f>_xlfn.XLOOKUP(Sales_fact[[#This Row],[Product_ID]],Product_Dim!A:A,Product_Dim!C:C,"OTHERS")</f>
        <v>Sports</v>
      </c>
    </row>
    <row r="850" spans="1:18" x14ac:dyDescent="0.3">
      <c r="A850" t="s">
        <v>2674</v>
      </c>
      <c r="B850" s="2">
        <v>45437</v>
      </c>
      <c r="C850" t="s">
        <v>1527</v>
      </c>
      <c r="D850" t="s">
        <v>1688</v>
      </c>
      <c r="E850" t="str">
        <f ca="1">TRIM(Sales_fact[[#This Row],[Store_ID]])</f>
        <v>STORE18</v>
      </c>
      <c r="F850">
        <v>4</v>
      </c>
      <c r="G850">
        <f>IF(ISBLANK(F850),MODE($F$2:$F$2001),F850)</f>
        <v>4</v>
      </c>
      <c r="H850">
        <v>883.31</v>
      </c>
      <c r="I850">
        <f>IF(ISBLANK(H850),AVERAGE($H$2:$H$2001),H850)</f>
        <v>883.31</v>
      </c>
      <c r="J850">
        <v>0.27</v>
      </c>
      <c r="K850">
        <f>IF(ISBLANK(J850),MODE($J$2:$J$2001),J850)</f>
        <v>0.27</v>
      </c>
      <c r="L850" t="s">
        <v>1824</v>
      </c>
      <c r="M850">
        <v>2579.2651999999998</v>
      </c>
      <c r="N850">
        <f t="shared" si="13"/>
        <v>2579.2651999999998</v>
      </c>
      <c r="O850" t="str">
        <f>_xlfn.XLOOKUP(Sales_fact[[#This Row],[Customer_ID]],'Customer_Dim'!A:A,'Customer_Dim'!K:K,"Not Found")</f>
        <v>Gold</v>
      </c>
      <c r="P850">
        <f>_xlfn.XLOOKUP(Sales_fact[[#This Row],[Customer_ID]],'Customer_Dim'!A:A, 'Customer_Dim'!E:E, "Not Found")</f>
        <v>47</v>
      </c>
      <c r="Q850" t="str">
        <f>VLOOKUP(Sales_fact[[#This Row],[Customer_ID]], 'Customer_Dim'!A:F, 6, FALSE)</f>
        <v>Female</v>
      </c>
      <c r="R850" s="13" t="str">
        <f>_xlfn.XLOOKUP(Sales_fact[[#This Row],[Product_ID]],Product_Dim!A:A,Product_Dim!C:C,"OTHERS")</f>
        <v>Home</v>
      </c>
    </row>
    <row r="851" spans="1:18" x14ac:dyDescent="0.3">
      <c r="A851" t="s">
        <v>2675</v>
      </c>
      <c r="B851" s="2">
        <v>45627</v>
      </c>
      <c r="C851" t="s">
        <v>752</v>
      </c>
      <c r="D851" t="s">
        <v>1582</v>
      </c>
      <c r="E851" t="str">
        <f ca="1">TRIM(Sales_fact[[#This Row],[Store_ID]])</f>
        <v>STORE14</v>
      </c>
      <c r="F851">
        <v>4</v>
      </c>
      <c r="G851">
        <f>IF(ISBLANK(F851),MODE($F$2:$F$2001),F851)</f>
        <v>4</v>
      </c>
      <c r="H851">
        <v>329.06</v>
      </c>
      <c r="I851">
        <f>IF(ISBLANK(H851),AVERAGE($H$2:$H$2001),H851)</f>
        <v>329.06</v>
      </c>
      <c r="J851">
        <v>0.04</v>
      </c>
      <c r="K851">
        <f>IF(ISBLANK(J851),MODE($J$2:$J$2001),J851)</f>
        <v>0.04</v>
      </c>
      <c r="L851" t="s">
        <v>1829</v>
      </c>
      <c r="M851">
        <v>1263.5904</v>
      </c>
      <c r="N851">
        <f t="shared" si="13"/>
        <v>1263.5904</v>
      </c>
      <c r="O851" t="str">
        <f>_xlfn.XLOOKUP(Sales_fact[[#This Row],[Customer_ID]],'Customer_Dim'!A:A,'Customer_Dim'!K:K,"Not Found")</f>
        <v>Gold</v>
      </c>
      <c r="P851">
        <f>_xlfn.XLOOKUP(Sales_fact[[#This Row],[Customer_ID]],'Customer_Dim'!A:A, 'Customer_Dim'!E:E, "Not Found")</f>
        <v>43</v>
      </c>
      <c r="Q851" t="str">
        <f>VLOOKUP(Sales_fact[[#This Row],[Customer_ID]], 'Customer_Dim'!A:F, 6, FALSE)</f>
        <v>Female</v>
      </c>
      <c r="R851" s="13" t="str">
        <f>_xlfn.XLOOKUP(Sales_fact[[#This Row],[Product_ID]],Product_Dim!A:A,Product_Dim!C:C,"OTHERS")</f>
        <v>Sports</v>
      </c>
    </row>
    <row r="852" spans="1:18" x14ac:dyDescent="0.3">
      <c r="A852" t="s">
        <v>2676</v>
      </c>
      <c r="B852" s="2">
        <v>45678</v>
      </c>
      <c r="C852" t="s">
        <v>372</v>
      </c>
      <c r="D852" t="s">
        <v>1684</v>
      </c>
      <c r="E852" t="str">
        <f ca="1">TRIM(Sales_fact[[#This Row],[Store_ID]])</f>
        <v>STORE11</v>
      </c>
      <c r="F852">
        <v>1</v>
      </c>
      <c r="G852">
        <f>IF(ISBLANK(F852),MODE($F$2:$F$2001),F852)</f>
        <v>1</v>
      </c>
      <c r="H852">
        <v>935.78</v>
      </c>
      <c r="I852">
        <f>IF(ISBLANK(H852),AVERAGE($H$2:$H$2001),H852)</f>
        <v>935.78</v>
      </c>
      <c r="J852">
        <v>0.03</v>
      </c>
      <c r="K852">
        <f>IF(ISBLANK(J852),MODE($J$2:$J$2001),J852)</f>
        <v>0.03</v>
      </c>
      <c r="L852" t="s">
        <v>1826</v>
      </c>
      <c r="M852">
        <v>907.70659999999998</v>
      </c>
      <c r="N852">
        <f t="shared" si="13"/>
        <v>907.70659999999998</v>
      </c>
      <c r="O852" t="str">
        <f>_xlfn.XLOOKUP(Sales_fact[[#This Row],[Customer_ID]],'Customer_Dim'!A:A,'Customer_Dim'!K:K,"Not Found")</f>
        <v>Gold</v>
      </c>
      <c r="P852">
        <f>_xlfn.XLOOKUP(Sales_fact[[#This Row],[Customer_ID]],'Customer_Dim'!A:A, 'Customer_Dim'!E:E, "Not Found")</f>
        <v>50</v>
      </c>
      <c r="Q852" t="str">
        <f>VLOOKUP(Sales_fact[[#This Row],[Customer_ID]], 'Customer_Dim'!A:F, 6, FALSE)</f>
        <v>Female</v>
      </c>
      <c r="R852" s="13" t="str">
        <f>_xlfn.XLOOKUP(Sales_fact[[#This Row],[Product_ID]],Product_Dim!A:A,Product_Dim!C:C,"OTHERS")</f>
        <v>Home</v>
      </c>
    </row>
    <row r="853" spans="1:18" x14ac:dyDescent="0.3">
      <c r="A853" t="s">
        <v>2677</v>
      </c>
      <c r="B853" s="2">
        <v>45484</v>
      </c>
      <c r="C853" t="s">
        <v>1008</v>
      </c>
      <c r="D853" t="s">
        <v>1668</v>
      </c>
      <c r="E853" t="str">
        <f ca="1">TRIM(Sales_fact[[#This Row],[Store_ID]])</f>
        <v>STORE10</v>
      </c>
      <c r="F853">
        <v>4</v>
      </c>
      <c r="G853">
        <f>IF(ISBLANK(F853),MODE($F$2:$F$2001),F853)</f>
        <v>4</v>
      </c>
      <c r="H853">
        <v>597.79999999999995</v>
      </c>
      <c r="I853">
        <f>IF(ISBLANK(H853),AVERAGE($H$2:$H$2001),H853)</f>
        <v>597.79999999999995</v>
      </c>
      <c r="J853">
        <v>0.2</v>
      </c>
      <c r="K853">
        <f>IF(ISBLANK(J853),MODE($J$2:$J$2001),J853)</f>
        <v>0.2</v>
      </c>
      <c r="L853" t="s">
        <v>1824</v>
      </c>
      <c r="M853">
        <v>1912.96</v>
      </c>
      <c r="N853">
        <f t="shared" si="13"/>
        <v>1912.96</v>
      </c>
      <c r="O853" t="str">
        <f>_xlfn.XLOOKUP(Sales_fact[[#This Row],[Customer_ID]],'Customer_Dim'!A:A,'Customer_Dim'!K:K,"Not Found")</f>
        <v>Bronze</v>
      </c>
      <c r="P853">
        <f>_xlfn.XLOOKUP(Sales_fact[[#This Row],[Customer_ID]],'Customer_Dim'!A:A, 'Customer_Dim'!E:E, "Not Found")</f>
        <v>34</v>
      </c>
      <c r="Q853" t="str">
        <f>VLOOKUP(Sales_fact[[#This Row],[Customer_ID]], 'Customer_Dim'!A:F, 6, FALSE)</f>
        <v>Female</v>
      </c>
      <c r="R853" s="13" t="str">
        <f>_xlfn.XLOOKUP(Sales_fact[[#This Row],[Product_ID]],Product_Dim!A:A,Product_Dim!C:C,"OTHERS")</f>
        <v>Beauty</v>
      </c>
    </row>
    <row r="854" spans="1:18" x14ac:dyDescent="0.3">
      <c r="A854" t="s">
        <v>2678</v>
      </c>
      <c r="B854" s="2">
        <v>45700</v>
      </c>
      <c r="C854" t="s">
        <v>827</v>
      </c>
      <c r="D854" t="s">
        <v>1574</v>
      </c>
      <c r="E854" t="str">
        <f ca="1">TRIM(Sales_fact[[#This Row],[Store_ID]])</f>
        <v>STORE18</v>
      </c>
      <c r="F854">
        <v>4</v>
      </c>
      <c r="G854">
        <f>IF(ISBLANK(F854),MODE($F$2:$F$2001),F854)</f>
        <v>4</v>
      </c>
      <c r="H854">
        <v>266.98</v>
      </c>
      <c r="I854">
        <f>IF(ISBLANK(H854),AVERAGE($H$2:$H$2001),H854)</f>
        <v>266.98</v>
      </c>
      <c r="J854">
        <v>0.16</v>
      </c>
      <c r="K854">
        <f>IF(ISBLANK(J854),MODE($J$2:$J$2001),J854)</f>
        <v>0.16</v>
      </c>
      <c r="L854" t="s">
        <v>1824</v>
      </c>
      <c r="M854">
        <v>897.05280000000005</v>
      </c>
      <c r="N854">
        <f t="shared" si="13"/>
        <v>897.05280000000005</v>
      </c>
      <c r="O854" t="str">
        <f>_xlfn.XLOOKUP(Sales_fact[[#This Row],[Customer_ID]],'Customer_Dim'!A:A,'Customer_Dim'!K:K,"Not Found")</f>
        <v>Silver</v>
      </c>
      <c r="P854">
        <f>_xlfn.XLOOKUP(Sales_fact[[#This Row],[Customer_ID]],'Customer_Dim'!A:A, 'Customer_Dim'!E:E, "Not Found")</f>
        <v>32</v>
      </c>
      <c r="Q854" t="str">
        <f>VLOOKUP(Sales_fact[[#This Row],[Customer_ID]], 'Customer_Dim'!A:F, 6, FALSE)</f>
        <v>Female</v>
      </c>
      <c r="R854" s="13" t="str">
        <f>_xlfn.XLOOKUP(Sales_fact[[#This Row],[Product_ID]],Product_Dim!A:A,Product_Dim!C:C,"OTHERS")</f>
        <v>Electronics</v>
      </c>
    </row>
    <row r="855" spans="1:18" x14ac:dyDescent="0.3">
      <c r="A855" t="s">
        <v>2679</v>
      </c>
      <c r="B855" s="2">
        <v>45873</v>
      </c>
      <c r="C855" t="s">
        <v>1266</v>
      </c>
      <c r="D855" t="s">
        <v>1688</v>
      </c>
      <c r="E855" t="str">
        <f ca="1">TRIM(Sales_fact[[#This Row],[Store_ID]])</f>
        <v>STORE15</v>
      </c>
      <c r="F855">
        <v>3</v>
      </c>
      <c r="G855">
        <f>IF(ISBLANK(F855),MODE($F$2:$F$2001),F855)</f>
        <v>3</v>
      </c>
      <c r="H855">
        <v>360.18</v>
      </c>
      <c r="I855">
        <f>IF(ISBLANK(H855),AVERAGE($H$2:$H$2001),H855)</f>
        <v>360.18</v>
      </c>
      <c r="J855">
        <v>0.03</v>
      </c>
      <c r="K855">
        <f>IF(ISBLANK(J855),MODE($J$2:$J$2001),J855)</f>
        <v>0.03</v>
      </c>
      <c r="L855" t="s">
        <v>1824</v>
      </c>
      <c r="M855">
        <v>1048.1238000000001</v>
      </c>
      <c r="N855">
        <f t="shared" si="13"/>
        <v>1048.1237999999998</v>
      </c>
      <c r="O855" t="str">
        <f>_xlfn.XLOOKUP(Sales_fact[[#This Row],[Customer_ID]],'Customer_Dim'!A:A,'Customer_Dim'!K:K,"Not Found")</f>
        <v>Gold</v>
      </c>
      <c r="P855">
        <f>_xlfn.XLOOKUP(Sales_fact[[#This Row],[Customer_ID]],'Customer_Dim'!A:A, 'Customer_Dim'!E:E, "Not Found")</f>
        <v>33</v>
      </c>
      <c r="Q855" t="str">
        <f>VLOOKUP(Sales_fact[[#This Row],[Customer_ID]], 'Customer_Dim'!A:F, 6, FALSE)</f>
        <v>Male</v>
      </c>
      <c r="R855" s="13" t="str">
        <f>_xlfn.XLOOKUP(Sales_fact[[#This Row],[Product_ID]],Product_Dim!A:A,Product_Dim!C:C,"OTHERS")</f>
        <v>Home</v>
      </c>
    </row>
    <row r="856" spans="1:18" x14ac:dyDescent="0.3">
      <c r="A856" t="s">
        <v>2680</v>
      </c>
      <c r="B856" s="2">
        <v>45860</v>
      </c>
      <c r="C856" t="s">
        <v>1136</v>
      </c>
      <c r="D856" t="s">
        <v>1660</v>
      </c>
      <c r="E856" t="str">
        <f ca="1">TRIM(Sales_fact[[#This Row],[Store_ID]])</f>
        <v>STORE0</v>
      </c>
      <c r="F856">
        <v>3</v>
      </c>
      <c r="G856">
        <f>IF(ISBLANK(F856),MODE($F$2:$F$2001),F856)</f>
        <v>3</v>
      </c>
      <c r="H856">
        <v>247.41</v>
      </c>
      <c r="I856">
        <f>IF(ISBLANK(H856),AVERAGE($H$2:$H$2001),H856)</f>
        <v>247.41</v>
      </c>
      <c r="J856">
        <v>0.05</v>
      </c>
      <c r="K856">
        <f>IF(ISBLANK(J856),MODE($J$2:$J$2001),J856)</f>
        <v>0.05</v>
      </c>
      <c r="L856" t="s">
        <v>1829</v>
      </c>
      <c r="M856">
        <v>705.11850000000004</v>
      </c>
      <c r="N856">
        <f t="shared" si="13"/>
        <v>705.11850000000004</v>
      </c>
      <c r="O856" t="str">
        <f>_xlfn.XLOOKUP(Sales_fact[[#This Row],[Customer_ID]],'Customer_Dim'!A:A,'Customer_Dim'!K:K,"Not Found")</f>
        <v>Bronze</v>
      </c>
      <c r="P856">
        <f>_xlfn.XLOOKUP(Sales_fact[[#This Row],[Customer_ID]],'Customer_Dim'!A:A, 'Customer_Dim'!E:E, "Not Found")</f>
        <v>23</v>
      </c>
      <c r="Q856" t="str">
        <f>VLOOKUP(Sales_fact[[#This Row],[Customer_ID]], 'Customer_Dim'!A:F, 6, FALSE)</f>
        <v>Male</v>
      </c>
      <c r="R856" s="13" t="str">
        <f>_xlfn.XLOOKUP(Sales_fact[[#This Row],[Product_ID]],Product_Dim!A:A,Product_Dim!C:C,"OTHERS")</f>
        <v>Home</v>
      </c>
    </row>
    <row r="857" spans="1:18" x14ac:dyDescent="0.3">
      <c r="A857" t="s">
        <v>2681</v>
      </c>
      <c r="B857" s="2">
        <v>45235</v>
      </c>
      <c r="C857" t="s">
        <v>284</v>
      </c>
      <c r="D857" t="s">
        <v>1638</v>
      </c>
      <c r="E857" t="str">
        <f ca="1">TRIM(Sales_fact[[#This Row],[Store_ID]])</f>
        <v>STORE15</v>
      </c>
      <c r="F857">
        <v>3</v>
      </c>
      <c r="G857">
        <f>IF(ISBLANK(F857),MODE($F$2:$F$2001),F857)</f>
        <v>3</v>
      </c>
      <c r="H857">
        <v>674.66</v>
      </c>
      <c r="I857">
        <f>IF(ISBLANK(H857),AVERAGE($H$2:$H$2001),H857)</f>
        <v>674.66</v>
      </c>
      <c r="J857">
        <v>0.23</v>
      </c>
      <c r="K857">
        <f>IF(ISBLANK(J857),MODE($J$2:$J$2001),J857)</f>
        <v>0.23</v>
      </c>
      <c r="L857" t="s">
        <v>1824</v>
      </c>
      <c r="M857">
        <v>1558.4646</v>
      </c>
      <c r="N857">
        <f t="shared" si="13"/>
        <v>1558.4646</v>
      </c>
      <c r="O857" t="str">
        <f>_xlfn.XLOOKUP(Sales_fact[[#This Row],[Customer_ID]],'Customer_Dim'!A:A,'Customer_Dim'!K:K,"Not Found")</f>
        <v>Gold</v>
      </c>
      <c r="P857">
        <f>_xlfn.XLOOKUP(Sales_fact[[#This Row],[Customer_ID]],'Customer_Dim'!A:A, 'Customer_Dim'!E:E, "Not Found")</f>
        <v>21</v>
      </c>
      <c r="Q857" t="str">
        <f>VLOOKUP(Sales_fact[[#This Row],[Customer_ID]], 'Customer_Dim'!A:F, 6, FALSE)</f>
        <v>Male</v>
      </c>
      <c r="R857" s="13" t="str">
        <f>_xlfn.XLOOKUP(Sales_fact[[#This Row],[Product_ID]],Product_Dim!A:A,Product_Dim!C:C,"OTHERS")</f>
        <v>Sports</v>
      </c>
    </row>
    <row r="858" spans="1:18" x14ac:dyDescent="0.3">
      <c r="A858" t="s">
        <v>2682</v>
      </c>
      <c r="B858" s="2">
        <v>45874</v>
      </c>
      <c r="C858" t="s">
        <v>1289</v>
      </c>
      <c r="D858" t="s">
        <v>1632</v>
      </c>
      <c r="E858" t="str">
        <f ca="1">TRIM(Sales_fact[[#This Row],[Store_ID]])</f>
        <v>STORE4</v>
      </c>
      <c r="F858">
        <v>1</v>
      </c>
      <c r="G858">
        <f>IF(ISBLANK(F858),MODE($F$2:$F$2001),F858)</f>
        <v>1</v>
      </c>
      <c r="H858">
        <v>913.98</v>
      </c>
      <c r="I858">
        <f>IF(ISBLANK(H858),AVERAGE($H$2:$H$2001),H858)</f>
        <v>913.98</v>
      </c>
      <c r="J858">
        <v>0.27</v>
      </c>
      <c r="K858">
        <f>IF(ISBLANK(J858),MODE($J$2:$J$2001),J858)</f>
        <v>0.27</v>
      </c>
      <c r="L858" t="s">
        <v>1826</v>
      </c>
      <c r="M858">
        <v>667.20539999999994</v>
      </c>
      <c r="N858">
        <f t="shared" si="13"/>
        <v>667.20539999999994</v>
      </c>
      <c r="O858" t="str">
        <f>_xlfn.XLOOKUP(Sales_fact[[#This Row],[Customer_ID]],'Customer_Dim'!A:A,'Customer_Dim'!K:K,"Not Found")</f>
        <v>Silver</v>
      </c>
      <c r="P858">
        <f>_xlfn.XLOOKUP(Sales_fact[[#This Row],[Customer_ID]],'Customer_Dim'!A:A, 'Customer_Dim'!E:E, "Not Found")</f>
        <v>26</v>
      </c>
      <c r="Q858" t="str">
        <f>VLOOKUP(Sales_fact[[#This Row],[Customer_ID]], 'Customer_Dim'!A:F, 6, FALSE)</f>
        <v>Female</v>
      </c>
      <c r="R858" s="13" t="str">
        <f>_xlfn.XLOOKUP(Sales_fact[[#This Row],[Product_ID]],Product_Dim!A:A,Product_Dim!C:C,"OTHERS")</f>
        <v>Electronics</v>
      </c>
    </row>
    <row r="859" spans="1:18" x14ac:dyDescent="0.3">
      <c r="A859" t="s">
        <v>2683</v>
      </c>
      <c r="B859" s="2">
        <v>45769</v>
      </c>
      <c r="C859" t="s">
        <v>990</v>
      </c>
      <c r="D859" t="s">
        <v>1734</v>
      </c>
      <c r="E859" t="str">
        <f ca="1">TRIM(Sales_fact[[#This Row],[Store_ID]])</f>
        <v>STORE10</v>
      </c>
      <c r="F859">
        <v>4</v>
      </c>
      <c r="G859">
        <f>IF(ISBLANK(F859),MODE($F$2:$F$2001),F859)</f>
        <v>4</v>
      </c>
      <c r="H859">
        <v>370.5</v>
      </c>
      <c r="I859">
        <f>IF(ISBLANK(H859),AVERAGE($H$2:$H$2001),H859)</f>
        <v>370.5</v>
      </c>
      <c r="J859">
        <v>0.13</v>
      </c>
      <c r="K859">
        <f>IF(ISBLANK(J859),MODE($J$2:$J$2001),J859)</f>
        <v>0.13</v>
      </c>
      <c r="L859" t="s">
        <v>1826</v>
      </c>
      <c r="M859">
        <v>1289.3399999999999</v>
      </c>
      <c r="N859">
        <f t="shared" si="13"/>
        <v>1289.3399999999999</v>
      </c>
      <c r="O859" t="str">
        <f>_xlfn.XLOOKUP(Sales_fact[[#This Row],[Customer_ID]],'Customer_Dim'!A:A,'Customer_Dim'!K:K,"Not Found")</f>
        <v>Silver</v>
      </c>
      <c r="P859">
        <f>_xlfn.XLOOKUP(Sales_fact[[#This Row],[Customer_ID]],'Customer_Dim'!A:A, 'Customer_Dim'!E:E, "Not Found")</f>
        <v>53</v>
      </c>
      <c r="Q859" t="str">
        <f>VLOOKUP(Sales_fact[[#This Row],[Customer_ID]], 'Customer_Dim'!A:F, 6, FALSE)</f>
        <v>Female</v>
      </c>
      <c r="R859" s="13" t="str">
        <f>_xlfn.XLOOKUP(Sales_fact[[#This Row],[Product_ID]],Product_Dim!A:A,Product_Dim!C:C,"OTHERS")</f>
        <v>Electronics</v>
      </c>
    </row>
    <row r="860" spans="1:18" x14ac:dyDescent="0.3">
      <c r="A860" t="s">
        <v>2684</v>
      </c>
      <c r="B860" s="2">
        <v>45619</v>
      </c>
      <c r="C860" t="s">
        <v>1121</v>
      </c>
      <c r="D860" t="s">
        <v>1692</v>
      </c>
      <c r="E860" t="str">
        <f ca="1">TRIM(Sales_fact[[#This Row],[Store_ID]])</f>
        <v>STORE13</v>
      </c>
      <c r="F860">
        <v>1</v>
      </c>
      <c r="G860">
        <f>IF(ISBLANK(F860),MODE($F$2:$F$2001),F860)</f>
        <v>1</v>
      </c>
      <c r="H860">
        <v>735.1</v>
      </c>
      <c r="I860">
        <f>IF(ISBLANK(H860),AVERAGE($H$2:$H$2001),H860)</f>
        <v>735.1</v>
      </c>
      <c r="J860">
        <v>0.1</v>
      </c>
      <c r="K860">
        <f>IF(ISBLANK(J860),MODE($J$2:$J$2001),J860)</f>
        <v>0.1</v>
      </c>
      <c r="L860" t="s">
        <v>1826</v>
      </c>
      <c r="M860">
        <v>661.59</v>
      </c>
      <c r="N860">
        <f t="shared" si="13"/>
        <v>661.59</v>
      </c>
      <c r="O860" t="str">
        <f>_xlfn.XLOOKUP(Sales_fact[[#This Row],[Customer_ID]],'Customer_Dim'!A:A,'Customer_Dim'!K:K,"Not Found")</f>
        <v>Gold</v>
      </c>
      <c r="P860">
        <f>_xlfn.XLOOKUP(Sales_fact[[#This Row],[Customer_ID]],'Customer_Dim'!A:A, 'Customer_Dim'!E:E, "Not Found")</f>
        <v>60</v>
      </c>
      <c r="Q860" t="str">
        <f>VLOOKUP(Sales_fact[[#This Row],[Customer_ID]], 'Customer_Dim'!A:F, 6, FALSE)</f>
        <v>Female</v>
      </c>
      <c r="R860" s="13" t="str">
        <f>_xlfn.XLOOKUP(Sales_fact[[#This Row],[Product_ID]],Product_Dim!A:A,Product_Dim!C:C,"OTHERS")</f>
        <v>Sports</v>
      </c>
    </row>
    <row r="861" spans="1:18" x14ac:dyDescent="0.3">
      <c r="A861" t="s">
        <v>2685</v>
      </c>
      <c r="B861" s="2">
        <v>45614</v>
      </c>
      <c r="C861" t="s">
        <v>461</v>
      </c>
      <c r="D861" t="s">
        <v>1706</v>
      </c>
      <c r="E861" t="str">
        <f ca="1">TRIM(Sales_fact[[#This Row],[Store_ID]])</f>
        <v>STORE2</v>
      </c>
      <c r="F861">
        <v>3</v>
      </c>
      <c r="G861">
        <f>IF(ISBLANK(F861),MODE($F$2:$F$2001),F861)</f>
        <v>3</v>
      </c>
      <c r="H861">
        <v>448.55</v>
      </c>
      <c r="I861">
        <f>IF(ISBLANK(H861),AVERAGE($H$2:$H$2001),H861)</f>
        <v>448.55</v>
      </c>
      <c r="J861">
        <v>0.05</v>
      </c>
      <c r="K861">
        <f>IF(ISBLANK(J861),MODE($J$2:$J$2001),J861)</f>
        <v>0.05</v>
      </c>
      <c r="L861" t="s">
        <v>1824</v>
      </c>
      <c r="M861">
        <v>1278.3675000000001</v>
      </c>
      <c r="N861">
        <f t="shared" si="13"/>
        <v>1278.3675000000001</v>
      </c>
      <c r="O861" t="str">
        <f>_xlfn.XLOOKUP(Sales_fact[[#This Row],[Customer_ID]],'Customer_Dim'!A:A,'Customer_Dim'!K:K,"Not Found")</f>
        <v>Platinum</v>
      </c>
      <c r="P861">
        <f>_xlfn.XLOOKUP(Sales_fact[[#This Row],[Customer_ID]],'Customer_Dim'!A:A, 'Customer_Dim'!E:E, "Not Found")</f>
        <v>33</v>
      </c>
      <c r="Q861" t="str">
        <f>VLOOKUP(Sales_fact[[#This Row],[Customer_ID]], 'Customer_Dim'!A:F, 6, FALSE)</f>
        <v>Female</v>
      </c>
      <c r="R861" s="13" t="str">
        <f>_xlfn.XLOOKUP(Sales_fact[[#This Row],[Product_ID]],Product_Dim!A:A,Product_Dim!C:C,"OTHERS")</f>
        <v>Home</v>
      </c>
    </row>
    <row r="862" spans="1:18" x14ac:dyDescent="0.3">
      <c r="A862" t="s">
        <v>2686</v>
      </c>
      <c r="B862" s="2">
        <v>45691</v>
      </c>
      <c r="C862" t="s">
        <v>221</v>
      </c>
      <c r="D862" t="s">
        <v>1716</v>
      </c>
      <c r="E862" t="str">
        <f ca="1">TRIM(Sales_fact[[#This Row],[Store_ID]])</f>
        <v>STORE13</v>
      </c>
      <c r="F862">
        <v>3</v>
      </c>
      <c r="G862">
        <f>IF(ISBLANK(F862),MODE($F$2:$F$2001),F862)</f>
        <v>3</v>
      </c>
      <c r="H862">
        <v>904.96</v>
      </c>
      <c r="I862">
        <f>IF(ISBLANK(H862),AVERAGE($H$2:$H$2001),H862)</f>
        <v>904.96</v>
      </c>
      <c r="J862">
        <v>7.0000000000000007E-2</v>
      </c>
      <c r="K862">
        <f>IF(ISBLANK(J862),MODE($J$2:$J$2001),J862)</f>
        <v>7.0000000000000007E-2</v>
      </c>
      <c r="L862" t="s">
        <v>1829</v>
      </c>
      <c r="M862">
        <v>2524.8384000000001</v>
      </c>
      <c r="N862">
        <f t="shared" si="13"/>
        <v>2524.8384000000001</v>
      </c>
      <c r="O862" t="str">
        <f>_xlfn.XLOOKUP(Sales_fact[[#This Row],[Customer_ID]],'Customer_Dim'!A:A,'Customer_Dim'!K:K,"Not Found")</f>
        <v>Platinum</v>
      </c>
      <c r="P862">
        <f>_xlfn.XLOOKUP(Sales_fact[[#This Row],[Customer_ID]],'Customer_Dim'!A:A, 'Customer_Dim'!E:E, "Not Found")</f>
        <v>53</v>
      </c>
      <c r="Q862" t="str">
        <f>VLOOKUP(Sales_fact[[#This Row],[Customer_ID]], 'Customer_Dim'!A:F, 6, FALSE)</f>
        <v>Male</v>
      </c>
      <c r="R862" s="13" t="str">
        <f>_xlfn.XLOOKUP(Sales_fact[[#This Row],[Product_ID]],Product_Dim!A:A,Product_Dim!C:C,"OTHERS")</f>
        <v>Home</v>
      </c>
    </row>
    <row r="863" spans="1:18" x14ac:dyDescent="0.3">
      <c r="A863" t="s">
        <v>2687</v>
      </c>
      <c r="B863" s="2">
        <v>45608</v>
      </c>
      <c r="C863" t="s">
        <v>1187</v>
      </c>
      <c r="D863" t="s">
        <v>1684</v>
      </c>
      <c r="E863" t="str">
        <f ca="1">TRIM(Sales_fact[[#This Row],[Store_ID]])</f>
        <v>STORE13</v>
      </c>
      <c r="F863">
        <v>4</v>
      </c>
      <c r="G863">
        <f>IF(ISBLANK(F863),MODE($F$2:$F$2001),F863)</f>
        <v>4</v>
      </c>
      <c r="H863">
        <v>408.72</v>
      </c>
      <c r="I863">
        <f>IF(ISBLANK(H863),AVERAGE($H$2:$H$2001),H863)</f>
        <v>408.72</v>
      </c>
      <c r="J863">
        <v>0.16</v>
      </c>
      <c r="K863">
        <f>IF(ISBLANK(J863),MODE($J$2:$J$2001),J863)</f>
        <v>0.16</v>
      </c>
      <c r="L863" t="s">
        <v>1829</v>
      </c>
      <c r="M863">
        <v>1373.2991999999999</v>
      </c>
      <c r="N863">
        <f t="shared" si="13"/>
        <v>1373.2991999999999</v>
      </c>
      <c r="O863" t="str">
        <f>_xlfn.XLOOKUP(Sales_fact[[#This Row],[Customer_ID]],'Customer_Dim'!A:A,'Customer_Dim'!K:K,"Not Found")</f>
        <v>Gold</v>
      </c>
      <c r="P863">
        <f>_xlfn.XLOOKUP(Sales_fact[[#This Row],[Customer_ID]],'Customer_Dim'!A:A, 'Customer_Dim'!E:E, "Not Found")</f>
        <v>23</v>
      </c>
      <c r="Q863" t="str">
        <f>VLOOKUP(Sales_fact[[#This Row],[Customer_ID]], 'Customer_Dim'!A:F, 6, FALSE)</f>
        <v>Male</v>
      </c>
      <c r="R863" s="13" t="str">
        <f>_xlfn.XLOOKUP(Sales_fact[[#This Row],[Product_ID]],Product_Dim!A:A,Product_Dim!C:C,"OTHERS")</f>
        <v>Home</v>
      </c>
    </row>
    <row r="864" spans="1:18" x14ac:dyDescent="0.3">
      <c r="A864" t="s">
        <v>2688</v>
      </c>
      <c r="B864" s="2">
        <v>45412</v>
      </c>
      <c r="C864" t="s">
        <v>896</v>
      </c>
      <c r="D864" t="s">
        <v>1690</v>
      </c>
      <c r="E864" t="str">
        <f ca="1">TRIM(Sales_fact[[#This Row],[Store_ID]])</f>
        <v>STORE3</v>
      </c>
      <c r="F864">
        <v>4</v>
      </c>
      <c r="G864">
        <f>IF(ISBLANK(F864),MODE($F$2:$F$2001),F864)</f>
        <v>4</v>
      </c>
      <c r="H864">
        <v>770.65</v>
      </c>
      <c r="I864">
        <f>IF(ISBLANK(H864),AVERAGE($H$2:$H$2001),H864)</f>
        <v>770.65</v>
      </c>
      <c r="J864">
        <v>0.27</v>
      </c>
      <c r="K864">
        <f>IF(ISBLANK(J864),MODE($J$2:$J$2001),J864)</f>
        <v>0.27</v>
      </c>
      <c r="L864" t="s">
        <v>1824</v>
      </c>
      <c r="M864">
        <v>2250.2979999999998</v>
      </c>
      <c r="N864">
        <f t="shared" si="13"/>
        <v>2250.2979999999998</v>
      </c>
      <c r="O864" t="str">
        <f>_xlfn.XLOOKUP(Sales_fact[[#This Row],[Customer_ID]],'Customer_Dim'!A:A,'Customer_Dim'!K:K,"Not Found")</f>
        <v>Gold</v>
      </c>
      <c r="P864">
        <f>_xlfn.XLOOKUP(Sales_fact[[#This Row],[Customer_ID]],'Customer_Dim'!A:A, 'Customer_Dim'!E:E, "Not Found")</f>
        <v>46</v>
      </c>
      <c r="Q864" t="str">
        <f>VLOOKUP(Sales_fact[[#This Row],[Customer_ID]], 'Customer_Dim'!A:F, 6, FALSE)</f>
        <v>Female</v>
      </c>
      <c r="R864" s="13" t="str">
        <f>_xlfn.XLOOKUP(Sales_fact[[#This Row],[Product_ID]],Product_Dim!A:A,Product_Dim!C:C,"OTHERS")</f>
        <v>Beauty</v>
      </c>
    </row>
    <row r="865" spans="1:18" x14ac:dyDescent="0.3">
      <c r="A865" t="s">
        <v>2689</v>
      </c>
      <c r="B865" s="2">
        <v>45767</v>
      </c>
      <c r="C865" t="s">
        <v>663</v>
      </c>
      <c r="D865" t="s">
        <v>1608</v>
      </c>
      <c r="E865" t="str">
        <f ca="1">TRIM(Sales_fact[[#This Row],[Store_ID]])</f>
        <v>STORE6</v>
      </c>
      <c r="F865">
        <v>1</v>
      </c>
      <c r="G865">
        <f>IF(ISBLANK(F865),MODE($F$2:$F$2001),F865)</f>
        <v>1</v>
      </c>
      <c r="H865">
        <v>649.22</v>
      </c>
      <c r="I865">
        <f>IF(ISBLANK(H865),AVERAGE($H$2:$H$2001),H865)</f>
        <v>649.22</v>
      </c>
      <c r="J865">
        <v>0.03</v>
      </c>
      <c r="K865">
        <f>IF(ISBLANK(J865),MODE($J$2:$J$2001),J865)</f>
        <v>0.03</v>
      </c>
      <c r="L865" t="s">
        <v>1829</v>
      </c>
      <c r="M865">
        <v>629.74340000000007</v>
      </c>
      <c r="N865">
        <f t="shared" si="13"/>
        <v>629.74340000000007</v>
      </c>
      <c r="O865" t="str">
        <f>_xlfn.XLOOKUP(Sales_fact[[#This Row],[Customer_ID]],'Customer_Dim'!A:A,'Customer_Dim'!K:K,"Not Found")</f>
        <v>Platinum</v>
      </c>
      <c r="P865">
        <f>_xlfn.XLOOKUP(Sales_fact[[#This Row],[Customer_ID]],'Customer_Dim'!A:A, 'Customer_Dim'!E:E, "Not Found")</f>
        <v>47</v>
      </c>
      <c r="Q865" t="str">
        <f>VLOOKUP(Sales_fact[[#This Row],[Customer_ID]], 'Customer_Dim'!A:F, 6, FALSE)</f>
        <v>Male</v>
      </c>
      <c r="R865" s="13" t="str">
        <f>_xlfn.XLOOKUP(Sales_fact[[#This Row],[Product_ID]],Product_Dim!A:A,Product_Dim!C:C,"OTHERS")</f>
        <v>Home</v>
      </c>
    </row>
    <row r="866" spans="1:18" x14ac:dyDescent="0.3">
      <c r="A866" t="s">
        <v>2690</v>
      </c>
      <c r="B866" s="2">
        <v>45428</v>
      </c>
      <c r="C866" t="s">
        <v>1092</v>
      </c>
      <c r="D866" t="s">
        <v>1614</v>
      </c>
      <c r="E866" t="str">
        <f ca="1">TRIM(Sales_fact[[#This Row],[Store_ID]])</f>
        <v>STORE10</v>
      </c>
      <c r="F866">
        <v>2</v>
      </c>
      <c r="G866">
        <f>IF(ISBLANK(F866),MODE($F$2:$F$2001),F866)</f>
        <v>2</v>
      </c>
      <c r="H866">
        <v>379.78</v>
      </c>
      <c r="I866">
        <f>IF(ISBLANK(H866),AVERAGE($H$2:$H$2001),H866)</f>
        <v>379.78</v>
      </c>
      <c r="J866">
        <v>0.2</v>
      </c>
      <c r="K866">
        <f>IF(ISBLANK(J866),MODE($J$2:$J$2001),J866)</f>
        <v>0.2</v>
      </c>
      <c r="L866" t="s">
        <v>1824</v>
      </c>
      <c r="M866">
        <v>607.64800000000002</v>
      </c>
      <c r="N866">
        <f t="shared" si="13"/>
        <v>607.64800000000002</v>
      </c>
      <c r="O866" t="str">
        <f>_xlfn.XLOOKUP(Sales_fact[[#This Row],[Customer_ID]],'Customer_Dim'!A:A,'Customer_Dim'!K:K,"Not Found")</f>
        <v>Silver</v>
      </c>
      <c r="P866">
        <f>_xlfn.XLOOKUP(Sales_fact[[#This Row],[Customer_ID]],'Customer_Dim'!A:A, 'Customer_Dim'!E:E, "Not Found")</f>
        <v>55</v>
      </c>
      <c r="Q866" t="str">
        <f>VLOOKUP(Sales_fact[[#This Row],[Customer_ID]], 'Customer_Dim'!A:F, 6, FALSE)</f>
        <v>Male</v>
      </c>
      <c r="R866" s="13" t="str">
        <f>_xlfn.XLOOKUP(Sales_fact[[#This Row],[Product_ID]],Product_Dim!A:A,Product_Dim!C:C,"OTHERS")</f>
        <v>Home</v>
      </c>
    </row>
    <row r="867" spans="1:18" x14ac:dyDescent="0.3">
      <c r="A867" t="s">
        <v>2691</v>
      </c>
      <c r="B867" s="2">
        <v>45770</v>
      </c>
      <c r="C867" t="s">
        <v>794</v>
      </c>
      <c r="D867" t="s">
        <v>1634</v>
      </c>
      <c r="E867" t="str">
        <f ca="1">TRIM(Sales_fact[[#This Row],[Store_ID]])</f>
        <v>STORE8</v>
      </c>
      <c r="F867">
        <v>3</v>
      </c>
      <c r="G867">
        <f>IF(ISBLANK(F867),MODE($F$2:$F$2001),F867)</f>
        <v>3</v>
      </c>
      <c r="H867">
        <v>924.15</v>
      </c>
      <c r="I867">
        <f>IF(ISBLANK(H867),AVERAGE($H$2:$H$2001),H867)</f>
        <v>924.15</v>
      </c>
      <c r="J867">
        <v>0.1</v>
      </c>
      <c r="K867">
        <f>IF(ISBLANK(J867),MODE($J$2:$J$2001),J867)</f>
        <v>0.1</v>
      </c>
      <c r="L867" t="s">
        <v>1826</v>
      </c>
      <c r="M867">
        <v>2495.2049999999999</v>
      </c>
      <c r="N867">
        <f t="shared" si="13"/>
        <v>2495.2049999999999</v>
      </c>
      <c r="O867" t="str">
        <f>_xlfn.XLOOKUP(Sales_fact[[#This Row],[Customer_ID]],'Customer_Dim'!A:A,'Customer_Dim'!K:K,"Not Found")</f>
        <v>Gold</v>
      </c>
      <c r="P867">
        <f>_xlfn.XLOOKUP(Sales_fact[[#This Row],[Customer_ID]],'Customer_Dim'!A:A, 'Customer_Dim'!E:E, "Not Found")</f>
        <v>19</v>
      </c>
      <c r="Q867" t="str">
        <f>VLOOKUP(Sales_fact[[#This Row],[Customer_ID]], 'Customer_Dim'!A:F, 6, FALSE)</f>
        <v>Male</v>
      </c>
      <c r="R867" s="13" t="str">
        <f>_xlfn.XLOOKUP(Sales_fact[[#This Row],[Product_ID]],Product_Dim!A:A,Product_Dim!C:C,"OTHERS")</f>
        <v>Electronics</v>
      </c>
    </row>
    <row r="868" spans="1:18" x14ac:dyDescent="0.3">
      <c r="A868" t="s">
        <v>2692</v>
      </c>
      <c r="B868" s="2">
        <v>45571</v>
      </c>
      <c r="C868" t="s">
        <v>1446</v>
      </c>
      <c r="D868" t="s">
        <v>1638</v>
      </c>
      <c r="E868" t="str">
        <f ca="1">TRIM(Sales_fact[[#This Row],[Store_ID]])</f>
        <v>STORE17</v>
      </c>
      <c r="F868">
        <v>3</v>
      </c>
      <c r="G868">
        <f>IF(ISBLANK(F868),MODE($F$2:$F$2001),F868)</f>
        <v>3</v>
      </c>
      <c r="H868">
        <v>144.66999999999999</v>
      </c>
      <c r="I868">
        <f>IF(ISBLANK(H868),AVERAGE($H$2:$H$2001),H868)</f>
        <v>144.66999999999999</v>
      </c>
      <c r="J868">
        <v>0.28999999999999998</v>
      </c>
      <c r="K868">
        <f>IF(ISBLANK(J868),MODE($J$2:$J$2001),J868)</f>
        <v>0.28999999999999998</v>
      </c>
      <c r="L868" t="s">
        <v>1829</v>
      </c>
      <c r="M868">
        <v>308.14710000000002</v>
      </c>
      <c r="N868">
        <f t="shared" si="13"/>
        <v>308.14709999999997</v>
      </c>
      <c r="O868" t="str">
        <f>_xlfn.XLOOKUP(Sales_fact[[#This Row],[Customer_ID]],'Customer_Dim'!A:A,'Customer_Dim'!K:K,"Not Found")</f>
        <v>Gold</v>
      </c>
      <c r="P868">
        <f>_xlfn.XLOOKUP(Sales_fact[[#This Row],[Customer_ID]],'Customer_Dim'!A:A, 'Customer_Dim'!E:E, "Not Found")</f>
        <v>19</v>
      </c>
      <c r="Q868" t="str">
        <f>VLOOKUP(Sales_fact[[#This Row],[Customer_ID]], 'Customer_Dim'!A:F, 6, FALSE)</f>
        <v>Male</v>
      </c>
      <c r="R868" s="13" t="str">
        <f>_xlfn.XLOOKUP(Sales_fact[[#This Row],[Product_ID]],Product_Dim!A:A,Product_Dim!C:C,"OTHERS")</f>
        <v>Sports</v>
      </c>
    </row>
    <row r="869" spans="1:18" x14ac:dyDescent="0.3">
      <c r="A869" t="s">
        <v>2693</v>
      </c>
      <c r="B869" s="2">
        <v>45700</v>
      </c>
      <c r="C869" t="s">
        <v>419</v>
      </c>
      <c r="D869" t="s">
        <v>1614</v>
      </c>
      <c r="E869" t="str">
        <f ca="1">TRIM(Sales_fact[[#This Row],[Store_ID]])</f>
        <v>STORE15</v>
      </c>
      <c r="F869">
        <v>2</v>
      </c>
      <c r="G869">
        <f>IF(ISBLANK(F869),MODE($F$2:$F$2001),F869)</f>
        <v>2</v>
      </c>
      <c r="H869">
        <v>667.17</v>
      </c>
      <c r="I869">
        <f>IF(ISBLANK(H869),AVERAGE($H$2:$H$2001),H869)</f>
        <v>667.17</v>
      </c>
      <c r="J869">
        <v>0.1</v>
      </c>
      <c r="K869">
        <f>IF(ISBLANK(J869),MODE($J$2:$J$2001),J869)</f>
        <v>0.1</v>
      </c>
      <c r="L869" t="s">
        <v>1826</v>
      </c>
      <c r="M869">
        <v>1200.9059999999999</v>
      </c>
      <c r="N869">
        <f t="shared" si="13"/>
        <v>1200.9059999999999</v>
      </c>
      <c r="O869" t="str">
        <f>_xlfn.XLOOKUP(Sales_fact[[#This Row],[Customer_ID]],'Customer_Dim'!A:A,'Customer_Dim'!K:K,"Not Found")</f>
        <v>Platinum</v>
      </c>
      <c r="P869">
        <f>_xlfn.XLOOKUP(Sales_fact[[#This Row],[Customer_ID]],'Customer_Dim'!A:A, 'Customer_Dim'!E:E, "Not Found")</f>
        <v>62</v>
      </c>
      <c r="Q869" t="str">
        <f>VLOOKUP(Sales_fact[[#This Row],[Customer_ID]], 'Customer_Dim'!A:F, 6, FALSE)</f>
        <v>Male</v>
      </c>
      <c r="R869" s="13" t="str">
        <f>_xlfn.XLOOKUP(Sales_fact[[#This Row],[Product_ID]],Product_Dim!A:A,Product_Dim!C:C,"OTHERS")</f>
        <v>Home</v>
      </c>
    </row>
    <row r="870" spans="1:18" x14ac:dyDescent="0.3">
      <c r="A870" t="s">
        <v>2694</v>
      </c>
      <c r="B870" s="2">
        <v>45382</v>
      </c>
      <c r="C870" t="s">
        <v>1252</v>
      </c>
      <c r="D870" t="s">
        <v>1680</v>
      </c>
      <c r="E870" t="str">
        <f ca="1">TRIM(Sales_fact[[#This Row],[Store_ID]])</f>
        <v>STORE3</v>
      </c>
      <c r="F870">
        <v>1</v>
      </c>
      <c r="G870">
        <f>IF(ISBLANK(F870),MODE($F$2:$F$2001),F870)</f>
        <v>1</v>
      </c>
      <c r="H870">
        <v>984.6</v>
      </c>
      <c r="I870">
        <f>IF(ISBLANK(H870),AVERAGE($H$2:$H$2001),H870)</f>
        <v>984.6</v>
      </c>
      <c r="J870">
        <v>0.22</v>
      </c>
      <c r="K870">
        <f>IF(ISBLANK(J870),MODE($J$2:$J$2001),J870)</f>
        <v>0.22</v>
      </c>
      <c r="L870" t="s">
        <v>1824</v>
      </c>
      <c r="M870">
        <v>767.98800000000006</v>
      </c>
      <c r="N870">
        <f t="shared" si="13"/>
        <v>767.98800000000006</v>
      </c>
      <c r="O870" t="str">
        <f>_xlfn.XLOOKUP(Sales_fact[[#This Row],[Customer_ID]],'Customer_Dim'!A:A,'Customer_Dim'!K:K,"Not Found")</f>
        <v>Bronze</v>
      </c>
      <c r="P870">
        <f>_xlfn.XLOOKUP(Sales_fact[[#This Row],[Customer_ID]],'Customer_Dim'!A:A, 'Customer_Dim'!E:E, "Not Found")</f>
        <v>31</v>
      </c>
      <c r="Q870" t="str">
        <f>VLOOKUP(Sales_fact[[#This Row],[Customer_ID]], 'Customer_Dim'!A:F, 6, FALSE)</f>
        <v>Male</v>
      </c>
      <c r="R870" s="13" t="str">
        <f>_xlfn.XLOOKUP(Sales_fact[[#This Row],[Product_ID]],Product_Dim!A:A,Product_Dim!C:C,"OTHERS")</f>
        <v>Beauty</v>
      </c>
    </row>
    <row r="871" spans="1:18" x14ac:dyDescent="0.3">
      <c r="A871" t="s">
        <v>2695</v>
      </c>
      <c r="B871" s="2">
        <v>45260</v>
      </c>
      <c r="C871" t="s">
        <v>887</v>
      </c>
      <c r="D871" t="s">
        <v>1574</v>
      </c>
      <c r="E871" t="str">
        <f ca="1">TRIM(Sales_fact[[#This Row],[Store_ID]])</f>
        <v>STORE8</v>
      </c>
      <c r="F871">
        <v>1</v>
      </c>
      <c r="G871">
        <f>IF(ISBLANK(F871),MODE($F$2:$F$2001),F871)</f>
        <v>1</v>
      </c>
      <c r="H871">
        <v>139.29</v>
      </c>
      <c r="I871">
        <f>IF(ISBLANK(H871),AVERAGE($H$2:$H$2001),H871)</f>
        <v>139.29</v>
      </c>
      <c r="J871">
        <v>0</v>
      </c>
      <c r="K871">
        <f>IF(ISBLANK(J871),MODE($J$2:$J$2001),J871)</f>
        <v>0</v>
      </c>
      <c r="L871" t="s">
        <v>1824</v>
      </c>
      <c r="M871">
        <v>139.29</v>
      </c>
      <c r="N871">
        <f t="shared" si="13"/>
        <v>139.29</v>
      </c>
      <c r="O871" t="str">
        <f>_xlfn.XLOOKUP(Sales_fact[[#This Row],[Customer_ID]],'Customer_Dim'!A:A,'Customer_Dim'!K:K,"Not Found")</f>
        <v>Bronze</v>
      </c>
      <c r="P871">
        <f>_xlfn.XLOOKUP(Sales_fact[[#This Row],[Customer_ID]],'Customer_Dim'!A:A, 'Customer_Dim'!E:E, "Not Found")</f>
        <v>21</v>
      </c>
      <c r="Q871" t="str">
        <f>VLOOKUP(Sales_fact[[#This Row],[Customer_ID]], 'Customer_Dim'!A:F, 6, FALSE)</f>
        <v>Female</v>
      </c>
      <c r="R871" s="13" t="str">
        <f>_xlfn.XLOOKUP(Sales_fact[[#This Row],[Product_ID]],Product_Dim!A:A,Product_Dim!C:C,"OTHERS")</f>
        <v>Electronics</v>
      </c>
    </row>
    <row r="872" spans="1:18" x14ac:dyDescent="0.3">
      <c r="A872" t="s">
        <v>2696</v>
      </c>
      <c r="B872" s="2">
        <v>45702</v>
      </c>
      <c r="C872" t="s">
        <v>134</v>
      </c>
      <c r="D872" t="s">
        <v>1580</v>
      </c>
      <c r="E872" t="str">
        <f ca="1">TRIM(Sales_fact[[#This Row],[Store_ID]])</f>
        <v>STORE8</v>
      </c>
      <c r="F872">
        <v>3</v>
      </c>
      <c r="G872">
        <f>IF(ISBLANK(F872),MODE($F$2:$F$2001),F872)</f>
        <v>3</v>
      </c>
      <c r="H872">
        <v>459.57</v>
      </c>
      <c r="I872">
        <f>IF(ISBLANK(H872),AVERAGE($H$2:$H$2001),H872)</f>
        <v>459.57</v>
      </c>
      <c r="J872">
        <v>0.1</v>
      </c>
      <c r="K872">
        <f>IF(ISBLANK(J872),MODE($J$2:$J$2001),J872)</f>
        <v>0.1</v>
      </c>
      <c r="L872" t="s">
        <v>1829</v>
      </c>
      <c r="M872">
        <v>1240.8389999999999</v>
      </c>
      <c r="N872">
        <f t="shared" si="13"/>
        <v>1240.8390000000002</v>
      </c>
      <c r="O872" t="str">
        <f>_xlfn.XLOOKUP(Sales_fact[[#This Row],[Customer_ID]],'Customer_Dim'!A:A,'Customer_Dim'!K:K,"Not Found")</f>
        <v>Platinum</v>
      </c>
      <c r="P872">
        <f>_xlfn.XLOOKUP(Sales_fact[[#This Row],[Customer_ID]],'Customer_Dim'!A:A, 'Customer_Dim'!E:E, "Not Found")</f>
        <v>25</v>
      </c>
      <c r="Q872" t="str">
        <f>VLOOKUP(Sales_fact[[#This Row],[Customer_ID]], 'Customer_Dim'!A:F, 6, FALSE)</f>
        <v>Male</v>
      </c>
      <c r="R872" s="13" t="str">
        <f>_xlfn.XLOOKUP(Sales_fact[[#This Row],[Product_ID]],Product_Dim!A:A,Product_Dim!C:C,"OTHERS")</f>
        <v>OTHERS</v>
      </c>
    </row>
    <row r="873" spans="1:18" x14ac:dyDescent="0.3">
      <c r="A873" t="s">
        <v>2697</v>
      </c>
      <c r="B873" s="2">
        <v>45302</v>
      </c>
      <c r="C873" t="s">
        <v>244</v>
      </c>
      <c r="D873" t="s">
        <v>1628</v>
      </c>
      <c r="E873" t="str">
        <f ca="1">TRIM(Sales_fact[[#This Row],[Store_ID]])</f>
        <v>STORE15</v>
      </c>
      <c r="F873">
        <v>1</v>
      </c>
      <c r="G873">
        <f>IF(ISBLANK(F873),MODE($F$2:$F$2001),F873)</f>
        <v>1</v>
      </c>
      <c r="H873">
        <v>517.82000000000005</v>
      </c>
      <c r="I873">
        <f>IF(ISBLANK(H873),AVERAGE($H$2:$H$2001),H873)</f>
        <v>517.82000000000005</v>
      </c>
      <c r="J873">
        <v>0.28999999999999998</v>
      </c>
      <c r="K873">
        <f>IF(ISBLANK(J873),MODE($J$2:$J$2001),J873)</f>
        <v>0.28999999999999998</v>
      </c>
      <c r="L873" t="s">
        <v>1824</v>
      </c>
      <c r="M873">
        <v>367.65219999999999</v>
      </c>
      <c r="N873">
        <f t="shared" si="13"/>
        <v>367.65219999999999</v>
      </c>
      <c r="O873" t="str">
        <f>_xlfn.XLOOKUP(Sales_fact[[#This Row],[Customer_ID]],'Customer_Dim'!A:A,'Customer_Dim'!K:K,"Not Found")</f>
        <v>Silver</v>
      </c>
      <c r="P873">
        <f>_xlfn.XLOOKUP(Sales_fact[[#This Row],[Customer_ID]],'Customer_Dim'!A:A, 'Customer_Dim'!E:E, "Not Found")</f>
        <v>27</v>
      </c>
      <c r="Q873" t="str">
        <f>VLOOKUP(Sales_fact[[#This Row],[Customer_ID]], 'Customer_Dim'!A:F, 6, FALSE)</f>
        <v>Female</v>
      </c>
      <c r="R873" s="13" t="str">
        <f>_xlfn.XLOOKUP(Sales_fact[[#This Row],[Product_ID]],Product_Dim!A:A,Product_Dim!C:C,"OTHERS")</f>
        <v>Electronics</v>
      </c>
    </row>
    <row r="874" spans="1:18" x14ac:dyDescent="0.3">
      <c r="A874" t="s">
        <v>2698</v>
      </c>
      <c r="B874" s="2">
        <v>45653</v>
      </c>
      <c r="C874" t="s">
        <v>1184</v>
      </c>
      <c r="D874" t="s">
        <v>1700</v>
      </c>
      <c r="E874" t="str">
        <f ca="1">TRIM(Sales_fact[[#This Row],[Store_ID]])</f>
        <v>STORE6</v>
      </c>
      <c r="F874">
        <v>4</v>
      </c>
      <c r="G874">
        <f>IF(ISBLANK(F874),MODE($F$2:$F$2001),F874)</f>
        <v>4</v>
      </c>
      <c r="H874">
        <v>282.45</v>
      </c>
      <c r="I874">
        <f>IF(ISBLANK(H874),AVERAGE($H$2:$H$2001),H874)</f>
        <v>282.45</v>
      </c>
      <c r="J874">
        <v>0.28999999999999998</v>
      </c>
      <c r="K874">
        <f>IF(ISBLANK(J874),MODE($J$2:$J$2001),J874)</f>
        <v>0.28999999999999998</v>
      </c>
      <c r="L874" t="s">
        <v>1829</v>
      </c>
      <c r="M874">
        <v>802.1579999999999</v>
      </c>
      <c r="N874">
        <f t="shared" si="13"/>
        <v>802.1579999999999</v>
      </c>
      <c r="O874" t="str">
        <f>_xlfn.XLOOKUP(Sales_fact[[#This Row],[Customer_ID]],'Customer_Dim'!A:A,'Customer_Dim'!K:K,"Not Found")</f>
        <v>Gold</v>
      </c>
      <c r="P874">
        <f>_xlfn.XLOOKUP(Sales_fact[[#This Row],[Customer_ID]],'Customer_Dim'!A:A, 'Customer_Dim'!E:E, "Not Found")</f>
        <v>34</v>
      </c>
      <c r="Q874" t="str">
        <f>VLOOKUP(Sales_fact[[#This Row],[Customer_ID]], 'Customer_Dim'!A:F, 6, FALSE)</f>
        <v>Female</v>
      </c>
      <c r="R874" s="13" t="str">
        <f>_xlfn.XLOOKUP(Sales_fact[[#This Row],[Product_ID]],Product_Dim!A:A,Product_Dim!C:C,"OTHERS")</f>
        <v>Electronics</v>
      </c>
    </row>
    <row r="875" spans="1:18" x14ac:dyDescent="0.3">
      <c r="A875" t="s">
        <v>2699</v>
      </c>
      <c r="B875" s="2">
        <v>45250</v>
      </c>
      <c r="C875" t="s">
        <v>1405</v>
      </c>
      <c r="D875" t="s">
        <v>1722</v>
      </c>
      <c r="E875" t="str">
        <f ca="1">TRIM(Sales_fact[[#This Row],[Store_ID]])</f>
        <v>STORE7</v>
      </c>
      <c r="F875">
        <v>2</v>
      </c>
      <c r="G875">
        <f>IF(ISBLANK(F875),MODE($F$2:$F$2001),F875)</f>
        <v>2</v>
      </c>
      <c r="H875">
        <v>386.46</v>
      </c>
      <c r="I875">
        <f>IF(ISBLANK(H875),AVERAGE($H$2:$H$2001),H875)</f>
        <v>386.46</v>
      </c>
      <c r="J875">
        <v>0.23</v>
      </c>
      <c r="K875">
        <f>IF(ISBLANK(J875),MODE($J$2:$J$2001),J875)</f>
        <v>0.23</v>
      </c>
      <c r="L875" t="s">
        <v>1829</v>
      </c>
      <c r="M875">
        <v>595.14840000000004</v>
      </c>
      <c r="N875">
        <f t="shared" si="13"/>
        <v>595.14840000000004</v>
      </c>
      <c r="O875" t="str">
        <f>_xlfn.XLOOKUP(Sales_fact[[#This Row],[Customer_ID]],'Customer_Dim'!A:A,'Customer_Dim'!K:K,"Not Found")</f>
        <v>Gold</v>
      </c>
      <c r="P875">
        <f>_xlfn.XLOOKUP(Sales_fact[[#This Row],[Customer_ID]],'Customer_Dim'!A:A, 'Customer_Dim'!E:E, "Not Found")</f>
        <v>54</v>
      </c>
      <c r="Q875" t="str">
        <f>VLOOKUP(Sales_fact[[#This Row],[Customer_ID]], 'Customer_Dim'!A:F, 6, FALSE)</f>
        <v>Male</v>
      </c>
      <c r="R875" s="13" t="str">
        <f>_xlfn.XLOOKUP(Sales_fact[[#This Row],[Product_ID]],Product_Dim!A:A,Product_Dim!C:C,"OTHERS")</f>
        <v>Home</v>
      </c>
    </row>
    <row r="876" spans="1:18" x14ac:dyDescent="0.3">
      <c r="A876" t="s">
        <v>2700</v>
      </c>
      <c r="B876" s="2">
        <v>45661</v>
      </c>
      <c r="C876" t="s">
        <v>640</v>
      </c>
      <c r="D876" t="s">
        <v>1586</v>
      </c>
      <c r="E876" t="str">
        <f ca="1">TRIM(Sales_fact[[#This Row],[Store_ID]])</f>
        <v>STORE3</v>
      </c>
      <c r="F876">
        <v>1</v>
      </c>
      <c r="G876">
        <f>IF(ISBLANK(F876),MODE($F$2:$F$2001),F876)</f>
        <v>1</v>
      </c>
      <c r="H876">
        <v>270.45</v>
      </c>
      <c r="I876">
        <f>IF(ISBLANK(H876),AVERAGE($H$2:$H$2001),H876)</f>
        <v>270.45</v>
      </c>
      <c r="J876">
        <v>0.15</v>
      </c>
      <c r="K876">
        <f>IF(ISBLANK(J876),MODE($J$2:$J$2001),J876)</f>
        <v>0.15</v>
      </c>
      <c r="L876" t="s">
        <v>1829</v>
      </c>
      <c r="M876">
        <v>229.88249999999999</v>
      </c>
      <c r="N876">
        <f t="shared" si="13"/>
        <v>229.88249999999999</v>
      </c>
      <c r="O876" t="str">
        <f>_xlfn.XLOOKUP(Sales_fact[[#This Row],[Customer_ID]],'Customer_Dim'!A:A,'Customer_Dim'!K:K,"Not Found")</f>
        <v>Silver</v>
      </c>
      <c r="P876">
        <f>_xlfn.XLOOKUP(Sales_fact[[#This Row],[Customer_ID]],'Customer_Dim'!A:A, 'Customer_Dim'!E:E, "Not Found")</f>
        <v>60</v>
      </c>
      <c r="Q876" t="str">
        <f>VLOOKUP(Sales_fact[[#This Row],[Customer_ID]], 'Customer_Dim'!A:F, 6, FALSE)</f>
        <v>Male</v>
      </c>
      <c r="R876" s="13" t="str">
        <f>_xlfn.XLOOKUP(Sales_fact[[#This Row],[Product_ID]],Product_Dim!A:A,Product_Dim!C:C,"OTHERS")</f>
        <v>Sports</v>
      </c>
    </row>
    <row r="877" spans="1:18" x14ac:dyDescent="0.3">
      <c r="A877" t="s">
        <v>2701</v>
      </c>
      <c r="B877" s="2">
        <v>45493</v>
      </c>
      <c r="C877" t="s">
        <v>160</v>
      </c>
      <c r="D877" t="s">
        <v>1700</v>
      </c>
      <c r="E877" t="str">
        <f ca="1">TRIM(Sales_fact[[#This Row],[Store_ID]])</f>
        <v>STORE10</v>
      </c>
      <c r="F877">
        <v>4</v>
      </c>
      <c r="G877">
        <f>IF(ISBLANK(F877),MODE($F$2:$F$2001),F877)</f>
        <v>4</v>
      </c>
      <c r="H877">
        <v>762.94</v>
      </c>
      <c r="I877">
        <f>IF(ISBLANK(H877),AVERAGE($H$2:$H$2001),H877)</f>
        <v>762.94</v>
      </c>
      <c r="J877">
        <v>0.09</v>
      </c>
      <c r="K877">
        <f>IF(ISBLANK(J877),MODE($J$2:$J$2001),J877)</f>
        <v>0.09</v>
      </c>
      <c r="L877" t="s">
        <v>1829</v>
      </c>
      <c r="M877">
        <v>2777.1016</v>
      </c>
      <c r="N877">
        <f t="shared" si="13"/>
        <v>2777.1016000000004</v>
      </c>
      <c r="O877" t="str">
        <f>_xlfn.XLOOKUP(Sales_fact[[#This Row],[Customer_ID]],'Customer_Dim'!A:A,'Customer_Dim'!K:K,"Not Found")</f>
        <v>Platinum</v>
      </c>
      <c r="P877">
        <f>_xlfn.XLOOKUP(Sales_fact[[#This Row],[Customer_ID]],'Customer_Dim'!A:A, 'Customer_Dim'!E:E, "Not Found")</f>
        <v>21</v>
      </c>
      <c r="Q877" t="str">
        <f>VLOOKUP(Sales_fact[[#This Row],[Customer_ID]], 'Customer_Dim'!A:F, 6, FALSE)</f>
        <v>Male</v>
      </c>
      <c r="R877" s="13" t="str">
        <f>_xlfn.XLOOKUP(Sales_fact[[#This Row],[Product_ID]],Product_Dim!A:A,Product_Dim!C:C,"OTHERS")</f>
        <v>Electronics</v>
      </c>
    </row>
    <row r="878" spans="1:18" x14ac:dyDescent="0.3">
      <c r="A878" t="s">
        <v>2702</v>
      </c>
      <c r="B878" s="2">
        <v>45242</v>
      </c>
      <c r="C878" t="s">
        <v>1518</v>
      </c>
      <c r="D878" t="s">
        <v>1630</v>
      </c>
      <c r="E878" t="str">
        <f ca="1">TRIM(Sales_fact[[#This Row],[Store_ID]])</f>
        <v>STORE13</v>
      </c>
      <c r="F878">
        <v>1</v>
      </c>
      <c r="G878">
        <f>IF(ISBLANK(F878),MODE($F$2:$F$2001),F878)</f>
        <v>1</v>
      </c>
      <c r="H878">
        <v>409.03</v>
      </c>
      <c r="I878">
        <f>IF(ISBLANK(H878),AVERAGE($H$2:$H$2001),H878)</f>
        <v>409.03</v>
      </c>
      <c r="J878">
        <v>0.25</v>
      </c>
      <c r="K878">
        <f>IF(ISBLANK(J878),MODE($J$2:$J$2001),J878)</f>
        <v>0.25</v>
      </c>
      <c r="L878" t="s">
        <v>1829</v>
      </c>
      <c r="M878">
        <v>306.77249999999998</v>
      </c>
      <c r="N878">
        <f t="shared" si="13"/>
        <v>306.77249999999998</v>
      </c>
      <c r="O878" t="str">
        <f>_xlfn.XLOOKUP(Sales_fact[[#This Row],[Customer_ID]],'Customer_Dim'!A:A,'Customer_Dim'!K:K,"Not Found")</f>
        <v>Gold</v>
      </c>
      <c r="P878">
        <f>_xlfn.XLOOKUP(Sales_fact[[#This Row],[Customer_ID]],'Customer_Dim'!A:A, 'Customer_Dim'!E:E, "Not Found")</f>
        <v>21</v>
      </c>
      <c r="Q878" t="str">
        <f>VLOOKUP(Sales_fact[[#This Row],[Customer_ID]], 'Customer_Dim'!A:F, 6, FALSE)</f>
        <v>Male</v>
      </c>
      <c r="R878" s="13" t="str">
        <f>_xlfn.XLOOKUP(Sales_fact[[#This Row],[Product_ID]],Product_Dim!A:A,Product_Dim!C:C,"OTHERS")</f>
        <v>Sports</v>
      </c>
    </row>
    <row r="879" spans="1:18" x14ac:dyDescent="0.3">
      <c r="A879" t="s">
        <v>2703</v>
      </c>
      <c r="B879" s="2">
        <v>45411</v>
      </c>
      <c r="C879" t="s">
        <v>711</v>
      </c>
      <c r="D879" t="s">
        <v>1740</v>
      </c>
      <c r="E879" t="str">
        <f ca="1">TRIM(Sales_fact[[#This Row],[Store_ID]])</f>
        <v>STORE18</v>
      </c>
      <c r="F879">
        <v>2</v>
      </c>
      <c r="G879">
        <f>IF(ISBLANK(F879),MODE($F$2:$F$2001),F879)</f>
        <v>2</v>
      </c>
      <c r="H879">
        <v>891.13</v>
      </c>
      <c r="I879">
        <f>IF(ISBLANK(H879),AVERAGE($H$2:$H$2001),H879)</f>
        <v>891.13</v>
      </c>
      <c r="J879">
        <v>0.13</v>
      </c>
      <c r="K879">
        <f>IF(ISBLANK(J879),MODE($J$2:$J$2001),J879)</f>
        <v>0.13</v>
      </c>
      <c r="L879" t="s">
        <v>1824</v>
      </c>
      <c r="M879">
        <v>1550.5662</v>
      </c>
      <c r="N879">
        <f t="shared" si="13"/>
        <v>1550.5662</v>
      </c>
      <c r="O879" t="str">
        <f>_xlfn.XLOOKUP(Sales_fact[[#This Row],[Customer_ID]],'Customer_Dim'!A:A,'Customer_Dim'!K:K,"Not Found")</f>
        <v>Gold</v>
      </c>
      <c r="P879">
        <f>_xlfn.XLOOKUP(Sales_fact[[#This Row],[Customer_ID]],'Customer_Dim'!A:A, 'Customer_Dim'!E:E, "Not Found")</f>
        <v>47</v>
      </c>
      <c r="Q879" t="str">
        <f>VLOOKUP(Sales_fact[[#This Row],[Customer_ID]], 'Customer_Dim'!A:F, 6, FALSE)</f>
        <v>Female</v>
      </c>
      <c r="R879" s="13" t="str">
        <f>_xlfn.XLOOKUP(Sales_fact[[#This Row],[Product_ID]],Product_Dim!A:A,Product_Dim!C:C,"OTHERS")</f>
        <v>Clothing</v>
      </c>
    </row>
    <row r="880" spans="1:18" x14ac:dyDescent="0.3">
      <c r="A880" t="s">
        <v>2704</v>
      </c>
      <c r="B880" s="2">
        <v>45593</v>
      </c>
      <c r="C880" t="s">
        <v>130</v>
      </c>
      <c r="D880" t="s">
        <v>1732</v>
      </c>
      <c r="E880" t="str">
        <f ca="1">TRIM(Sales_fact[[#This Row],[Store_ID]])</f>
        <v>STORE16</v>
      </c>
      <c r="F880">
        <v>1</v>
      </c>
      <c r="G880">
        <f>IF(ISBLANK(F880),MODE($F$2:$F$2001),F880)</f>
        <v>1</v>
      </c>
      <c r="H880">
        <v>553.38</v>
      </c>
      <c r="I880">
        <f>IF(ISBLANK(H880),AVERAGE($H$2:$H$2001),H880)</f>
        <v>553.38</v>
      </c>
      <c r="J880">
        <v>0.21</v>
      </c>
      <c r="K880">
        <f>IF(ISBLANK(J880),MODE($J$2:$J$2001),J880)</f>
        <v>0.21</v>
      </c>
      <c r="L880" t="s">
        <v>1826</v>
      </c>
      <c r="M880">
        <v>437.17020000000002</v>
      </c>
      <c r="N880">
        <f t="shared" si="13"/>
        <v>437.17020000000002</v>
      </c>
      <c r="O880" t="str">
        <f>_xlfn.XLOOKUP(Sales_fact[[#This Row],[Customer_ID]],'Customer_Dim'!A:A,'Customer_Dim'!K:K,"Not Found")</f>
        <v>Gold</v>
      </c>
      <c r="P880">
        <f>_xlfn.XLOOKUP(Sales_fact[[#This Row],[Customer_ID]],'Customer_Dim'!A:A, 'Customer_Dim'!E:E, "Not Found")</f>
        <v>48</v>
      </c>
      <c r="Q880" t="str">
        <f>VLOOKUP(Sales_fact[[#This Row],[Customer_ID]], 'Customer_Dim'!A:F, 6, FALSE)</f>
        <v>Female</v>
      </c>
      <c r="R880" s="13" t="str">
        <f>_xlfn.XLOOKUP(Sales_fact[[#This Row],[Product_ID]],Product_Dim!A:A,Product_Dim!C:C,"OTHERS")</f>
        <v>Home</v>
      </c>
    </row>
    <row r="881" spans="1:18" x14ac:dyDescent="0.3">
      <c r="A881" t="s">
        <v>2705</v>
      </c>
      <c r="B881" s="2">
        <v>45281</v>
      </c>
      <c r="C881" t="s">
        <v>535</v>
      </c>
      <c r="D881" t="s">
        <v>1718</v>
      </c>
      <c r="E881" t="str">
        <f ca="1">TRIM(Sales_fact[[#This Row],[Store_ID]])</f>
        <v>STORE13</v>
      </c>
      <c r="F881">
        <v>2</v>
      </c>
      <c r="G881">
        <f>IF(ISBLANK(F881),MODE($F$2:$F$2001),F881)</f>
        <v>2</v>
      </c>
      <c r="H881">
        <v>652.29999999999995</v>
      </c>
      <c r="I881">
        <f>IF(ISBLANK(H881),AVERAGE($H$2:$H$2001),H881)</f>
        <v>652.29999999999995</v>
      </c>
      <c r="J881">
        <v>0.16</v>
      </c>
      <c r="K881">
        <f>IF(ISBLANK(J881),MODE($J$2:$J$2001),J881)</f>
        <v>0.16</v>
      </c>
      <c r="L881" t="s">
        <v>1829</v>
      </c>
      <c r="M881">
        <v>1095.864</v>
      </c>
      <c r="N881">
        <f t="shared" si="13"/>
        <v>1095.8639999999998</v>
      </c>
      <c r="O881" t="str">
        <f>_xlfn.XLOOKUP(Sales_fact[[#This Row],[Customer_ID]],'Customer_Dim'!A:A,'Customer_Dim'!K:K,"Not Found")</f>
        <v>Platinum</v>
      </c>
      <c r="P881">
        <f>_xlfn.XLOOKUP(Sales_fact[[#This Row],[Customer_ID]],'Customer_Dim'!A:A, 'Customer_Dim'!E:E, "Not Found")</f>
        <v>41</v>
      </c>
      <c r="Q881" t="str">
        <f>VLOOKUP(Sales_fact[[#This Row],[Customer_ID]], 'Customer_Dim'!A:F, 6, FALSE)</f>
        <v>Female</v>
      </c>
      <c r="R881" s="13" t="str">
        <f>_xlfn.XLOOKUP(Sales_fact[[#This Row],[Product_ID]],Product_Dim!A:A,Product_Dim!C:C,"OTHERS")</f>
        <v>Clothing</v>
      </c>
    </row>
    <row r="882" spans="1:18" x14ac:dyDescent="0.3">
      <c r="A882" t="s">
        <v>2706</v>
      </c>
      <c r="B882" s="2">
        <v>45575</v>
      </c>
      <c r="C882" t="s">
        <v>422</v>
      </c>
      <c r="D882" t="s">
        <v>1632</v>
      </c>
      <c r="E882" t="str">
        <f ca="1">TRIM(Sales_fact[[#This Row],[Store_ID]])</f>
        <v>STORE9</v>
      </c>
      <c r="F882">
        <v>4</v>
      </c>
      <c r="G882">
        <f>IF(ISBLANK(F882),MODE($F$2:$F$2001),F882)</f>
        <v>4</v>
      </c>
      <c r="H882">
        <v>194.36</v>
      </c>
      <c r="I882">
        <f>IF(ISBLANK(H882),AVERAGE($H$2:$H$2001),H882)</f>
        <v>194.36</v>
      </c>
      <c r="J882">
        <v>0.18</v>
      </c>
      <c r="K882">
        <f>IF(ISBLANK(J882),MODE($J$2:$J$2001),J882)</f>
        <v>0.18</v>
      </c>
      <c r="L882" t="s">
        <v>1829</v>
      </c>
      <c r="M882">
        <v>637.50080000000014</v>
      </c>
      <c r="N882">
        <f t="shared" si="13"/>
        <v>637.50080000000014</v>
      </c>
      <c r="O882" t="str">
        <f>_xlfn.XLOOKUP(Sales_fact[[#This Row],[Customer_ID]],'Customer_Dim'!A:A,'Customer_Dim'!K:K,"Not Found")</f>
        <v>Platinum</v>
      </c>
      <c r="P882">
        <f>_xlfn.XLOOKUP(Sales_fact[[#This Row],[Customer_ID]],'Customer_Dim'!A:A, 'Customer_Dim'!E:E, "Not Found")</f>
        <v>50</v>
      </c>
      <c r="Q882" t="str">
        <f>VLOOKUP(Sales_fact[[#This Row],[Customer_ID]], 'Customer_Dim'!A:F, 6, FALSE)</f>
        <v>Male</v>
      </c>
      <c r="R882" s="13" t="str">
        <f>_xlfn.XLOOKUP(Sales_fact[[#This Row],[Product_ID]],Product_Dim!A:A,Product_Dim!C:C,"OTHERS")</f>
        <v>Electronics</v>
      </c>
    </row>
    <row r="883" spans="1:18" x14ac:dyDescent="0.3">
      <c r="A883" t="s">
        <v>2707</v>
      </c>
      <c r="B883" s="2">
        <v>45660</v>
      </c>
      <c r="C883" t="s">
        <v>514</v>
      </c>
      <c r="D883" t="s">
        <v>1732</v>
      </c>
      <c r="E883" t="str">
        <f ca="1">TRIM(Sales_fact[[#This Row],[Store_ID]])</f>
        <v>STORE1</v>
      </c>
      <c r="F883">
        <v>3</v>
      </c>
      <c r="G883">
        <f>IF(ISBLANK(F883),MODE($F$2:$F$2001),F883)</f>
        <v>3</v>
      </c>
      <c r="H883">
        <v>476.37</v>
      </c>
      <c r="I883">
        <f>IF(ISBLANK(H883),AVERAGE($H$2:$H$2001),H883)</f>
        <v>476.37</v>
      </c>
      <c r="J883">
        <v>0.21</v>
      </c>
      <c r="K883">
        <f>IF(ISBLANK(J883),MODE($J$2:$J$2001),J883)</f>
        <v>0.21</v>
      </c>
      <c r="L883" t="s">
        <v>1829</v>
      </c>
      <c r="M883">
        <v>1128.9969000000001</v>
      </c>
      <c r="N883">
        <f t="shared" si="13"/>
        <v>1128.9969000000001</v>
      </c>
      <c r="O883" t="str">
        <f>_xlfn.XLOOKUP(Sales_fact[[#This Row],[Customer_ID]],'Customer_Dim'!A:A,'Customer_Dim'!K:K,"Not Found")</f>
        <v>Bronze</v>
      </c>
      <c r="P883">
        <f>_xlfn.XLOOKUP(Sales_fact[[#This Row],[Customer_ID]],'Customer_Dim'!A:A, 'Customer_Dim'!E:E, "Not Found")</f>
        <v>31</v>
      </c>
      <c r="Q883" t="str">
        <f>VLOOKUP(Sales_fact[[#This Row],[Customer_ID]], 'Customer_Dim'!A:F, 6, FALSE)</f>
        <v>Male</v>
      </c>
      <c r="R883" s="13" t="str">
        <f>_xlfn.XLOOKUP(Sales_fact[[#This Row],[Product_ID]],Product_Dim!A:A,Product_Dim!C:C,"OTHERS")</f>
        <v>Home</v>
      </c>
    </row>
    <row r="884" spans="1:18" x14ac:dyDescent="0.3">
      <c r="A884" t="s">
        <v>2708</v>
      </c>
      <c r="B884" s="2">
        <v>45360</v>
      </c>
      <c r="C884" t="s">
        <v>1142</v>
      </c>
      <c r="D884" t="s">
        <v>1628</v>
      </c>
      <c r="E884" t="str">
        <f ca="1">TRIM(Sales_fact[[#This Row],[Store_ID]])</f>
        <v>STORE5</v>
      </c>
      <c r="F884">
        <v>3</v>
      </c>
      <c r="G884">
        <f>IF(ISBLANK(F884),MODE($F$2:$F$2001),F884)</f>
        <v>3</v>
      </c>
      <c r="H884">
        <v>174.57</v>
      </c>
      <c r="I884">
        <f>IF(ISBLANK(H884),AVERAGE($H$2:$H$2001),H884)</f>
        <v>174.57</v>
      </c>
      <c r="J884">
        <v>0</v>
      </c>
      <c r="K884">
        <f>IF(ISBLANK(J884),MODE($J$2:$J$2001),J884)</f>
        <v>0</v>
      </c>
      <c r="L884" t="s">
        <v>1826</v>
      </c>
      <c r="M884">
        <v>523.71</v>
      </c>
      <c r="N884">
        <f t="shared" si="13"/>
        <v>523.71</v>
      </c>
      <c r="O884" t="str">
        <f>_xlfn.XLOOKUP(Sales_fact[[#This Row],[Customer_ID]],'Customer_Dim'!A:A,'Customer_Dim'!K:K,"Not Found")</f>
        <v>Platinum</v>
      </c>
      <c r="P884">
        <f>_xlfn.XLOOKUP(Sales_fact[[#This Row],[Customer_ID]],'Customer_Dim'!A:A, 'Customer_Dim'!E:E, "Not Found")</f>
        <v>63</v>
      </c>
      <c r="Q884" t="str">
        <f>VLOOKUP(Sales_fact[[#This Row],[Customer_ID]], 'Customer_Dim'!A:F, 6, FALSE)</f>
        <v>Female</v>
      </c>
      <c r="R884" s="13" t="str">
        <f>_xlfn.XLOOKUP(Sales_fact[[#This Row],[Product_ID]],Product_Dim!A:A,Product_Dim!C:C,"OTHERS")</f>
        <v>Electronics</v>
      </c>
    </row>
    <row r="885" spans="1:18" x14ac:dyDescent="0.3">
      <c r="A885" t="s">
        <v>2709</v>
      </c>
      <c r="B885" s="2">
        <v>45526</v>
      </c>
      <c r="C885" t="s">
        <v>414</v>
      </c>
      <c r="D885" t="s">
        <v>1718</v>
      </c>
      <c r="E885" t="str">
        <f ca="1">TRIM(Sales_fact[[#This Row],[Store_ID]])</f>
        <v>STORE0</v>
      </c>
      <c r="F885">
        <v>3</v>
      </c>
      <c r="G885">
        <f>IF(ISBLANK(F885),MODE($F$2:$F$2001),F885)</f>
        <v>3</v>
      </c>
      <c r="H885">
        <v>762</v>
      </c>
      <c r="I885">
        <f>IF(ISBLANK(H885),AVERAGE($H$2:$H$2001),H885)</f>
        <v>762</v>
      </c>
      <c r="J885">
        <v>0.02</v>
      </c>
      <c r="K885">
        <f>IF(ISBLANK(J885),MODE($J$2:$J$2001),J885)</f>
        <v>0.02</v>
      </c>
      <c r="L885" t="s">
        <v>1826</v>
      </c>
      <c r="M885">
        <v>2240.2800000000002</v>
      </c>
      <c r="N885">
        <f t="shared" si="13"/>
        <v>2240.2799999999997</v>
      </c>
      <c r="O885" t="str">
        <f>_xlfn.XLOOKUP(Sales_fact[[#This Row],[Customer_ID]],'Customer_Dim'!A:A,'Customer_Dim'!K:K,"Not Found")</f>
        <v>Bronze</v>
      </c>
      <c r="P885">
        <f>_xlfn.XLOOKUP(Sales_fact[[#This Row],[Customer_ID]],'Customer_Dim'!A:A, 'Customer_Dim'!E:E, "Not Found")</f>
        <v>40</v>
      </c>
      <c r="Q885" t="str">
        <f>VLOOKUP(Sales_fact[[#This Row],[Customer_ID]], 'Customer_Dim'!A:F, 6, FALSE)</f>
        <v>Male</v>
      </c>
      <c r="R885" s="13" t="str">
        <f>_xlfn.XLOOKUP(Sales_fact[[#This Row],[Product_ID]],Product_Dim!A:A,Product_Dim!C:C,"OTHERS")</f>
        <v>Clothing</v>
      </c>
    </row>
    <row r="886" spans="1:18" x14ac:dyDescent="0.3">
      <c r="A886" t="s">
        <v>2710</v>
      </c>
      <c r="B886" s="2">
        <v>45395</v>
      </c>
      <c r="C886" t="s">
        <v>1319</v>
      </c>
      <c r="D886" t="s">
        <v>1692</v>
      </c>
      <c r="E886" t="str">
        <f ca="1">TRIM(Sales_fact[[#This Row],[Store_ID]])</f>
        <v>STORE19</v>
      </c>
      <c r="F886">
        <v>1</v>
      </c>
      <c r="G886">
        <f>IF(ISBLANK(F886),MODE($F$2:$F$2001),F886)</f>
        <v>1</v>
      </c>
      <c r="H886">
        <v>44.08</v>
      </c>
      <c r="I886">
        <f>IF(ISBLANK(H886),AVERAGE($H$2:$H$2001),H886)</f>
        <v>44.08</v>
      </c>
      <c r="J886">
        <v>0.05</v>
      </c>
      <c r="K886">
        <f>IF(ISBLANK(J886),MODE($J$2:$J$2001),J886)</f>
        <v>0.05</v>
      </c>
      <c r="L886" t="s">
        <v>1824</v>
      </c>
      <c r="M886">
        <v>41.875999999999998</v>
      </c>
      <c r="N886">
        <f t="shared" si="13"/>
        <v>41.875999999999998</v>
      </c>
      <c r="O886" t="str">
        <f>_xlfn.XLOOKUP(Sales_fact[[#This Row],[Customer_ID]],'Customer_Dim'!A:A,'Customer_Dim'!K:K,"Not Found")</f>
        <v>Bronze</v>
      </c>
      <c r="P886">
        <f>_xlfn.XLOOKUP(Sales_fact[[#This Row],[Customer_ID]],'Customer_Dim'!A:A, 'Customer_Dim'!E:E, "Not Found")</f>
        <v>40</v>
      </c>
      <c r="Q886" t="str">
        <f>VLOOKUP(Sales_fact[[#This Row],[Customer_ID]], 'Customer_Dim'!A:F, 6, FALSE)</f>
        <v>Male</v>
      </c>
      <c r="R886" s="13" t="str">
        <f>_xlfn.XLOOKUP(Sales_fact[[#This Row],[Product_ID]],Product_Dim!A:A,Product_Dim!C:C,"OTHERS")</f>
        <v>Sports</v>
      </c>
    </row>
    <row r="887" spans="1:18" x14ac:dyDescent="0.3">
      <c r="A887" t="s">
        <v>2711</v>
      </c>
      <c r="B887" s="2">
        <v>45466</v>
      </c>
      <c r="C887" t="s">
        <v>1521</v>
      </c>
      <c r="D887" t="s">
        <v>1666</v>
      </c>
      <c r="E887" t="str">
        <f ca="1">TRIM(Sales_fact[[#This Row],[Store_ID]])</f>
        <v>STORE13</v>
      </c>
      <c r="F887">
        <v>1</v>
      </c>
      <c r="G887">
        <f>IF(ISBLANK(F887),MODE($F$2:$F$2001),F887)</f>
        <v>1</v>
      </c>
      <c r="H887">
        <v>992.37</v>
      </c>
      <c r="I887">
        <f>IF(ISBLANK(H887),AVERAGE($H$2:$H$2001),H887)</f>
        <v>992.37</v>
      </c>
      <c r="J887">
        <v>0.24</v>
      </c>
      <c r="K887">
        <f>IF(ISBLANK(J887),MODE($J$2:$J$2001),J887)</f>
        <v>0.24</v>
      </c>
      <c r="L887" t="s">
        <v>1829</v>
      </c>
      <c r="M887">
        <v>754.20119999999997</v>
      </c>
      <c r="N887">
        <f t="shared" si="13"/>
        <v>754.20119999999997</v>
      </c>
      <c r="O887" t="str">
        <f>_xlfn.XLOOKUP(Sales_fact[[#This Row],[Customer_ID]],'Customer_Dim'!A:A,'Customer_Dim'!K:K,"Not Found")</f>
        <v>Bronze</v>
      </c>
      <c r="P887">
        <f>_xlfn.XLOOKUP(Sales_fact[[#This Row],[Customer_ID]],'Customer_Dim'!A:A, 'Customer_Dim'!E:E, "Not Found")</f>
        <v>23</v>
      </c>
      <c r="Q887" t="str">
        <f>VLOOKUP(Sales_fact[[#This Row],[Customer_ID]], 'Customer_Dim'!A:F, 6, FALSE)</f>
        <v>Female</v>
      </c>
      <c r="R887" s="13" t="str">
        <f>_xlfn.XLOOKUP(Sales_fact[[#This Row],[Product_ID]],Product_Dim!A:A,Product_Dim!C:C,"OTHERS")</f>
        <v>Beauty</v>
      </c>
    </row>
    <row r="888" spans="1:18" x14ac:dyDescent="0.3">
      <c r="A888" t="s">
        <v>2712</v>
      </c>
      <c r="B888" s="2">
        <v>45876</v>
      </c>
      <c r="C888" t="s">
        <v>657</v>
      </c>
      <c r="D888" t="s">
        <v>1610</v>
      </c>
      <c r="E888" t="str">
        <f ca="1">TRIM(Sales_fact[[#This Row],[Store_ID]])</f>
        <v>STORE10</v>
      </c>
      <c r="F888">
        <v>3</v>
      </c>
      <c r="G888">
        <f>IF(ISBLANK(F888),MODE($F$2:$F$2001),F888)</f>
        <v>3</v>
      </c>
      <c r="H888">
        <v>465.4</v>
      </c>
      <c r="I888">
        <f>IF(ISBLANK(H888),AVERAGE($H$2:$H$2001),H888)</f>
        <v>465.4</v>
      </c>
      <c r="J888">
        <v>0.28999999999999998</v>
      </c>
      <c r="K888">
        <f>IF(ISBLANK(J888),MODE($J$2:$J$2001),J888)</f>
        <v>0.28999999999999998</v>
      </c>
      <c r="L888" t="s">
        <v>1829</v>
      </c>
      <c r="M888">
        <v>991.30199999999979</v>
      </c>
      <c r="N888">
        <f t="shared" si="13"/>
        <v>991.30199999999979</v>
      </c>
      <c r="O888" t="str">
        <f>_xlfn.XLOOKUP(Sales_fact[[#This Row],[Customer_ID]],'Customer_Dim'!A:A,'Customer_Dim'!K:K,"Not Found")</f>
        <v>Bronze</v>
      </c>
      <c r="P888">
        <f>_xlfn.XLOOKUP(Sales_fact[[#This Row],[Customer_ID]],'Customer_Dim'!A:A, 'Customer_Dim'!E:E, "Not Found")</f>
        <v>25</v>
      </c>
      <c r="Q888" t="str">
        <f>VLOOKUP(Sales_fact[[#This Row],[Customer_ID]], 'Customer_Dim'!A:F, 6, FALSE)</f>
        <v>Female</v>
      </c>
      <c r="R888" s="13" t="str">
        <f>_xlfn.XLOOKUP(Sales_fact[[#This Row],[Product_ID]],Product_Dim!A:A,Product_Dim!C:C,"OTHERS")</f>
        <v>Sports</v>
      </c>
    </row>
    <row r="889" spans="1:18" x14ac:dyDescent="0.3">
      <c r="A889" t="s">
        <v>2713</v>
      </c>
      <c r="B889" s="2">
        <v>45724</v>
      </c>
      <c r="C889" t="s">
        <v>1059</v>
      </c>
      <c r="D889" t="s">
        <v>1580</v>
      </c>
      <c r="E889" t="str">
        <f ca="1">TRIM(Sales_fact[[#This Row],[Store_ID]])</f>
        <v>STORE10</v>
      </c>
      <c r="F889">
        <v>2</v>
      </c>
      <c r="G889">
        <f>IF(ISBLANK(F889),MODE($F$2:$F$2001),F889)</f>
        <v>2</v>
      </c>
      <c r="H889">
        <v>693.61</v>
      </c>
      <c r="I889">
        <f>IF(ISBLANK(H889),AVERAGE($H$2:$H$2001),H889)</f>
        <v>693.61</v>
      </c>
      <c r="J889">
        <v>0.15</v>
      </c>
      <c r="K889">
        <f>IF(ISBLANK(J889),MODE($J$2:$J$2001),J889)</f>
        <v>0.15</v>
      </c>
      <c r="L889" t="s">
        <v>1826</v>
      </c>
      <c r="M889">
        <v>1179.1369999999999</v>
      </c>
      <c r="N889">
        <f t="shared" si="13"/>
        <v>1179.1369999999999</v>
      </c>
      <c r="O889" t="str">
        <f>_xlfn.XLOOKUP(Sales_fact[[#This Row],[Customer_ID]],'Customer_Dim'!A:A,'Customer_Dim'!K:K,"Not Found")</f>
        <v>Bronze</v>
      </c>
      <c r="P889">
        <f>_xlfn.XLOOKUP(Sales_fact[[#This Row],[Customer_ID]],'Customer_Dim'!A:A, 'Customer_Dim'!E:E, "Not Found")</f>
        <v>40</v>
      </c>
      <c r="Q889" t="str">
        <f>VLOOKUP(Sales_fact[[#This Row],[Customer_ID]], 'Customer_Dim'!A:F, 6, FALSE)</f>
        <v>Female</v>
      </c>
      <c r="R889" s="13" t="str">
        <f>_xlfn.XLOOKUP(Sales_fact[[#This Row],[Product_ID]],Product_Dim!A:A,Product_Dim!C:C,"OTHERS")</f>
        <v>OTHERS</v>
      </c>
    </row>
    <row r="890" spans="1:18" x14ac:dyDescent="0.3">
      <c r="A890" t="s">
        <v>2714</v>
      </c>
      <c r="B890" s="2">
        <v>45801</v>
      </c>
      <c r="C890" t="s">
        <v>1434</v>
      </c>
      <c r="D890" t="s">
        <v>1682</v>
      </c>
      <c r="E890" t="str">
        <f ca="1">TRIM(Sales_fact[[#This Row],[Store_ID]])</f>
        <v>STORE8</v>
      </c>
      <c r="F890">
        <v>2</v>
      </c>
      <c r="G890">
        <f>IF(ISBLANK(F890),MODE($F$2:$F$2001),F890)</f>
        <v>2</v>
      </c>
      <c r="H890">
        <v>995.11</v>
      </c>
      <c r="I890">
        <f>IF(ISBLANK(H890),AVERAGE($H$2:$H$2001),H890)</f>
        <v>995.11</v>
      </c>
      <c r="J890">
        <v>0.13</v>
      </c>
      <c r="K890">
        <f>IF(ISBLANK(J890),MODE($J$2:$J$2001),J890)</f>
        <v>0.13</v>
      </c>
      <c r="L890" t="s">
        <v>1826</v>
      </c>
      <c r="M890">
        <v>1731.4914000000001</v>
      </c>
      <c r="N890">
        <f t="shared" si="13"/>
        <v>1731.4914000000001</v>
      </c>
      <c r="O890" t="str">
        <f>_xlfn.XLOOKUP(Sales_fact[[#This Row],[Customer_ID]],'Customer_Dim'!A:A,'Customer_Dim'!K:K,"Not Found")</f>
        <v>Silver</v>
      </c>
      <c r="P890">
        <f>_xlfn.XLOOKUP(Sales_fact[[#This Row],[Customer_ID]],'Customer_Dim'!A:A, 'Customer_Dim'!E:E, "Not Found")</f>
        <v>28</v>
      </c>
      <c r="Q890" t="str">
        <f>VLOOKUP(Sales_fact[[#This Row],[Customer_ID]], 'Customer_Dim'!A:F, 6, FALSE)</f>
        <v>Female</v>
      </c>
      <c r="R890" s="13" t="str">
        <f>_xlfn.XLOOKUP(Sales_fact[[#This Row],[Product_ID]],Product_Dim!A:A,Product_Dim!C:C,"OTHERS")</f>
        <v>Electronics</v>
      </c>
    </row>
    <row r="891" spans="1:18" x14ac:dyDescent="0.3">
      <c r="A891" t="s">
        <v>2715</v>
      </c>
      <c r="B891" s="2">
        <v>45749</v>
      </c>
      <c r="C891" t="s">
        <v>1190</v>
      </c>
      <c r="D891" t="s">
        <v>1594</v>
      </c>
      <c r="E891" t="str">
        <f ca="1">TRIM(Sales_fact[[#This Row],[Store_ID]])</f>
        <v>STORE4</v>
      </c>
      <c r="F891">
        <v>3</v>
      </c>
      <c r="G891">
        <f>IF(ISBLANK(F891),MODE($F$2:$F$2001),F891)</f>
        <v>3</v>
      </c>
      <c r="H891">
        <v>70.97</v>
      </c>
      <c r="I891">
        <f>IF(ISBLANK(H891),AVERAGE($H$2:$H$2001),H891)</f>
        <v>70.97</v>
      </c>
      <c r="J891">
        <v>0.06</v>
      </c>
      <c r="K891">
        <f>IF(ISBLANK(J891),MODE($J$2:$J$2001),J891)</f>
        <v>0.06</v>
      </c>
      <c r="L891" t="s">
        <v>1829</v>
      </c>
      <c r="M891">
        <v>200.1354</v>
      </c>
      <c r="N891">
        <f t="shared" si="13"/>
        <v>200.13539999999998</v>
      </c>
      <c r="O891" t="str">
        <f>_xlfn.XLOOKUP(Sales_fact[[#This Row],[Customer_ID]],'Customer_Dim'!A:A,'Customer_Dim'!K:K,"Not Found")</f>
        <v>Silver</v>
      </c>
      <c r="P891">
        <f>_xlfn.XLOOKUP(Sales_fact[[#This Row],[Customer_ID]],'Customer_Dim'!A:A, 'Customer_Dim'!E:E, "Not Found")</f>
        <v>50</v>
      </c>
      <c r="Q891" t="str">
        <f>VLOOKUP(Sales_fact[[#This Row],[Customer_ID]], 'Customer_Dim'!A:F, 6, FALSE)</f>
        <v>Male</v>
      </c>
      <c r="R891" s="13" t="str">
        <f>_xlfn.XLOOKUP(Sales_fact[[#This Row],[Product_ID]],Product_Dim!A:A,Product_Dim!C:C,"OTHERS")</f>
        <v>Clothing</v>
      </c>
    </row>
    <row r="892" spans="1:18" x14ac:dyDescent="0.3">
      <c r="A892" t="s">
        <v>2716</v>
      </c>
      <c r="B892" s="2">
        <v>45325</v>
      </c>
      <c r="C892" t="s">
        <v>396</v>
      </c>
      <c r="D892" t="s">
        <v>1714</v>
      </c>
      <c r="E892" t="str">
        <f ca="1">TRIM(Sales_fact[[#This Row],[Store_ID]])</f>
        <v>STORE9</v>
      </c>
      <c r="F892">
        <v>3</v>
      </c>
      <c r="G892">
        <f>IF(ISBLANK(F892),MODE($F$2:$F$2001),F892)</f>
        <v>3</v>
      </c>
      <c r="H892">
        <v>470.42</v>
      </c>
      <c r="I892">
        <f>IF(ISBLANK(H892),AVERAGE($H$2:$H$2001),H892)</f>
        <v>470.42</v>
      </c>
      <c r="J892">
        <v>0.16</v>
      </c>
      <c r="K892">
        <f>IF(ISBLANK(J892),MODE($J$2:$J$2001),J892)</f>
        <v>0.16</v>
      </c>
      <c r="L892" t="s">
        <v>1824</v>
      </c>
      <c r="M892">
        <v>1185.4584</v>
      </c>
      <c r="N892">
        <f t="shared" si="13"/>
        <v>1185.4584</v>
      </c>
      <c r="O892" t="str">
        <f>_xlfn.XLOOKUP(Sales_fact[[#This Row],[Customer_ID]],'Customer_Dim'!A:A,'Customer_Dim'!K:K,"Not Found")</f>
        <v>Gold</v>
      </c>
      <c r="P892">
        <f>_xlfn.XLOOKUP(Sales_fact[[#This Row],[Customer_ID]],'Customer_Dim'!A:A, 'Customer_Dim'!E:E, "Not Found")</f>
        <v>51</v>
      </c>
      <c r="Q892" t="str">
        <f>VLOOKUP(Sales_fact[[#This Row],[Customer_ID]], 'Customer_Dim'!A:F, 6, FALSE)</f>
        <v>Male</v>
      </c>
      <c r="R892" s="13" t="str">
        <f>_xlfn.XLOOKUP(Sales_fact[[#This Row],[Product_ID]],Product_Dim!A:A,Product_Dim!C:C,"OTHERS")</f>
        <v>Beauty</v>
      </c>
    </row>
    <row r="893" spans="1:18" x14ac:dyDescent="0.3">
      <c r="A893" t="s">
        <v>2717</v>
      </c>
      <c r="B893" s="2">
        <v>45932</v>
      </c>
      <c r="C893" t="s">
        <v>990</v>
      </c>
      <c r="D893" t="s">
        <v>1720</v>
      </c>
      <c r="E893" t="str">
        <f ca="1">TRIM(Sales_fact[[#This Row],[Store_ID]])</f>
        <v>STORE16</v>
      </c>
      <c r="F893">
        <v>2</v>
      </c>
      <c r="G893">
        <f>IF(ISBLANK(F893),MODE($F$2:$F$2001),F893)</f>
        <v>2</v>
      </c>
      <c r="H893">
        <v>215.59</v>
      </c>
      <c r="I893">
        <f>IF(ISBLANK(H893),AVERAGE($H$2:$H$2001),H893)</f>
        <v>215.59</v>
      </c>
      <c r="J893">
        <v>0.18</v>
      </c>
      <c r="K893">
        <f>IF(ISBLANK(J893),MODE($J$2:$J$2001),J893)</f>
        <v>0.18</v>
      </c>
      <c r="L893" t="s">
        <v>1824</v>
      </c>
      <c r="M893">
        <v>353.56760000000003</v>
      </c>
      <c r="N893">
        <f t="shared" si="13"/>
        <v>353.56760000000003</v>
      </c>
      <c r="O893" t="str">
        <f>_xlfn.XLOOKUP(Sales_fact[[#This Row],[Customer_ID]],'Customer_Dim'!A:A,'Customer_Dim'!K:K,"Not Found")</f>
        <v>Silver</v>
      </c>
      <c r="P893">
        <f>_xlfn.XLOOKUP(Sales_fact[[#This Row],[Customer_ID]],'Customer_Dim'!A:A, 'Customer_Dim'!E:E, "Not Found")</f>
        <v>53</v>
      </c>
      <c r="Q893" t="str">
        <f>VLOOKUP(Sales_fact[[#This Row],[Customer_ID]], 'Customer_Dim'!A:F, 6, FALSE)</f>
        <v>Female</v>
      </c>
      <c r="R893" s="13" t="str">
        <f>_xlfn.XLOOKUP(Sales_fact[[#This Row],[Product_ID]],Product_Dim!A:A,Product_Dim!C:C,"OTHERS")</f>
        <v>Home</v>
      </c>
    </row>
    <row r="894" spans="1:18" x14ac:dyDescent="0.3">
      <c r="A894" t="s">
        <v>2718</v>
      </c>
      <c r="B894" s="2">
        <v>45895</v>
      </c>
      <c r="C894" t="s">
        <v>767</v>
      </c>
      <c r="D894" t="s">
        <v>1732</v>
      </c>
      <c r="E894" t="str">
        <f ca="1">TRIM(Sales_fact[[#This Row],[Store_ID]])</f>
        <v>STORE0</v>
      </c>
      <c r="F894">
        <v>1</v>
      </c>
      <c r="G894">
        <f>IF(ISBLANK(F894),MODE($F$2:$F$2001),F894)</f>
        <v>1</v>
      </c>
      <c r="H894">
        <v>533.79999999999995</v>
      </c>
      <c r="I894">
        <f>IF(ISBLANK(H894),AVERAGE($H$2:$H$2001),H894)</f>
        <v>533.79999999999995</v>
      </c>
      <c r="J894">
        <v>0.27</v>
      </c>
      <c r="K894">
        <f>IF(ISBLANK(J894),MODE($J$2:$J$2001),J894)</f>
        <v>0.27</v>
      </c>
      <c r="L894" t="s">
        <v>1829</v>
      </c>
      <c r="M894">
        <v>389.67399999999998</v>
      </c>
      <c r="N894">
        <f t="shared" si="13"/>
        <v>389.67399999999998</v>
      </c>
      <c r="O894" t="str">
        <f>_xlfn.XLOOKUP(Sales_fact[[#This Row],[Customer_ID]],'Customer_Dim'!A:A,'Customer_Dim'!K:K,"Not Found")</f>
        <v>Platinum</v>
      </c>
      <c r="P894">
        <f>_xlfn.XLOOKUP(Sales_fact[[#This Row],[Customer_ID]],'Customer_Dim'!A:A, 'Customer_Dim'!E:E, "Not Found")</f>
        <v>58</v>
      </c>
      <c r="Q894" t="str">
        <f>VLOOKUP(Sales_fact[[#This Row],[Customer_ID]], 'Customer_Dim'!A:F, 6, FALSE)</f>
        <v>Female</v>
      </c>
      <c r="R894" s="13" t="str">
        <f>_xlfn.XLOOKUP(Sales_fact[[#This Row],[Product_ID]],Product_Dim!A:A,Product_Dim!C:C,"OTHERS")</f>
        <v>Home</v>
      </c>
    </row>
    <row r="895" spans="1:18" x14ac:dyDescent="0.3">
      <c r="A895" t="s">
        <v>2719</v>
      </c>
      <c r="B895" s="2">
        <v>45614</v>
      </c>
      <c r="C895" t="s">
        <v>335</v>
      </c>
      <c r="D895" t="s">
        <v>1612</v>
      </c>
      <c r="E895" t="str">
        <f ca="1">TRIM(Sales_fact[[#This Row],[Store_ID]])</f>
        <v>STORE3</v>
      </c>
      <c r="F895">
        <v>2</v>
      </c>
      <c r="G895">
        <f>IF(ISBLANK(F895),MODE($F$2:$F$2001),F895)</f>
        <v>2</v>
      </c>
      <c r="H895">
        <v>732.67</v>
      </c>
      <c r="I895">
        <f>IF(ISBLANK(H895),AVERAGE($H$2:$H$2001),H895)</f>
        <v>732.67</v>
      </c>
      <c r="J895">
        <v>0.24</v>
      </c>
      <c r="K895">
        <f>IF(ISBLANK(J895),MODE($J$2:$J$2001),J895)</f>
        <v>0.24</v>
      </c>
      <c r="L895" t="s">
        <v>1826</v>
      </c>
      <c r="M895">
        <v>1113.6584</v>
      </c>
      <c r="N895">
        <f t="shared" si="13"/>
        <v>1113.6584</v>
      </c>
      <c r="O895" t="str">
        <f>_xlfn.XLOOKUP(Sales_fact[[#This Row],[Customer_ID]],'Customer_Dim'!A:A,'Customer_Dim'!K:K,"Not Found")</f>
        <v>Gold</v>
      </c>
      <c r="P895">
        <f>_xlfn.XLOOKUP(Sales_fact[[#This Row],[Customer_ID]],'Customer_Dim'!A:A, 'Customer_Dim'!E:E, "Not Found")</f>
        <v>28</v>
      </c>
      <c r="Q895" t="str">
        <f>VLOOKUP(Sales_fact[[#This Row],[Customer_ID]], 'Customer_Dim'!A:F, 6, FALSE)</f>
        <v>Female</v>
      </c>
      <c r="R895" s="13" t="str">
        <f>_xlfn.XLOOKUP(Sales_fact[[#This Row],[Product_ID]],Product_Dim!A:A,Product_Dim!C:C,"OTHERS")</f>
        <v>Beauty</v>
      </c>
    </row>
    <row r="896" spans="1:18" x14ac:dyDescent="0.3">
      <c r="A896" t="s">
        <v>2720</v>
      </c>
      <c r="B896" s="2">
        <v>45247</v>
      </c>
      <c r="C896" t="s">
        <v>1504</v>
      </c>
      <c r="D896" t="s">
        <v>1668</v>
      </c>
      <c r="E896" t="str">
        <f ca="1">TRIM(Sales_fact[[#This Row],[Store_ID]])</f>
        <v>STORE13</v>
      </c>
      <c r="F896">
        <v>4</v>
      </c>
      <c r="G896">
        <f>IF(ISBLANK(F896),MODE($F$2:$F$2001),F896)</f>
        <v>4</v>
      </c>
      <c r="H896">
        <v>106.48</v>
      </c>
      <c r="I896">
        <f>IF(ISBLANK(H896),AVERAGE($H$2:$H$2001),H896)</f>
        <v>106.48</v>
      </c>
      <c r="J896">
        <v>0.1</v>
      </c>
      <c r="K896">
        <f>IF(ISBLANK(J896),MODE($J$2:$J$2001),J896)</f>
        <v>0.1</v>
      </c>
      <c r="L896" t="s">
        <v>1829</v>
      </c>
      <c r="M896">
        <v>383.32799999999997</v>
      </c>
      <c r="N896">
        <f t="shared" si="13"/>
        <v>383.32800000000003</v>
      </c>
      <c r="O896" t="str">
        <f>_xlfn.XLOOKUP(Sales_fact[[#This Row],[Customer_ID]],'Customer_Dim'!A:A,'Customer_Dim'!K:K,"Not Found")</f>
        <v>Silver</v>
      </c>
      <c r="P896">
        <f>_xlfn.XLOOKUP(Sales_fact[[#This Row],[Customer_ID]],'Customer_Dim'!A:A, 'Customer_Dim'!E:E, "Not Found")</f>
        <v>42</v>
      </c>
      <c r="Q896" t="str">
        <f>VLOOKUP(Sales_fact[[#This Row],[Customer_ID]], 'Customer_Dim'!A:F, 6, FALSE)</f>
        <v>Female</v>
      </c>
      <c r="R896" s="13" t="str">
        <f>_xlfn.XLOOKUP(Sales_fact[[#This Row],[Product_ID]],Product_Dim!A:A,Product_Dim!C:C,"OTHERS")</f>
        <v>Beauty</v>
      </c>
    </row>
    <row r="897" spans="1:18" x14ac:dyDescent="0.3">
      <c r="A897" t="s">
        <v>2721</v>
      </c>
      <c r="B897" s="2">
        <v>45696</v>
      </c>
      <c r="C897" t="s">
        <v>372</v>
      </c>
      <c r="D897" t="s">
        <v>1662</v>
      </c>
      <c r="E897" t="str">
        <f ca="1">TRIM(Sales_fact[[#This Row],[Store_ID]])</f>
        <v>STORE3</v>
      </c>
      <c r="F897">
        <v>1</v>
      </c>
      <c r="G897">
        <f>IF(ISBLANK(F897),MODE($F$2:$F$2001),F897)</f>
        <v>1</v>
      </c>
      <c r="H897">
        <v>38.950000000000003</v>
      </c>
      <c r="I897">
        <f>IF(ISBLANK(H897),AVERAGE($H$2:$H$2001),H897)</f>
        <v>38.950000000000003</v>
      </c>
      <c r="J897">
        <v>0.28000000000000003</v>
      </c>
      <c r="K897">
        <f>IF(ISBLANK(J897),MODE($J$2:$J$2001),J897)</f>
        <v>0.28000000000000003</v>
      </c>
      <c r="L897" t="s">
        <v>1824</v>
      </c>
      <c r="M897">
        <v>28.044</v>
      </c>
      <c r="N897">
        <f t="shared" si="13"/>
        <v>28.044</v>
      </c>
      <c r="O897" t="str">
        <f>_xlfn.XLOOKUP(Sales_fact[[#This Row],[Customer_ID]],'Customer_Dim'!A:A,'Customer_Dim'!K:K,"Not Found")</f>
        <v>Gold</v>
      </c>
      <c r="P897">
        <f>_xlfn.XLOOKUP(Sales_fact[[#This Row],[Customer_ID]],'Customer_Dim'!A:A, 'Customer_Dim'!E:E, "Not Found")</f>
        <v>50</v>
      </c>
      <c r="Q897" t="str">
        <f>VLOOKUP(Sales_fact[[#This Row],[Customer_ID]], 'Customer_Dim'!A:F, 6, FALSE)</f>
        <v>Female</v>
      </c>
      <c r="R897" s="13" t="str">
        <f>_xlfn.XLOOKUP(Sales_fact[[#This Row],[Product_ID]],Product_Dim!A:A,Product_Dim!C:C,"OTHERS")</f>
        <v>Sports</v>
      </c>
    </row>
    <row r="898" spans="1:18" x14ac:dyDescent="0.3">
      <c r="A898" t="s">
        <v>2722</v>
      </c>
      <c r="B898" s="2">
        <v>45294</v>
      </c>
      <c r="C898" t="s">
        <v>1337</v>
      </c>
      <c r="D898" t="s">
        <v>1740</v>
      </c>
      <c r="E898" t="str">
        <f ca="1">TRIM(Sales_fact[[#This Row],[Store_ID]])</f>
        <v>STORE16</v>
      </c>
      <c r="F898">
        <v>1</v>
      </c>
      <c r="G898">
        <f>IF(ISBLANK(F898),MODE($F$2:$F$2001),F898)</f>
        <v>1</v>
      </c>
      <c r="H898">
        <v>835.17</v>
      </c>
      <c r="I898">
        <f>IF(ISBLANK(H898),AVERAGE($H$2:$H$2001),H898)</f>
        <v>835.17</v>
      </c>
      <c r="J898">
        <v>0.02</v>
      </c>
      <c r="K898">
        <f>IF(ISBLANK(J898),MODE($J$2:$J$2001),J898)</f>
        <v>0.02</v>
      </c>
      <c r="L898" t="s">
        <v>1829</v>
      </c>
      <c r="M898">
        <v>818.46659999999997</v>
      </c>
      <c r="N898">
        <f t="shared" si="13"/>
        <v>818.46659999999997</v>
      </c>
      <c r="O898" t="str">
        <f>_xlfn.XLOOKUP(Sales_fact[[#This Row],[Customer_ID]],'Customer_Dim'!A:A,'Customer_Dim'!K:K,"Not Found")</f>
        <v>Platinum</v>
      </c>
      <c r="P898">
        <f>_xlfn.XLOOKUP(Sales_fact[[#This Row],[Customer_ID]],'Customer_Dim'!A:A, 'Customer_Dim'!E:E, "Not Found")</f>
        <v>27</v>
      </c>
      <c r="Q898" t="str">
        <f>VLOOKUP(Sales_fact[[#This Row],[Customer_ID]], 'Customer_Dim'!A:F, 6, FALSE)</f>
        <v>Male</v>
      </c>
      <c r="R898" s="13" t="str">
        <f>_xlfn.XLOOKUP(Sales_fact[[#This Row],[Product_ID]],Product_Dim!A:A,Product_Dim!C:C,"OTHERS")</f>
        <v>Clothing</v>
      </c>
    </row>
    <row r="899" spans="1:18" x14ac:dyDescent="0.3">
      <c r="A899" t="s">
        <v>2723</v>
      </c>
      <c r="B899" s="2">
        <v>45389</v>
      </c>
      <c r="C899" t="s">
        <v>458</v>
      </c>
      <c r="D899" t="s">
        <v>1714</v>
      </c>
      <c r="E899" t="str">
        <f ca="1">TRIM(Sales_fact[[#This Row],[Store_ID]])</f>
        <v>STORE3</v>
      </c>
      <c r="F899">
        <v>1</v>
      </c>
      <c r="G899">
        <f>IF(ISBLANK(F899),MODE($F$2:$F$2001),F899)</f>
        <v>1</v>
      </c>
      <c r="H899">
        <v>113.07</v>
      </c>
      <c r="I899">
        <f>IF(ISBLANK(H899),AVERAGE($H$2:$H$2001),H899)</f>
        <v>113.07</v>
      </c>
      <c r="J899">
        <v>0.24</v>
      </c>
      <c r="K899">
        <f>IF(ISBLANK(J899),MODE($J$2:$J$2001),J899)</f>
        <v>0.24</v>
      </c>
      <c r="L899" t="s">
        <v>1824</v>
      </c>
      <c r="M899">
        <v>85.933199999999999</v>
      </c>
      <c r="N899">
        <f t="shared" ref="N899:N962" si="14">G899*I899*(1-K899)</f>
        <v>85.933199999999999</v>
      </c>
      <c r="O899" t="str">
        <f>_xlfn.XLOOKUP(Sales_fact[[#This Row],[Customer_ID]],'Customer_Dim'!A:A,'Customer_Dim'!K:K,"Not Found")</f>
        <v>Gold</v>
      </c>
      <c r="P899">
        <f>_xlfn.XLOOKUP(Sales_fact[[#This Row],[Customer_ID]],'Customer_Dim'!A:A, 'Customer_Dim'!E:E, "Not Found")</f>
        <v>54</v>
      </c>
      <c r="Q899" t="str">
        <f>VLOOKUP(Sales_fact[[#This Row],[Customer_ID]], 'Customer_Dim'!A:F, 6, FALSE)</f>
        <v>Male</v>
      </c>
      <c r="R899" s="13" t="str">
        <f>_xlfn.XLOOKUP(Sales_fact[[#This Row],[Product_ID]],Product_Dim!A:A,Product_Dim!C:C,"OTHERS")</f>
        <v>Beauty</v>
      </c>
    </row>
    <row r="900" spans="1:18" x14ac:dyDescent="0.3">
      <c r="A900" t="s">
        <v>2724</v>
      </c>
      <c r="B900" s="2">
        <v>45930</v>
      </c>
      <c r="C900" t="s">
        <v>1437</v>
      </c>
      <c r="D900" t="s">
        <v>1736</v>
      </c>
      <c r="E900" t="str">
        <f ca="1">TRIM(Sales_fact[[#This Row],[Store_ID]])</f>
        <v>STORE12</v>
      </c>
      <c r="F900">
        <v>2</v>
      </c>
      <c r="G900">
        <f>IF(ISBLANK(F900),MODE($F$2:$F$2001),F900)</f>
        <v>2</v>
      </c>
      <c r="H900">
        <v>451.33</v>
      </c>
      <c r="I900">
        <f>IF(ISBLANK(H900),AVERAGE($H$2:$H$2001),H900)</f>
        <v>451.33</v>
      </c>
      <c r="J900">
        <v>0.23</v>
      </c>
      <c r="K900">
        <f>IF(ISBLANK(J900),MODE($J$2:$J$2001),J900)</f>
        <v>0.23</v>
      </c>
      <c r="L900" t="s">
        <v>1829</v>
      </c>
      <c r="M900">
        <v>695.04819999999995</v>
      </c>
      <c r="N900">
        <f t="shared" si="14"/>
        <v>695.04819999999995</v>
      </c>
      <c r="O900" t="str">
        <f>_xlfn.XLOOKUP(Sales_fact[[#This Row],[Customer_ID]],'Customer_Dim'!A:A,'Customer_Dim'!K:K,"Not Found")</f>
        <v>Silver</v>
      </c>
      <c r="P900">
        <f>_xlfn.XLOOKUP(Sales_fact[[#This Row],[Customer_ID]],'Customer_Dim'!A:A, 'Customer_Dim'!E:E, "Not Found")</f>
        <v>18</v>
      </c>
      <c r="Q900" t="str">
        <f>VLOOKUP(Sales_fact[[#This Row],[Customer_ID]], 'Customer_Dim'!A:F, 6, FALSE)</f>
        <v>Male</v>
      </c>
      <c r="R900" s="13" t="str">
        <f>_xlfn.XLOOKUP(Sales_fact[[#This Row],[Product_ID]],Product_Dim!A:A,Product_Dim!C:C,"OTHERS")</f>
        <v>Beauty</v>
      </c>
    </row>
    <row r="901" spans="1:18" x14ac:dyDescent="0.3">
      <c r="A901" t="s">
        <v>2725</v>
      </c>
      <c r="B901" s="2">
        <v>45456</v>
      </c>
      <c r="C901" t="s">
        <v>1163</v>
      </c>
      <c r="D901" t="s">
        <v>1720</v>
      </c>
      <c r="E901" t="str">
        <f ca="1">TRIM(Sales_fact[[#This Row],[Store_ID]])</f>
        <v>STORE6</v>
      </c>
      <c r="F901">
        <v>3</v>
      </c>
      <c r="G901">
        <f>IF(ISBLANK(F901),MODE($F$2:$F$2001),F901)</f>
        <v>3</v>
      </c>
      <c r="H901">
        <v>619.80999999999995</v>
      </c>
      <c r="I901">
        <f>IF(ISBLANK(H901),AVERAGE($H$2:$H$2001),H901)</f>
        <v>619.80999999999995</v>
      </c>
      <c r="J901">
        <v>0.16</v>
      </c>
      <c r="K901">
        <f>IF(ISBLANK(J901),MODE($J$2:$J$2001),J901)</f>
        <v>0.16</v>
      </c>
      <c r="L901" t="s">
        <v>1829</v>
      </c>
      <c r="M901">
        <v>1561.9212</v>
      </c>
      <c r="N901">
        <f t="shared" si="14"/>
        <v>1561.9211999999998</v>
      </c>
      <c r="O901" t="str">
        <f>_xlfn.XLOOKUP(Sales_fact[[#This Row],[Customer_ID]],'Customer_Dim'!A:A,'Customer_Dim'!K:K,"Not Found")</f>
        <v>Bronze</v>
      </c>
      <c r="P901">
        <f>_xlfn.XLOOKUP(Sales_fact[[#This Row],[Customer_ID]],'Customer_Dim'!A:A, 'Customer_Dim'!E:E, "Not Found")</f>
        <v>28</v>
      </c>
      <c r="Q901" t="str">
        <f>VLOOKUP(Sales_fact[[#This Row],[Customer_ID]], 'Customer_Dim'!A:F, 6, FALSE)</f>
        <v>Male</v>
      </c>
      <c r="R901" s="13" t="str">
        <f>_xlfn.XLOOKUP(Sales_fact[[#This Row],[Product_ID]],Product_Dim!A:A,Product_Dim!C:C,"OTHERS")</f>
        <v>Home</v>
      </c>
    </row>
    <row r="902" spans="1:18" x14ac:dyDescent="0.3">
      <c r="A902" t="s">
        <v>2726</v>
      </c>
      <c r="B902" s="2">
        <v>45713</v>
      </c>
      <c r="C902" t="s">
        <v>381</v>
      </c>
      <c r="D902" t="s">
        <v>1672</v>
      </c>
      <c r="E902" t="str">
        <f ca="1">TRIM(Sales_fact[[#This Row],[Store_ID]])</f>
        <v>STORE7</v>
      </c>
      <c r="F902">
        <v>4</v>
      </c>
      <c r="G902">
        <f>IF(ISBLANK(F902),MODE($F$2:$F$2001),F902)</f>
        <v>4</v>
      </c>
      <c r="H902">
        <v>46.97</v>
      </c>
      <c r="I902">
        <f>IF(ISBLANK(H902),AVERAGE($H$2:$H$2001),H902)</f>
        <v>46.97</v>
      </c>
      <c r="J902">
        <v>0.26</v>
      </c>
      <c r="K902">
        <f>IF(ISBLANK(J902),MODE($J$2:$J$2001),J902)</f>
        <v>0.26</v>
      </c>
      <c r="L902" t="s">
        <v>1826</v>
      </c>
      <c r="M902">
        <v>139.03120000000001</v>
      </c>
      <c r="N902">
        <f t="shared" si="14"/>
        <v>139.03119999999998</v>
      </c>
      <c r="O902" t="str">
        <f>_xlfn.XLOOKUP(Sales_fact[[#This Row],[Customer_ID]],'Customer_Dim'!A:A,'Customer_Dim'!K:K,"Not Found")</f>
        <v>Bronze</v>
      </c>
      <c r="P902">
        <f>_xlfn.XLOOKUP(Sales_fact[[#This Row],[Customer_ID]],'Customer_Dim'!A:A, 'Customer_Dim'!E:E, "Not Found")</f>
        <v>38</v>
      </c>
      <c r="Q902" t="str">
        <f>VLOOKUP(Sales_fact[[#This Row],[Customer_ID]], 'Customer_Dim'!A:F, 6, FALSE)</f>
        <v>Male</v>
      </c>
      <c r="R902" s="13" t="str">
        <f>_xlfn.XLOOKUP(Sales_fact[[#This Row],[Product_ID]],Product_Dim!A:A,Product_Dim!C:C,"OTHERS")</f>
        <v>Electronics</v>
      </c>
    </row>
    <row r="903" spans="1:18" x14ac:dyDescent="0.3">
      <c r="A903" t="s">
        <v>2727</v>
      </c>
      <c r="B903" s="2">
        <v>45784</v>
      </c>
      <c r="C903" t="s">
        <v>607</v>
      </c>
      <c r="D903" t="s">
        <v>1640</v>
      </c>
      <c r="E903" t="str">
        <f ca="1">TRIM(Sales_fact[[#This Row],[Store_ID]])</f>
        <v>STORE2</v>
      </c>
      <c r="F903">
        <v>2</v>
      </c>
      <c r="G903">
        <f>IF(ISBLANK(F903),MODE($F$2:$F$2001),F903)</f>
        <v>2</v>
      </c>
      <c r="H903">
        <v>71.48</v>
      </c>
      <c r="I903">
        <f>IF(ISBLANK(H903),AVERAGE($H$2:$H$2001),H903)</f>
        <v>71.48</v>
      </c>
      <c r="J903">
        <v>0.14000000000000001</v>
      </c>
      <c r="K903">
        <f>IF(ISBLANK(J903),MODE($J$2:$J$2001),J903)</f>
        <v>0.14000000000000001</v>
      </c>
      <c r="L903" t="s">
        <v>1829</v>
      </c>
      <c r="M903">
        <v>122.9456</v>
      </c>
      <c r="N903">
        <f t="shared" si="14"/>
        <v>122.9456</v>
      </c>
      <c r="O903" t="str">
        <f>_xlfn.XLOOKUP(Sales_fact[[#This Row],[Customer_ID]],'Customer_Dim'!A:A,'Customer_Dim'!K:K,"Not Found")</f>
        <v>Silver</v>
      </c>
      <c r="P903">
        <f>_xlfn.XLOOKUP(Sales_fact[[#This Row],[Customer_ID]],'Customer_Dim'!A:A, 'Customer_Dim'!E:E, "Not Found")</f>
        <v>46</v>
      </c>
      <c r="Q903" t="str">
        <f>VLOOKUP(Sales_fact[[#This Row],[Customer_ID]], 'Customer_Dim'!A:F, 6, FALSE)</f>
        <v>Female</v>
      </c>
      <c r="R903" s="13" t="str">
        <f>_xlfn.XLOOKUP(Sales_fact[[#This Row],[Product_ID]],Product_Dim!A:A,Product_Dim!C:C,"OTHERS")</f>
        <v>Clothing</v>
      </c>
    </row>
    <row r="904" spans="1:18" x14ac:dyDescent="0.3">
      <c r="A904" t="s">
        <v>2728</v>
      </c>
      <c r="B904" s="2">
        <v>45812</v>
      </c>
      <c r="C904" t="s">
        <v>8</v>
      </c>
      <c r="D904" t="s">
        <v>1660</v>
      </c>
      <c r="E904" t="str">
        <f ca="1">TRIM(Sales_fact[[#This Row],[Store_ID]])</f>
        <v>STORE19</v>
      </c>
      <c r="F904">
        <v>2</v>
      </c>
      <c r="G904">
        <f>IF(ISBLANK(F904),MODE($F$2:$F$2001),F904)</f>
        <v>2</v>
      </c>
      <c r="H904">
        <v>404.08</v>
      </c>
      <c r="I904">
        <f>IF(ISBLANK(H904),AVERAGE($H$2:$H$2001),H904)</f>
        <v>404.08</v>
      </c>
      <c r="J904">
        <v>7.0000000000000007E-2</v>
      </c>
      <c r="K904">
        <f>IF(ISBLANK(J904),MODE($J$2:$J$2001),J904)</f>
        <v>7.0000000000000007E-2</v>
      </c>
      <c r="L904" t="s">
        <v>1824</v>
      </c>
      <c r="M904">
        <v>751.58879999999988</v>
      </c>
      <c r="N904">
        <f t="shared" si="14"/>
        <v>751.58879999999988</v>
      </c>
      <c r="O904" t="str">
        <f>_xlfn.XLOOKUP(Sales_fact[[#This Row],[Customer_ID]],'Customer_Dim'!A:A,'Customer_Dim'!K:K,"Not Found")</f>
        <v>UNKNOWN</v>
      </c>
      <c r="P904">
        <f>_xlfn.XLOOKUP(Sales_fact[[#This Row],[Customer_ID]],'Customer_Dim'!A:A, 'Customer_Dim'!E:E, "Not Found")</f>
        <v>55</v>
      </c>
      <c r="Q904" t="str">
        <f>VLOOKUP(Sales_fact[[#This Row],[Customer_ID]], 'Customer_Dim'!A:F, 6, FALSE)</f>
        <v>Male</v>
      </c>
      <c r="R904" s="13" t="str">
        <f>_xlfn.XLOOKUP(Sales_fact[[#This Row],[Product_ID]],Product_Dim!A:A,Product_Dim!C:C,"OTHERS")</f>
        <v>Home</v>
      </c>
    </row>
    <row r="905" spans="1:18" x14ac:dyDescent="0.3">
      <c r="A905" t="s">
        <v>2729</v>
      </c>
      <c r="B905" s="2">
        <v>45653</v>
      </c>
      <c r="C905" t="s">
        <v>842</v>
      </c>
      <c r="D905" t="s">
        <v>1582</v>
      </c>
      <c r="E905" t="str">
        <f ca="1">TRIM(Sales_fact[[#This Row],[Store_ID]])</f>
        <v>STORE16</v>
      </c>
      <c r="F905">
        <v>1</v>
      </c>
      <c r="G905">
        <f>IF(ISBLANK(F905),MODE($F$2:$F$2001),F905)</f>
        <v>1</v>
      </c>
      <c r="H905">
        <v>519.91</v>
      </c>
      <c r="I905">
        <f>IF(ISBLANK(H905),AVERAGE($H$2:$H$2001),H905)</f>
        <v>519.91</v>
      </c>
      <c r="J905">
        <v>0.05</v>
      </c>
      <c r="K905">
        <f>IF(ISBLANK(J905),MODE($J$2:$J$2001),J905)</f>
        <v>0.05</v>
      </c>
      <c r="L905" t="s">
        <v>1829</v>
      </c>
      <c r="M905">
        <v>493.91449999999992</v>
      </c>
      <c r="N905">
        <f t="shared" si="14"/>
        <v>493.91449999999992</v>
      </c>
      <c r="O905" t="str">
        <f>_xlfn.XLOOKUP(Sales_fact[[#This Row],[Customer_ID]],'Customer_Dim'!A:A,'Customer_Dim'!K:K,"Not Found")</f>
        <v>Gold</v>
      </c>
      <c r="P905">
        <f>_xlfn.XLOOKUP(Sales_fact[[#This Row],[Customer_ID]],'Customer_Dim'!A:A, 'Customer_Dim'!E:E, "Not Found")</f>
        <v>25</v>
      </c>
      <c r="Q905" t="str">
        <f>VLOOKUP(Sales_fact[[#This Row],[Customer_ID]], 'Customer_Dim'!A:F, 6, FALSE)</f>
        <v>Male</v>
      </c>
      <c r="R905" s="13" t="str">
        <f>_xlfn.XLOOKUP(Sales_fact[[#This Row],[Product_ID]],Product_Dim!A:A,Product_Dim!C:C,"OTHERS")</f>
        <v>Sports</v>
      </c>
    </row>
    <row r="906" spans="1:18" x14ac:dyDescent="0.3">
      <c r="A906" t="s">
        <v>2730</v>
      </c>
      <c r="B906" s="2">
        <v>45672</v>
      </c>
      <c r="C906" t="s">
        <v>490</v>
      </c>
      <c r="D906" t="s">
        <v>1644</v>
      </c>
      <c r="E906" t="str">
        <f ca="1">TRIM(Sales_fact[[#This Row],[Store_ID]])</f>
        <v>STORE13</v>
      </c>
      <c r="F906">
        <v>3</v>
      </c>
      <c r="G906">
        <f>IF(ISBLANK(F906),MODE($F$2:$F$2001),F906)</f>
        <v>3</v>
      </c>
      <c r="H906">
        <v>566.16</v>
      </c>
      <c r="I906">
        <f>IF(ISBLANK(H906),AVERAGE($H$2:$H$2001),H906)</f>
        <v>566.16</v>
      </c>
      <c r="J906">
        <v>0.05</v>
      </c>
      <c r="K906">
        <f>IF(ISBLANK(J906),MODE($J$2:$J$2001),J906)</f>
        <v>0.05</v>
      </c>
      <c r="L906" t="s">
        <v>1826</v>
      </c>
      <c r="M906">
        <v>1613.556</v>
      </c>
      <c r="N906">
        <f t="shared" si="14"/>
        <v>1613.556</v>
      </c>
      <c r="O906" t="str">
        <f>_xlfn.XLOOKUP(Sales_fact[[#This Row],[Customer_ID]],'Customer_Dim'!A:A,'Customer_Dim'!K:K,"Not Found")</f>
        <v>Platinum</v>
      </c>
      <c r="P906">
        <f>_xlfn.XLOOKUP(Sales_fact[[#This Row],[Customer_ID]],'Customer_Dim'!A:A, 'Customer_Dim'!E:E, "Not Found")</f>
        <v>46</v>
      </c>
      <c r="Q906" t="str">
        <f>VLOOKUP(Sales_fact[[#This Row],[Customer_ID]], 'Customer_Dim'!A:F, 6, FALSE)</f>
        <v>Male</v>
      </c>
      <c r="R906" s="13" t="str">
        <f>_xlfn.XLOOKUP(Sales_fact[[#This Row],[Product_ID]],Product_Dim!A:A,Product_Dim!C:C,"OTHERS")</f>
        <v>Electronics</v>
      </c>
    </row>
    <row r="907" spans="1:18" x14ac:dyDescent="0.3">
      <c r="A907" t="s">
        <v>2731</v>
      </c>
      <c r="B907" s="2">
        <v>45799</v>
      </c>
      <c r="C907" t="s">
        <v>1223</v>
      </c>
      <c r="D907" t="s">
        <v>1652</v>
      </c>
      <c r="E907" t="str">
        <f ca="1">TRIM(Sales_fact[[#This Row],[Store_ID]])</f>
        <v>STORE10</v>
      </c>
      <c r="F907">
        <v>2</v>
      </c>
      <c r="G907">
        <f>IF(ISBLANK(F907),MODE($F$2:$F$2001),F907)</f>
        <v>2</v>
      </c>
      <c r="H907">
        <v>295.12</v>
      </c>
      <c r="I907">
        <f>IF(ISBLANK(H907),AVERAGE($H$2:$H$2001),H907)</f>
        <v>295.12</v>
      </c>
      <c r="J907">
        <v>0.09</v>
      </c>
      <c r="K907">
        <f>IF(ISBLANK(J907),MODE($J$2:$J$2001),J907)</f>
        <v>0.09</v>
      </c>
      <c r="L907" t="s">
        <v>1829</v>
      </c>
      <c r="M907">
        <v>537.11840000000007</v>
      </c>
      <c r="N907">
        <f t="shared" si="14"/>
        <v>537.11840000000007</v>
      </c>
      <c r="O907" t="str">
        <f>_xlfn.XLOOKUP(Sales_fact[[#This Row],[Customer_ID]],'Customer_Dim'!A:A,'Customer_Dim'!K:K,"Not Found")</f>
        <v>Gold</v>
      </c>
      <c r="P907">
        <f>_xlfn.XLOOKUP(Sales_fact[[#This Row],[Customer_ID]],'Customer_Dim'!A:A, 'Customer_Dim'!E:E, "Not Found")</f>
        <v>46</v>
      </c>
      <c r="Q907" t="str">
        <f>VLOOKUP(Sales_fact[[#This Row],[Customer_ID]], 'Customer_Dim'!A:F, 6, FALSE)</f>
        <v>Male</v>
      </c>
      <c r="R907" s="13" t="str">
        <f>_xlfn.XLOOKUP(Sales_fact[[#This Row],[Product_ID]],Product_Dim!A:A,Product_Dim!C:C,"OTHERS")</f>
        <v>Sports</v>
      </c>
    </row>
    <row r="908" spans="1:18" x14ac:dyDescent="0.3">
      <c r="A908" t="s">
        <v>2732</v>
      </c>
      <c r="B908" s="2">
        <v>45848</v>
      </c>
      <c r="C908" t="s">
        <v>384</v>
      </c>
      <c r="D908" t="s">
        <v>1616</v>
      </c>
      <c r="E908" t="str">
        <f ca="1">TRIM(Sales_fact[[#This Row],[Store_ID]])</f>
        <v>STORE11</v>
      </c>
      <c r="F908">
        <v>2</v>
      </c>
      <c r="G908">
        <f>IF(ISBLANK(F908),MODE($F$2:$F$2001),F908)</f>
        <v>2</v>
      </c>
      <c r="H908">
        <v>414.18</v>
      </c>
      <c r="I908">
        <f>IF(ISBLANK(H908),AVERAGE($H$2:$H$2001),H908)</f>
        <v>414.18</v>
      </c>
      <c r="J908">
        <v>0.25</v>
      </c>
      <c r="K908">
        <f>IF(ISBLANK(J908),MODE($J$2:$J$2001),J908)</f>
        <v>0.25</v>
      </c>
      <c r="L908" t="s">
        <v>1826</v>
      </c>
      <c r="M908">
        <v>621.27</v>
      </c>
      <c r="N908">
        <f t="shared" si="14"/>
        <v>621.27</v>
      </c>
      <c r="O908" t="str">
        <f>_xlfn.XLOOKUP(Sales_fact[[#This Row],[Customer_ID]],'Customer_Dim'!A:A,'Customer_Dim'!K:K,"Not Found")</f>
        <v>Silver</v>
      </c>
      <c r="P908">
        <f>_xlfn.XLOOKUP(Sales_fact[[#This Row],[Customer_ID]],'Customer_Dim'!A:A, 'Customer_Dim'!E:E, "Not Found")</f>
        <v>27</v>
      </c>
      <c r="Q908" t="str">
        <f>VLOOKUP(Sales_fact[[#This Row],[Customer_ID]], 'Customer_Dim'!A:F, 6, FALSE)</f>
        <v>Male</v>
      </c>
      <c r="R908" s="13" t="str">
        <f>_xlfn.XLOOKUP(Sales_fact[[#This Row],[Product_ID]],Product_Dim!A:A,Product_Dim!C:C,"OTHERS")</f>
        <v>Electronics</v>
      </c>
    </row>
    <row r="909" spans="1:18" x14ac:dyDescent="0.3">
      <c r="A909" t="s">
        <v>2733</v>
      </c>
      <c r="B909" s="2">
        <v>45918</v>
      </c>
      <c r="C909" t="s">
        <v>854</v>
      </c>
      <c r="D909" t="s">
        <v>1664</v>
      </c>
      <c r="E909" t="str">
        <f ca="1">TRIM(Sales_fact[[#This Row],[Store_ID]])</f>
        <v>STORE8</v>
      </c>
      <c r="F909">
        <v>2</v>
      </c>
      <c r="G909">
        <f>IF(ISBLANK(F909),MODE($F$2:$F$2001),F909)</f>
        <v>2</v>
      </c>
      <c r="H909">
        <v>433.75</v>
      </c>
      <c r="I909">
        <f>IF(ISBLANK(H909),AVERAGE($H$2:$H$2001),H909)</f>
        <v>433.75</v>
      </c>
      <c r="J909">
        <v>0</v>
      </c>
      <c r="K909">
        <f>IF(ISBLANK(J909),MODE($J$2:$J$2001),J909)</f>
        <v>0</v>
      </c>
      <c r="L909" t="s">
        <v>1824</v>
      </c>
      <c r="M909">
        <v>867.5</v>
      </c>
      <c r="N909">
        <f t="shared" si="14"/>
        <v>867.5</v>
      </c>
      <c r="O909" t="str">
        <f>_xlfn.XLOOKUP(Sales_fact[[#This Row],[Customer_ID]],'Customer_Dim'!A:A,'Customer_Dim'!K:K,"Not Found")</f>
        <v>Bronze</v>
      </c>
      <c r="P909">
        <f>_xlfn.XLOOKUP(Sales_fact[[#This Row],[Customer_ID]],'Customer_Dim'!A:A, 'Customer_Dim'!E:E, "Not Found")</f>
        <v>53</v>
      </c>
      <c r="Q909" t="str">
        <f>VLOOKUP(Sales_fact[[#This Row],[Customer_ID]], 'Customer_Dim'!A:F, 6, FALSE)</f>
        <v>Female</v>
      </c>
      <c r="R909" s="13" t="str">
        <f>_xlfn.XLOOKUP(Sales_fact[[#This Row],[Product_ID]],Product_Dim!A:A,Product_Dim!C:C,"OTHERS")</f>
        <v>Clothing</v>
      </c>
    </row>
    <row r="910" spans="1:18" x14ac:dyDescent="0.3">
      <c r="A910" t="s">
        <v>2734</v>
      </c>
      <c r="B910" s="2">
        <v>45288</v>
      </c>
      <c r="C910" t="s">
        <v>893</v>
      </c>
      <c r="D910" t="s">
        <v>1718</v>
      </c>
      <c r="E910" t="str">
        <f ca="1">TRIM(Sales_fact[[#This Row],[Store_ID]])</f>
        <v>STORE19</v>
      </c>
      <c r="F910">
        <v>3</v>
      </c>
      <c r="G910">
        <f>IF(ISBLANK(F910),MODE($F$2:$F$2001),F910)</f>
        <v>3</v>
      </c>
      <c r="H910">
        <v>104.33</v>
      </c>
      <c r="I910">
        <f>IF(ISBLANK(H910),AVERAGE($H$2:$H$2001),H910)</f>
        <v>104.33</v>
      </c>
      <c r="J910">
        <v>0.13</v>
      </c>
      <c r="K910">
        <f>IF(ISBLANK(J910),MODE($J$2:$J$2001),J910)</f>
        <v>0.13</v>
      </c>
      <c r="L910" t="s">
        <v>1829</v>
      </c>
      <c r="M910">
        <v>272.30130000000003</v>
      </c>
      <c r="N910">
        <f t="shared" si="14"/>
        <v>272.30130000000003</v>
      </c>
      <c r="O910" t="str">
        <f>_xlfn.XLOOKUP(Sales_fact[[#This Row],[Customer_ID]],'Customer_Dim'!A:A,'Customer_Dim'!K:K,"Not Found")</f>
        <v>Platinum</v>
      </c>
      <c r="P910">
        <f>_xlfn.XLOOKUP(Sales_fact[[#This Row],[Customer_ID]],'Customer_Dim'!A:A, 'Customer_Dim'!E:E, "Not Found")</f>
        <v>59</v>
      </c>
      <c r="Q910" t="str">
        <f>VLOOKUP(Sales_fact[[#This Row],[Customer_ID]], 'Customer_Dim'!A:F, 6, FALSE)</f>
        <v>Male</v>
      </c>
      <c r="R910" s="13" t="str">
        <f>_xlfn.XLOOKUP(Sales_fact[[#This Row],[Product_ID]],Product_Dim!A:A,Product_Dim!C:C,"OTHERS")</f>
        <v>Clothing</v>
      </c>
    </row>
    <row r="911" spans="1:18" x14ac:dyDescent="0.3">
      <c r="A911" t="s">
        <v>2735</v>
      </c>
      <c r="B911" s="2">
        <v>45477</v>
      </c>
      <c r="C911" t="s">
        <v>1431</v>
      </c>
      <c r="D911" t="s">
        <v>1553</v>
      </c>
      <c r="E911" t="str">
        <f ca="1">TRIM(Sales_fact[[#This Row],[Store_ID]])</f>
        <v>STORE12</v>
      </c>
      <c r="F911">
        <v>1</v>
      </c>
      <c r="G911">
        <f>IF(ISBLANK(F911),MODE($F$2:$F$2001),F911)</f>
        <v>1</v>
      </c>
      <c r="H911">
        <v>221.7</v>
      </c>
      <c r="I911">
        <f>IF(ISBLANK(H911),AVERAGE($H$2:$H$2001),H911)</f>
        <v>221.7</v>
      </c>
      <c r="J911">
        <v>0.04</v>
      </c>
      <c r="K911">
        <f>IF(ISBLANK(J911),MODE($J$2:$J$2001),J911)</f>
        <v>0.04</v>
      </c>
      <c r="L911" t="s">
        <v>1824</v>
      </c>
      <c r="M911">
        <v>212.83199999999999</v>
      </c>
      <c r="N911">
        <f t="shared" si="14"/>
        <v>212.83199999999999</v>
      </c>
      <c r="O911" t="str">
        <f>_xlfn.XLOOKUP(Sales_fact[[#This Row],[Customer_ID]],'Customer_Dim'!A:A,'Customer_Dim'!K:K,"Not Found")</f>
        <v>Not Found</v>
      </c>
      <c r="P911" t="str">
        <f>_xlfn.XLOOKUP(Sales_fact[[#This Row],[Customer_ID]],'Customer_Dim'!A:A, 'Customer_Dim'!E:E, "Not Found")</f>
        <v>Not Found</v>
      </c>
      <c r="Q911" t="e">
        <f>VLOOKUP(Sales_fact[[#This Row],[Customer_ID]], 'Customer_Dim'!A:F, 6, FALSE)</f>
        <v>#N/A</v>
      </c>
      <c r="R911" s="13" t="str">
        <f>_xlfn.XLOOKUP(Sales_fact[[#This Row],[Product_ID]],Product_Dim!A:A,Product_Dim!C:C,"OTHERS")</f>
        <v>Clothing</v>
      </c>
    </row>
    <row r="912" spans="1:18" x14ac:dyDescent="0.3">
      <c r="A912" t="s">
        <v>2736</v>
      </c>
      <c r="B912" s="2">
        <v>45796</v>
      </c>
      <c r="C912" t="s">
        <v>687</v>
      </c>
      <c r="D912" t="s">
        <v>1682</v>
      </c>
      <c r="E912" t="str">
        <f ca="1">TRIM(Sales_fact[[#This Row],[Store_ID]])</f>
        <v>STORE5</v>
      </c>
      <c r="F912">
        <v>2</v>
      </c>
      <c r="G912">
        <f>IF(ISBLANK(F912),MODE($F$2:$F$2001),F912)</f>
        <v>2</v>
      </c>
      <c r="H912">
        <v>491.26</v>
      </c>
      <c r="I912">
        <f>IF(ISBLANK(H912),AVERAGE($H$2:$H$2001),H912)</f>
        <v>491.26</v>
      </c>
      <c r="J912">
        <v>0.14000000000000001</v>
      </c>
      <c r="K912">
        <f>IF(ISBLANK(J912),MODE($J$2:$J$2001),J912)</f>
        <v>0.14000000000000001</v>
      </c>
      <c r="L912" t="s">
        <v>1829</v>
      </c>
      <c r="M912">
        <v>844.96719999999993</v>
      </c>
      <c r="N912">
        <f t="shared" si="14"/>
        <v>844.96719999999993</v>
      </c>
      <c r="O912" t="str">
        <f>_xlfn.XLOOKUP(Sales_fact[[#This Row],[Customer_ID]],'Customer_Dim'!A:A,'Customer_Dim'!K:K,"Not Found")</f>
        <v>Silver</v>
      </c>
      <c r="P912">
        <f>_xlfn.XLOOKUP(Sales_fact[[#This Row],[Customer_ID]],'Customer_Dim'!A:A, 'Customer_Dim'!E:E, "Not Found")</f>
        <v>20</v>
      </c>
      <c r="Q912" t="str">
        <f>VLOOKUP(Sales_fact[[#This Row],[Customer_ID]], 'Customer_Dim'!A:F, 6, FALSE)</f>
        <v>Female</v>
      </c>
      <c r="R912" s="13" t="str">
        <f>_xlfn.XLOOKUP(Sales_fact[[#This Row],[Product_ID]],Product_Dim!A:A,Product_Dim!C:C,"OTHERS")</f>
        <v>Electronics</v>
      </c>
    </row>
    <row r="913" spans="1:18" x14ac:dyDescent="0.3">
      <c r="A913" t="s">
        <v>2737</v>
      </c>
      <c r="B913" s="2">
        <v>45630</v>
      </c>
      <c r="C913" t="s">
        <v>598</v>
      </c>
      <c r="D913" t="s">
        <v>1622</v>
      </c>
      <c r="E913" t="str">
        <f ca="1">TRIM(Sales_fact[[#This Row],[Store_ID]])</f>
        <v>STORE8</v>
      </c>
      <c r="F913">
        <v>4</v>
      </c>
      <c r="G913">
        <f>IF(ISBLANK(F913),MODE($F$2:$F$2001),F913)</f>
        <v>4</v>
      </c>
      <c r="H913">
        <v>923.14</v>
      </c>
      <c r="I913">
        <f>IF(ISBLANK(H913),AVERAGE($H$2:$H$2001),H913)</f>
        <v>923.14</v>
      </c>
      <c r="J913">
        <v>0.15</v>
      </c>
      <c r="K913">
        <f>IF(ISBLANK(J913),MODE($J$2:$J$2001),J913)</f>
        <v>0.15</v>
      </c>
      <c r="L913" t="s">
        <v>1824</v>
      </c>
      <c r="M913">
        <v>3138.6759999999999</v>
      </c>
      <c r="N913">
        <f t="shared" si="14"/>
        <v>3138.6759999999999</v>
      </c>
      <c r="O913" t="str">
        <f>_xlfn.XLOOKUP(Sales_fact[[#This Row],[Customer_ID]],'Customer_Dim'!A:A,'Customer_Dim'!K:K,"Not Found")</f>
        <v>Bronze</v>
      </c>
      <c r="P913">
        <f>_xlfn.XLOOKUP(Sales_fact[[#This Row],[Customer_ID]],'Customer_Dim'!A:A, 'Customer_Dim'!E:E, "Not Found")</f>
        <v>60</v>
      </c>
      <c r="Q913" t="str">
        <f>VLOOKUP(Sales_fact[[#This Row],[Customer_ID]], 'Customer_Dim'!A:F, 6, FALSE)</f>
        <v>Male</v>
      </c>
      <c r="R913" s="13" t="str">
        <f>_xlfn.XLOOKUP(Sales_fact[[#This Row],[Product_ID]],Product_Dim!A:A,Product_Dim!C:C,"OTHERS")</f>
        <v>Clothing</v>
      </c>
    </row>
    <row r="914" spans="1:18" x14ac:dyDescent="0.3">
      <c r="A914" t="s">
        <v>2738</v>
      </c>
      <c r="B914" s="2">
        <v>45625</v>
      </c>
      <c r="C914" t="s">
        <v>634</v>
      </c>
      <c r="D914" t="s">
        <v>1676</v>
      </c>
      <c r="E914" t="str">
        <f ca="1">TRIM(Sales_fact[[#This Row],[Store_ID]])</f>
        <v>STORE7</v>
      </c>
      <c r="F914">
        <v>2</v>
      </c>
      <c r="G914">
        <f>IF(ISBLANK(F914),MODE($F$2:$F$2001),F914)</f>
        <v>2</v>
      </c>
      <c r="H914">
        <v>747.65</v>
      </c>
      <c r="I914">
        <f>IF(ISBLANK(H914),AVERAGE($H$2:$H$2001),H914)</f>
        <v>747.65</v>
      </c>
      <c r="J914">
        <v>0.08</v>
      </c>
      <c r="K914">
        <f>IF(ISBLANK(J914),MODE($J$2:$J$2001),J914)</f>
        <v>0.08</v>
      </c>
      <c r="L914" t="s">
        <v>1824</v>
      </c>
      <c r="M914">
        <v>1375.6759999999999</v>
      </c>
      <c r="N914">
        <f t="shared" si="14"/>
        <v>1375.6759999999999</v>
      </c>
      <c r="O914" t="str">
        <f>_xlfn.XLOOKUP(Sales_fact[[#This Row],[Customer_ID]],'Customer_Dim'!A:A,'Customer_Dim'!K:K,"Not Found")</f>
        <v>Gold</v>
      </c>
      <c r="P914">
        <f>_xlfn.XLOOKUP(Sales_fact[[#This Row],[Customer_ID]],'Customer_Dim'!A:A, 'Customer_Dim'!E:E, "Not Found")</f>
        <v>38</v>
      </c>
      <c r="Q914" t="str">
        <f>VLOOKUP(Sales_fact[[#This Row],[Customer_ID]], 'Customer_Dim'!A:F, 6, FALSE)</f>
        <v>Male</v>
      </c>
      <c r="R914" s="13" t="str">
        <f>_xlfn.XLOOKUP(Sales_fact[[#This Row],[Product_ID]],Product_Dim!A:A,Product_Dim!C:C,"OTHERS")</f>
        <v>Beauty</v>
      </c>
    </row>
    <row r="915" spans="1:18" x14ac:dyDescent="0.3">
      <c r="A915" t="s">
        <v>2739</v>
      </c>
      <c r="B915" s="2">
        <v>45773</v>
      </c>
      <c r="C915" t="s">
        <v>384</v>
      </c>
      <c r="D915" t="s">
        <v>1632</v>
      </c>
      <c r="E915" t="str">
        <f ca="1">TRIM(Sales_fact[[#This Row],[Store_ID]])</f>
        <v>STORE7</v>
      </c>
      <c r="F915">
        <v>3</v>
      </c>
      <c r="G915">
        <f>IF(ISBLANK(F915),MODE($F$2:$F$2001),F915)</f>
        <v>3</v>
      </c>
      <c r="H915">
        <v>94.55</v>
      </c>
      <c r="I915">
        <f>IF(ISBLANK(H915),AVERAGE($H$2:$H$2001),H915)</f>
        <v>94.55</v>
      </c>
      <c r="J915">
        <v>0.13</v>
      </c>
      <c r="K915">
        <f>IF(ISBLANK(J915),MODE($J$2:$J$2001),J915)</f>
        <v>0.13</v>
      </c>
      <c r="L915" t="s">
        <v>1829</v>
      </c>
      <c r="M915">
        <v>246.77549999999999</v>
      </c>
      <c r="N915">
        <f t="shared" si="14"/>
        <v>246.77549999999997</v>
      </c>
      <c r="O915" t="str">
        <f>_xlfn.XLOOKUP(Sales_fact[[#This Row],[Customer_ID]],'Customer_Dim'!A:A,'Customer_Dim'!K:K,"Not Found")</f>
        <v>Silver</v>
      </c>
      <c r="P915">
        <f>_xlfn.XLOOKUP(Sales_fact[[#This Row],[Customer_ID]],'Customer_Dim'!A:A, 'Customer_Dim'!E:E, "Not Found")</f>
        <v>27</v>
      </c>
      <c r="Q915" t="str">
        <f>VLOOKUP(Sales_fact[[#This Row],[Customer_ID]], 'Customer_Dim'!A:F, 6, FALSE)</f>
        <v>Male</v>
      </c>
      <c r="R915" s="13" t="str">
        <f>_xlfn.XLOOKUP(Sales_fact[[#This Row],[Product_ID]],Product_Dim!A:A,Product_Dim!C:C,"OTHERS")</f>
        <v>Electronics</v>
      </c>
    </row>
    <row r="916" spans="1:18" x14ac:dyDescent="0.3">
      <c r="A916" t="s">
        <v>2740</v>
      </c>
      <c r="B916" s="2">
        <v>45308</v>
      </c>
      <c r="C916" t="s">
        <v>153</v>
      </c>
      <c r="D916" t="s">
        <v>1578</v>
      </c>
      <c r="E916" t="str">
        <f ca="1">TRIM(Sales_fact[[#This Row],[Store_ID]])</f>
        <v>STORE19</v>
      </c>
      <c r="F916">
        <v>3</v>
      </c>
      <c r="G916">
        <f>IF(ISBLANK(F916),MODE($F$2:$F$2001),F916)</f>
        <v>3</v>
      </c>
      <c r="H916">
        <v>620.12</v>
      </c>
      <c r="I916">
        <f>IF(ISBLANK(H916),AVERAGE($H$2:$H$2001),H916)</f>
        <v>620.12</v>
      </c>
      <c r="J916">
        <v>0.06</v>
      </c>
      <c r="K916">
        <f>IF(ISBLANK(J916),MODE($J$2:$J$2001),J916)</f>
        <v>0.06</v>
      </c>
      <c r="L916" t="s">
        <v>1824</v>
      </c>
      <c r="M916">
        <v>1748.7384</v>
      </c>
      <c r="N916">
        <f t="shared" si="14"/>
        <v>1748.7384</v>
      </c>
      <c r="O916" t="str">
        <f>_xlfn.XLOOKUP(Sales_fact[[#This Row],[Customer_ID]],'Customer_Dim'!A:A,'Customer_Dim'!K:K,"Not Found")</f>
        <v>Gold</v>
      </c>
      <c r="P916">
        <f>_xlfn.XLOOKUP(Sales_fact[[#This Row],[Customer_ID]],'Customer_Dim'!A:A, 'Customer_Dim'!E:E, "Not Found")</f>
        <v>55</v>
      </c>
      <c r="Q916" t="str">
        <f>VLOOKUP(Sales_fact[[#This Row],[Customer_ID]], 'Customer_Dim'!A:F, 6, FALSE)</f>
        <v>Female</v>
      </c>
      <c r="R916" s="13" t="str">
        <f>_xlfn.XLOOKUP(Sales_fact[[#This Row],[Product_ID]],Product_Dim!A:A,Product_Dim!C:C,"OTHERS")</f>
        <v>Electronics</v>
      </c>
    </row>
    <row r="917" spans="1:18" x14ac:dyDescent="0.3">
      <c r="A917" t="s">
        <v>2741</v>
      </c>
      <c r="B917" s="2">
        <v>45869</v>
      </c>
      <c r="C917" t="s">
        <v>1495</v>
      </c>
      <c r="D917" t="s">
        <v>1686</v>
      </c>
      <c r="E917" t="str">
        <f ca="1">TRIM(Sales_fact[[#This Row],[Store_ID]])</f>
        <v>STORE6</v>
      </c>
      <c r="F917">
        <v>2</v>
      </c>
      <c r="G917">
        <f>IF(ISBLANK(F917),MODE($F$2:$F$2001),F917)</f>
        <v>2</v>
      </c>
      <c r="H917">
        <v>354.09</v>
      </c>
      <c r="I917">
        <f>IF(ISBLANK(H917),AVERAGE($H$2:$H$2001),H917)</f>
        <v>354.09</v>
      </c>
      <c r="J917">
        <v>0.12</v>
      </c>
      <c r="K917">
        <f>IF(ISBLANK(J917),MODE($J$2:$J$2001),J917)</f>
        <v>0.12</v>
      </c>
      <c r="L917" t="s">
        <v>1829</v>
      </c>
      <c r="M917">
        <v>623.19839999999999</v>
      </c>
      <c r="N917">
        <f t="shared" si="14"/>
        <v>623.19839999999999</v>
      </c>
      <c r="O917" t="str">
        <f>_xlfn.XLOOKUP(Sales_fact[[#This Row],[Customer_ID]],'Customer_Dim'!A:A,'Customer_Dim'!K:K,"Not Found")</f>
        <v>Not Found</v>
      </c>
      <c r="P917" t="str">
        <f>_xlfn.XLOOKUP(Sales_fact[[#This Row],[Customer_ID]],'Customer_Dim'!A:A, 'Customer_Dim'!E:E, "Not Found")</f>
        <v>Not Found</v>
      </c>
      <c r="Q917" t="e">
        <f>VLOOKUP(Sales_fact[[#This Row],[Customer_ID]], 'Customer_Dim'!A:F, 6, FALSE)</f>
        <v>#N/A</v>
      </c>
      <c r="R917" s="13" t="str">
        <f>_xlfn.XLOOKUP(Sales_fact[[#This Row],[Product_ID]],Product_Dim!A:A,Product_Dim!C:C,"OTHERS")</f>
        <v>Clothing</v>
      </c>
    </row>
    <row r="918" spans="1:18" x14ac:dyDescent="0.3">
      <c r="A918" t="s">
        <v>2742</v>
      </c>
      <c r="B918" s="2">
        <v>45621</v>
      </c>
      <c r="C918" t="s">
        <v>447</v>
      </c>
      <c r="D918" t="s">
        <v>1654</v>
      </c>
      <c r="E918" t="str">
        <f ca="1">TRIM(Sales_fact[[#This Row],[Store_ID]])</f>
        <v>STORE5</v>
      </c>
      <c r="F918">
        <v>3</v>
      </c>
      <c r="G918">
        <f>IF(ISBLANK(F918),MODE($F$2:$F$2001),F918)</f>
        <v>3</v>
      </c>
      <c r="H918">
        <v>214.94</v>
      </c>
      <c r="I918">
        <f>IF(ISBLANK(H918),AVERAGE($H$2:$H$2001),H918)</f>
        <v>214.94</v>
      </c>
      <c r="J918">
        <v>0.22</v>
      </c>
      <c r="K918">
        <f>IF(ISBLANK(J918),MODE($J$2:$J$2001),J918)</f>
        <v>0.22</v>
      </c>
      <c r="L918" t="s">
        <v>1829</v>
      </c>
      <c r="M918">
        <v>502.95960000000002</v>
      </c>
      <c r="N918">
        <f t="shared" si="14"/>
        <v>502.95959999999997</v>
      </c>
      <c r="O918" t="str">
        <f>_xlfn.XLOOKUP(Sales_fact[[#This Row],[Customer_ID]],'Customer_Dim'!A:A,'Customer_Dim'!K:K,"Not Found")</f>
        <v>Platinum</v>
      </c>
      <c r="P918">
        <f>_xlfn.XLOOKUP(Sales_fact[[#This Row],[Customer_ID]],'Customer_Dim'!A:A, 'Customer_Dim'!E:E, "Not Found")</f>
        <v>29</v>
      </c>
      <c r="Q918" t="str">
        <f>VLOOKUP(Sales_fact[[#This Row],[Customer_ID]], 'Customer_Dim'!A:F, 6, FALSE)</f>
        <v>Male</v>
      </c>
      <c r="R918" s="13" t="str">
        <f>_xlfn.XLOOKUP(Sales_fact[[#This Row],[Product_ID]],Product_Dim!A:A,Product_Dim!C:C,"OTHERS")</f>
        <v>Clothing</v>
      </c>
    </row>
    <row r="919" spans="1:18" x14ac:dyDescent="0.3">
      <c r="A919" t="s">
        <v>2743</v>
      </c>
      <c r="B919" s="2">
        <v>45428</v>
      </c>
      <c r="C919" t="s">
        <v>651</v>
      </c>
      <c r="D919" t="s">
        <v>1565</v>
      </c>
      <c r="E919" t="str">
        <f ca="1">TRIM(Sales_fact[[#This Row],[Store_ID]])</f>
        <v>STORE12</v>
      </c>
      <c r="F919">
        <v>2</v>
      </c>
      <c r="G919">
        <f>IF(ISBLANK(F919),MODE($F$2:$F$2001),F919)</f>
        <v>2</v>
      </c>
      <c r="H919">
        <v>309.77999999999997</v>
      </c>
      <c r="I919">
        <f>IF(ISBLANK(H919),AVERAGE($H$2:$H$2001),H919)</f>
        <v>309.77999999999997</v>
      </c>
      <c r="J919">
        <v>0.16</v>
      </c>
      <c r="K919">
        <f>IF(ISBLANK(J919),MODE($J$2:$J$2001),J919)</f>
        <v>0.16</v>
      </c>
      <c r="L919" t="s">
        <v>1824</v>
      </c>
      <c r="M919">
        <v>520.43039999999996</v>
      </c>
      <c r="N919">
        <f t="shared" si="14"/>
        <v>520.43039999999996</v>
      </c>
      <c r="O919" t="str">
        <f>_xlfn.XLOOKUP(Sales_fact[[#This Row],[Customer_ID]],'Customer_Dim'!A:A,'Customer_Dim'!K:K,"Not Found")</f>
        <v>Bronze</v>
      </c>
      <c r="P919">
        <f>_xlfn.XLOOKUP(Sales_fact[[#This Row],[Customer_ID]],'Customer_Dim'!A:A, 'Customer_Dim'!E:E, "Not Found")</f>
        <v>46</v>
      </c>
      <c r="Q919" t="str">
        <f>VLOOKUP(Sales_fact[[#This Row],[Customer_ID]], 'Customer_Dim'!A:F, 6, FALSE)</f>
        <v>Male</v>
      </c>
      <c r="R919" s="13" t="str">
        <f>_xlfn.XLOOKUP(Sales_fact[[#This Row],[Product_ID]],Product_Dim!A:A,Product_Dim!C:C,"OTHERS")</f>
        <v>Sports</v>
      </c>
    </row>
    <row r="920" spans="1:18" x14ac:dyDescent="0.3">
      <c r="A920" t="s">
        <v>2744</v>
      </c>
      <c r="B920" s="2">
        <v>45807</v>
      </c>
      <c r="C920" t="s">
        <v>255</v>
      </c>
      <c r="D920" t="s">
        <v>1574</v>
      </c>
      <c r="E920" t="str">
        <f ca="1">TRIM(Sales_fact[[#This Row],[Store_ID]])</f>
        <v>STORE3</v>
      </c>
      <c r="F920">
        <v>2</v>
      </c>
      <c r="G920">
        <f>IF(ISBLANK(F920),MODE($F$2:$F$2001),F920)</f>
        <v>2</v>
      </c>
      <c r="H920">
        <v>183.85</v>
      </c>
      <c r="I920">
        <f>IF(ISBLANK(H920),AVERAGE($H$2:$H$2001),H920)</f>
        <v>183.85</v>
      </c>
      <c r="J920">
        <v>0.14000000000000001</v>
      </c>
      <c r="K920">
        <f>IF(ISBLANK(J920),MODE($J$2:$J$2001),J920)</f>
        <v>0.14000000000000001</v>
      </c>
      <c r="L920" t="s">
        <v>1826</v>
      </c>
      <c r="M920">
        <v>316.22199999999998</v>
      </c>
      <c r="N920">
        <f t="shared" si="14"/>
        <v>316.22199999999998</v>
      </c>
      <c r="O920" t="str">
        <f>_xlfn.XLOOKUP(Sales_fact[[#This Row],[Customer_ID]],'Customer_Dim'!A:A,'Customer_Dim'!K:K,"Not Found")</f>
        <v>Platinum</v>
      </c>
      <c r="P920">
        <f>_xlfn.XLOOKUP(Sales_fact[[#This Row],[Customer_ID]],'Customer_Dim'!A:A, 'Customer_Dim'!E:E, "Not Found")</f>
        <v>24</v>
      </c>
      <c r="Q920" t="str">
        <f>VLOOKUP(Sales_fact[[#This Row],[Customer_ID]], 'Customer_Dim'!A:F, 6, FALSE)</f>
        <v>Female</v>
      </c>
      <c r="R920" s="13" t="str">
        <f>_xlfn.XLOOKUP(Sales_fact[[#This Row],[Product_ID]],Product_Dim!A:A,Product_Dim!C:C,"OTHERS")</f>
        <v>Electronics</v>
      </c>
    </row>
    <row r="921" spans="1:18" x14ac:dyDescent="0.3">
      <c r="A921" t="s">
        <v>2745</v>
      </c>
      <c r="B921" s="2">
        <v>45238</v>
      </c>
      <c r="C921" t="s">
        <v>1272</v>
      </c>
      <c r="D921" t="s">
        <v>1688</v>
      </c>
      <c r="E921" t="str">
        <f ca="1">TRIM(Sales_fact[[#This Row],[Store_ID]])</f>
        <v>STORE0</v>
      </c>
      <c r="F921">
        <v>1</v>
      </c>
      <c r="G921">
        <f>IF(ISBLANK(F921),MODE($F$2:$F$2001),F921)</f>
        <v>1</v>
      </c>
      <c r="H921">
        <v>550.05999999999995</v>
      </c>
      <c r="I921">
        <f>IF(ISBLANK(H921),AVERAGE($H$2:$H$2001),H921)</f>
        <v>550.05999999999995</v>
      </c>
      <c r="J921">
        <v>0.01</v>
      </c>
      <c r="K921">
        <f>IF(ISBLANK(J921),MODE($J$2:$J$2001),J921)</f>
        <v>0.01</v>
      </c>
      <c r="L921" t="s">
        <v>1824</v>
      </c>
      <c r="M921">
        <v>544.55939999999998</v>
      </c>
      <c r="N921">
        <f t="shared" si="14"/>
        <v>544.55939999999998</v>
      </c>
      <c r="O921" t="str">
        <f>_xlfn.XLOOKUP(Sales_fact[[#This Row],[Customer_ID]],'Customer_Dim'!A:A,'Customer_Dim'!K:K,"Not Found")</f>
        <v>Gold</v>
      </c>
      <c r="P921">
        <f>_xlfn.XLOOKUP(Sales_fact[[#This Row],[Customer_ID]],'Customer_Dim'!A:A, 'Customer_Dim'!E:E, "Not Found")</f>
        <v>55</v>
      </c>
      <c r="Q921" t="str">
        <f>VLOOKUP(Sales_fact[[#This Row],[Customer_ID]], 'Customer_Dim'!A:F, 6, FALSE)</f>
        <v>Male</v>
      </c>
      <c r="R921" s="13" t="str">
        <f>_xlfn.XLOOKUP(Sales_fact[[#This Row],[Product_ID]],Product_Dim!A:A,Product_Dim!C:C,"OTHERS")</f>
        <v>Home</v>
      </c>
    </row>
    <row r="922" spans="1:18" x14ac:dyDescent="0.3">
      <c r="A922" t="s">
        <v>2746</v>
      </c>
      <c r="B922" s="2">
        <v>45253</v>
      </c>
      <c r="C922" t="s">
        <v>121</v>
      </c>
      <c r="D922" t="s">
        <v>1706</v>
      </c>
      <c r="E922" t="str">
        <f ca="1">TRIM(Sales_fact[[#This Row],[Store_ID]])</f>
        <v>STORE4</v>
      </c>
      <c r="F922">
        <v>2</v>
      </c>
      <c r="G922">
        <f>IF(ISBLANK(F922),MODE($F$2:$F$2001),F922)</f>
        <v>2</v>
      </c>
      <c r="H922">
        <v>32.19</v>
      </c>
      <c r="I922">
        <f>IF(ISBLANK(H922),AVERAGE($H$2:$H$2001),H922)</f>
        <v>32.19</v>
      </c>
      <c r="J922">
        <v>0.13</v>
      </c>
      <c r="K922">
        <f>IF(ISBLANK(J922),MODE($J$2:$J$2001),J922)</f>
        <v>0.13</v>
      </c>
      <c r="L922" t="s">
        <v>1829</v>
      </c>
      <c r="M922">
        <v>56.010599999999997</v>
      </c>
      <c r="N922">
        <f t="shared" si="14"/>
        <v>56.010599999999997</v>
      </c>
      <c r="O922" t="str">
        <f>_xlfn.XLOOKUP(Sales_fact[[#This Row],[Customer_ID]],'Customer_Dim'!A:A,'Customer_Dim'!K:K,"Not Found")</f>
        <v>Silver</v>
      </c>
      <c r="P922">
        <f>_xlfn.XLOOKUP(Sales_fact[[#This Row],[Customer_ID]],'Customer_Dim'!A:A, 'Customer_Dim'!E:E, "Not Found")</f>
        <v>54</v>
      </c>
      <c r="Q922" t="str">
        <f>VLOOKUP(Sales_fact[[#This Row],[Customer_ID]], 'Customer_Dim'!A:F, 6, FALSE)</f>
        <v>Female</v>
      </c>
      <c r="R922" s="13" t="str">
        <f>_xlfn.XLOOKUP(Sales_fact[[#This Row],[Product_ID]],Product_Dim!A:A,Product_Dim!C:C,"OTHERS")</f>
        <v>Home</v>
      </c>
    </row>
    <row r="923" spans="1:18" x14ac:dyDescent="0.3">
      <c r="A923" t="s">
        <v>2747</v>
      </c>
      <c r="B923" s="2">
        <v>45460</v>
      </c>
      <c r="C923" t="s">
        <v>470</v>
      </c>
      <c r="D923" t="s">
        <v>1614</v>
      </c>
      <c r="E923" t="str">
        <f ca="1">TRIM(Sales_fact[[#This Row],[Store_ID]])</f>
        <v>STORE19</v>
      </c>
      <c r="F923">
        <v>2</v>
      </c>
      <c r="G923">
        <f>IF(ISBLANK(F923),MODE($F$2:$F$2001),F923)</f>
        <v>2</v>
      </c>
      <c r="H923">
        <v>892.06</v>
      </c>
      <c r="I923">
        <f>IF(ISBLANK(H923),AVERAGE($H$2:$H$2001),H923)</f>
        <v>892.06</v>
      </c>
      <c r="J923">
        <v>0.08</v>
      </c>
      <c r="K923">
        <f>IF(ISBLANK(J923),MODE($J$2:$J$2001),J923)</f>
        <v>0.08</v>
      </c>
      <c r="L923" t="s">
        <v>1824</v>
      </c>
      <c r="M923">
        <v>1641.3904</v>
      </c>
      <c r="N923">
        <f t="shared" si="14"/>
        <v>1641.3904</v>
      </c>
      <c r="O923" t="str">
        <f>_xlfn.XLOOKUP(Sales_fact[[#This Row],[Customer_ID]],'Customer_Dim'!A:A,'Customer_Dim'!K:K,"Not Found")</f>
        <v>Gold</v>
      </c>
      <c r="P923">
        <f>_xlfn.XLOOKUP(Sales_fact[[#This Row],[Customer_ID]],'Customer_Dim'!A:A, 'Customer_Dim'!E:E, "Not Found")</f>
        <v>43</v>
      </c>
      <c r="Q923" t="str">
        <f>VLOOKUP(Sales_fact[[#This Row],[Customer_ID]], 'Customer_Dim'!A:F, 6, FALSE)</f>
        <v>Male</v>
      </c>
      <c r="R923" s="13" t="str">
        <f>_xlfn.XLOOKUP(Sales_fact[[#This Row],[Product_ID]],Product_Dim!A:A,Product_Dim!C:C,"OTHERS")</f>
        <v>Home</v>
      </c>
    </row>
    <row r="924" spans="1:18" x14ac:dyDescent="0.3">
      <c r="A924" t="s">
        <v>2748</v>
      </c>
      <c r="B924" s="2">
        <v>45628</v>
      </c>
      <c r="C924" t="s">
        <v>1455</v>
      </c>
      <c r="D924" t="s">
        <v>1664</v>
      </c>
      <c r="E924" t="str">
        <f ca="1">TRIM(Sales_fact[[#This Row],[Store_ID]])</f>
        <v>STORE6</v>
      </c>
      <c r="F924">
        <v>1</v>
      </c>
      <c r="G924">
        <f>IF(ISBLANK(F924),MODE($F$2:$F$2001),F924)</f>
        <v>1</v>
      </c>
      <c r="H924">
        <v>127.47</v>
      </c>
      <c r="I924">
        <f>IF(ISBLANK(H924),AVERAGE($H$2:$H$2001),H924)</f>
        <v>127.47</v>
      </c>
      <c r="J924">
        <v>0.16</v>
      </c>
      <c r="K924">
        <f>IF(ISBLANK(J924),MODE($J$2:$J$2001),J924)</f>
        <v>0.16</v>
      </c>
      <c r="L924" t="s">
        <v>1829</v>
      </c>
      <c r="M924">
        <v>107.0748</v>
      </c>
      <c r="N924">
        <f t="shared" si="14"/>
        <v>107.0748</v>
      </c>
      <c r="O924" t="str">
        <f>_xlfn.XLOOKUP(Sales_fact[[#This Row],[Customer_ID]],'Customer_Dim'!A:A,'Customer_Dim'!K:K,"Not Found")</f>
        <v>Silver</v>
      </c>
      <c r="P924">
        <f>_xlfn.XLOOKUP(Sales_fact[[#This Row],[Customer_ID]],'Customer_Dim'!A:A, 'Customer_Dim'!E:E, "Not Found")</f>
        <v>42</v>
      </c>
      <c r="Q924" t="str">
        <f>VLOOKUP(Sales_fact[[#This Row],[Customer_ID]], 'Customer_Dim'!A:F, 6, FALSE)</f>
        <v>Male</v>
      </c>
      <c r="R924" s="13" t="str">
        <f>_xlfn.XLOOKUP(Sales_fact[[#This Row],[Product_ID]],Product_Dim!A:A,Product_Dim!C:C,"OTHERS")</f>
        <v>Clothing</v>
      </c>
    </row>
    <row r="925" spans="1:18" x14ac:dyDescent="0.3">
      <c r="A925" t="s">
        <v>2749</v>
      </c>
      <c r="B925" s="2">
        <v>45778</v>
      </c>
      <c r="C925" t="s">
        <v>1211</v>
      </c>
      <c r="D925" t="s">
        <v>1702</v>
      </c>
      <c r="E925" t="str">
        <f ca="1">TRIM(Sales_fact[[#This Row],[Store_ID]])</f>
        <v>STORE14</v>
      </c>
      <c r="F925">
        <v>3</v>
      </c>
      <c r="G925">
        <f>IF(ISBLANK(F925),MODE($F$2:$F$2001),F925)</f>
        <v>3</v>
      </c>
      <c r="H925">
        <v>212.87</v>
      </c>
      <c r="I925">
        <f>IF(ISBLANK(H925),AVERAGE($H$2:$H$2001),H925)</f>
        <v>212.87</v>
      </c>
      <c r="J925">
        <v>0.18</v>
      </c>
      <c r="K925">
        <f>IF(ISBLANK(J925),MODE($J$2:$J$2001),J925)</f>
        <v>0.18</v>
      </c>
      <c r="L925" t="s">
        <v>1824</v>
      </c>
      <c r="M925">
        <v>523.66020000000003</v>
      </c>
      <c r="N925">
        <f t="shared" si="14"/>
        <v>523.66020000000003</v>
      </c>
      <c r="O925" t="str">
        <f>_xlfn.XLOOKUP(Sales_fact[[#This Row],[Customer_ID]],'Customer_Dim'!A:A,'Customer_Dim'!K:K,"Not Found")</f>
        <v>Platinum</v>
      </c>
      <c r="P925">
        <f>_xlfn.XLOOKUP(Sales_fact[[#This Row],[Customer_ID]],'Customer_Dim'!A:A, 'Customer_Dim'!E:E, "Not Found")</f>
        <v>53</v>
      </c>
      <c r="Q925" t="str">
        <f>VLOOKUP(Sales_fact[[#This Row],[Customer_ID]], 'Customer_Dim'!A:F, 6, FALSE)</f>
        <v>Male</v>
      </c>
      <c r="R925" s="13" t="str">
        <f>_xlfn.XLOOKUP(Sales_fact[[#This Row],[Product_ID]],Product_Dim!A:A,Product_Dim!C:C,"OTHERS")</f>
        <v>Electronics</v>
      </c>
    </row>
    <row r="926" spans="1:18" x14ac:dyDescent="0.3">
      <c r="A926" t="s">
        <v>2750</v>
      </c>
      <c r="B926" s="2">
        <v>45471</v>
      </c>
      <c r="C926" t="s">
        <v>598</v>
      </c>
      <c r="D926" t="s">
        <v>1710</v>
      </c>
      <c r="E926" t="str">
        <f ca="1">TRIM(Sales_fact[[#This Row],[Store_ID]])</f>
        <v>STORE7</v>
      </c>
      <c r="F926">
        <v>1</v>
      </c>
      <c r="G926">
        <f>IF(ISBLANK(F926),MODE($F$2:$F$2001),F926)</f>
        <v>1</v>
      </c>
      <c r="H926">
        <v>26.37</v>
      </c>
      <c r="I926">
        <f>IF(ISBLANK(H926),AVERAGE($H$2:$H$2001),H926)</f>
        <v>26.37</v>
      </c>
      <c r="J926">
        <v>0.3</v>
      </c>
      <c r="K926">
        <f>IF(ISBLANK(J926),MODE($J$2:$J$2001),J926)</f>
        <v>0.3</v>
      </c>
      <c r="L926" t="s">
        <v>1829</v>
      </c>
      <c r="M926">
        <v>18.459</v>
      </c>
      <c r="N926">
        <f t="shared" si="14"/>
        <v>18.459</v>
      </c>
      <c r="O926" t="str">
        <f>_xlfn.XLOOKUP(Sales_fact[[#This Row],[Customer_ID]],'Customer_Dim'!A:A,'Customer_Dim'!K:K,"Not Found")</f>
        <v>Bronze</v>
      </c>
      <c r="P926">
        <f>_xlfn.XLOOKUP(Sales_fact[[#This Row],[Customer_ID]],'Customer_Dim'!A:A, 'Customer_Dim'!E:E, "Not Found")</f>
        <v>60</v>
      </c>
      <c r="Q926" t="str">
        <f>VLOOKUP(Sales_fact[[#This Row],[Customer_ID]], 'Customer_Dim'!A:F, 6, FALSE)</f>
        <v>Male</v>
      </c>
      <c r="R926" s="13" t="str">
        <f>_xlfn.XLOOKUP(Sales_fact[[#This Row],[Product_ID]],Product_Dim!A:A,Product_Dim!C:C,"OTHERS")</f>
        <v>Sports</v>
      </c>
    </row>
    <row r="927" spans="1:18" x14ac:dyDescent="0.3">
      <c r="A927" t="s">
        <v>2751</v>
      </c>
      <c r="B927" s="2">
        <v>45770</v>
      </c>
      <c r="C927" t="s">
        <v>1437</v>
      </c>
      <c r="D927" t="s">
        <v>1616</v>
      </c>
      <c r="E927" t="str">
        <f ca="1">TRIM(Sales_fact[[#This Row],[Store_ID]])</f>
        <v>STORE18</v>
      </c>
      <c r="F927">
        <v>4</v>
      </c>
      <c r="G927">
        <f>IF(ISBLANK(F927),MODE($F$2:$F$2001),F927)</f>
        <v>4</v>
      </c>
      <c r="H927">
        <v>953.98</v>
      </c>
      <c r="I927">
        <f>IF(ISBLANK(H927),AVERAGE($H$2:$H$2001),H927)</f>
        <v>953.98</v>
      </c>
      <c r="J927">
        <v>0.16</v>
      </c>
      <c r="K927">
        <f>IF(ISBLANK(J927),MODE($J$2:$J$2001),J927)</f>
        <v>0.16</v>
      </c>
      <c r="L927" t="s">
        <v>1824</v>
      </c>
      <c r="M927">
        <v>3205.3728000000001</v>
      </c>
      <c r="N927">
        <f t="shared" si="14"/>
        <v>3205.3728000000001</v>
      </c>
      <c r="O927" t="str">
        <f>_xlfn.XLOOKUP(Sales_fact[[#This Row],[Customer_ID]],'Customer_Dim'!A:A,'Customer_Dim'!K:K,"Not Found")</f>
        <v>Silver</v>
      </c>
      <c r="P927">
        <f>_xlfn.XLOOKUP(Sales_fact[[#This Row],[Customer_ID]],'Customer_Dim'!A:A, 'Customer_Dim'!E:E, "Not Found")</f>
        <v>18</v>
      </c>
      <c r="Q927" t="str">
        <f>VLOOKUP(Sales_fact[[#This Row],[Customer_ID]], 'Customer_Dim'!A:F, 6, FALSE)</f>
        <v>Male</v>
      </c>
      <c r="R927" s="13" t="str">
        <f>_xlfn.XLOOKUP(Sales_fact[[#This Row],[Product_ID]],Product_Dim!A:A,Product_Dim!C:C,"OTHERS")</f>
        <v>Electronics</v>
      </c>
    </row>
    <row r="928" spans="1:18" x14ac:dyDescent="0.3">
      <c r="A928" t="s">
        <v>2752</v>
      </c>
      <c r="B928" s="2">
        <v>45369</v>
      </c>
      <c r="C928" t="s">
        <v>699</v>
      </c>
      <c r="D928" t="s">
        <v>1682</v>
      </c>
      <c r="E928" t="str">
        <f ca="1">TRIM(Sales_fact[[#This Row],[Store_ID]])</f>
        <v>STORE19</v>
      </c>
      <c r="F928">
        <v>3</v>
      </c>
      <c r="G928">
        <f>IF(ISBLANK(F928),MODE($F$2:$F$2001),F928)</f>
        <v>3</v>
      </c>
      <c r="H928">
        <v>968.88</v>
      </c>
      <c r="I928">
        <f>IF(ISBLANK(H928),AVERAGE($H$2:$H$2001),H928)</f>
        <v>968.88</v>
      </c>
      <c r="J928">
        <v>0.15</v>
      </c>
      <c r="K928">
        <f>IF(ISBLANK(J928),MODE($J$2:$J$2001),J928)</f>
        <v>0.15</v>
      </c>
      <c r="L928" t="s">
        <v>1824</v>
      </c>
      <c r="M928">
        <v>2470.6439999999998</v>
      </c>
      <c r="N928">
        <f t="shared" si="14"/>
        <v>2470.6439999999998</v>
      </c>
      <c r="O928" t="str">
        <f>_xlfn.XLOOKUP(Sales_fact[[#This Row],[Customer_ID]],'Customer_Dim'!A:A,'Customer_Dim'!K:K,"Not Found")</f>
        <v>Gold</v>
      </c>
      <c r="P928">
        <f>_xlfn.XLOOKUP(Sales_fact[[#This Row],[Customer_ID]],'Customer_Dim'!A:A, 'Customer_Dim'!E:E, "Not Found")</f>
        <v>50</v>
      </c>
      <c r="Q928" t="str">
        <f>VLOOKUP(Sales_fact[[#This Row],[Customer_ID]], 'Customer_Dim'!A:F, 6, FALSE)</f>
        <v>Female</v>
      </c>
      <c r="R928" s="13" t="str">
        <f>_xlfn.XLOOKUP(Sales_fact[[#This Row],[Product_ID]],Product_Dim!A:A,Product_Dim!C:C,"OTHERS")</f>
        <v>Electronics</v>
      </c>
    </row>
    <row r="929" spans="1:18" x14ac:dyDescent="0.3">
      <c r="A929" t="s">
        <v>2753</v>
      </c>
      <c r="B929" s="2">
        <v>45910</v>
      </c>
      <c r="C929" t="s">
        <v>616</v>
      </c>
      <c r="D929" t="s">
        <v>1700</v>
      </c>
      <c r="E929" t="str">
        <f ca="1">TRIM(Sales_fact[[#This Row],[Store_ID]])</f>
        <v>STORE18</v>
      </c>
      <c r="F929">
        <v>1</v>
      </c>
      <c r="G929">
        <f>IF(ISBLANK(F929),MODE($F$2:$F$2001),F929)</f>
        <v>1</v>
      </c>
      <c r="H929">
        <v>533.04999999999995</v>
      </c>
      <c r="I929">
        <f>IF(ISBLANK(H929),AVERAGE($H$2:$H$2001),H929)</f>
        <v>533.04999999999995</v>
      </c>
      <c r="J929">
        <v>0.11</v>
      </c>
      <c r="K929">
        <f>IF(ISBLANK(J929),MODE($J$2:$J$2001),J929)</f>
        <v>0.11</v>
      </c>
      <c r="L929" t="s">
        <v>1826</v>
      </c>
      <c r="M929">
        <v>474.41449999999998</v>
      </c>
      <c r="N929">
        <f t="shared" si="14"/>
        <v>474.41449999999998</v>
      </c>
      <c r="O929" t="str">
        <f>_xlfn.XLOOKUP(Sales_fact[[#This Row],[Customer_ID]],'Customer_Dim'!A:A,'Customer_Dim'!K:K,"Not Found")</f>
        <v>Platinum</v>
      </c>
      <c r="P929">
        <f>_xlfn.XLOOKUP(Sales_fact[[#This Row],[Customer_ID]],'Customer_Dim'!A:A, 'Customer_Dim'!E:E, "Not Found")</f>
        <v>60</v>
      </c>
      <c r="Q929" t="str">
        <f>VLOOKUP(Sales_fact[[#This Row],[Customer_ID]], 'Customer_Dim'!A:F, 6, FALSE)</f>
        <v>Female</v>
      </c>
      <c r="R929" s="13" t="str">
        <f>_xlfn.XLOOKUP(Sales_fact[[#This Row],[Product_ID]],Product_Dim!A:A,Product_Dim!C:C,"OTHERS")</f>
        <v>Electronics</v>
      </c>
    </row>
    <row r="930" spans="1:18" x14ac:dyDescent="0.3">
      <c r="A930" t="s">
        <v>2754</v>
      </c>
      <c r="B930" s="2">
        <v>45637</v>
      </c>
      <c r="C930" t="s">
        <v>1190</v>
      </c>
      <c r="D930" t="s">
        <v>1710</v>
      </c>
      <c r="E930" t="str">
        <f ca="1">TRIM(Sales_fact[[#This Row],[Store_ID]])</f>
        <v>STORE1</v>
      </c>
      <c r="F930">
        <v>3</v>
      </c>
      <c r="G930">
        <f>IF(ISBLANK(F930),MODE($F$2:$F$2001),F930)</f>
        <v>3</v>
      </c>
      <c r="H930">
        <v>138.86000000000001</v>
      </c>
      <c r="I930">
        <f>IF(ISBLANK(H930),AVERAGE($H$2:$H$2001),H930)</f>
        <v>138.86000000000001</v>
      </c>
      <c r="J930">
        <v>0.11</v>
      </c>
      <c r="K930">
        <f>IF(ISBLANK(J930),MODE($J$2:$J$2001),J930)</f>
        <v>0.11</v>
      </c>
      <c r="L930" t="s">
        <v>1826</v>
      </c>
      <c r="M930">
        <v>370.75619999999998</v>
      </c>
      <c r="N930">
        <f t="shared" si="14"/>
        <v>370.75620000000004</v>
      </c>
      <c r="O930" t="str">
        <f>_xlfn.XLOOKUP(Sales_fact[[#This Row],[Customer_ID]],'Customer_Dim'!A:A,'Customer_Dim'!K:K,"Not Found")</f>
        <v>Silver</v>
      </c>
      <c r="P930">
        <f>_xlfn.XLOOKUP(Sales_fact[[#This Row],[Customer_ID]],'Customer_Dim'!A:A, 'Customer_Dim'!E:E, "Not Found")</f>
        <v>50</v>
      </c>
      <c r="Q930" t="str">
        <f>VLOOKUP(Sales_fact[[#This Row],[Customer_ID]], 'Customer_Dim'!A:F, 6, FALSE)</f>
        <v>Male</v>
      </c>
      <c r="R930" s="13" t="str">
        <f>_xlfn.XLOOKUP(Sales_fact[[#This Row],[Product_ID]],Product_Dim!A:A,Product_Dim!C:C,"OTHERS")</f>
        <v>Sports</v>
      </c>
    </row>
    <row r="931" spans="1:18" x14ac:dyDescent="0.3">
      <c r="A931" t="s">
        <v>2755</v>
      </c>
      <c r="B931" s="2">
        <v>45706</v>
      </c>
      <c r="C931" t="s">
        <v>532</v>
      </c>
      <c r="D931" t="s">
        <v>1592</v>
      </c>
      <c r="E931" t="str">
        <f ca="1">TRIM(Sales_fact[[#This Row],[Store_ID]])</f>
        <v>STORE0</v>
      </c>
      <c r="F931">
        <v>1</v>
      </c>
      <c r="G931">
        <f>IF(ISBLANK(F931),MODE($F$2:$F$2001),F931)</f>
        <v>1</v>
      </c>
      <c r="H931">
        <v>588.92999999999995</v>
      </c>
      <c r="I931">
        <f>IF(ISBLANK(H931),AVERAGE($H$2:$H$2001),H931)</f>
        <v>588.92999999999995</v>
      </c>
      <c r="J931">
        <v>0.03</v>
      </c>
      <c r="K931">
        <f>IF(ISBLANK(J931),MODE($J$2:$J$2001),J931)</f>
        <v>0.03</v>
      </c>
      <c r="L931" t="s">
        <v>1829</v>
      </c>
      <c r="M931">
        <v>571.26209999999992</v>
      </c>
      <c r="N931">
        <f t="shared" si="14"/>
        <v>571.26209999999992</v>
      </c>
      <c r="O931" t="str">
        <f>_xlfn.XLOOKUP(Sales_fact[[#This Row],[Customer_ID]],'Customer_Dim'!A:A,'Customer_Dim'!K:K,"Not Found")</f>
        <v>Gold</v>
      </c>
      <c r="P931">
        <f>_xlfn.XLOOKUP(Sales_fact[[#This Row],[Customer_ID]],'Customer_Dim'!A:A, 'Customer_Dim'!E:E, "Not Found")</f>
        <v>46</v>
      </c>
      <c r="Q931" t="str">
        <f>VLOOKUP(Sales_fact[[#This Row],[Customer_ID]], 'Customer_Dim'!A:F, 6, FALSE)</f>
        <v>Female</v>
      </c>
      <c r="R931" s="13" t="str">
        <f>_xlfn.XLOOKUP(Sales_fact[[#This Row],[Product_ID]],Product_Dim!A:A,Product_Dim!C:C,"OTHERS")</f>
        <v>Sports</v>
      </c>
    </row>
    <row r="932" spans="1:18" x14ac:dyDescent="0.3">
      <c r="A932" t="s">
        <v>2756</v>
      </c>
      <c r="B932" s="2">
        <v>45557</v>
      </c>
      <c r="C932" t="s">
        <v>1254</v>
      </c>
      <c r="D932" t="s">
        <v>1652</v>
      </c>
      <c r="E932" t="str">
        <f ca="1">TRIM(Sales_fact[[#This Row],[Store_ID]])</f>
        <v>STORE5</v>
      </c>
      <c r="F932">
        <v>2</v>
      </c>
      <c r="G932">
        <f>IF(ISBLANK(F932),MODE($F$2:$F$2001),F932)</f>
        <v>2</v>
      </c>
      <c r="H932">
        <v>576.83000000000004</v>
      </c>
      <c r="I932">
        <f>IF(ISBLANK(H932),AVERAGE($H$2:$H$2001),H932)</f>
        <v>576.83000000000004</v>
      </c>
      <c r="J932">
        <v>0.19</v>
      </c>
      <c r="K932">
        <f>IF(ISBLANK(J932),MODE($J$2:$J$2001),J932)</f>
        <v>0.19</v>
      </c>
      <c r="L932" t="s">
        <v>1826</v>
      </c>
      <c r="M932">
        <v>934.46460000000013</v>
      </c>
      <c r="N932">
        <f t="shared" si="14"/>
        <v>934.46460000000013</v>
      </c>
      <c r="O932" t="str">
        <f>_xlfn.XLOOKUP(Sales_fact[[#This Row],[Customer_ID]],'Customer_Dim'!A:A,'Customer_Dim'!K:K,"Not Found")</f>
        <v>Bronze</v>
      </c>
      <c r="P932">
        <f>_xlfn.XLOOKUP(Sales_fact[[#This Row],[Customer_ID]],'Customer_Dim'!A:A, 'Customer_Dim'!E:E, "Not Found")</f>
        <v>34</v>
      </c>
      <c r="Q932" t="str">
        <f>VLOOKUP(Sales_fact[[#This Row],[Customer_ID]], 'Customer_Dim'!A:F, 6, FALSE)</f>
        <v>Male</v>
      </c>
      <c r="R932" s="13" t="str">
        <f>_xlfn.XLOOKUP(Sales_fact[[#This Row],[Product_ID]],Product_Dim!A:A,Product_Dim!C:C,"OTHERS")</f>
        <v>Sports</v>
      </c>
    </row>
    <row r="933" spans="1:18" x14ac:dyDescent="0.3">
      <c r="A933" t="s">
        <v>2757</v>
      </c>
      <c r="B933" s="2">
        <v>45338</v>
      </c>
      <c r="C933" t="s">
        <v>1017</v>
      </c>
      <c r="D933" t="s">
        <v>1678</v>
      </c>
      <c r="E933" t="str">
        <f ca="1">TRIM(Sales_fact[[#This Row],[Store_ID]])</f>
        <v>STORE12</v>
      </c>
      <c r="F933">
        <v>1</v>
      </c>
      <c r="G933">
        <f>IF(ISBLANK(F933),MODE($F$2:$F$2001),F933)</f>
        <v>1</v>
      </c>
      <c r="H933">
        <v>681.3</v>
      </c>
      <c r="I933">
        <f>IF(ISBLANK(H933),AVERAGE($H$2:$H$2001),H933)</f>
        <v>681.3</v>
      </c>
      <c r="J933">
        <v>0.05</v>
      </c>
      <c r="K933">
        <f>IF(ISBLANK(J933),MODE($J$2:$J$2001),J933)</f>
        <v>0.05</v>
      </c>
      <c r="L933" t="s">
        <v>1824</v>
      </c>
      <c r="M933">
        <v>647.2349999999999</v>
      </c>
      <c r="N933">
        <f t="shared" si="14"/>
        <v>647.2349999999999</v>
      </c>
      <c r="O933" t="str">
        <f>_xlfn.XLOOKUP(Sales_fact[[#This Row],[Customer_ID]],'Customer_Dim'!A:A,'Customer_Dim'!K:K,"Not Found")</f>
        <v>Platinum</v>
      </c>
      <c r="P933">
        <f>_xlfn.XLOOKUP(Sales_fact[[#This Row],[Customer_ID]],'Customer_Dim'!A:A, 'Customer_Dim'!E:E, "Not Found")</f>
        <v>64</v>
      </c>
      <c r="Q933" t="str">
        <f>VLOOKUP(Sales_fact[[#This Row],[Customer_ID]], 'Customer_Dim'!A:F, 6, FALSE)</f>
        <v>Female</v>
      </c>
      <c r="R933" s="13" t="str">
        <f>_xlfn.XLOOKUP(Sales_fact[[#This Row],[Product_ID]],Product_Dim!A:A,Product_Dim!C:C,"OTHERS")</f>
        <v>Sports</v>
      </c>
    </row>
    <row r="934" spans="1:18" x14ac:dyDescent="0.3">
      <c r="A934" t="s">
        <v>2758</v>
      </c>
      <c r="B934" s="2">
        <v>45441</v>
      </c>
      <c r="C934" t="s">
        <v>1411</v>
      </c>
      <c r="D934" t="s">
        <v>1598</v>
      </c>
      <c r="E934" t="str">
        <f ca="1">TRIM(Sales_fact[[#This Row],[Store_ID]])</f>
        <v>STORE15</v>
      </c>
      <c r="F934">
        <v>3</v>
      </c>
      <c r="G934">
        <f>IF(ISBLANK(F934),MODE($F$2:$F$2001),F934)</f>
        <v>3</v>
      </c>
      <c r="H934">
        <v>504.97</v>
      </c>
      <c r="I934">
        <f>IF(ISBLANK(H934),AVERAGE($H$2:$H$2001),H934)</f>
        <v>504.97</v>
      </c>
      <c r="J934">
        <v>0.3</v>
      </c>
      <c r="K934">
        <f>IF(ISBLANK(J934),MODE($J$2:$J$2001),J934)</f>
        <v>0.3</v>
      </c>
      <c r="L934" t="s">
        <v>1824</v>
      </c>
      <c r="M934">
        <v>1060.4369999999999</v>
      </c>
      <c r="N934">
        <f t="shared" si="14"/>
        <v>1060.4369999999999</v>
      </c>
      <c r="O934" t="str">
        <f>_xlfn.XLOOKUP(Sales_fact[[#This Row],[Customer_ID]],'Customer_Dim'!A:A,'Customer_Dim'!K:K,"Not Found")</f>
        <v>Platinum</v>
      </c>
      <c r="P934">
        <f>_xlfn.XLOOKUP(Sales_fact[[#This Row],[Customer_ID]],'Customer_Dim'!A:A, 'Customer_Dim'!E:E, "Not Found")</f>
        <v>59</v>
      </c>
      <c r="Q934" t="str">
        <f>VLOOKUP(Sales_fact[[#This Row],[Customer_ID]], 'Customer_Dim'!A:F, 6, FALSE)</f>
        <v>Male</v>
      </c>
      <c r="R934" s="13" t="str">
        <f>_xlfn.XLOOKUP(Sales_fact[[#This Row],[Product_ID]],Product_Dim!A:A,Product_Dim!C:C,"OTHERS")</f>
        <v>Clothing</v>
      </c>
    </row>
    <row r="935" spans="1:18" x14ac:dyDescent="0.3">
      <c r="A935" t="s">
        <v>2759</v>
      </c>
      <c r="B935" s="2">
        <v>45396</v>
      </c>
      <c r="C935" t="s">
        <v>224</v>
      </c>
      <c r="D935" t="s">
        <v>1624</v>
      </c>
      <c r="E935" t="str">
        <f ca="1">TRIM(Sales_fact[[#This Row],[Store_ID]])</f>
        <v>STORE11</v>
      </c>
      <c r="F935">
        <v>3</v>
      </c>
      <c r="G935">
        <f>IF(ISBLANK(F935),MODE($F$2:$F$2001),F935)</f>
        <v>3</v>
      </c>
      <c r="H935">
        <v>649.78</v>
      </c>
      <c r="I935">
        <f>IF(ISBLANK(H935),AVERAGE($H$2:$H$2001),H935)</f>
        <v>649.78</v>
      </c>
      <c r="J935">
        <v>0.1</v>
      </c>
      <c r="K935">
        <f>IF(ISBLANK(J935),MODE($J$2:$J$2001),J935)</f>
        <v>0.1</v>
      </c>
      <c r="L935" t="s">
        <v>1826</v>
      </c>
      <c r="M935">
        <v>1754.4059999999999</v>
      </c>
      <c r="N935">
        <f t="shared" si="14"/>
        <v>1754.4059999999999</v>
      </c>
      <c r="O935" t="str">
        <f>_xlfn.XLOOKUP(Sales_fact[[#This Row],[Customer_ID]],'Customer_Dim'!A:A,'Customer_Dim'!K:K,"Not Found")</f>
        <v>Silver</v>
      </c>
      <c r="P935">
        <f>_xlfn.XLOOKUP(Sales_fact[[#This Row],[Customer_ID]],'Customer_Dim'!A:A, 'Customer_Dim'!E:E, "Not Found")</f>
        <v>22</v>
      </c>
      <c r="Q935" t="str">
        <f>VLOOKUP(Sales_fact[[#This Row],[Customer_ID]], 'Customer_Dim'!A:F, 6, FALSE)</f>
        <v>Female</v>
      </c>
      <c r="R935" s="13" t="str">
        <f>_xlfn.XLOOKUP(Sales_fact[[#This Row],[Product_ID]],Product_Dim!A:A,Product_Dim!C:C,"OTHERS")</f>
        <v>Sports</v>
      </c>
    </row>
    <row r="936" spans="1:18" x14ac:dyDescent="0.3">
      <c r="A936" t="s">
        <v>2760</v>
      </c>
      <c r="B936" s="2">
        <v>45317</v>
      </c>
      <c r="C936" t="s">
        <v>785</v>
      </c>
      <c r="D936" t="s">
        <v>1626</v>
      </c>
      <c r="E936" t="str">
        <f ca="1">TRIM(Sales_fact[[#This Row],[Store_ID]])</f>
        <v>STORE9</v>
      </c>
      <c r="F936">
        <v>2</v>
      </c>
      <c r="G936">
        <f>IF(ISBLANK(F936),MODE($F$2:$F$2001),F936)</f>
        <v>2</v>
      </c>
      <c r="H936">
        <v>986.73</v>
      </c>
      <c r="I936">
        <f>IF(ISBLANK(H936),AVERAGE($H$2:$H$2001),H936)</f>
        <v>986.73</v>
      </c>
      <c r="J936">
        <v>0.05</v>
      </c>
      <c r="K936">
        <f>IF(ISBLANK(J936),MODE($J$2:$J$2001),J936)</f>
        <v>0.05</v>
      </c>
      <c r="L936" t="s">
        <v>1826</v>
      </c>
      <c r="M936">
        <v>1874.787</v>
      </c>
      <c r="N936">
        <f t="shared" si="14"/>
        <v>1874.787</v>
      </c>
      <c r="O936" t="str">
        <f>_xlfn.XLOOKUP(Sales_fact[[#This Row],[Customer_ID]],'Customer_Dim'!A:A,'Customer_Dim'!K:K,"Not Found")</f>
        <v>Platinum</v>
      </c>
      <c r="P936">
        <f>_xlfn.XLOOKUP(Sales_fact[[#This Row],[Customer_ID]],'Customer_Dim'!A:A, 'Customer_Dim'!E:E, "Not Found")</f>
        <v>57</v>
      </c>
      <c r="Q936" t="str">
        <f>VLOOKUP(Sales_fact[[#This Row],[Customer_ID]], 'Customer_Dim'!A:F, 6, FALSE)</f>
        <v>Female</v>
      </c>
      <c r="R936" s="13" t="str">
        <f>_xlfn.XLOOKUP(Sales_fact[[#This Row],[Product_ID]],Product_Dim!A:A,Product_Dim!C:C,"OTHERS")</f>
        <v>Electronics</v>
      </c>
    </row>
    <row r="937" spans="1:18" x14ac:dyDescent="0.3">
      <c r="A937" t="s">
        <v>2761</v>
      </c>
      <c r="B937" s="2">
        <v>45235</v>
      </c>
      <c r="C937" t="s">
        <v>414</v>
      </c>
      <c r="D937" t="s">
        <v>1574</v>
      </c>
      <c r="E937" t="str">
        <f ca="1">TRIM(Sales_fact[[#This Row],[Store_ID]])</f>
        <v>STORE15</v>
      </c>
      <c r="F937">
        <v>2</v>
      </c>
      <c r="G937">
        <f>IF(ISBLANK(F937),MODE($F$2:$F$2001),F937)</f>
        <v>2</v>
      </c>
      <c r="H937">
        <v>65.44</v>
      </c>
      <c r="I937">
        <f>IF(ISBLANK(H937),AVERAGE($H$2:$H$2001),H937)</f>
        <v>65.44</v>
      </c>
      <c r="J937">
        <v>0.05</v>
      </c>
      <c r="K937">
        <f>IF(ISBLANK(J937),MODE($J$2:$J$2001),J937)</f>
        <v>0.05</v>
      </c>
      <c r="L937" t="s">
        <v>1826</v>
      </c>
      <c r="M937">
        <v>124.336</v>
      </c>
      <c r="N937">
        <f t="shared" si="14"/>
        <v>124.33599999999998</v>
      </c>
      <c r="O937" t="str">
        <f>_xlfn.XLOOKUP(Sales_fact[[#This Row],[Customer_ID]],'Customer_Dim'!A:A,'Customer_Dim'!K:K,"Not Found")</f>
        <v>Bronze</v>
      </c>
      <c r="P937">
        <f>_xlfn.XLOOKUP(Sales_fact[[#This Row],[Customer_ID]],'Customer_Dim'!A:A, 'Customer_Dim'!E:E, "Not Found")</f>
        <v>40</v>
      </c>
      <c r="Q937" t="str">
        <f>VLOOKUP(Sales_fact[[#This Row],[Customer_ID]], 'Customer_Dim'!A:F, 6, FALSE)</f>
        <v>Male</v>
      </c>
      <c r="R937" s="13" t="str">
        <f>_xlfn.XLOOKUP(Sales_fact[[#This Row],[Product_ID]],Product_Dim!A:A,Product_Dim!C:C,"OTHERS")</f>
        <v>Electronics</v>
      </c>
    </row>
    <row r="938" spans="1:18" x14ac:dyDescent="0.3">
      <c r="A938" t="s">
        <v>2762</v>
      </c>
      <c r="B938" s="2">
        <v>45824</v>
      </c>
      <c r="C938" t="s">
        <v>1196</v>
      </c>
      <c r="D938" t="s">
        <v>1674</v>
      </c>
      <c r="E938" t="str">
        <f ca="1">TRIM(Sales_fact[[#This Row],[Store_ID]])</f>
        <v>STORE13</v>
      </c>
      <c r="F938">
        <v>3</v>
      </c>
      <c r="G938">
        <f>IF(ISBLANK(F938),MODE($F$2:$F$2001),F938)</f>
        <v>3</v>
      </c>
      <c r="H938">
        <v>953.74</v>
      </c>
      <c r="I938">
        <f>IF(ISBLANK(H938),AVERAGE($H$2:$H$2001),H938)</f>
        <v>953.74</v>
      </c>
      <c r="J938">
        <v>0.04</v>
      </c>
      <c r="K938">
        <f>IF(ISBLANK(J938),MODE($J$2:$J$2001),J938)</f>
        <v>0.04</v>
      </c>
      <c r="L938" t="s">
        <v>1824</v>
      </c>
      <c r="M938">
        <v>2746.7712000000001</v>
      </c>
      <c r="N938">
        <f t="shared" si="14"/>
        <v>2746.7712000000001</v>
      </c>
      <c r="O938" t="str">
        <f>_xlfn.XLOOKUP(Sales_fact[[#This Row],[Customer_ID]],'Customer_Dim'!A:A,'Customer_Dim'!K:K,"Not Found")</f>
        <v>Silver</v>
      </c>
      <c r="P938">
        <f>_xlfn.XLOOKUP(Sales_fact[[#This Row],[Customer_ID]],'Customer_Dim'!A:A, 'Customer_Dim'!E:E, "Not Found")</f>
        <v>27</v>
      </c>
      <c r="Q938" t="str">
        <f>VLOOKUP(Sales_fact[[#This Row],[Customer_ID]], 'Customer_Dim'!A:F, 6, FALSE)</f>
        <v>Female</v>
      </c>
      <c r="R938" s="13" t="str">
        <f>_xlfn.XLOOKUP(Sales_fact[[#This Row],[Product_ID]],Product_Dim!A:A,Product_Dim!C:C,"OTHERS")</f>
        <v>Beauty</v>
      </c>
    </row>
    <row r="939" spans="1:18" x14ac:dyDescent="0.3">
      <c r="A939" t="s">
        <v>2763</v>
      </c>
      <c r="B939" s="2">
        <v>45543</v>
      </c>
      <c r="C939" t="s">
        <v>247</v>
      </c>
      <c r="D939" t="s">
        <v>1700</v>
      </c>
      <c r="E939" t="str">
        <f ca="1">TRIM(Sales_fact[[#This Row],[Store_ID]])</f>
        <v>STORE10</v>
      </c>
      <c r="F939">
        <v>3</v>
      </c>
      <c r="G939">
        <f>IF(ISBLANK(F939),MODE($F$2:$F$2001),F939)</f>
        <v>3</v>
      </c>
      <c r="H939">
        <v>904.48</v>
      </c>
      <c r="I939">
        <f>IF(ISBLANK(H939),AVERAGE($H$2:$H$2001),H939)</f>
        <v>904.48</v>
      </c>
      <c r="J939">
        <v>0.21</v>
      </c>
      <c r="K939">
        <f>IF(ISBLANK(J939),MODE($J$2:$J$2001),J939)</f>
        <v>0.21</v>
      </c>
      <c r="L939" t="s">
        <v>1826</v>
      </c>
      <c r="M939">
        <v>2143.6176</v>
      </c>
      <c r="N939">
        <f t="shared" si="14"/>
        <v>2143.6176</v>
      </c>
      <c r="O939" t="str">
        <f>_xlfn.XLOOKUP(Sales_fact[[#This Row],[Customer_ID]],'Customer_Dim'!A:A,'Customer_Dim'!K:K,"Not Found")</f>
        <v>Silver</v>
      </c>
      <c r="P939">
        <f>_xlfn.XLOOKUP(Sales_fact[[#This Row],[Customer_ID]],'Customer_Dim'!A:A, 'Customer_Dim'!E:E, "Not Found")</f>
        <v>58</v>
      </c>
      <c r="Q939" t="str">
        <f>VLOOKUP(Sales_fact[[#This Row],[Customer_ID]], 'Customer_Dim'!A:F, 6, FALSE)</f>
        <v>Male</v>
      </c>
      <c r="R939" s="13" t="str">
        <f>_xlfn.XLOOKUP(Sales_fact[[#This Row],[Product_ID]],Product_Dim!A:A,Product_Dim!C:C,"OTHERS")</f>
        <v>Electronics</v>
      </c>
    </row>
    <row r="940" spans="1:18" x14ac:dyDescent="0.3">
      <c r="A940" t="s">
        <v>2764</v>
      </c>
      <c r="B940" s="2">
        <v>45595</v>
      </c>
      <c r="C940" t="s">
        <v>1513</v>
      </c>
      <c r="D940" t="s">
        <v>1672</v>
      </c>
      <c r="E940" t="str">
        <f ca="1">TRIM(Sales_fact[[#This Row],[Store_ID]])</f>
        <v>STORE15</v>
      </c>
      <c r="F940">
        <v>3</v>
      </c>
      <c r="G940">
        <f>IF(ISBLANK(F940),MODE($F$2:$F$2001),F940)</f>
        <v>3</v>
      </c>
      <c r="H940">
        <v>920.82</v>
      </c>
      <c r="I940">
        <f>IF(ISBLANK(H940),AVERAGE($H$2:$H$2001),H940)</f>
        <v>920.82</v>
      </c>
      <c r="J940">
        <v>0.1</v>
      </c>
      <c r="K940">
        <f>IF(ISBLANK(J940),MODE($J$2:$J$2001),J940)</f>
        <v>0.1</v>
      </c>
      <c r="L940" t="s">
        <v>1826</v>
      </c>
      <c r="M940">
        <v>2486.2139999999999</v>
      </c>
      <c r="N940">
        <f t="shared" si="14"/>
        <v>2486.2139999999999</v>
      </c>
      <c r="O940" t="str">
        <f>_xlfn.XLOOKUP(Sales_fact[[#This Row],[Customer_ID]],'Customer_Dim'!A:A,'Customer_Dim'!K:K,"Not Found")</f>
        <v>Platinum</v>
      </c>
      <c r="P940">
        <f>_xlfn.XLOOKUP(Sales_fact[[#This Row],[Customer_ID]],'Customer_Dim'!A:A, 'Customer_Dim'!E:E, "Not Found")</f>
        <v>59</v>
      </c>
      <c r="Q940" t="str">
        <f>VLOOKUP(Sales_fact[[#This Row],[Customer_ID]], 'Customer_Dim'!A:F, 6, FALSE)</f>
        <v>Female</v>
      </c>
      <c r="R940" s="13" t="str">
        <f>_xlfn.XLOOKUP(Sales_fact[[#This Row],[Product_ID]],Product_Dim!A:A,Product_Dim!C:C,"OTHERS")</f>
        <v>Electronics</v>
      </c>
    </row>
    <row r="941" spans="1:18" x14ac:dyDescent="0.3">
      <c r="A941" t="s">
        <v>2765</v>
      </c>
      <c r="B941" s="2">
        <v>45803</v>
      </c>
      <c r="C941" t="s">
        <v>963</v>
      </c>
      <c r="D941" t="s">
        <v>1604</v>
      </c>
      <c r="E941" t="str">
        <f ca="1">TRIM(Sales_fact[[#This Row],[Store_ID]])</f>
        <v>STORE1</v>
      </c>
      <c r="F941">
        <v>1</v>
      </c>
      <c r="G941">
        <f>IF(ISBLANK(F941),MODE($F$2:$F$2001),F941)</f>
        <v>1</v>
      </c>
      <c r="H941">
        <v>182.28</v>
      </c>
      <c r="I941">
        <f>IF(ISBLANK(H941),AVERAGE($H$2:$H$2001),H941)</f>
        <v>182.28</v>
      </c>
      <c r="J941">
        <v>0.15</v>
      </c>
      <c r="K941">
        <f>IF(ISBLANK(J941),MODE($J$2:$J$2001),J941)</f>
        <v>0.15</v>
      </c>
      <c r="L941" t="s">
        <v>1829</v>
      </c>
      <c r="M941">
        <v>154.93799999999999</v>
      </c>
      <c r="N941">
        <f t="shared" si="14"/>
        <v>154.93799999999999</v>
      </c>
      <c r="O941" t="str">
        <f>_xlfn.XLOOKUP(Sales_fact[[#This Row],[Customer_ID]],'Customer_Dim'!A:A,'Customer_Dim'!K:K,"Not Found")</f>
        <v>Platinum</v>
      </c>
      <c r="P941">
        <f>_xlfn.XLOOKUP(Sales_fact[[#This Row],[Customer_ID]],'Customer_Dim'!A:A, 'Customer_Dim'!E:E, "Not Found")</f>
        <v>64</v>
      </c>
      <c r="Q941" t="str">
        <f>VLOOKUP(Sales_fact[[#This Row],[Customer_ID]], 'Customer_Dim'!A:F, 6, FALSE)</f>
        <v>Male</v>
      </c>
      <c r="R941" s="13" t="str">
        <f>_xlfn.XLOOKUP(Sales_fact[[#This Row],[Product_ID]],Product_Dim!A:A,Product_Dim!C:C,"OTHERS")</f>
        <v>Sports</v>
      </c>
    </row>
    <row r="942" spans="1:18" x14ac:dyDescent="0.3">
      <c r="A942" t="s">
        <v>2766</v>
      </c>
      <c r="B942" s="2">
        <v>45880</v>
      </c>
      <c r="C942" t="s">
        <v>1377</v>
      </c>
      <c r="D942" t="s">
        <v>1610</v>
      </c>
      <c r="E942" t="str">
        <f ca="1">TRIM(Sales_fact[[#This Row],[Store_ID]])</f>
        <v>STORE16</v>
      </c>
      <c r="F942">
        <v>3</v>
      </c>
      <c r="G942">
        <f>IF(ISBLANK(F942),MODE($F$2:$F$2001),F942)</f>
        <v>3</v>
      </c>
      <c r="H942">
        <v>938.68</v>
      </c>
      <c r="I942">
        <f>IF(ISBLANK(H942),AVERAGE($H$2:$H$2001),H942)</f>
        <v>938.68</v>
      </c>
      <c r="J942">
        <v>0.14000000000000001</v>
      </c>
      <c r="K942">
        <f>IF(ISBLANK(J942),MODE($J$2:$J$2001),J942)</f>
        <v>0.14000000000000001</v>
      </c>
      <c r="L942" t="s">
        <v>1824</v>
      </c>
      <c r="M942">
        <v>2421.7944000000002</v>
      </c>
      <c r="N942">
        <f t="shared" si="14"/>
        <v>2421.7943999999998</v>
      </c>
      <c r="O942" t="str">
        <f>_xlfn.XLOOKUP(Sales_fact[[#This Row],[Customer_ID]],'Customer_Dim'!A:A,'Customer_Dim'!K:K,"Not Found")</f>
        <v>Platinum</v>
      </c>
      <c r="P942">
        <f>_xlfn.XLOOKUP(Sales_fact[[#This Row],[Customer_ID]],'Customer_Dim'!A:A, 'Customer_Dim'!E:E, "Not Found")</f>
        <v>41</v>
      </c>
      <c r="Q942" t="str">
        <f>VLOOKUP(Sales_fact[[#This Row],[Customer_ID]], 'Customer_Dim'!A:F, 6, FALSE)</f>
        <v>Female</v>
      </c>
      <c r="R942" s="13" t="str">
        <f>_xlfn.XLOOKUP(Sales_fact[[#This Row],[Product_ID]],Product_Dim!A:A,Product_Dim!C:C,"OTHERS")</f>
        <v>Sports</v>
      </c>
    </row>
    <row r="943" spans="1:18" x14ac:dyDescent="0.3">
      <c r="A943" t="s">
        <v>2767</v>
      </c>
      <c r="B943" s="2">
        <v>45690</v>
      </c>
      <c r="C943" t="s">
        <v>295</v>
      </c>
      <c r="D943" t="s">
        <v>1730</v>
      </c>
      <c r="E943" t="str">
        <f ca="1">TRIM(Sales_fact[[#This Row],[Store_ID]])</f>
        <v>STORE5</v>
      </c>
      <c r="F943">
        <v>3</v>
      </c>
      <c r="G943">
        <f>IF(ISBLANK(F943),MODE($F$2:$F$2001),F943)</f>
        <v>3</v>
      </c>
      <c r="H943">
        <v>219.96</v>
      </c>
      <c r="I943">
        <f>IF(ISBLANK(H943),AVERAGE($H$2:$H$2001),H943)</f>
        <v>219.96</v>
      </c>
      <c r="J943">
        <v>0.18</v>
      </c>
      <c r="K943">
        <f>IF(ISBLANK(J943),MODE($J$2:$J$2001),J943)</f>
        <v>0.18</v>
      </c>
      <c r="L943" t="s">
        <v>1826</v>
      </c>
      <c r="M943">
        <v>541.10160000000008</v>
      </c>
      <c r="N943">
        <f t="shared" si="14"/>
        <v>541.10160000000008</v>
      </c>
      <c r="O943" t="str">
        <f>_xlfn.XLOOKUP(Sales_fact[[#This Row],[Customer_ID]],'Customer_Dim'!A:A,'Customer_Dim'!K:K,"Not Found")</f>
        <v>Platinum</v>
      </c>
      <c r="P943">
        <f>_xlfn.XLOOKUP(Sales_fact[[#This Row],[Customer_ID]],'Customer_Dim'!A:A, 'Customer_Dim'!E:E, "Not Found")</f>
        <v>34</v>
      </c>
      <c r="Q943" t="str">
        <f>VLOOKUP(Sales_fact[[#This Row],[Customer_ID]], 'Customer_Dim'!A:F, 6, FALSE)</f>
        <v>Female</v>
      </c>
      <c r="R943" s="13" t="str">
        <f>_xlfn.XLOOKUP(Sales_fact[[#This Row],[Product_ID]],Product_Dim!A:A,Product_Dim!C:C,"OTHERS")</f>
        <v>Clothing</v>
      </c>
    </row>
    <row r="944" spans="1:18" x14ac:dyDescent="0.3">
      <c r="A944" t="s">
        <v>2768</v>
      </c>
      <c r="B944" s="2">
        <v>45841</v>
      </c>
      <c r="C944" t="s">
        <v>1458</v>
      </c>
      <c r="D944" t="s">
        <v>1690</v>
      </c>
      <c r="E944" t="str">
        <f ca="1">TRIM(Sales_fact[[#This Row],[Store_ID]])</f>
        <v>STORE18</v>
      </c>
      <c r="F944">
        <v>3</v>
      </c>
      <c r="G944">
        <f>IF(ISBLANK(F944),MODE($F$2:$F$2001),F944)</f>
        <v>3</v>
      </c>
      <c r="H944">
        <v>385.74</v>
      </c>
      <c r="I944">
        <f>IF(ISBLANK(H944),AVERAGE($H$2:$H$2001),H944)</f>
        <v>385.74</v>
      </c>
      <c r="J944">
        <v>0.27</v>
      </c>
      <c r="K944">
        <f>IF(ISBLANK(J944),MODE($J$2:$J$2001),J944)</f>
        <v>0.27</v>
      </c>
      <c r="L944" t="s">
        <v>1824</v>
      </c>
      <c r="M944">
        <v>844.77059999999994</v>
      </c>
      <c r="N944">
        <f t="shared" si="14"/>
        <v>844.77059999999994</v>
      </c>
      <c r="O944" t="str">
        <f>_xlfn.XLOOKUP(Sales_fact[[#This Row],[Customer_ID]],'Customer_Dim'!A:A,'Customer_Dim'!K:K,"Not Found")</f>
        <v>Bronze</v>
      </c>
      <c r="P944">
        <f>_xlfn.XLOOKUP(Sales_fact[[#This Row],[Customer_ID]],'Customer_Dim'!A:A, 'Customer_Dim'!E:E, "Not Found")</f>
        <v>53</v>
      </c>
      <c r="Q944" t="str">
        <f>VLOOKUP(Sales_fact[[#This Row],[Customer_ID]], 'Customer_Dim'!A:F, 6, FALSE)</f>
        <v>Male</v>
      </c>
      <c r="R944" s="13" t="str">
        <f>_xlfn.XLOOKUP(Sales_fact[[#This Row],[Product_ID]],Product_Dim!A:A,Product_Dim!C:C,"OTHERS")</f>
        <v>Beauty</v>
      </c>
    </row>
    <row r="945" spans="1:18" x14ac:dyDescent="0.3">
      <c r="A945" t="s">
        <v>2769</v>
      </c>
      <c r="B945" s="2">
        <v>45380</v>
      </c>
      <c r="C945" t="s">
        <v>1400</v>
      </c>
      <c r="D945" t="s">
        <v>1710</v>
      </c>
      <c r="E945" t="str">
        <f ca="1">TRIM(Sales_fact[[#This Row],[Store_ID]])</f>
        <v>STORE18</v>
      </c>
      <c r="F945">
        <v>2</v>
      </c>
      <c r="G945">
        <f>IF(ISBLANK(F945),MODE($F$2:$F$2001),F945)</f>
        <v>2</v>
      </c>
      <c r="H945">
        <v>830.94</v>
      </c>
      <c r="I945">
        <f>IF(ISBLANK(H945),AVERAGE($H$2:$H$2001),H945)</f>
        <v>830.94</v>
      </c>
      <c r="J945">
        <v>0.28000000000000003</v>
      </c>
      <c r="K945">
        <f>IF(ISBLANK(J945),MODE($J$2:$J$2001),J945)</f>
        <v>0.28000000000000003</v>
      </c>
      <c r="L945" t="s">
        <v>1826</v>
      </c>
      <c r="M945">
        <v>1196.5536</v>
      </c>
      <c r="N945">
        <f t="shared" si="14"/>
        <v>1196.5536</v>
      </c>
      <c r="O945" t="str">
        <f>_xlfn.XLOOKUP(Sales_fact[[#This Row],[Customer_ID]],'Customer_Dim'!A:A,'Customer_Dim'!K:K,"Not Found")</f>
        <v>Platinum</v>
      </c>
      <c r="P945">
        <f>_xlfn.XLOOKUP(Sales_fact[[#This Row],[Customer_ID]],'Customer_Dim'!A:A, 'Customer_Dim'!E:E, "Not Found")</f>
        <v>62</v>
      </c>
      <c r="Q945" t="str">
        <f>VLOOKUP(Sales_fact[[#This Row],[Customer_ID]], 'Customer_Dim'!A:F, 6, FALSE)</f>
        <v>Female</v>
      </c>
      <c r="R945" s="13" t="str">
        <f>_xlfn.XLOOKUP(Sales_fact[[#This Row],[Product_ID]],Product_Dim!A:A,Product_Dim!C:C,"OTHERS")</f>
        <v>Sports</v>
      </c>
    </row>
    <row r="946" spans="1:18" x14ac:dyDescent="0.3">
      <c r="A946" t="s">
        <v>2770</v>
      </c>
      <c r="B946" s="2">
        <v>45503</v>
      </c>
      <c r="C946" t="s">
        <v>1196</v>
      </c>
      <c r="D946" t="s">
        <v>1551</v>
      </c>
      <c r="E946" t="str">
        <f ca="1">TRIM(Sales_fact[[#This Row],[Store_ID]])</f>
        <v>STORE9</v>
      </c>
      <c r="F946">
        <v>3</v>
      </c>
      <c r="G946">
        <f>IF(ISBLANK(F946),MODE($F$2:$F$2001),F946)</f>
        <v>3</v>
      </c>
      <c r="H946">
        <v>462.75</v>
      </c>
      <c r="I946">
        <f>IF(ISBLANK(H946),AVERAGE($H$2:$H$2001),H946)</f>
        <v>462.75</v>
      </c>
      <c r="J946">
        <v>0.22</v>
      </c>
      <c r="K946">
        <f>IF(ISBLANK(J946),MODE($J$2:$J$2001),J946)</f>
        <v>0.22</v>
      </c>
      <c r="L946" t="s">
        <v>1826</v>
      </c>
      <c r="M946">
        <v>1082.835</v>
      </c>
      <c r="N946">
        <f t="shared" si="14"/>
        <v>1082.835</v>
      </c>
      <c r="O946" t="str">
        <f>_xlfn.XLOOKUP(Sales_fact[[#This Row],[Customer_ID]],'Customer_Dim'!A:A,'Customer_Dim'!K:K,"Not Found")</f>
        <v>Silver</v>
      </c>
      <c r="P946">
        <f>_xlfn.XLOOKUP(Sales_fact[[#This Row],[Customer_ID]],'Customer_Dim'!A:A, 'Customer_Dim'!E:E, "Not Found")</f>
        <v>27</v>
      </c>
      <c r="Q946" t="str">
        <f>VLOOKUP(Sales_fact[[#This Row],[Customer_ID]], 'Customer_Dim'!A:F, 6, FALSE)</f>
        <v>Female</v>
      </c>
      <c r="R946" s="13" t="str">
        <f>_xlfn.XLOOKUP(Sales_fact[[#This Row],[Product_ID]],Product_Dim!A:A,Product_Dim!C:C,"OTHERS")</f>
        <v>OTHERS</v>
      </c>
    </row>
    <row r="947" spans="1:18" x14ac:dyDescent="0.3">
      <c r="A947" t="s">
        <v>2771</v>
      </c>
      <c r="B947" s="2">
        <v>45567</v>
      </c>
      <c r="C947" t="s">
        <v>247</v>
      </c>
      <c r="D947" t="s">
        <v>1576</v>
      </c>
      <c r="E947" t="str">
        <f ca="1">TRIM(Sales_fact[[#This Row],[Store_ID]])</f>
        <v>STORE15</v>
      </c>
      <c r="F947">
        <v>4</v>
      </c>
      <c r="G947">
        <f>IF(ISBLANK(F947),MODE($F$2:$F$2001),F947)</f>
        <v>4</v>
      </c>
      <c r="H947">
        <v>973.9</v>
      </c>
      <c r="I947">
        <f>IF(ISBLANK(H947),AVERAGE($H$2:$H$2001),H947)</f>
        <v>973.9</v>
      </c>
      <c r="J947">
        <v>0.02</v>
      </c>
      <c r="K947">
        <f>IF(ISBLANK(J947),MODE($J$2:$J$2001),J947)</f>
        <v>0.02</v>
      </c>
      <c r="L947" t="s">
        <v>1829</v>
      </c>
      <c r="M947">
        <v>3817.6880000000001</v>
      </c>
      <c r="N947">
        <f t="shared" si="14"/>
        <v>3817.6879999999996</v>
      </c>
      <c r="O947" t="str">
        <f>_xlfn.XLOOKUP(Sales_fact[[#This Row],[Customer_ID]],'Customer_Dim'!A:A,'Customer_Dim'!K:K,"Not Found")</f>
        <v>Silver</v>
      </c>
      <c r="P947">
        <f>_xlfn.XLOOKUP(Sales_fact[[#This Row],[Customer_ID]],'Customer_Dim'!A:A, 'Customer_Dim'!E:E, "Not Found")</f>
        <v>58</v>
      </c>
      <c r="Q947" t="str">
        <f>VLOOKUP(Sales_fact[[#This Row],[Customer_ID]], 'Customer_Dim'!A:F, 6, FALSE)</f>
        <v>Male</v>
      </c>
      <c r="R947" s="13" t="str">
        <f>_xlfn.XLOOKUP(Sales_fact[[#This Row],[Product_ID]],Product_Dim!A:A,Product_Dim!C:C,"OTHERS")</f>
        <v>Home</v>
      </c>
    </row>
    <row r="948" spans="1:18" x14ac:dyDescent="0.3">
      <c r="A948" t="s">
        <v>2772</v>
      </c>
      <c r="B948" s="2">
        <v>45600</v>
      </c>
      <c r="C948" t="s">
        <v>475</v>
      </c>
      <c r="D948" t="s">
        <v>1618</v>
      </c>
      <c r="E948" t="str">
        <f ca="1">TRIM(Sales_fact[[#This Row],[Store_ID]])</f>
        <v>STORE1</v>
      </c>
      <c r="F948">
        <v>2</v>
      </c>
      <c r="G948">
        <f>IF(ISBLANK(F948),MODE($F$2:$F$2001),F948)</f>
        <v>2</v>
      </c>
      <c r="H948">
        <v>157.18</v>
      </c>
      <c r="I948">
        <f>IF(ISBLANK(H948),AVERAGE($H$2:$H$2001),H948)</f>
        <v>157.18</v>
      </c>
      <c r="J948">
        <v>0.15</v>
      </c>
      <c r="K948">
        <f>IF(ISBLANK(J948),MODE($J$2:$J$2001),J948)</f>
        <v>0.15</v>
      </c>
      <c r="L948" t="s">
        <v>1824</v>
      </c>
      <c r="M948">
        <v>267.20600000000002</v>
      </c>
      <c r="N948">
        <f t="shared" si="14"/>
        <v>267.20600000000002</v>
      </c>
      <c r="O948" t="str">
        <f>_xlfn.XLOOKUP(Sales_fact[[#This Row],[Customer_ID]],'Customer_Dim'!A:A,'Customer_Dim'!K:K,"Not Found")</f>
        <v>Gold</v>
      </c>
      <c r="P948">
        <f>_xlfn.XLOOKUP(Sales_fact[[#This Row],[Customer_ID]],'Customer_Dim'!A:A, 'Customer_Dim'!E:E, "Not Found")</f>
        <v>63</v>
      </c>
      <c r="Q948" t="str">
        <f>VLOOKUP(Sales_fact[[#This Row],[Customer_ID]], 'Customer_Dim'!A:F, 6, FALSE)</f>
        <v>Female</v>
      </c>
      <c r="R948" s="13" t="str">
        <f>_xlfn.XLOOKUP(Sales_fact[[#This Row],[Product_ID]],Product_Dim!A:A,Product_Dim!C:C,"OTHERS")</f>
        <v>Home</v>
      </c>
    </row>
    <row r="949" spans="1:18" x14ac:dyDescent="0.3">
      <c r="A949" t="s">
        <v>2773</v>
      </c>
      <c r="B949" s="2">
        <v>45415</v>
      </c>
      <c r="C949" t="s">
        <v>63</v>
      </c>
      <c r="D949" t="s">
        <v>1694</v>
      </c>
      <c r="E949" t="str">
        <f ca="1">TRIM(Sales_fact[[#This Row],[Store_ID]])</f>
        <v>STORE13</v>
      </c>
      <c r="F949">
        <v>3</v>
      </c>
      <c r="G949">
        <f>IF(ISBLANK(F949),MODE($F$2:$F$2001),F949)</f>
        <v>3</v>
      </c>
      <c r="H949">
        <v>239.57</v>
      </c>
      <c r="I949">
        <f>IF(ISBLANK(H949),AVERAGE($H$2:$H$2001),H949)</f>
        <v>239.57</v>
      </c>
      <c r="J949">
        <v>0.16</v>
      </c>
      <c r="K949">
        <f>IF(ISBLANK(J949),MODE($J$2:$J$2001),J949)</f>
        <v>0.16</v>
      </c>
      <c r="L949" t="s">
        <v>1824</v>
      </c>
      <c r="M949">
        <v>603.71640000000002</v>
      </c>
      <c r="N949">
        <f t="shared" si="14"/>
        <v>603.71640000000002</v>
      </c>
      <c r="O949" t="str">
        <f>_xlfn.XLOOKUP(Sales_fact[[#This Row],[Customer_ID]],'Customer_Dim'!A:A,'Customer_Dim'!K:K,"Not Found")</f>
        <v>Silver</v>
      </c>
      <c r="P949">
        <f>_xlfn.XLOOKUP(Sales_fact[[#This Row],[Customer_ID]],'Customer_Dim'!A:A, 'Customer_Dim'!E:E, "Not Found")</f>
        <v>32</v>
      </c>
      <c r="Q949" t="str">
        <f>VLOOKUP(Sales_fact[[#This Row],[Customer_ID]], 'Customer_Dim'!A:F, 6, FALSE)</f>
        <v>Female</v>
      </c>
      <c r="R949" s="13" t="str">
        <f>_xlfn.XLOOKUP(Sales_fact[[#This Row],[Product_ID]],Product_Dim!A:A,Product_Dim!C:C,"OTHERS")</f>
        <v>Sports</v>
      </c>
    </row>
    <row r="950" spans="1:18" x14ac:dyDescent="0.3">
      <c r="A950" t="s">
        <v>2774</v>
      </c>
      <c r="B950" s="2">
        <v>45343</v>
      </c>
      <c r="C950" t="s">
        <v>1029</v>
      </c>
      <c r="D950" t="s">
        <v>1565</v>
      </c>
      <c r="E950" t="str">
        <f ca="1">TRIM(Sales_fact[[#This Row],[Store_ID]])</f>
        <v>STORE16</v>
      </c>
      <c r="F950">
        <v>4</v>
      </c>
      <c r="G950">
        <f>IF(ISBLANK(F950),MODE($F$2:$F$2001),F950)</f>
        <v>4</v>
      </c>
      <c r="H950">
        <v>583.21</v>
      </c>
      <c r="I950">
        <f>IF(ISBLANK(H950),AVERAGE($H$2:$H$2001),H950)</f>
        <v>583.21</v>
      </c>
      <c r="J950">
        <v>0.2</v>
      </c>
      <c r="K950">
        <f>IF(ISBLANK(J950),MODE($J$2:$J$2001),J950)</f>
        <v>0.2</v>
      </c>
      <c r="L950" t="s">
        <v>1824</v>
      </c>
      <c r="M950">
        <v>1866.2719999999999</v>
      </c>
      <c r="N950">
        <f t="shared" si="14"/>
        <v>1866.2720000000002</v>
      </c>
      <c r="O950" t="str">
        <f>_xlfn.XLOOKUP(Sales_fact[[#This Row],[Customer_ID]],'Customer_Dim'!A:A,'Customer_Dim'!K:K,"Not Found")</f>
        <v>Bronze</v>
      </c>
      <c r="P950">
        <f>_xlfn.XLOOKUP(Sales_fact[[#This Row],[Customer_ID]],'Customer_Dim'!A:A, 'Customer_Dim'!E:E, "Not Found")</f>
        <v>62</v>
      </c>
      <c r="Q950" t="str">
        <f>VLOOKUP(Sales_fact[[#This Row],[Customer_ID]], 'Customer_Dim'!A:F, 6, FALSE)</f>
        <v>Female</v>
      </c>
      <c r="R950" s="13" t="str">
        <f>_xlfn.XLOOKUP(Sales_fact[[#This Row],[Product_ID]],Product_Dim!A:A,Product_Dim!C:C,"OTHERS")</f>
        <v>Sports</v>
      </c>
    </row>
    <row r="951" spans="1:18" x14ac:dyDescent="0.3">
      <c r="A951" t="s">
        <v>2775</v>
      </c>
      <c r="B951" s="2">
        <v>45399</v>
      </c>
      <c r="C951" t="s">
        <v>1283</v>
      </c>
      <c r="D951" t="s">
        <v>1710</v>
      </c>
      <c r="E951" t="str">
        <f ca="1">TRIM(Sales_fact[[#This Row],[Store_ID]])</f>
        <v>STORE8</v>
      </c>
      <c r="F951">
        <v>3</v>
      </c>
      <c r="G951">
        <f>IF(ISBLANK(F951),MODE($F$2:$F$2001),F951)</f>
        <v>3</v>
      </c>
      <c r="H951">
        <v>758.75</v>
      </c>
      <c r="I951">
        <f>IF(ISBLANK(H951),AVERAGE($H$2:$H$2001),H951)</f>
        <v>758.75</v>
      </c>
      <c r="J951">
        <v>0.27</v>
      </c>
      <c r="K951">
        <f>IF(ISBLANK(J951),MODE($J$2:$J$2001),J951)</f>
        <v>0.27</v>
      </c>
      <c r="L951" t="s">
        <v>1826</v>
      </c>
      <c r="M951">
        <v>1661.6624999999999</v>
      </c>
      <c r="N951">
        <f t="shared" si="14"/>
        <v>1661.6624999999999</v>
      </c>
      <c r="O951" t="str">
        <f>_xlfn.XLOOKUP(Sales_fact[[#This Row],[Customer_ID]],'Customer_Dim'!A:A,'Customer_Dim'!K:K,"Not Found")</f>
        <v>Bronze</v>
      </c>
      <c r="P951">
        <f>_xlfn.XLOOKUP(Sales_fact[[#This Row],[Customer_ID]],'Customer_Dim'!A:A, 'Customer_Dim'!E:E, "Not Found")</f>
        <v>59</v>
      </c>
      <c r="Q951" t="str">
        <f>VLOOKUP(Sales_fact[[#This Row],[Customer_ID]], 'Customer_Dim'!A:F, 6, FALSE)</f>
        <v>Female</v>
      </c>
      <c r="R951" s="13" t="str">
        <f>_xlfn.XLOOKUP(Sales_fact[[#This Row],[Product_ID]],Product_Dim!A:A,Product_Dim!C:C,"OTHERS")</f>
        <v>Sports</v>
      </c>
    </row>
    <row r="952" spans="1:18" x14ac:dyDescent="0.3">
      <c r="A952" t="s">
        <v>2776</v>
      </c>
      <c r="B952" s="2">
        <v>45689</v>
      </c>
      <c r="C952" t="s">
        <v>975</v>
      </c>
      <c r="D952" t="s">
        <v>1670</v>
      </c>
      <c r="E952" t="str">
        <f ca="1">TRIM(Sales_fact[[#This Row],[Store_ID]])</f>
        <v>STORE5</v>
      </c>
      <c r="F952">
        <v>4</v>
      </c>
      <c r="G952">
        <f>IF(ISBLANK(F952),MODE($F$2:$F$2001),F952)</f>
        <v>4</v>
      </c>
      <c r="H952">
        <v>372.42</v>
      </c>
      <c r="I952">
        <f>IF(ISBLANK(H952),AVERAGE($H$2:$H$2001),H952)</f>
        <v>372.42</v>
      </c>
      <c r="J952">
        <v>0.19</v>
      </c>
      <c r="K952">
        <f>IF(ISBLANK(J952),MODE($J$2:$J$2001),J952)</f>
        <v>0.19</v>
      </c>
      <c r="L952" t="s">
        <v>1824</v>
      </c>
      <c r="M952">
        <v>1206.6407999999999</v>
      </c>
      <c r="N952">
        <f t="shared" si="14"/>
        <v>1206.6408000000001</v>
      </c>
      <c r="O952" t="str">
        <f>_xlfn.XLOOKUP(Sales_fact[[#This Row],[Customer_ID]],'Customer_Dim'!A:A,'Customer_Dim'!K:K,"Not Found")</f>
        <v>Bronze</v>
      </c>
      <c r="P952">
        <f>_xlfn.XLOOKUP(Sales_fact[[#This Row],[Customer_ID]],'Customer_Dim'!A:A, 'Customer_Dim'!E:E, "Not Found")</f>
        <v>41</v>
      </c>
      <c r="Q952" t="str">
        <f>VLOOKUP(Sales_fact[[#This Row],[Customer_ID]], 'Customer_Dim'!A:F, 6, FALSE)</f>
        <v>Female</v>
      </c>
      <c r="R952" s="13" t="str">
        <f>_xlfn.XLOOKUP(Sales_fact[[#This Row],[Product_ID]],Product_Dim!A:A,Product_Dim!C:C,"OTHERS")</f>
        <v>Sports</v>
      </c>
    </row>
    <row r="953" spans="1:18" x14ac:dyDescent="0.3">
      <c r="A953" t="s">
        <v>2777</v>
      </c>
      <c r="B953" s="2">
        <v>45699</v>
      </c>
      <c r="C953" t="s">
        <v>517</v>
      </c>
      <c r="D953" t="s">
        <v>1674</v>
      </c>
      <c r="E953" t="str">
        <f ca="1">TRIM(Sales_fact[[#This Row],[Store_ID]])</f>
        <v>STORE19</v>
      </c>
      <c r="F953">
        <v>4</v>
      </c>
      <c r="G953">
        <f>IF(ISBLANK(F953),MODE($F$2:$F$2001),F953)</f>
        <v>4</v>
      </c>
      <c r="H953">
        <v>286.27999999999997</v>
      </c>
      <c r="I953">
        <f>IF(ISBLANK(H953),AVERAGE($H$2:$H$2001),H953)</f>
        <v>286.27999999999997</v>
      </c>
      <c r="J953">
        <v>0.28000000000000003</v>
      </c>
      <c r="K953">
        <f>IF(ISBLANK(J953),MODE($J$2:$J$2001),J953)</f>
        <v>0.28000000000000003</v>
      </c>
      <c r="L953" t="s">
        <v>1826</v>
      </c>
      <c r="M953">
        <v>824.48639999999989</v>
      </c>
      <c r="N953">
        <f t="shared" si="14"/>
        <v>824.48639999999989</v>
      </c>
      <c r="O953" t="str">
        <f>_xlfn.XLOOKUP(Sales_fact[[#This Row],[Customer_ID]],'Customer_Dim'!A:A,'Customer_Dim'!K:K,"Not Found")</f>
        <v>Gold</v>
      </c>
      <c r="P953">
        <f>_xlfn.XLOOKUP(Sales_fact[[#This Row],[Customer_ID]],'Customer_Dim'!A:A, 'Customer_Dim'!E:E, "Not Found")</f>
        <v>35</v>
      </c>
      <c r="Q953" t="str">
        <f>VLOOKUP(Sales_fact[[#This Row],[Customer_ID]], 'Customer_Dim'!A:F, 6, FALSE)</f>
        <v>Female</v>
      </c>
      <c r="R953" s="13" t="str">
        <f>_xlfn.XLOOKUP(Sales_fact[[#This Row],[Product_ID]],Product_Dim!A:A,Product_Dim!C:C,"OTHERS")</f>
        <v>Beauty</v>
      </c>
    </row>
    <row r="954" spans="1:18" x14ac:dyDescent="0.3">
      <c r="A954" t="s">
        <v>2778</v>
      </c>
      <c r="B954" s="2">
        <v>45663</v>
      </c>
      <c r="C954" t="s">
        <v>887</v>
      </c>
      <c r="D954" t="s">
        <v>1694</v>
      </c>
      <c r="E954" t="str">
        <f ca="1">TRIM(Sales_fact[[#This Row],[Store_ID]])</f>
        <v>STORE11</v>
      </c>
      <c r="F954">
        <v>3</v>
      </c>
      <c r="G954">
        <f>IF(ISBLANK(F954),MODE($F$2:$F$2001),F954)</f>
        <v>3</v>
      </c>
      <c r="H954">
        <v>488.37</v>
      </c>
      <c r="I954">
        <f>IF(ISBLANK(H954),AVERAGE($H$2:$H$2001),H954)</f>
        <v>488.37</v>
      </c>
      <c r="J954">
        <v>0.27</v>
      </c>
      <c r="K954">
        <f>IF(ISBLANK(J954),MODE($J$2:$J$2001),J954)</f>
        <v>0.27</v>
      </c>
      <c r="L954" t="s">
        <v>1829</v>
      </c>
      <c r="M954">
        <v>1069.5302999999999</v>
      </c>
      <c r="N954">
        <f t="shared" si="14"/>
        <v>1069.5303000000001</v>
      </c>
      <c r="O954" t="str">
        <f>_xlfn.XLOOKUP(Sales_fact[[#This Row],[Customer_ID]],'Customer_Dim'!A:A,'Customer_Dim'!K:K,"Not Found")</f>
        <v>Bronze</v>
      </c>
      <c r="P954">
        <f>_xlfn.XLOOKUP(Sales_fact[[#This Row],[Customer_ID]],'Customer_Dim'!A:A, 'Customer_Dim'!E:E, "Not Found")</f>
        <v>21</v>
      </c>
      <c r="Q954" t="str">
        <f>VLOOKUP(Sales_fact[[#This Row],[Customer_ID]], 'Customer_Dim'!A:F, 6, FALSE)</f>
        <v>Female</v>
      </c>
      <c r="R954" s="13" t="str">
        <f>_xlfn.XLOOKUP(Sales_fact[[#This Row],[Product_ID]],Product_Dim!A:A,Product_Dim!C:C,"OTHERS")</f>
        <v>Sports</v>
      </c>
    </row>
    <row r="955" spans="1:18" x14ac:dyDescent="0.3">
      <c r="A955" t="s">
        <v>2779</v>
      </c>
      <c r="B955" s="2">
        <v>45377</v>
      </c>
      <c r="C955" t="s">
        <v>1446</v>
      </c>
      <c r="D955" t="s">
        <v>1722</v>
      </c>
      <c r="E955" t="str">
        <f ca="1">TRIM(Sales_fact[[#This Row],[Store_ID]])</f>
        <v>STORE8</v>
      </c>
      <c r="F955">
        <v>3</v>
      </c>
      <c r="G955">
        <f>IF(ISBLANK(F955),MODE($F$2:$F$2001),F955)</f>
        <v>3</v>
      </c>
      <c r="H955">
        <v>662.82</v>
      </c>
      <c r="I955">
        <f>IF(ISBLANK(H955),AVERAGE($H$2:$H$2001),H955)</f>
        <v>662.82</v>
      </c>
      <c r="J955">
        <v>0.01</v>
      </c>
      <c r="K955">
        <f>IF(ISBLANK(J955),MODE($J$2:$J$2001),J955)</f>
        <v>0.01</v>
      </c>
      <c r="L955" t="s">
        <v>1829</v>
      </c>
      <c r="M955">
        <v>1968.5753999999999</v>
      </c>
      <c r="N955">
        <f t="shared" si="14"/>
        <v>1968.5753999999999</v>
      </c>
      <c r="O955" t="str">
        <f>_xlfn.XLOOKUP(Sales_fact[[#This Row],[Customer_ID]],'Customer_Dim'!A:A,'Customer_Dim'!K:K,"Not Found")</f>
        <v>Gold</v>
      </c>
      <c r="P955">
        <f>_xlfn.XLOOKUP(Sales_fact[[#This Row],[Customer_ID]],'Customer_Dim'!A:A, 'Customer_Dim'!E:E, "Not Found")</f>
        <v>19</v>
      </c>
      <c r="Q955" t="str">
        <f>VLOOKUP(Sales_fact[[#This Row],[Customer_ID]], 'Customer_Dim'!A:F, 6, FALSE)</f>
        <v>Male</v>
      </c>
      <c r="R955" s="13" t="str">
        <f>_xlfn.XLOOKUP(Sales_fact[[#This Row],[Product_ID]],Product_Dim!A:A,Product_Dim!C:C,"OTHERS")</f>
        <v>Home</v>
      </c>
    </row>
    <row r="956" spans="1:18" x14ac:dyDescent="0.3">
      <c r="A956" t="s">
        <v>2780</v>
      </c>
      <c r="B956" s="2">
        <v>45412</v>
      </c>
      <c r="C956" t="s">
        <v>1527</v>
      </c>
      <c r="D956" t="s">
        <v>1557</v>
      </c>
      <c r="E956" t="str">
        <f ca="1">TRIM(Sales_fact[[#This Row],[Store_ID]])</f>
        <v>STORE16</v>
      </c>
      <c r="F956">
        <v>2</v>
      </c>
      <c r="G956">
        <f>IF(ISBLANK(F956),MODE($F$2:$F$2001),F956)</f>
        <v>2</v>
      </c>
      <c r="H956">
        <v>824.34</v>
      </c>
      <c r="I956">
        <f>IF(ISBLANK(H956),AVERAGE($H$2:$H$2001),H956)</f>
        <v>824.34</v>
      </c>
      <c r="J956">
        <v>0.1</v>
      </c>
      <c r="K956">
        <f>IF(ISBLANK(J956),MODE($J$2:$J$2001),J956)</f>
        <v>0.1</v>
      </c>
      <c r="L956" t="s">
        <v>1829</v>
      </c>
      <c r="M956">
        <v>1483.8119999999999</v>
      </c>
      <c r="N956">
        <f t="shared" si="14"/>
        <v>1483.8120000000001</v>
      </c>
      <c r="O956" t="str">
        <f>_xlfn.XLOOKUP(Sales_fact[[#This Row],[Customer_ID]],'Customer_Dim'!A:A,'Customer_Dim'!K:K,"Not Found")</f>
        <v>Gold</v>
      </c>
      <c r="P956">
        <f>_xlfn.XLOOKUP(Sales_fact[[#This Row],[Customer_ID]],'Customer_Dim'!A:A, 'Customer_Dim'!E:E, "Not Found")</f>
        <v>47</v>
      </c>
      <c r="Q956" t="str">
        <f>VLOOKUP(Sales_fact[[#This Row],[Customer_ID]], 'Customer_Dim'!A:F, 6, FALSE)</f>
        <v>Female</v>
      </c>
      <c r="R956" s="13" t="str">
        <f>_xlfn.XLOOKUP(Sales_fact[[#This Row],[Product_ID]],Product_Dim!A:A,Product_Dim!C:C,"OTHERS")</f>
        <v>Beauty</v>
      </c>
    </row>
    <row r="957" spans="1:18" x14ac:dyDescent="0.3">
      <c r="A957" t="s">
        <v>2781</v>
      </c>
      <c r="B957" s="2">
        <v>45349</v>
      </c>
      <c r="C957" t="s">
        <v>396</v>
      </c>
      <c r="D957" t="s">
        <v>1666</v>
      </c>
      <c r="E957" t="str">
        <f ca="1">TRIM(Sales_fact[[#This Row],[Store_ID]])</f>
        <v>STORE8</v>
      </c>
      <c r="F957">
        <v>1</v>
      </c>
      <c r="G957">
        <f>IF(ISBLANK(F957),MODE($F$2:$F$2001),F957)</f>
        <v>1</v>
      </c>
      <c r="H957">
        <v>437.12</v>
      </c>
      <c r="I957">
        <f>IF(ISBLANK(H957),AVERAGE($H$2:$H$2001),H957)</f>
        <v>437.12</v>
      </c>
      <c r="J957">
        <v>0.21</v>
      </c>
      <c r="K957">
        <f>IF(ISBLANK(J957),MODE($J$2:$J$2001),J957)</f>
        <v>0.21</v>
      </c>
      <c r="L957" t="s">
        <v>1824</v>
      </c>
      <c r="M957">
        <v>345.32479999999998</v>
      </c>
      <c r="N957">
        <f t="shared" si="14"/>
        <v>345.32480000000004</v>
      </c>
      <c r="O957" t="str">
        <f>_xlfn.XLOOKUP(Sales_fact[[#This Row],[Customer_ID]],'Customer_Dim'!A:A,'Customer_Dim'!K:K,"Not Found")</f>
        <v>Gold</v>
      </c>
      <c r="P957">
        <f>_xlfn.XLOOKUP(Sales_fact[[#This Row],[Customer_ID]],'Customer_Dim'!A:A, 'Customer_Dim'!E:E, "Not Found")</f>
        <v>51</v>
      </c>
      <c r="Q957" t="str">
        <f>VLOOKUP(Sales_fact[[#This Row],[Customer_ID]], 'Customer_Dim'!A:F, 6, FALSE)</f>
        <v>Male</v>
      </c>
      <c r="R957" s="13" t="str">
        <f>_xlfn.XLOOKUP(Sales_fact[[#This Row],[Product_ID]],Product_Dim!A:A,Product_Dim!C:C,"OTHERS")</f>
        <v>Beauty</v>
      </c>
    </row>
    <row r="958" spans="1:18" x14ac:dyDescent="0.3">
      <c r="A958" t="s">
        <v>2782</v>
      </c>
      <c r="B958" s="2">
        <v>45486</v>
      </c>
      <c r="C958" t="s">
        <v>1118</v>
      </c>
      <c r="D958" t="s">
        <v>1724</v>
      </c>
      <c r="E958" t="str">
        <f ca="1">TRIM(Sales_fact[[#This Row],[Store_ID]])</f>
        <v>STORE6</v>
      </c>
      <c r="F958">
        <v>3</v>
      </c>
      <c r="G958">
        <f>IF(ISBLANK(F958),MODE($F$2:$F$2001),F958)</f>
        <v>3</v>
      </c>
      <c r="H958">
        <v>23.37</v>
      </c>
      <c r="I958">
        <f>IF(ISBLANK(H958),AVERAGE($H$2:$H$2001),H958)</f>
        <v>23.37</v>
      </c>
      <c r="J958">
        <v>0.15</v>
      </c>
      <c r="K958">
        <f>IF(ISBLANK(J958),MODE($J$2:$J$2001),J958)</f>
        <v>0.15</v>
      </c>
      <c r="L958" t="s">
        <v>1826</v>
      </c>
      <c r="M958">
        <v>59.593499999999999</v>
      </c>
      <c r="N958">
        <f t="shared" si="14"/>
        <v>59.593499999999999</v>
      </c>
      <c r="O958" t="str">
        <f>_xlfn.XLOOKUP(Sales_fact[[#This Row],[Customer_ID]],'Customer_Dim'!A:A,'Customer_Dim'!K:K,"Not Found")</f>
        <v>Gold</v>
      </c>
      <c r="P958">
        <f>_xlfn.XLOOKUP(Sales_fact[[#This Row],[Customer_ID]],'Customer_Dim'!A:A, 'Customer_Dim'!E:E, "Not Found")</f>
        <v>41</v>
      </c>
      <c r="Q958" t="str">
        <f>VLOOKUP(Sales_fact[[#This Row],[Customer_ID]], 'Customer_Dim'!A:F, 6, FALSE)</f>
        <v>Male</v>
      </c>
      <c r="R958" s="13" t="str">
        <f>_xlfn.XLOOKUP(Sales_fact[[#This Row],[Product_ID]],Product_Dim!A:A,Product_Dim!C:C,"OTHERS")</f>
        <v>Sports</v>
      </c>
    </row>
    <row r="959" spans="1:18" x14ac:dyDescent="0.3">
      <c r="A959" t="s">
        <v>2783</v>
      </c>
      <c r="B959" s="2">
        <v>45761</v>
      </c>
      <c r="C959" t="s">
        <v>616</v>
      </c>
      <c r="D959" t="s">
        <v>1620</v>
      </c>
      <c r="E959" t="str">
        <f ca="1">TRIM(Sales_fact[[#This Row],[Store_ID]])</f>
        <v>STORE8</v>
      </c>
      <c r="F959">
        <v>1</v>
      </c>
      <c r="G959">
        <f>IF(ISBLANK(F959),MODE($F$2:$F$2001),F959)</f>
        <v>1</v>
      </c>
      <c r="H959">
        <v>579.69000000000005</v>
      </c>
      <c r="I959">
        <f>IF(ISBLANK(H959),AVERAGE($H$2:$H$2001),H959)</f>
        <v>579.69000000000005</v>
      </c>
      <c r="J959">
        <v>0.02</v>
      </c>
      <c r="K959">
        <f>IF(ISBLANK(J959),MODE($J$2:$J$2001),J959)</f>
        <v>0.02</v>
      </c>
      <c r="L959" t="s">
        <v>1824</v>
      </c>
      <c r="M959">
        <v>568.09620000000007</v>
      </c>
      <c r="N959">
        <f t="shared" si="14"/>
        <v>568.09620000000007</v>
      </c>
      <c r="O959" t="str">
        <f>_xlfn.XLOOKUP(Sales_fact[[#This Row],[Customer_ID]],'Customer_Dim'!A:A,'Customer_Dim'!K:K,"Not Found")</f>
        <v>Platinum</v>
      </c>
      <c r="P959">
        <f>_xlfn.XLOOKUP(Sales_fact[[#This Row],[Customer_ID]],'Customer_Dim'!A:A, 'Customer_Dim'!E:E, "Not Found")</f>
        <v>60</v>
      </c>
      <c r="Q959" t="str">
        <f>VLOOKUP(Sales_fact[[#This Row],[Customer_ID]], 'Customer_Dim'!A:F, 6, FALSE)</f>
        <v>Female</v>
      </c>
      <c r="R959" s="13" t="str">
        <f>_xlfn.XLOOKUP(Sales_fact[[#This Row],[Product_ID]],Product_Dim!A:A,Product_Dim!C:C,"OTHERS")</f>
        <v>Clothing</v>
      </c>
    </row>
    <row r="960" spans="1:18" x14ac:dyDescent="0.3">
      <c r="A960" t="s">
        <v>2784</v>
      </c>
      <c r="B960" s="2">
        <v>45639</v>
      </c>
      <c r="C960" t="s">
        <v>1334</v>
      </c>
      <c r="D960" t="s">
        <v>1704</v>
      </c>
      <c r="E960" t="str">
        <f ca="1">TRIM(Sales_fact[[#This Row],[Store_ID]])</f>
        <v>STORE14</v>
      </c>
      <c r="F960">
        <v>3</v>
      </c>
      <c r="G960">
        <f>IF(ISBLANK(F960),MODE($F$2:$F$2001),F960)</f>
        <v>3</v>
      </c>
      <c r="H960">
        <v>240.51</v>
      </c>
      <c r="I960">
        <f>IF(ISBLANK(H960),AVERAGE($H$2:$H$2001),H960)</f>
        <v>240.51</v>
      </c>
      <c r="J960">
        <v>7.0000000000000007E-2</v>
      </c>
      <c r="K960">
        <f>IF(ISBLANK(J960),MODE($J$2:$J$2001),J960)</f>
        <v>7.0000000000000007E-2</v>
      </c>
      <c r="L960" t="s">
        <v>1824</v>
      </c>
      <c r="M960">
        <v>671.02289999999994</v>
      </c>
      <c r="N960">
        <f t="shared" si="14"/>
        <v>671.02289999999994</v>
      </c>
      <c r="O960" t="str">
        <f>_xlfn.XLOOKUP(Sales_fact[[#This Row],[Customer_ID]],'Customer_Dim'!A:A,'Customer_Dim'!K:K,"Not Found")</f>
        <v>Gold</v>
      </c>
      <c r="P960">
        <f>_xlfn.XLOOKUP(Sales_fact[[#This Row],[Customer_ID]],'Customer_Dim'!A:A, 'Customer_Dim'!E:E, "Not Found")</f>
        <v>36</v>
      </c>
      <c r="Q960" t="str">
        <f>VLOOKUP(Sales_fact[[#This Row],[Customer_ID]], 'Customer_Dim'!A:F, 6, FALSE)</f>
        <v>Female</v>
      </c>
      <c r="R960" s="13" t="str">
        <f>_xlfn.XLOOKUP(Sales_fact[[#This Row],[Product_ID]],Product_Dim!A:A,Product_Dim!C:C,"OTHERS")</f>
        <v>Home</v>
      </c>
    </row>
    <row r="961" spans="1:18" x14ac:dyDescent="0.3">
      <c r="A961" t="s">
        <v>2785</v>
      </c>
      <c r="B961" s="2">
        <v>45893</v>
      </c>
      <c r="C961" t="s">
        <v>1193</v>
      </c>
      <c r="D961" t="s">
        <v>1598</v>
      </c>
      <c r="E961" t="str">
        <f ca="1">TRIM(Sales_fact[[#This Row],[Store_ID]])</f>
        <v>STORE14</v>
      </c>
      <c r="F961">
        <v>2</v>
      </c>
      <c r="G961">
        <f>IF(ISBLANK(F961),MODE($F$2:$F$2001),F961)</f>
        <v>2</v>
      </c>
      <c r="H961">
        <v>855.4</v>
      </c>
      <c r="I961">
        <f>IF(ISBLANK(H961),AVERAGE($H$2:$H$2001),H961)</f>
        <v>855.4</v>
      </c>
      <c r="J961">
        <v>0.08</v>
      </c>
      <c r="K961">
        <f>IF(ISBLANK(J961),MODE($J$2:$J$2001),J961)</f>
        <v>0.08</v>
      </c>
      <c r="L961" t="s">
        <v>1829</v>
      </c>
      <c r="M961">
        <v>1573.9359999999999</v>
      </c>
      <c r="N961">
        <f t="shared" si="14"/>
        <v>1573.9359999999999</v>
      </c>
      <c r="O961" t="str">
        <f>_xlfn.XLOOKUP(Sales_fact[[#This Row],[Customer_ID]],'Customer_Dim'!A:A,'Customer_Dim'!K:K,"Not Found")</f>
        <v>Gold</v>
      </c>
      <c r="P961">
        <f>_xlfn.XLOOKUP(Sales_fact[[#This Row],[Customer_ID]],'Customer_Dim'!A:A, 'Customer_Dim'!E:E, "Not Found")</f>
        <v>20</v>
      </c>
      <c r="Q961" t="str">
        <f>VLOOKUP(Sales_fact[[#This Row],[Customer_ID]], 'Customer_Dim'!A:F, 6, FALSE)</f>
        <v>Female</v>
      </c>
      <c r="R961" s="13" t="str">
        <f>_xlfn.XLOOKUP(Sales_fact[[#This Row],[Product_ID]],Product_Dim!A:A,Product_Dim!C:C,"OTHERS")</f>
        <v>Clothing</v>
      </c>
    </row>
    <row r="962" spans="1:18" x14ac:dyDescent="0.3">
      <c r="A962" t="s">
        <v>2786</v>
      </c>
      <c r="B962" s="2">
        <v>45227</v>
      </c>
      <c r="C962" t="s">
        <v>40</v>
      </c>
      <c r="D962" t="s">
        <v>1728</v>
      </c>
      <c r="E962" t="str">
        <f ca="1">TRIM(Sales_fact[[#This Row],[Store_ID]])</f>
        <v>STORE7</v>
      </c>
      <c r="F962">
        <v>1</v>
      </c>
      <c r="G962">
        <f>IF(ISBLANK(F962),MODE($F$2:$F$2001),F962)</f>
        <v>1</v>
      </c>
      <c r="H962">
        <v>537.26</v>
      </c>
      <c r="I962">
        <f>IF(ISBLANK(H962),AVERAGE($H$2:$H$2001),H962)</f>
        <v>537.26</v>
      </c>
      <c r="J962">
        <v>0.09</v>
      </c>
      <c r="K962">
        <f>IF(ISBLANK(J962),MODE($J$2:$J$2001),J962)</f>
        <v>0.09</v>
      </c>
      <c r="L962" t="s">
        <v>1824</v>
      </c>
      <c r="M962">
        <v>488.90660000000003</v>
      </c>
      <c r="N962">
        <f t="shared" si="14"/>
        <v>488.90660000000003</v>
      </c>
      <c r="O962" t="str">
        <f>_xlfn.XLOOKUP(Sales_fact[[#This Row],[Customer_ID]],'Customer_Dim'!A:A,'Customer_Dim'!K:K,"Not Found")</f>
        <v>Bronze</v>
      </c>
      <c r="P962">
        <f>_xlfn.XLOOKUP(Sales_fact[[#This Row],[Customer_ID]],'Customer_Dim'!A:A, 'Customer_Dim'!E:E, "Not Found")</f>
        <v>29</v>
      </c>
      <c r="Q962" t="str">
        <f>VLOOKUP(Sales_fact[[#This Row],[Customer_ID]], 'Customer_Dim'!A:F, 6, FALSE)</f>
        <v>Female</v>
      </c>
      <c r="R962" s="13" t="str">
        <f>_xlfn.XLOOKUP(Sales_fact[[#This Row],[Product_ID]],Product_Dim!A:A,Product_Dim!C:C,"OTHERS")</f>
        <v>Electronics</v>
      </c>
    </row>
    <row r="963" spans="1:18" x14ac:dyDescent="0.3">
      <c r="A963" t="s">
        <v>2787</v>
      </c>
      <c r="B963" s="2">
        <v>45637</v>
      </c>
      <c r="C963" t="s">
        <v>1199</v>
      </c>
      <c r="D963" t="s">
        <v>1650</v>
      </c>
      <c r="E963" t="str">
        <f ca="1">TRIM(Sales_fact[[#This Row],[Store_ID]])</f>
        <v>STORE10</v>
      </c>
      <c r="F963">
        <v>3</v>
      </c>
      <c r="G963">
        <f>IF(ISBLANK(F963),MODE($F$2:$F$2001),F963)</f>
        <v>3</v>
      </c>
      <c r="H963">
        <v>918.26</v>
      </c>
      <c r="I963">
        <f>IF(ISBLANK(H963),AVERAGE($H$2:$H$2001),H963)</f>
        <v>918.26</v>
      </c>
      <c r="J963">
        <v>0.17</v>
      </c>
      <c r="K963">
        <f>IF(ISBLANK(J963),MODE($J$2:$J$2001),J963)</f>
        <v>0.17</v>
      </c>
      <c r="L963" t="s">
        <v>1829</v>
      </c>
      <c r="M963">
        <v>2286.4674</v>
      </c>
      <c r="N963">
        <f t="shared" ref="N963:N1026" si="15">G963*I963*(1-K963)</f>
        <v>2286.4673999999995</v>
      </c>
      <c r="O963" t="str">
        <f>_xlfn.XLOOKUP(Sales_fact[[#This Row],[Customer_ID]],'Customer_Dim'!A:A,'Customer_Dim'!K:K,"Not Found")</f>
        <v>Bronze</v>
      </c>
      <c r="P963">
        <f>_xlfn.XLOOKUP(Sales_fact[[#This Row],[Customer_ID]],'Customer_Dim'!A:A, 'Customer_Dim'!E:E, "Not Found")</f>
        <v>52</v>
      </c>
      <c r="Q963" t="str">
        <f>VLOOKUP(Sales_fact[[#This Row],[Customer_ID]], 'Customer_Dim'!A:F, 6, FALSE)</f>
        <v>Female</v>
      </c>
      <c r="R963" s="13" t="str">
        <f>_xlfn.XLOOKUP(Sales_fact[[#This Row],[Product_ID]],Product_Dim!A:A,Product_Dim!C:C,"OTHERS")</f>
        <v>Electronics</v>
      </c>
    </row>
    <row r="964" spans="1:18" x14ac:dyDescent="0.3">
      <c r="A964" t="s">
        <v>2788</v>
      </c>
      <c r="B964" s="2">
        <v>45472</v>
      </c>
      <c r="C964" t="s">
        <v>341</v>
      </c>
      <c r="D964" t="s">
        <v>1557</v>
      </c>
      <c r="E964" t="str">
        <f ca="1">TRIM(Sales_fact[[#This Row],[Store_ID]])</f>
        <v>STORE9</v>
      </c>
      <c r="F964">
        <v>4</v>
      </c>
      <c r="G964">
        <f>IF(ISBLANK(F964),MODE($F$2:$F$2001),F964)</f>
        <v>4</v>
      </c>
      <c r="H964">
        <v>579.70000000000005</v>
      </c>
      <c r="I964">
        <f>IF(ISBLANK(H964),AVERAGE($H$2:$H$2001),H964)</f>
        <v>579.70000000000005</v>
      </c>
      <c r="J964">
        <v>0.18</v>
      </c>
      <c r="K964">
        <f>IF(ISBLANK(J964),MODE($J$2:$J$2001),J964)</f>
        <v>0.18</v>
      </c>
      <c r="L964" t="s">
        <v>1826</v>
      </c>
      <c r="M964">
        <v>1901.4159999999999</v>
      </c>
      <c r="N964">
        <f t="shared" si="15"/>
        <v>1901.4160000000004</v>
      </c>
      <c r="O964" t="str">
        <f>_xlfn.XLOOKUP(Sales_fact[[#This Row],[Customer_ID]],'Customer_Dim'!A:A,'Customer_Dim'!K:K,"Not Found")</f>
        <v>Platinum</v>
      </c>
      <c r="P964">
        <f>_xlfn.XLOOKUP(Sales_fact[[#This Row],[Customer_ID]],'Customer_Dim'!A:A, 'Customer_Dim'!E:E, "Not Found")</f>
        <v>62</v>
      </c>
      <c r="Q964" t="str">
        <f>VLOOKUP(Sales_fact[[#This Row],[Customer_ID]], 'Customer_Dim'!A:F, 6, FALSE)</f>
        <v>Female</v>
      </c>
      <c r="R964" s="13" t="str">
        <f>_xlfn.XLOOKUP(Sales_fact[[#This Row],[Product_ID]],Product_Dim!A:A,Product_Dim!C:C,"OTHERS")</f>
        <v>Beauty</v>
      </c>
    </row>
    <row r="965" spans="1:18" x14ac:dyDescent="0.3">
      <c r="A965" t="s">
        <v>2789</v>
      </c>
      <c r="B965" s="2">
        <v>45710</v>
      </c>
      <c r="C965" t="s">
        <v>490</v>
      </c>
      <c r="D965" t="s">
        <v>1634</v>
      </c>
      <c r="E965" t="str">
        <f ca="1">TRIM(Sales_fact[[#This Row],[Store_ID]])</f>
        <v>STORE6</v>
      </c>
      <c r="F965">
        <v>1</v>
      </c>
      <c r="G965">
        <f>IF(ISBLANK(F965),MODE($F$2:$F$2001),F965)</f>
        <v>1</v>
      </c>
      <c r="H965">
        <v>824.32</v>
      </c>
      <c r="I965">
        <f>IF(ISBLANK(H965),AVERAGE($H$2:$H$2001),H965)</f>
        <v>824.32</v>
      </c>
      <c r="J965">
        <v>0.18</v>
      </c>
      <c r="K965">
        <f>IF(ISBLANK(J965),MODE($J$2:$J$2001),J965)</f>
        <v>0.18</v>
      </c>
      <c r="L965" t="s">
        <v>1824</v>
      </c>
      <c r="M965">
        <v>675.94240000000013</v>
      </c>
      <c r="N965">
        <f t="shared" si="15"/>
        <v>675.94240000000013</v>
      </c>
      <c r="O965" t="str">
        <f>_xlfn.XLOOKUP(Sales_fact[[#This Row],[Customer_ID]],'Customer_Dim'!A:A,'Customer_Dim'!K:K,"Not Found")</f>
        <v>Platinum</v>
      </c>
      <c r="P965">
        <f>_xlfn.XLOOKUP(Sales_fact[[#This Row],[Customer_ID]],'Customer_Dim'!A:A, 'Customer_Dim'!E:E, "Not Found")</f>
        <v>46</v>
      </c>
      <c r="Q965" t="str">
        <f>VLOOKUP(Sales_fact[[#This Row],[Customer_ID]], 'Customer_Dim'!A:F, 6, FALSE)</f>
        <v>Male</v>
      </c>
      <c r="R965" s="13" t="str">
        <f>_xlfn.XLOOKUP(Sales_fact[[#This Row],[Product_ID]],Product_Dim!A:A,Product_Dim!C:C,"OTHERS")</f>
        <v>Electronics</v>
      </c>
    </row>
    <row r="966" spans="1:18" x14ac:dyDescent="0.3">
      <c r="A966" t="s">
        <v>2790</v>
      </c>
      <c r="B966" s="2">
        <v>45682</v>
      </c>
      <c r="C966" t="s">
        <v>384</v>
      </c>
      <c r="D966" t="s">
        <v>1640</v>
      </c>
      <c r="E966" t="str">
        <f ca="1">TRIM(Sales_fact[[#This Row],[Store_ID]])</f>
        <v>STORE15</v>
      </c>
      <c r="F966">
        <v>4</v>
      </c>
      <c r="G966">
        <f>IF(ISBLANK(F966),MODE($F$2:$F$2001),F966)</f>
        <v>4</v>
      </c>
      <c r="H966">
        <v>614.99</v>
      </c>
      <c r="I966">
        <f>IF(ISBLANK(H966),AVERAGE($H$2:$H$2001),H966)</f>
        <v>614.99</v>
      </c>
      <c r="J966">
        <v>0.16</v>
      </c>
      <c r="K966">
        <f>IF(ISBLANK(J966),MODE($J$2:$J$2001),J966)</f>
        <v>0.16</v>
      </c>
      <c r="L966" t="s">
        <v>1826</v>
      </c>
      <c r="M966">
        <v>2066.3663999999999</v>
      </c>
      <c r="N966">
        <f t="shared" si="15"/>
        <v>2066.3663999999999</v>
      </c>
      <c r="O966" t="str">
        <f>_xlfn.XLOOKUP(Sales_fact[[#This Row],[Customer_ID]],'Customer_Dim'!A:A,'Customer_Dim'!K:K,"Not Found")</f>
        <v>Silver</v>
      </c>
      <c r="P966">
        <f>_xlfn.XLOOKUP(Sales_fact[[#This Row],[Customer_ID]],'Customer_Dim'!A:A, 'Customer_Dim'!E:E, "Not Found")</f>
        <v>27</v>
      </c>
      <c r="Q966" t="str">
        <f>VLOOKUP(Sales_fact[[#This Row],[Customer_ID]], 'Customer_Dim'!A:F, 6, FALSE)</f>
        <v>Male</v>
      </c>
      <c r="R966" s="13" t="str">
        <f>_xlfn.XLOOKUP(Sales_fact[[#This Row],[Product_ID]],Product_Dim!A:A,Product_Dim!C:C,"OTHERS")</f>
        <v>Clothing</v>
      </c>
    </row>
    <row r="967" spans="1:18" x14ac:dyDescent="0.3">
      <c r="A967" t="s">
        <v>2791</v>
      </c>
      <c r="B967" s="2">
        <v>45730</v>
      </c>
      <c r="C967" t="s">
        <v>441</v>
      </c>
      <c r="D967" t="s">
        <v>1672</v>
      </c>
      <c r="E967" t="str">
        <f ca="1">TRIM(Sales_fact[[#This Row],[Store_ID]])</f>
        <v>STORE0</v>
      </c>
      <c r="F967">
        <v>4</v>
      </c>
      <c r="G967">
        <f>IF(ISBLANK(F967),MODE($F$2:$F$2001),F967)</f>
        <v>4</v>
      </c>
      <c r="H967">
        <v>189.21</v>
      </c>
      <c r="I967">
        <f>IF(ISBLANK(H967),AVERAGE($H$2:$H$2001),H967)</f>
        <v>189.21</v>
      </c>
      <c r="J967">
        <v>0.06</v>
      </c>
      <c r="K967">
        <f>IF(ISBLANK(J967),MODE($J$2:$J$2001),J967)</f>
        <v>0.06</v>
      </c>
      <c r="L967" t="s">
        <v>1829</v>
      </c>
      <c r="M967">
        <v>711.42959999999994</v>
      </c>
      <c r="N967">
        <f t="shared" si="15"/>
        <v>711.42959999999994</v>
      </c>
      <c r="O967" t="str">
        <f>_xlfn.XLOOKUP(Sales_fact[[#This Row],[Customer_ID]],'Customer_Dim'!A:A,'Customer_Dim'!K:K,"Not Found")</f>
        <v>Silver</v>
      </c>
      <c r="P967">
        <f>_xlfn.XLOOKUP(Sales_fact[[#This Row],[Customer_ID]],'Customer_Dim'!A:A, 'Customer_Dim'!E:E, "Not Found")</f>
        <v>45</v>
      </c>
      <c r="Q967" t="str">
        <f>VLOOKUP(Sales_fact[[#This Row],[Customer_ID]], 'Customer_Dim'!A:F, 6, FALSE)</f>
        <v>Male</v>
      </c>
      <c r="R967" s="13" t="str">
        <f>_xlfn.XLOOKUP(Sales_fact[[#This Row],[Product_ID]],Product_Dim!A:A,Product_Dim!C:C,"OTHERS")</f>
        <v>Electronics</v>
      </c>
    </row>
    <row r="968" spans="1:18" x14ac:dyDescent="0.3">
      <c r="A968" t="s">
        <v>2792</v>
      </c>
      <c r="B968" s="2">
        <v>45629</v>
      </c>
      <c r="C968" t="s">
        <v>517</v>
      </c>
      <c r="D968" t="s">
        <v>1672</v>
      </c>
      <c r="E968" t="str">
        <f ca="1">TRIM(Sales_fact[[#This Row],[Store_ID]])</f>
        <v>STORE14</v>
      </c>
      <c r="F968">
        <v>2</v>
      </c>
      <c r="G968">
        <f>IF(ISBLANK(F968),MODE($F$2:$F$2001),F968)</f>
        <v>2</v>
      </c>
      <c r="H968">
        <v>233.33</v>
      </c>
      <c r="I968">
        <f>IF(ISBLANK(H968),AVERAGE($H$2:$H$2001),H968)</f>
        <v>233.33</v>
      </c>
      <c r="J968">
        <v>0.05</v>
      </c>
      <c r="K968">
        <f>IF(ISBLANK(J968),MODE($J$2:$J$2001),J968)</f>
        <v>0.05</v>
      </c>
      <c r="L968" t="s">
        <v>1824</v>
      </c>
      <c r="M968">
        <v>443.327</v>
      </c>
      <c r="N968">
        <f t="shared" si="15"/>
        <v>443.327</v>
      </c>
      <c r="O968" t="str">
        <f>_xlfn.XLOOKUP(Sales_fact[[#This Row],[Customer_ID]],'Customer_Dim'!A:A,'Customer_Dim'!K:K,"Not Found")</f>
        <v>Gold</v>
      </c>
      <c r="P968">
        <f>_xlfn.XLOOKUP(Sales_fact[[#This Row],[Customer_ID]],'Customer_Dim'!A:A, 'Customer_Dim'!E:E, "Not Found")</f>
        <v>35</v>
      </c>
      <c r="Q968" t="str">
        <f>VLOOKUP(Sales_fact[[#This Row],[Customer_ID]], 'Customer_Dim'!A:F, 6, FALSE)</f>
        <v>Female</v>
      </c>
      <c r="R968" s="13" t="str">
        <f>_xlfn.XLOOKUP(Sales_fact[[#This Row],[Product_ID]],Product_Dim!A:A,Product_Dim!C:C,"OTHERS")</f>
        <v>Electronics</v>
      </c>
    </row>
    <row r="969" spans="1:18" x14ac:dyDescent="0.3">
      <c r="A969" t="s">
        <v>2793</v>
      </c>
      <c r="B969" s="2">
        <v>45783</v>
      </c>
      <c r="C969" t="s">
        <v>794</v>
      </c>
      <c r="D969" t="s">
        <v>1626</v>
      </c>
      <c r="E969" t="str">
        <f ca="1">TRIM(Sales_fact[[#This Row],[Store_ID]])</f>
        <v>STORE18</v>
      </c>
      <c r="F969">
        <v>3</v>
      </c>
      <c r="G969">
        <f>IF(ISBLANK(F969),MODE($F$2:$F$2001),F969)</f>
        <v>3</v>
      </c>
      <c r="H969">
        <v>529.89</v>
      </c>
      <c r="I969">
        <f>IF(ISBLANK(H969),AVERAGE($H$2:$H$2001),H969)</f>
        <v>529.89</v>
      </c>
      <c r="J969">
        <v>0.21</v>
      </c>
      <c r="K969">
        <f>IF(ISBLANK(J969),MODE($J$2:$J$2001),J969)</f>
        <v>0.21</v>
      </c>
      <c r="L969" t="s">
        <v>1824</v>
      </c>
      <c r="M969">
        <v>1255.8393000000001</v>
      </c>
      <c r="N969">
        <f t="shared" si="15"/>
        <v>1255.8393000000001</v>
      </c>
      <c r="O969" t="str">
        <f>_xlfn.XLOOKUP(Sales_fact[[#This Row],[Customer_ID]],'Customer_Dim'!A:A,'Customer_Dim'!K:K,"Not Found")</f>
        <v>Gold</v>
      </c>
      <c r="P969">
        <f>_xlfn.XLOOKUP(Sales_fact[[#This Row],[Customer_ID]],'Customer_Dim'!A:A, 'Customer_Dim'!E:E, "Not Found")</f>
        <v>19</v>
      </c>
      <c r="Q969" t="str">
        <f>VLOOKUP(Sales_fact[[#This Row],[Customer_ID]], 'Customer_Dim'!A:F, 6, FALSE)</f>
        <v>Male</v>
      </c>
      <c r="R969" s="13" t="str">
        <f>_xlfn.XLOOKUP(Sales_fact[[#This Row],[Product_ID]],Product_Dim!A:A,Product_Dim!C:C,"OTHERS")</f>
        <v>Electronics</v>
      </c>
    </row>
    <row r="970" spans="1:18" x14ac:dyDescent="0.3">
      <c r="A970" t="s">
        <v>2794</v>
      </c>
      <c r="B970" s="2">
        <v>45518</v>
      </c>
      <c r="C970" t="s">
        <v>1504</v>
      </c>
      <c r="D970" t="s">
        <v>1732</v>
      </c>
      <c r="E970" t="str">
        <f ca="1">TRIM(Sales_fact[[#This Row],[Store_ID]])</f>
        <v>STORE1</v>
      </c>
      <c r="F970">
        <v>2</v>
      </c>
      <c r="G970">
        <f>IF(ISBLANK(F970),MODE($F$2:$F$2001),F970)</f>
        <v>2</v>
      </c>
      <c r="H970">
        <v>954.1</v>
      </c>
      <c r="I970">
        <f>IF(ISBLANK(H970),AVERAGE($H$2:$H$2001),H970)</f>
        <v>954.1</v>
      </c>
      <c r="J970">
        <v>0.17</v>
      </c>
      <c r="K970">
        <f>IF(ISBLANK(J970),MODE($J$2:$J$2001),J970)</f>
        <v>0.17</v>
      </c>
      <c r="L970" t="s">
        <v>1826</v>
      </c>
      <c r="M970">
        <v>1583.806</v>
      </c>
      <c r="N970">
        <f t="shared" si="15"/>
        <v>1583.806</v>
      </c>
      <c r="O970" t="str">
        <f>_xlfn.XLOOKUP(Sales_fact[[#This Row],[Customer_ID]],'Customer_Dim'!A:A,'Customer_Dim'!K:K,"Not Found")</f>
        <v>Silver</v>
      </c>
      <c r="P970">
        <f>_xlfn.XLOOKUP(Sales_fact[[#This Row],[Customer_ID]],'Customer_Dim'!A:A, 'Customer_Dim'!E:E, "Not Found")</f>
        <v>42</v>
      </c>
      <c r="Q970" t="str">
        <f>VLOOKUP(Sales_fact[[#This Row],[Customer_ID]], 'Customer_Dim'!A:F, 6, FALSE)</f>
        <v>Female</v>
      </c>
      <c r="R970" s="13" t="str">
        <f>_xlfn.XLOOKUP(Sales_fact[[#This Row],[Product_ID]],Product_Dim!A:A,Product_Dim!C:C,"OTHERS")</f>
        <v>Home</v>
      </c>
    </row>
    <row r="971" spans="1:18" x14ac:dyDescent="0.3">
      <c r="A971" t="s">
        <v>2795</v>
      </c>
      <c r="B971" s="2">
        <v>45274</v>
      </c>
      <c r="C971" t="s">
        <v>1017</v>
      </c>
      <c r="D971" t="s">
        <v>1678</v>
      </c>
      <c r="E971" t="str">
        <f ca="1">TRIM(Sales_fact[[#This Row],[Store_ID]])</f>
        <v>STORE7</v>
      </c>
      <c r="F971">
        <v>1</v>
      </c>
      <c r="G971">
        <f>IF(ISBLANK(F971),MODE($F$2:$F$2001),F971)</f>
        <v>1</v>
      </c>
      <c r="H971">
        <v>370.04</v>
      </c>
      <c r="I971">
        <f>IF(ISBLANK(H971),AVERAGE($H$2:$H$2001),H971)</f>
        <v>370.04</v>
      </c>
      <c r="J971">
        <v>0.04</v>
      </c>
      <c r="K971">
        <f>IF(ISBLANK(J971),MODE($J$2:$J$2001),J971)</f>
        <v>0.04</v>
      </c>
      <c r="L971" t="s">
        <v>1829</v>
      </c>
      <c r="M971">
        <v>355.23840000000001</v>
      </c>
      <c r="N971">
        <f t="shared" si="15"/>
        <v>355.23840000000001</v>
      </c>
      <c r="O971" t="str">
        <f>_xlfn.XLOOKUP(Sales_fact[[#This Row],[Customer_ID]],'Customer_Dim'!A:A,'Customer_Dim'!K:K,"Not Found")</f>
        <v>Platinum</v>
      </c>
      <c r="P971">
        <f>_xlfn.XLOOKUP(Sales_fact[[#This Row],[Customer_ID]],'Customer_Dim'!A:A, 'Customer_Dim'!E:E, "Not Found")</f>
        <v>64</v>
      </c>
      <c r="Q971" t="str">
        <f>VLOOKUP(Sales_fact[[#This Row],[Customer_ID]], 'Customer_Dim'!A:F, 6, FALSE)</f>
        <v>Female</v>
      </c>
      <c r="R971" s="13" t="str">
        <f>_xlfn.XLOOKUP(Sales_fact[[#This Row],[Product_ID]],Product_Dim!A:A,Product_Dim!C:C,"OTHERS")</f>
        <v>Sports</v>
      </c>
    </row>
    <row r="972" spans="1:18" x14ac:dyDescent="0.3">
      <c r="A972" t="s">
        <v>2796</v>
      </c>
      <c r="B972" s="2">
        <v>45297</v>
      </c>
      <c r="C972" t="s">
        <v>227</v>
      </c>
      <c r="D972" t="s">
        <v>1740</v>
      </c>
      <c r="E972" t="str">
        <f ca="1">TRIM(Sales_fact[[#This Row],[Store_ID]])</f>
        <v>STORE19</v>
      </c>
      <c r="F972">
        <v>4</v>
      </c>
      <c r="G972">
        <f>IF(ISBLANK(F972),MODE($F$2:$F$2001),F972)</f>
        <v>4</v>
      </c>
      <c r="H972">
        <v>492.71</v>
      </c>
      <c r="I972">
        <f>IF(ISBLANK(H972),AVERAGE($H$2:$H$2001),H972)</f>
        <v>492.71</v>
      </c>
      <c r="J972">
        <v>0.08</v>
      </c>
      <c r="K972">
        <f>IF(ISBLANK(J972),MODE($J$2:$J$2001),J972)</f>
        <v>0.08</v>
      </c>
      <c r="L972" t="s">
        <v>1824</v>
      </c>
      <c r="M972">
        <v>1813.1728000000001</v>
      </c>
      <c r="N972">
        <f t="shared" si="15"/>
        <v>1813.1728000000001</v>
      </c>
      <c r="O972" t="str">
        <f>_xlfn.XLOOKUP(Sales_fact[[#This Row],[Customer_ID]],'Customer_Dim'!A:A,'Customer_Dim'!K:K,"Not Found")</f>
        <v>Silver</v>
      </c>
      <c r="P972">
        <f>_xlfn.XLOOKUP(Sales_fact[[#This Row],[Customer_ID]],'Customer_Dim'!A:A, 'Customer_Dim'!E:E, "Not Found")</f>
        <v>23</v>
      </c>
      <c r="Q972" t="str">
        <f>VLOOKUP(Sales_fact[[#This Row],[Customer_ID]], 'Customer_Dim'!A:F, 6, FALSE)</f>
        <v>Male</v>
      </c>
      <c r="R972" s="13" t="str">
        <f>_xlfn.XLOOKUP(Sales_fact[[#This Row],[Product_ID]],Product_Dim!A:A,Product_Dim!C:C,"OTHERS")</f>
        <v>Clothing</v>
      </c>
    </row>
    <row r="973" spans="1:18" x14ac:dyDescent="0.3">
      <c r="A973" t="s">
        <v>2797</v>
      </c>
      <c r="B973" s="2">
        <v>45530</v>
      </c>
      <c r="C973" t="s">
        <v>890</v>
      </c>
      <c r="D973" t="s">
        <v>1730</v>
      </c>
      <c r="E973" t="str">
        <f ca="1">TRIM(Sales_fact[[#This Row],[Store_ID]])</f>
        <v>STORE13</v>
      </c>
      <c r="F973">
        <v>4</v>
      </c>
      <c r="G973">
        <f>IF(ISBLANK(F973),MODE($F$2:$F$2001),F973)</f>
        <v>4</v>
      </c>
      <c r="H973">
        <v>853.26</v>
      </c>
      <c r="I973">
        <f>IF(ISBLANK(H973),AVERAGE($H$2:$H$2001),H973)</f>
        <v>853.26</v>
      </c>
      <c r="J973">
        <v>0.24</v>
      </c>
      <c r="K973">
        <f>IF(ISBLANK(J973),MODE($J$2:$J$2001),J973)</f>
        <v>0.24</v>
      </c>
      <c r="L973" t="s">
        <v>1829</v>
      </c>
      <c r="M973">
        <v>2593.9104000000002</v>
      </c>
      <c r="N973">
        <f t="shared" si="15"/>
        <v>2593.9104000000002</v>
      </c>
      <c r="O973" t="str">
        <f>_xlfn.XLOOKUP(Sales_fact[[#This Row],[Customer_ID]],'Customer_Dim'!A:A,'Customer_Dim'!K:K,"Not Found")</f>
        <v>Bronze</v>
      </c>
      <c r="P973">
        <f>_xlfn.XLOOKUP(Sales_fact[[#This Row],[Customer_ID]],'Customer_Dim'!A:A, 'Customer_Dim'!E:E, "Not Found")</f>
        <v>48</v>
      </c>
      <c r="Q973" t="str">
        <f>VLOOKUP(Sales_fact[[#This Row],[Customer_ID]], 'Customer_Dim'!A:F, 6, FALSE)</f>
        <v>Male</v>
      </c>
      <c r="R973" s="13" t="str">
        <f>_xlfn.XLOOKUP(Sales_fact[[#This Row],[Product_ID]],Product_Dim!A:A,Product_Dim!C:C,"OTHERS")</f>
        <v>Clothing</v>
      </c>
    </row>
    <row r="974" spans="1:18" x14ac:dyDescent="0.3">
      <c r="A974" t="s">
        <v>2798</v>
      </c>
      <c r="B974" s="2">
        <v>45740</v>
      </c>
      <c r="C974" t="s">
        <v>1263</v>
      </c>
      <c r="D974" t="s">
        <v>1551</v>
      </c>
      <c r="E974" t="str">
        <f ca="1">TRIM(Sales_fact[[#This Row],[Store_ID]])</f>
        <v>STORE16</v>
      </c>
      <c r="F974">
        <v>1</v>
      </c>
      <c r="G974">
        <f>IF(ISBLANK(F974),MODE($F$2:$F$2001),F974)</f>
        <v>1</v>
      </c>
      <c r="H974">
        <v>402.47</v>
      </c>
      <c r="I974">
        <f>IF(ISBLANK(H974),AVERAGE($H$2:$H$2001),H974)</f>
        <v>402.47</v>
      </c>
      <c r="J974">
        <v>0.19</v>
      </c>
      <c r="K974">
        <f>IF(ISBLANK(J974),MODE($J$2:$J$2001),J974)</f>
        <v>0.19</v>
      </c>
      <c r="L974" t="s">
        <v>1826</v>
      </c>
      <c r="M974">
        <v>326.00070000000011</v>
      </c>
      <c r="N974">
        <f t="shared" si="15"/>
        <v>326.00070000000005</v>
      </c>
      <c r="O974" t="str">
        <f>_xlfn.XLOOKUP(Sales_fact[[#This Row],[Customer_ID]],'Customer_Dim'!A:A,'Customer_Dim'!K:K,"Not Found")</f>
        <v>Gold</v>
      </c>
      <c r="P974">
        <f>_xlfn.XLOOKUP(Sales_fact[[#This Row],[Customer_ID]],'Customer_Dim'!A:A, 'Customer_Dim'!E:E, "Not Found")</f>
        <v>23</v>
      </c>
      <c r="Q974" t="str">
        <f>VLOOKUP(Sales_fact[[#This Row],[Customer_ID]], 'Customer_Dim'!A:F, 6, FALSE)</f>
        <v>Female</v>
      </c>
      <c r="R974" s="13" t="str">
        <f>_xlfn.XLOOKUP(Sales_fact[[#This Row],[Product_ID]],Product_Dim!A:A,Product_Dim!C:C,"OTHERS")</f>
        <v>OTHERS</v>
      </c>
    </row>
    <row r="975" spans="1:18" x14ac:dyDescent="0.3">
      <c r="A975" t="s">
        <v>2799</v>
      </c>
      <c r="B975" s="2">
        <v>45311</v>
      </c>
      <c r="C975" t="s">
        <v>1252</v>
      </c>
      <c r="D975" t="s">
        <v>1656</v>
      </c>
      <c r="E975" t="str">
        <f ca="1">TRIM(Sales_fact[[#This Row],[Store_ID]])</f>
        <v>STORE18</v>
      </c>
      <c r="F975">
        <v>2</v>
      </c>
      <c r="G975">
        <f>IF(ISBLANK(F975),MODE($F$2:$F$2001),F975)</f>
        <v>2</v>
      </c>
      <c r="H975">
        <v>528.29999999999995</v>
      </c>
      <c r="I975">
        <f>IF(ISBLANK(H975),AVERAGE($H$2:$H$2001),H975)</f>
        <v>528.29999999999995</v>
      </c>
      <c r="J975">
        <v>0.24</v>
      </c>
      <c r="K975">
        <f>IF(ISBLANK(J975),MODE($J$2:$J$2001),J975)</f>
        <v>0.24</v>
      </c>
      <c r="L975" t="s">
        <v>1824</v>
      </c>
      <c r="M975">
        <v>803.01599999999996</v>
      </c>
      <c r="N975">
        <f t="shared" si="15"/>
        <v>803.01599999999996</v>
      </c>
      <c r="O975" t="str">
        <f>_xlfn.XLOOKUP(Sales_fact[[#This Row],[Customer_ID]],'Customer_Dim'!A:A,'Customer_Dim'!K:K,"Not Found")</f>
        <v>Bronze</v>
      </c>
      <c r="P975">
        <f>_xlfn.XLOOKUP(Sales_fact[[#This Row],[Customer_ID]],'Customer_Dim'!A:A, 'Customer_Dim'!E:E, "Not Found")</f>
        <v>31</v>
      </c>
      <c r="Q975" t="str">
        <f>VLOOKUP(Sales_fact[[#This Row],[Customer_ID]], 'Customer_Dim'!A:F, 6, FALSE)</f>
        <v>Male</v>
      </c>
      <c r="R975" s="13" t="str">
        <f>_xlfn.XLOOKUP(Sales_fact[[#This Row],[Product_ID]],Product_Dim!A:A,Product_Dim!C:C,"OTHERS")</f>
        <v>Sports</v>
      </c>
    </row>
    <row r="976" spans="1:18" x14ac:dyDescent="0.3">
      <c r="A976" t="s">
        <v>2800</v>
      </c>
      <c r="B976" s="2">
        <v>45667</v>
      </c>
      <c r="C976" t="s">
        <v>1374</v>
      </c>
      <c r="D976" t="s">
        <v>1568</v>
      </c>
      <c r="E976" t="str">
        <f ca="1">TRIM(Sales_fact[[#This Row],[Store_ID]])</f>
        <v>STORE6</v>
      </c>
      <c r="F976">
        <v>4</v>
      </c>
      <c r="G976">
        <f>IF(ISBLANK(F976),MODE($F$2:$F$2001),F976)</f>
        <v>4</v>
      </c>
      <c r="H976">
        <v>599.85</v>
      </c>
      <c r="I976">
        <f>IF(ISBLANK(H976),AVERAGE($H$2:$H$2001),H976)</f>
        <v>599.85</v>
      </c>
      <c r="J976">
        <v>0.25</v>
      </c>
      <c r="K976">
        <f>IF(ISBLANK(J976),MODE($J$2:$J$2001),J976)</f>
        <v>0.25</v>
      </c>
      <c r="L976" t="s">
        <v>1824</v>
      </c>
      <c r="M976">
        <v>1799.55</v>
      </c>
      <c r="N976">
        <f t="shared" si="15"/>
        <v>1799.5500000000002</v>
      </c>
      <c r="O976" t="str">
        <f>_xlfn.XLOOKUP(Sales_fact[[#This Row],[Customer_ID]],'Customer_Dim'!A:A,'Customer_Dim'!K:K,"Not Found")</f>
        <v>Gold</v>
      </c>
      <c r="P976">
        <f>_xlfn.XLOOKUP(Sales_fact[[#This Row],[Customer_ID]],'Customer_Dim'!A:A, 'Customer_Dim'!E:E, "Not Found")</f>
        <v>19</v>
      </c>
      <c r="Q976" t="str">
        <f>VLOOKUP(Sales_fact[[#This Row],[Customer_ID]], 'Customer_Dim'!A:F, 6, FALSE)</f>
        <v>Male</v>
      </c>
      <c r="R976" s="13" t="str">
        <f>_xlfn.XLOOKUP(Sales_fact[[#This Row],[Product_ID]],Product_Dim!A:A,Product_Dim!C:C,"OTHERS")</f>
        <v>Home</v>
      </c>
    </row>
    <row r="977" spans="1:18" x14ac:dyDescent="0.3">
      <c r="A977" t="s">
        <v>2801</v>
      </c>
      <c r="B977" s="2">
        <v>45281</v>
      </c>
      <c r="C977" t="s">
        <v>957</v>
      </c>
      <c r="D977" t="s">
        <v>1580</v>
      </c>
      <c r="E977" t="str">
        <f ca="1">TRIM(Sales_fact[[#This Row],[Store_ID]])</f>
        <v>STORE9</v>
      </c>
      <c r="F977">
        <v>2</v>
      </c>
      <c r="G977">
        <f>IF(ISBLANK(F977),MODE($F$2:$F$2001),F977)</f>
        <v>2</v>
      </c>
      <c r="H977">
        <v>61.42</v>
      </c>
      <c r="I977">
        <f>IF(ISBLANK(H977),AVERAGE($H$2:$H$2001),H977)</f>
        <v>61.42</v>
      </c>
      <c r="J977">
        <v>0.08</v>
      </c>
      <c r="K977">
        <f>IF(ISBLANK(J977),MODE($J$2:$J$2001),J977)</f>
        <v>0.08</v>
      </c>
      <c r="L977" t="s">
        <v>1826</v>
      </c>
      <c r="M977">
        <v>113.0128</v>
      </c>
      <c r="N977">
        <f t="shared" si="15"/>
        <v>113.01280000000001</v>
      </c>
      <c r="O977" t="str">
        <f>_xlfn.XLOOKUP(Sales_fact[[#This Row],[Customer_ID]],'Customer_Dim'!A:A,'Customer_Dim'!K:K,"Not Found")</f>
        <v>Platinum</v>
      </c>
      <c r="P977">
        <f>_xlfn.XLOOKUP(Sales_fact[[#This Row],[Customer_ID]],'Customer_Dim'!A:A, 'Customer_Dim'!E:E, "Not Found")</f>
        <v>23</v>
      </c>
      <c r="Q977" t="str">
        <f>VLOOKUP(Sales_fact[[#This Row],[Customer_ID]], 'Customer_Dim'!A:F, 6, FALSE)</f>
        <v>Female</v>
      </c>
      <c r="R977" s="13" t="str">
        <f>_xlfn.XLOOKUP(Sales_fact[[#This Row],[Product_ID]],Product_Dim!A:A,Product_Dim!C:C,"OTHERS")</f>
        <v>OTHERS</v>
      </c>
    </row>
    <row r="978" spans="1:18" x14ac:dyDescent="0.3">
      <c r="A978" t="s">
        <v>2802</v>
      </c>
      <c r="B978" s="2">
        <v>45693</v>
      </c>
      <c r="C978" t="s">
        <v>797</v>
      </c>
      <c r="D978" t="s">
        <v>1586</v>
      </c>
      <c r="E978" t="str">
        <f ca="1">TRIM(Sales_fact[[#This Row],[Store_ID]])</f>
        <v>STORE10</v>
      </c>
      <c r="F978">
        <v>2</v>
      </c>
      <c r="G978">
        <f>IF(ISBLANK(F978),MODE($F$2:$F$2001),F978)</f>
        <v>2</v>
      </c>
      <c r="H978">
        <v>466.42</v>
      </c>
      <c r="I978">
        <f>IF(ISBLANK(H978),AVERAGE($H$2:$H$2001),H978)</f>
        <v>466.42</v>
      </c>
      <c r="J978">
        <v>0.12</v>
      </c>
      <c r="K978">
        <f>IF(ISBLANK(J978),MODE($J$2:$J$2001),J978)</f>
        <v>0.12</v>
      </c>
      <c r="L978" t="s">
        <v>1826</v>
      </c>
      <c r="M978">
        <v>820.89920000000006</v>
      </c>
      <c r="N978">
        <f t="shared" si="15"/>
        <v>820.89920000000006</v>
      </c>
      <c r="O978" t="str">
        <f>_xlfn.XLOOKUP(Sales_fact[[#This Row],[Customer_ID]],'Customer_Dim'!A:A,'Customer_Dim'!K:K,"Not Found")</f>
        <v>Gold</v>
      </c>
      <c r="P978">
        <f>_xlfn.XLOOKUP(Sales_fact[[#This Row],[Customer_ID]],'Customer_Dim'!A:A, 'Customer_Dim'!E:E, "Not Found")</f>
        <v>41</v>
      </c>
      <c r="Q978" t="str">
        <f>VLOOKUP(Sales_fact[[#This Row],[Customer_ID]], 'Customer_Dim'!A:F, 6, FALSE)</f>
        <v>Female</v>
      </c>
      <c r="R978" s="13" t="str">
        <f>_xlfn.XLOOKUP(Sales_fact[[#This Row],[Product_ID]],Product_Dim!A:A,Product_Dim!C:C,"OTHERS")</f>
        <v>Sports</v>
      </c>
    </row>
    <row r="979" spans="1:18" x14ac:dyDescent="0.3">
      <c r="A979" t="s">
        <v>2803</v>
      </c>
      <c r="B979" s="2">
        <v>45857</v>
      </c>
      <c r="C979" t="s">
        <v>353</v>
      </c>
      <c r="D979" t="s">
        <v>1610</v>
      </c>
      <c r="E979" t="str">
        <f ca="1">TRIM(Sales_fact[[#This Row],[Store_ID]])</f>
        <v>STORE5</v>
      </c>
      <c r="F979">
        <v>4</v>
      </c>
      <c r="G979">
        <f>IF(ISBLANK(F979),MODE($F$2:$F$2001),F979)</f>
        <v>4</v>
      </c>
      <c r="H979">
        <v>540.69000000000005</v>
      </c>
      <c r="I979">
        <f>IF(ISBLANK(H979),AVERAGE($H$2:$H$2001),H979)</f>
        <v>540.69000000000005</v>
      </c>
      <c r="J979">
        <v>0.09</v>
      </c>
      <c r="K979">
        <f>IF(ISBLANK(J979),MODE($J$2:$J$2001),J979)</f>
        <v>0.09</v>
      </c>
      <c r="L979" t="s">
        <v>1829</v>
      </c>
      <c r="M979">
        <v>1968.1116</v>
      </c>
      <c r="N979">
        <f t="shared" si="15"/>
        <v>1968.1116000000002</v>
      </c>
      <c r="O979" t="str">
        <f>_xlfn.XLOOKUP(Sales_fact[[#This Row],[Customer_ID]],'Customer_Dim'!A:A,'Customer_Dim'!K:K,"Not Found")</f>
        <v>Silver</v>
      </c>
      <c r="P979">
        <f>_xlfn.XLOOKUP(Sales_fact[[#This Row],[Customer_ID]],'Customer_Dim'!A:A, 'Customer_Dim'!E:E, "Not Found")</f>
        <v>35</v>
      </c>
      <c r="Q979" t="str">
        <f>VLOOKUP(Sales_fact[[#This Row],[Customer_ID]], 'Customer_Dim'!A:F, 6, FALSE)</f>
        <v>Male</v>
      </c>
      <c r="R979" s="13" t="str">
        <f>_xlfn.XLOOKUP(Sales_fact[[#This Row],[Product_ID]],Product_Dim!A:A,Product_Dim!C:C,"OTHERS")</f>
        <v>Sports</v>
      </c>
    </row>
    <row r="980" spans="1:18" x14ac:dyDescent="0.3">
      <c r="A980" t="s">
        <v>2804</v>
      </c>
      <c r="B980" s="2">
        <v>45737</v>
      </c>
      <c r="C980" t="s">
        <v>942</v>
      </c>
      <c r="D980" t="s">
        <v>1586</v>
      </c>
      <c r="E980" t="str">
        <f ca="1">TRIM(Sales_fact[[#This Row],[Store_ID]])</f>
        <v>STORE13</v>
      </c>
      <c r="F980">
        <v>3</v>
      </c>
      <c r="G980">
        <f>IF(ISBLANK(F980),MODE($F$2:$F$2001),F980)</f>
        <v>3</v>
      </c>
      <c r="H980">
        <v>677.46</v>
      </c>
      <c r="I980">
        <f>IF(ISBLANK(H980),AVERAGE($H$2:$H$2001),H980)</f>
        <v>677.46</v>
      </c>
      <c r="J980">
        <v>0.05</v>
      </c>
      <c r="K980">
        <f>IF(ISBLANK(J980),MODE($J$2:$J$2001),J980)</f>
        <v>0.05</v>
      </c>
      <c r="L980" t="s">
        <v>1824</v>
      </c>
      <c r="M980">
        <v>1930.761</v>
      </c>
      <c r="N980">
        <f t="shared" si="15"/>
        <v>1930.761</v>
      </c>
      <c r="O980" t="str">
        <f>_xlfn.XLOOKUP(Sales_fact[[#This Row],[Customer_ID]],'Customer_Dim'!A:A,'Customer_Dim'!K:K,"Not Found")</f>
        <v>Platinum</v>
      </c>
      <c r="P980">
        <f>_xlfn.XLOOKUP(Sales_fact[[#This Row],[Customer_ID]],'Customer_Dim'!A:A, 'Customer_Dim'!E:E, "Not Found")</f>
        <v>64</v>
      </c>
      <c r="Q980" t="str">
        <f>VLOOKUP(Sales_fact[[#This Row],[Customer_ID]], 'Customer_Dim'!A:F, 6, FALSE)</f>
        <v>Male</v>
      </c>
      <c r="R980" s="13" t="str">
        <f>_xlfn.XLOOKUP(Sales_fact[[#This Row],[Product_ID]],Product_Dim!A:A,Product_Dim!C:C,"OTHERS")</f>
        <v>Sports</v>
      </c>
    </row>
    <row r="981" spans="1:18" x14ac:dyDescent="0.3">
      <c r="A981" t="s">
        <v>2805</v>
      </c>
      <c r="B981" s="2">
        <v>45771</v>
      </c>
      <c r="C981" t="s">
        <v>1032</v>
      </c>
      <c r="D981" t="s">
        <v>1590</v>
      </c>
      <c r="E981" t="str">
        <f ca="1">TRIM(Sales_fact[[#This Row],[Store_ID]])</f>
        <v>STORE1</v>
      </c>
      <c r="F981">
        <v>3</v>
      </c>
      <c r="G981">
        <f>IF(ISBLANK(F981),MODE($F$2:$F$2001),F981)</f>
        <v>3</v>
      </c>
      <c r="H981">
        <v>614.63</v>
      </c>
      <c r="I981">
        <f>IF(ISBLANK(H981),AVERAGE($H$2:$H$2001),H981)</f>
        <v>614.63</v>
      </c>
      <c r="J981">
        <v>0.06</v>
      </c>
      <c r="K981">
        <f>IF(ISBLANK(J981),MODE($J$2:$J$2001),J981)</f>
        <v>0.06</v>
      </c>
      <c r="L981" t="s">
        <v>1826</v>
      </c>
      <c r="M981">
        <v>1733.2565999999999</v>
      </c>
      <c r="N981">
        <f t="shared" si="15"/>
        <v>1733.2565999999997</v>
      </c>
      <c r="O981" t="str">
        <f>_xlfn.XLOOKUP(Sales_fact[[#This Row],[Customer_ID]],'Customer_Dim'!A:A,'Customer_Dim'!K:K,"Not Found")</f>
        <v>Platinum</v>
      </c>
      <c r="P981">
        <f>_xlfn.XLOOKUP(Sales_fact[[#This Row],[Customer_ID]],'Customer_Dim'!A:A, 'Customer_Dim'!E:E, "Not Found")</f>
        <v>46</v>
      </c>
      <c r="Q981" t="str">
        <f>VLOOKUP(Sales_fact[[#This Row],[Customer_ID]], 'Customer_Dim'!A:F, 6, FALSE)</f>
        <v>Male</v>
      </c>
      <c r="R981" s="13" t="str">
        <f>_xlfn.XLOOKUP(Sales_fact[[#This Row],[Product_ID]],Product_Dim!A:A,Product_Dim!C:C,"OTHERS")</f>
        <v>Home</v>
      </c>
    </row>
    <row r="982" spans="1:18" x14ac:dyDescent="0.3">
      <c r="A982" t="s">
        <v>2806</v>
      </c>
      <c r="B982" s="2">
        <v>45272</v>
      </c>
      <c r="C982" t="s">
        <v>746</v>
      </c>
      <c r="D982" t="s">
        <v>1680</v>
      </c>
      <c r="E982" t="str">
        <f ca="1">TRIM(Sales_fact[[#This Row],[Store_ID]])</f>
        <v>STORE8</v>
      </c>
      <c r="F982">
        <v>4</v>
      </c>
      <c r="G982">
        <f>IF(ISBLANK(F982),MODE($F$2:$F$2001),F982)</f>
        <v>4</v>
      </c>
      <c r="H982">
        <v>649.52</v>
      </c>
      <c r="I982">
        <f>IF(ISBLANK(H982),AVERAGE($H$2:$H$2001),H982)</f>
        <v>649.52</v>
      </c>
      <c r="J982">
        <v>0.11</v>
      </c>
      <c r="K982">
        <f>IF(ISBLANK(J982),MODE($J$2:$J$2001),J982)</f>
        <v>0.11</v>
      </c>
      <c r="L982" t="s">
        <v>1824</v>
      </c>
      <c r="M982">
        <v>2312.2912000000001</v>
      </c>
      <c r="N982">
        <f t="shared" si="15"/>
        <v>2312.2912000000001</v>
      </c>
      <c r="O982" t="str">
        <f>_xlfn.XLOOKUP(Sales_fact[[#This Row],[Customer_ID]],'Customer_Dim'!A:A,'Customer_Dim'!K:K,"Not Found")</f>
        <v>Platinum</v>
      </c>
      <c r="P982">
        <f>_xlfn.XLOOKUP(Sales_fact[[#This Row],[Customer_ID]],'Customer_Dim'!A:A, 'Customer_Dim'!E:E, "Not Found")</f>
        <v>27</v>
      </c>
      <c r="Q982" t="str">
        <f>VLOOKUP(Sales_fact[[#This Row],[Customer_ID]], 'Customer_Dim'!A:F, 6, FALSE)</f>
        <v>Female</v>
      </c>
      <c r="R982" s="13" t="str">
        <f>_xlfn.XLOOKUP(Sales_fact[[#This Row],[Product_ID]],Product_Dim!A:A,Product_Dim!C:C,"OTHERS")</f>
        <v>Beauty</v>
      </c>
    </row>
    <row r="983" spans="1:18" x14ac:dyDescent="0.3">
      <c r="A983" t="s">
        <v>2807</v>
      </c>
      <c r="B983" s="2">
        <v>45481</v>
      </c>
      <c r="C983" t="s">
        <v>1377</v>
      </c>
      <c r="D983" t="s">
        <v>1718</v>
      </c>
      <c r="E983" t="str">
        <f ca="1">TRIM(Sales_fact[[#This Row],[Store_ID]])</f>
        <v>STORE8</v>
      </c>
      <c r="F983">
        <v>2</v>
      </c>
      <c r="G983">
        <f>IF(ISBLANK(F983),MODE($F$2:$F$2001),F983)</f>
        <v>2</v>
      </c>
      <c r="H983">
        <v>943.93</v>
      </c>
      <c r="I983">
        <f>IF(ISBLANK(H983),AVERAGE($H$2:$H$2001),H983)</f>
        <v>943.93</v>
      </c>
      <c r="J983">
        <v>0.22</v>
      </c>
      <c r="K983">
        <f>IF(ISBLANK(J983),MODE($J$2:$J$2001),J983)</f>
        <v>0.22</v>
      </c>
      <c r="L983" t="s">
        <v>1826</v>
      </c>
      <c r="M983">
        <v>1472.5308</v>
      </c>
      <c r="N983">
        <f t="shared" si="15"/>
        <v>1472.5308</v>
      </c>
      <c r="O983" t="str">
        <f>_xlfn.XLOOKUP(Sales_fact[[#This Row],[Customer_ID]],'Customer_Dim'!A:A,'Customer_Dim'!K:K,"Not Found")</f>
        <v>Platinum</v>
      </c>
      <c r="P983">
        <f>_xlfn.XLOOKUP(Sales_fact[[#This Row],[Customer_ID]],'Customer_Dim'!A:A, 'Customer_Dim'!E:E, "Not Found")</f>
        <v>41</v>
      </c>
      <c r="Q983" t="str">
        <f>VLOOKUP(Sales_fact[[#This Row],[Customer_ID]], 'Customer_Dim'!A:F, 6, FALSE)</f>
        <v>Female</v>
      </c>
      <c r="R983" s="13" t="str">
        <f>_xlfn.XLOOKUP(Sales_fact[[#This Row],[Product_ID]],Product_Dim!A:A,Product_Dim!C:C,"OTHERS")</f>
        <v>Clothing</v>
      </c>
    </row>
    <row r="984" spans="1:18" x14ac:dyDescent="0.3">
      <c r="A984" t="s">
        <v>2808</v>
      </c>
      <c r="B984" s="2">
        <v>45228</v>
      </c>
      <c r="C984" t="s">
        <v>550</v>
      </c>
      <c r="D984" t="s">
        <v>1610</v>
      </c>
      <c r="E984" t="str">
        <f ca="1">TRIM(Sales_fact[[#This Row],[Store_ID]])</f>
        <v>STORE8</v>
      </c>
      <c r="F984">
        <v>4</v>
      </c>
      <c r="G984">
        <f>IF(ISBLANK(F984),MODE($F$2:$F$2001),F984)</f>
        <v>4</v>
      </c>
      <c r="H984">
        <v>538.73</v>
      </c>
      <c r="I984">
        <f>IF(ISBLANK(H984),AVERAGE($H$2:$H$2001),H984)</f>
        <v>538.73</v>
      </c>
      <c r="J984">
        <v>0.03</v>
      </c>
      <c r="K984">
        <f>IF(ISBLANK(J984),MODE($J$2:$J$2001),J984)</f>
        <v>0.03</v>
      </c>
      <c r="L984" t="s">
        <v>1824</v>
      </c>
      <c r="M984">
        <v>2090.2723999999998</v>
      </c>
      <c r="N984">
        <f t="shared" si="15"/>
        <v>2090.2723999999998</v>
      </c>
      <c r="O984" t="str">
        <f>_xlfn.XLOOKUP(Sales_fact[[#This Row],[Customer_ID]],'Customer_Dim'!A:A,'Customer_Dim'!K:K,"Not Found")</f>
        <v>Platinum</v>
      </c>
      <c r="P984">
        <f>_xlfn.XLOOKUP(Sales_fact[[#This Row],[Customer_ID]],'Customer_Dim'!A:A, 'Customer_Dim'!E:E, "Not Found")</f>
        <v>47</v>
      </c>
      <c r="Q984" t="str">
        <f>VLOOKUP(Sales_fact[[#This Row],[Customer_ID]], 'Customer_Dim'!A:F, 6, FALSE)</f>
        <v>Female</v>
      </c>
      <c r="R984" s="13" t="str">
        <f>_xlfn.XLOOKUP(Sales_fact[[#This Row],[Product_ID]],Product_Dim!A:A,Product_Dim!C:C,"OTHERS")</f>
        <v>Sports</v>
      </c>
    </row>
    <row r="985" spans="1:18" x14ac:dyDescent="0.3">
      <c r="A985" t="s">
        <v>2809</v>
      </c>
      <c r="B985" s="2">
        <v>45432</v>
      </c>
      <c r="C985" t="s">
        <v>318</v>
      </c>
      <c r="D985" t="s">
        <v>1680</v>
      </c>
      <c r="E985" t="str">
        <f ca="1">TRIM(Sales_fact[[#This Row],[Store_ID]])</f>
        <v>STORE8</v>
      </c>
      <c r="F985">
        <v>2</v>
      </c>
      <c r="G985">
        <f>IF(ISBLANK(F985),MODE($F$2:$F$2001),F985)</f>
        <v>2</v>
      </c>
      <c r="H985">
        <v>853.93</v>
      </c>
      <c r="I985">
        <f>IF(ISBLANK(H985),AVERAGE($H$2:$H$2001),H985)</f>
        <v>853.93</v>
      </c>
      <c r="J985">
        <v>0.01</v>
      </c>
      <c r="K985">
        <f>IF(ISBLANK(J985),MODE($J$2:$J$2001),J985)</f>
        <v>0.01</v>
      </c>
      <c r="L985" t="s">
        <v>1826</v>
      </c>
      <c r="M985">
        <v>1690.7814000000001</v>
      </c>
      <c r="N985">
        <f t="shared" si="15"/>
        <v>1690.7813999999998</v>
      </c>
      <c r="O985" t="str">
        <f>_xlfn.XLOOKUP(Sales_fact[[#This Row],[Customer_ID]],'Customer_Dim'!A:A,'Customer_Dim'!K:K,"Not Found")</f>
        <v>Silver</v>
      </c>
      <c r="P985">
        <f>_xlfn.XLOOKUP(Sales_fact[[#This Row],[Customer_ID]],'Customer_Dim'!A:A, 'Customer_Dim'!E:E, "Not Found")</f>
        <v>58</v>
      </c>
      <c r="Q985" t="str">
        <f>VLOOKUP(Sales_fact[[#This Row],[Customer_ID]], 'Customer_Dim'!A:F, 6, FALSE)</f>
        <v>Male</v>
      </c>
      <c r="R985" s="13" t="str">
        <f>_xlfn.XLOOKUP(Sales_fact[[#This Row],[Product_ID]],Product_Dim!A:A,Product_Dim!C:C,"OTHERS")</f>
        <v>Beauty</v>
      </c>
    </row>
    <row r="986" spans="1:18" x14ac:dyDescent="0.3">
      <c r="A986" t="s">
        <v>2810</v>
      </c>
      <c r="B986" s="2">
        <v>45914</v>
      </c>
      <c r="C986" t="s">
        <v>1510</v>
      </c>
      <c r="D986" t="s">
        <v>1606</v>
      </c>
      <c r="E986" t="str">
        <f ca="1">TRIM(Sales_fact[[#This Row],[Store_ID]])</f>
        <v>STORE4</v>
      </c>
      <c r="F986">
        <v>4</v>
      </c>
      <c r="G986">
        <f>IF(ISBLANK(F986),MODE($F$2:$F$2001),F986)</f>
        <v>4</v>
      </c>
      <c r="H986">
        <v>465.42</v>
      </c>
      <c r="I986">
        <f>IF(ISBLANK(H986),AVERAGE($H$2:$H$2001),H986)</f>
        <v>465.42</v>
      </c>
      <c r="J986">
        <v>0.26</v>
      </c>
      <c r="K986">
        <f>IF(ISBLANK(J986),MODE($J$2:$J$2001),J986)</f>
        <v>0.26</v>
      </c>
      <c r="L986" t="s">
        <v>1829</v>
      </c>
      <c r="M986">
        <v>1377.6432</v>
      </c>
      <c r="N986">
        <f t="shared" si="15"/>
        <v>1377.6432</v>
      </c>
      <c r="O986" t="str">
        <f>_xlfn.XLOOKUP(Sales_fact[[#This Row],[Customer_ID]],'Customer_Dim'!A:A,'Customer_Dim'!K:K,"Not Found")</f>
        <v>Not Found</v>
      </c>
      <c r="P986" t="str">
        <f>_xlfn.XLOOKUP(Sales_fact[[#This Row],[Customer_ID]],'Customer_Dim'!A:A, 'Customer_Dim'!E:E, "Not Found")</f>
        <v>Not Found</v>
      </c>
      <c r="Q986" t="e">
        <f>VLOOKUP(Sales_fact[[#This Row],[Customer_ID]], 'Customer_Dim'!A:F, 6, FALSE)</f>
        <v>#N/A</v>
      </c>
      <c r="R986" s="13" t="str">
        <f>_xlfn.XLOOKUP(Sales_fact[[#This Row],[Product_ID]],Product_Dim!A:A,Product_Dim!C:C,"OTHERS")</f>
        <v>Home</v>
      </c>
    </row>
    <row r="987" spans="1:18" x14ac:dyDescent="0.3">
      <c r="A987" t="s">
        <v>2811</v>
      </c>
      <c r="B987" s="2">
        <v>45758</v>
      </c>
      <c r="C987" t="s">
        <v>208</v>
      </c>
      <c r="D987" t="s">
        <v>1546</v>
      </c>
      <c r="E987" t="str">
        <f ca="1">TRIM(Sales_fact[[#This Row],[Store_ID]])</f>
        <v>STORE11</v>
      </c>
      <c r="F987">
        <v>4</v>
      </c>
      <c r="G987">
        <f>IF(ISBLANK(F987),MODE($F$2:$F$2001),F987)</f>
        <v>4</v>
      </c>
      <c r="H987">
        <v>880.26</v>
      </c>
      <c r="I987">
        <f>IF(ISBLANK(H987),AVERAGE($H$2:$H$2001),H987)</f>
        <v>880.26</v>
      </c>
      <c r="J987">
        <v>0.11</v>
      </c>
      <c r="K987">
        <f>IF(ISBLANK(J987),MODE($J$2:$J$2001),J987)</f>
        <v>0.11</v>
      </c>
      <c r="L987" t="s">
        <v>1829</v>
      </c>
      <c r="M987">
        <v>3133.7256000000002</v>
      </c>
      <c r="N987">
        <f t="shared" si="15"/>
        <v>3133.7256000000002</v>
      </c>
      <c r="O987" t="str">
        <f>_xlfn.XLOOKUP(Sales_fact[[#This Row],[Customer_ID]],'Customer_Dim'!A:A,'Customer_Dim'!K:K,"Not Found")</f>
        <v>Bronze</v>
      </c>
      <c r="P987">
        <f>_xlfn.XLOOKUP(Sales_fact[[#This Row],[Customer_ID]],'Customer_Dim'!A:A, 'Customer_Dim'!E:E, "Not Found")</f>
        <v>56</v>
      </c>
      <c r="Q987" t="str">
        <f>VLOOKUP(Sales_fact[[#This Row],[Customer_ID]], 'Customer_Dim'!A:F, 6, FALSE)</f>
        <v>Female</v>
      </c>
      <c r="R987" s="13" t="str">
        <f>_xlfn.XLOOKUP(Sales_fact[[#This Row],[Product_ID]],Product_Dim!A:A,Product_Dim!C:C,"OTHERS")</f>
        <v>Clothing</v>
      </c>
    </row>
    <row r="988" spans="1:18" x14ac:dyDescent="0.3">
      <c r="A988" t="s">
        <v>2812</v>
      </c>
      <c r="B988" s="2">
        <v>45429</v>
      </c>
      <c r="C988" t="s">
        <v>1487</v>
      </c>
      <c r="D988" t="s">
        <v>1650</v>
      </c>
      <c r="E988" t="str">
        <f ca="1">TRIM(Sales_fact[[#This Row],[Store_ID]])</f>
        <v>STORE11</v>
      </c>
      <c r="F988">
        <v>3</v>
      </c>
      <c r="G988">
        <f>IF(ISBLANK(F988),MODE($F$2:$F$2001),F988)</f>
        <v>3</v>
      </c>
      <c r="H988">
        <v>461.02</v>
      </c>
      <c r="I988">
        <f>IF(ISBLANK(H988),AVERAGE($H$2:$H$2001),H988)</f>
        <v>461.02</v>
      </c>
      <c r="J988">
        <v>0.28999999999999998</v>
      </c>
      <c r="K988">
        <f>IF(ISBLANK(J988),MODE($J$2:$J$2001),J988)</f>
        <v>0.28999999999999998</v>
      </c>
      <c r="L988" t="s">
        <v>1826</v>
      </c>
      <c r="M988">
        <v>981.97259999999994</v>
      </c>
      <c r="N988">
        <f t="shared" si="15"/>
        <v>981.97259999999994</v>
      </c>
      <c r="O988" t="str">
        <f>_xlfn.XLOOKUP(Sales_fact[[#This Row],[Customer_ID]],'Customer_Dim'!A:A,'Customer_Dim'!K:K,"Not Found")</f>
        <v>Gold</v>
      </c>
      <c r="P988">
        <f>_xlfn.XLOOKUP(Sales_fact[[#This Row],[Customer_ID]],'Customer_Dim'!A:A, 'Customer_Dim'!E:E, "Not Found")</f>
        <v>48</v>
      </c>
      <c r="Q988" t="str">
        <f>VLOOKUP(Sales_fact[[#This Row],[Customer_ID]], 'Customer_Dim'!A:F, 6, FALSE)</f>
        <v>Male</v>
      </c>
      <c r="R988" s="13" t="str">
        <f>_xlfn.XLOOKUP(Sales_fact[[#This Row],[Product_ID]],Product_Dim!A:A,Product_Dim!C:C,"OTHERS")</f>
        <v>Electronics</v>
      </c>
    </row>
    <row r="989" spans="1:18" x14ac:dyDescent="0.3">
      <c r="A989" t="s">
        <v>2813</v>
      </c>
      <c r="B989" s="2">
        <v>45578</v>
      </c>
      <c r="C989" t="s">
        <v>110</v>
      </c>
      <c r="D989" t="s">
        <v>1598</v>
      </c>
      <c r="E989" t="str">
        <f ca="1">TRIM(Sales_fact[[#This Row],[Store_ID]])</f>
        <v>STORE13</v>
      </c>
      <c r="F989">
        <v>1</v>
      </c>
      <c r="G989">
        <f>IF(ISBLANK(F989),MODE($F$2:$F$2001),F989)</f>
        <v>1</v>
      </c>
      <c r="H989">
        <v>531.99</v>
      </c>
      <c r="I989">
        <f>IF(ISBLANK(H989),AVERAGE($H$2:$H$2001),H989)</f>
        <v>531.99</v>
      </c>
      <c r="J989">
        <v>0.17</v>
      </c>
      <c r="K989">
        <f>IF(ISBLANK(J989),MODE($J$2:$J$2001),J989)</f>
        <v>0.17</v>
      </c>
      <c r="L989" t="s">
        <v>1826</v>
      </c>
      <c r="M989">
        <v>441.55169999999998</v>
      </c>
      <c r="N989">
        <f t="shared" si="15"/>
        <v>441.55169999999998</v>
      </c>
      <c r="O989" t="str">
        <f>_xlfn.XLOOKUP(Sales_fact[[#This Row],[Customer_ID]],'Customer_Dim'!A:A,'Customer_Dim'!K:K,"Not Found")</f>
        <v>Gold</v>
      </c>
      <c r="P989">
        <f>_xlfn.XLOOKUP(Sales_fact[[#This Row],[Customer_ID]],'Customer_Dim'!A:A, 'Customer_Dim'!E:E, "Not Found")</f>
        <v>18</v>
      </c>
      <c r="Q989" t="str">
        <f>VLOOKUP(Sales_fact[[#This Row],[Customer_ID]], 'Customer_Dim'!A:F, 6, FALSE)</f>
        <v>Female</v>
      </c>
      <c r="R989" s="13" t="str">
        <f>_xlfn.XLOOKUP(Sales_fact[[#This Row],[Product_ID]],Product_Dim!A:A,Product_Dim!C:C,"OTHERS")</f>
        <v>Clothing</v>
      </c>
    </row>
    <row r="990" spans="1:18" x14ac:dyDescent="0.3">
      <c r="A990" t="s">
        <v>2814</v>
      </c>
      <c r="B990" s="2">
        <v>45486</v>
      </c>
      <c r="C990" t="s">
        <v>27</v>
      </c>
      <c r="D990" t="s">
        <v>1642</v>
      </c>
      <c r="E990" t="str">
        <f ca="1">TRIM(Sales_fact[[#This Row],[Store_ID]])</f>
        <v>STORE17</v>
      </c>
      <c r="F990">
        <v>2</v>
      </c>
      <c r="G990">
        <f>IF(ISBLANK(F990),MODE($F$2:$F$2001),F990)</f>
        <v>2</v>
      </c>
      <c r="H990">
        <v>274.08999999999997</v>
      </c>
      <c r="I990">
        <f>IF(ISBLANK(H990),AVERAGE($H$2:$H$2001),H990)</f>
        <v>274.08999999999997</v>
      </c>
      <c r="J990">
        <v>0.13</v>
      </c>
      <c r="K990">
        <f>IF(ISBLANK(J990),MODE($J$2:$J$2001),J990)</f>
        <v>0.13</v>
      </c>
      <c r="L990" t="s">
        <v>1826</v>
      </c>
      <c r="M990">
        <v>476.91660000000002</v>
      </c>
      <c r="N990">
        <f t="shared" si="15"/>
        <v>476.91659999999996</v>
      </c>
      <c r="O990" t="str">
        <f>_xlfn.XLOOKUP(Sales_fact[[#This Row],[Customer_ID]],'Customer_Dim'!A:A,'Customer_Dim'!K:K,"Not Found")</f>
        <v>Silver</v>
      </c>
      <c r="P990">
        <f>_xlfn.XLOOKUP(Sales_fact[[#This Row],[Customer_ID]],'Customer_Dim'!A:A, 'Customer_Dim'!E:E, "Not Found")</f>
        <v>64</v>
      </c>
      <c r="Q990" t="str">
        <f>VLOOKUP(Sales_fact[[#This Row],[Customer_ID]], 'Customer_Dim'!A:F, 6, FALSE)</f>
        <v>Female</v>
      </c>
      <c r="R990" s="13" t="str">
        <f>_xlfn.XLOOKUP(Sales_fact[[#This Row],[Product_ID]],Product_Dim!A:A,Product_Dim!C:C,"OTHERS")</f>
        <v>Beauty</v>
      </c>
    </row>
    <row r="991" spans="1:18" x14ac:dyDescent="0.3">
      <c r="A991" t="s">
        <v>2815</v>
      </c>
      <c r="B991" s="2">
        <v>45694</v>
      </c>
      <c r="C991" t="s">
        <v>1371</v>
      </c>
      <c r="D991" t="s">
        <v>1724</v>
      </c>
      <c r="E991" t="str">
        <f ca="1">TRIM(Sales_fact[[#This Row],[Store_ID]])</f>
        <v>STORE10</v>
      </c>
      <c r="F991">
        <v>1</v>
      </c>
      <c r="G991">
        <f>IF(ISBLANK(F991),MODE($F$2:$F$2001),F991)</f>
        <v>1</v>
      </c>
      <c r="H991">
        <v>66.14</v>
      </c>
      <c r="I991">
        <f>IF(ISBLANK(H991),AVERAGE($H$2:$H$2001),H991)</f>
        <v>66.14</v>
      </c>
      <c r="J991">
        <v>0.14000000000000001</v>
      </c>
      <c r="K991">
        <f>IF(ISBLANK(J991),MODE($J$2:$J$2001),J991)</f>
        <v>0.14000000000000001</v>
      </c>
      <c r="L991" t="s">
        <v>1829</v>
      </c>
      <c r="M991">
        <v>56.880400000000002</v>
      </c>
      <c r="N991">
        <f t="shared" si="15"/>
        <v>56.880400000000002</v>
      </c>
      <c r="O991" t="str">
        <f>_xlfn.XLOOKUP(Sales_fact[[#This Row],[Customer_ID]],'Customer_Dim'!A:A,'Customer_Dim'!K:K,"Not Found")</f>
        <v>Silver</v>
      </c>
      <c r="P991">
        <f>_xlfn.XLOOKUP(Sales_fact[[#This Row],[Customer_ID]],'Customer_Dim'!A:A, 'Customer_Dim'!E:E, "Not Found")</f>
        <v>51</v>
      </c>
      <c r="Q991" t="str">
        <f>VLOOKUP(Sales_fact[[#This Row],[Customer_ID]], 'Customer_Dim'!A:F, 6, FALSE)</f>
        <v>Male</v>
      </c>
      <c r="R991" s="13" t="str">
        <f>_xlfn.XLOOKUP(Sales_fact[[#This Row],[Product_ID]],Product_Dim!A:A,Product_Dim!C:C,"OTHERS")</f>
        <v>Sports</v>
      </c>
    </row>
    <row r="992" spans="1:18" x14ac:dyDescent="0.3">
      <c r="A992" t="s">
        <v>2816</v>
      </c>
      <c r="B992" s="2">
        <v>45875</v>
      </c>
      <c r="C992" t="s">
        <v>281</v>
      </c>
      <c r="D992" t="s">
        <v>1588</v>
      </c>
      <c r="E992" t="str">
        <f ca="1">TRIM(Sales_fact[[#This Row],[Store_ID]])</f>
        <v>STORE9</v>
      </c>
      <c r="F992">
        <v>3</v>
      </c>
      <c r="G992">
        <f>IF(ISBLANK(F992),MODE($F$2:$F$2001),F992)</f>
        <v>3</v>
      </c>
      <c r="H992">
        <v>955.82</v>
      </c>
      <c r="I992">
        <f>IF(ISBLANK(H992),AVERAGE($H$2:$H$2001),H992)</f>
        <v>955.82</v>
      </c>
      <c r="J992">
        <v>0.16</v>
      </c>
      <c r="K992">
        <f>IF(ISBLANK(J992),MODE($J$2:$J$2001),J992)</f>
        <v>0.16</v>
      </c>
      <c r="L992" t="s">
        <v>1829</v>
      </c>
      <c r="M992">
        <v>2408.6664000000001</v>
      </c>
      <c r="N992">
        <f t="shared" si="15"/>
        <v>2408.6664000000001</v>
      </c>
      <c r="O992" t="str">
        <f>_xlfn.XLOOKUP(Sales_fact[[#This Row],[Customer_ID]],'Customer_Dim'!A:A,'Customer_Dim'!K:K,"Not Found")</f>
        <v>Gold</v>
      </c>
      <c r="P992">
        <f>_xlfn.XLOOKUP(Sales_fact[[#This Row],[Customer_ID]],'Customer_Dim'!A:A, 'Customer_Dim'!E:E, "Not Found")</f>
        <v>29</v>
      </c>
      <c r="Q992" t="str">
        <f>VLOOKUP(Sales_fact[[#This Row],[Customer_ID]], 'Customer_Dim'!A:F, 6, FALSE)</f>
        <v>Male</v>
      </c>
      <c r="R992" s="13" t="str">
        <f>_xlfn.XLOOKUP(Sales_fact[[#This Row],[Product_ID]],Product_Dim!A:A,Product_Dim!C:C,"OTHERS")</f>
        <v>Sports</v>
      </c>
    </row>
    <row r="993" spans="1:18" x14ac:dyDescent="0.3">
      <c r="A993" t="s">
        <v>2817</v>
      </c>
      <c r="B993" s="2">
        <v>45432</v>
      </c>
      <c r="C993" t="s">
        <v>1005</v>
      </c>
      <c r="D993" t="s">
        <v>1592</v>
      </c>
      <c r="E993" t="str">
        <f ca="1">TRIM(Sales_fact[[#This Row],[Store_ID]])</f>
        <v>STORE12</v>
      </c>
      <c r="F993">
        <v>1</v>
      </c>
      <c r="G993">
        <f>IF(ISBLANK(F993),MODE($F$2:$F$2001),F993)</f>
        <v>1</v>
      </c>
      <c r="H993">
        <v>904.92</v>
      </c>
      <c r="I993">
        <f>IF(ISBLANK(H993),AVERAGE($H$2:$H$2001),H993)</f>
        <v>904.92</v>
      </c>
      <c r="J993">
        <v>0.13</v>
      </c>
      <c r="K993">
        <f>IF(ISBLANK(J993),MODE($J$2:$J$2001),J993)</f>
        <v>0.13</v>
      </c>
      <c r="L993" t="s">
        <v>1824</v>
      </c>
      <c r="M993">
        <v>787.28039999999999</v>
      </c>
      <c r="N993">
        <f t="shared" si="15"/>
        <v>787.28039999999999</v>
      </c>
      <c r="O993" t="str">
        <f>_xlfn.XLOOKUP(Sales_fact[[#This Row],[Customer_ID]],'Customer_Dim'!A:A,'Customer_Dim'!K:K,"Not Found")</f>
        <v>Platinum</v>
      </c>
      <c r="P993">
        <f>_xlfn.XLOOKUP(Sales_fact[[#This Row],[Customer_ID]],'Customer_Dim'!A:A, 'Customer_Dim'!E:E, "Not Found")</f>
        <v>54</v>
      </c>
      <c r="Q993" t="str">
        <f>VLOOKUP(Sales_fact[[#This Row],[Customer_ID]], 'Customer_Dim'!A:F, 6, FALSE)</f>
        <v>Male</v>
      </c>
      <c r="R993" s="13" t="str">
        <f>_xlfn.XLOOKUP(Sales_fact[[#This Row],[Product_ID]],Product_Dim!A:A,Product_Dim!C:C,"OTHERS")</f>
        <v>Sports</v>
      </c>
    </row>
    <row r="994" spans="1:18" x14ac:dyDescent="0.3">
      <c r="A994" t="s">
        <v>2818</v>
      </c>
      <c r="B994" s="2">
        <v>45575</v>
      </c>
      <c r="C994" t="s">
        <v>8</v>
      </c>
      <c r="D994" t="s">
        <v>1628</v>
      </c>
      <c r="E994" t="str">
        <f ca="1">TRIM(Sales_fact[[#This Row],[Store_ID]])</f>
        <v>STORE7</v>
      </c>
      <c r="F994">
        <v>3</v>
      </c>
      <c r="G994">
        <f>IF(ISBLANK(F994),MODE($F$2:$F$2001),F994)</f>
        <v>3</v>
      </c>
      <c r="H994">
        <v>490.02</v>
      </c>
      <c r="I994">
        <f>IF(ISBLANK(H994),AVERAGE($H$2:$H$2001),H994)</f>
        <v>490.02</v>
      </c>
      <c r="J994">
        <v>0.26</v>
      </c>
      <c r="K994">
        <f>IF(ISBLANK(J994),MODE($J$2:$J$2001),J994)</f>
        <v>0.26</v>
      </c>
      <c r="L994" t="s">
        <v>1824</v>
      </c>
      <c r="M994">
        <v>1087.8444</v>
      </c>
      <c r="N994">
        <f t="shared" si="15"/>
        <v>1087.8444</v>
      </c>
      <c r="O994" t="str">
        <f>_xlfn.XLOOKUP(Sales_fact[[#This Row],[Customer_ID]],'Customer_Dim'!A:A,'Customer_Dim'!K:K,"Not Found")</f>
        <v>UNKNOWN</v>
      </c>
      <c r="P994">
        <f>_xlfn.XLOOKUP(Sales_fact[[#This Row],[Customer_ID]],'Customer_Dim'!A:A, 'Customer_Dim'!E:E, "Not Found")</f>
        <v>55</v>
      </c>
      <c r="Q994" t="str">
        <f>VLOOKUP(Sales_fact[[#This Row],[Customer_ID]], 'Customer_Dim'!A:F, 6, FALSE)</f>
        <v>Male</v>
      </c>
      <c r="R994" s="13" t="str">
        <f>_xlfn.XLOOKUP(Sales_fact[[#This Row],[Product_ID]],Product_Dim!A:A,Product_Dim!C:C,"OTHERS")</f>
        <v>Electronics</v>
      </c>
    </row>
    <row r="995" spans="1:18" x14ac:dyDescent="0.3">
      <c r="A995" t="s">
        <v>2819</v>
      </c>
      <c r="B995" s="2">
        <v>45340</v>
      </c>
      <c r="C995" t="s">
        <v>1136</v>
      </c>
      <c r="D995" t="s">
        <v>1586</v>
      </c>
      <c r="E995" t="str">
        <f ca="1">TRIM(Sales_fact[[#This Row],[Store_ID]])</f>
        <v>STORE6</v>
      </c>
      <c r="F995">
        <v>2</v>
      </c>
      <c r="G995">
        <f>IF(ISBLANK(F995),MODE($F$2:$F$2001),F995)</f>
        <v>2</v>
      </c>
      <c r="H995">
        <v>957.54</v>
      </c>
      <c r="I995">
        <f>IF(ISBLANK(H995),AVERAGE($H$2:$H$2001),H995)</f>
        <v>957.54</v>
      </c>
      <c r="J995">
        <v>0.1</v>
      </c>
      <c r="K995">
        <f>IF(ISBLANK(J995),MODE($J$2:$J$2001),J995)</f>
        <v>0.1</v>
      </c>
      <c r="L995" t="s">
        <v>1829</v>
      </c>
      <c r="M995">
        <v>1723.5719999999999</v>
      </c>
      <c r="N995">
        <f t="shared" si="15"/>
        <v>1723.5719999999999</v>
      </c>
      <c r="O995" t="str">
        <f>_xlfn.XLOOKUP(Sales_fact[[#This Row],[Customer_ID]],'Customer_Dim'!A:A,'Customer_Dim'!K:K,"Not Found")</f>
        <v>Bronze</v>
      </c>
      <c r="P995">
        <f>_xlfn.XLOOKUP(Sales_fact[[#This Row],[Customer_ID]],'Customer_Dim'!A:A, 'Customer_Dim'!E:E, "Not Found")</f>
        <v>23</v>
      </c>
      <c r="Q995" t="str">
        <f>VLOOKUP(Sales_fact[[#This Row],[Customer_ID]], 'Customer_Dim'!A:F, 6, FALSE)</f>
        <v>Male</v>
      </c>
      <c r="R995" s="13" t="str">
        <f>_xlfn.XLOOKUP(Sales_fact[[#This Row],[Product_ID]],Product_Dim!A:A,Product_Dim!C:C,"OTHERS")</f>
        <v>Sports</v>
      </c>
    </row>
    <row r="996" spans="1:18" x14ac:dyDescent="0.3">
      <c r="A996" t="s">
        <v>2820</v>
      </c>
      <c r="B996" s="2">
        <v>45926</v>
      </c>
      <c r="C996" t="s">
        <v>1035</v>
      </c>
      <c r="D996" t="s">
        <v>1746</v>
      </c>
      <c r="E996" t="str">
        <f ca="1">TRIM(Sales_fact[[#This Row],[Store_ID]])</f>
        <v>STORE13</v>
      </c>
      <c r="F996">
        <v>2</v>
      </c>
      <c r="G996">
        <f>IF(ISBLANK(F996),MODE($F$2:$F$2001),F996)</f>
        <v>2</v>
      </c>
      <c r="H996">
        <v>314.39999999999998</v>
      </c>
      <c r="I996">
        <f>IF(ISBLANK(H996),AVERAGE($H$2:$H$2001),H996)</f>
        <v>314.39999999999998</v>
      </c>
      <c r="J996">
        <v>7.0000000000000007E-2</v>
      </c>
      <c r="K996">
        <f>IF(ISBLANK(J996),MODE($J$2:$J$2001),J996)</f>
        <v>7.0000000000000007E-2</v>
      </c>
      <c r="L996" t="s">
        <v>1826</v>
      </c>
      <c r="M996">
        <v>584.78399999999988</v>
      </c>
      <c r="N996">
        <f t="shared" si="15"/>
        <v>584.78399999999988</v>
      </c>
      <c r="O996" t="str">
        <f>_xlfn.XLOOKUP(Sales_fact[[#This Row],[Customer_ID]],'Customer_Dim'!A:A,'Customer_Dim'!K:K,"Not Found")</f>
        <v>Bronze</v>
      </c>
      <c r="P996">
        <f>_xlfn.XLOOKUP(Sales_fact[[#This Row],[Customer_ID]],'Customer_Dim'!A:A, 'Customer_Dim'!E:E, "Not Found")</f>
        <v>62</v>
      </c>
      <c r="Q996" t="str">
        <f>VLOOKUP(Sales_fact[[#This Row],[Customer_ID]], 'Customer_Dim'!A:F, 6, FALSE)</f>
        <v>Female</v>
      </c>
      <c r="R996" s="13" t="str">
        <f>_xlfn.XLOOKUP(Sales_fact[[#This Row],[Product_ID]],Product_Dim!A:A,Product_Dim!C:C,"OTHERS")</f>
        <v>Home</v>
      </c>
    </row>
    <row r="997" spans="1:18" x14ac:dyDescent="0.3">
      <c r="A997" t="s">
        <v>2821</v>
      </c>
      <c r="B997" s="2">
        <v>45373</v>
      </c>
      <c r="C997" t="s">
        <v>1229</v>
      </c>
      <c r="D997" t="s">
        <v>1596</v>
      </c>
      <c r="E997" t="str">
        <f ca="1">TRIM(Sales_fact[[#This Row],[Store_ID]])</f>
        <v>STORE6</v>
      </c>
      <c r="F997">
        <v>3</v>
      </c>
      <c r="G997">
        <f>IF(ISBLANK(F997),MODE($F$2:$F$2001),F997)</f>
        <v>3</v>
      </c>
      <c r="H997">
        <v>480.11</v>
      </c>
      <c r="I997">
        <f>IF(ISBLANK(H997),AVERAGE($H$2:$H$2001),H997)</f>
        <v>480.11</v>
      </c>
      <c r="J997">
        <v>0.11</v>
      </c>
      <c r="K997">
        <f>IF(ISBLANK(J997),MODE($J$2:$J$2001),J997)</f>
        <v>0.11</v>
      </c>
      <c r="L997" t="s">
        <v>1826</v>
      </c>
      <c r="M997">
        <v>1281.8937000000001</v>
      </c>
      <c r="N997">
        <f t="shared" si="15"/>
        <v>1281.8936999999999</v>
      </c>
      <c r="O997" t="str">
        <f>_xlfn.XLOOKUP(Sales_fact[[#This Row],[Customer_ID]],'Customer_Dim'!A:A,'Customer_Dim'!K:K,"Not Found")</f>
        <v>Bronze</v>
      </c>
      <c r="P997">
        <f>_xlfn.XLOOKUP(Sales_fact[[#This Row],[Customer_ID]],'Customer_Dim'!A:A, 'Customer_Dim'!E:E, "Not Found")</f>
        <v>43</v>
      </c>
      <c r="Q997" t="str">
        <f>VLOOKUP(Sales_fact[[#This Row],[Customer_ID]], 'Customer_Dim'!A:F, 6, FALSE)</f>
        <v>Female</v>
      </c>
      <c r="R997" s="13" t="str">
        <f>_xlfn.XLOOKUP(Sales_fact[[#This Row],[Product_ID]],Product_Dim!A:A,Product_Dim!C:C,"OTHERS")</f>
        <v>Sports</v>
      </c>
    </row>
    <row r="998" spans="1:18" x14ac:dyDescent="0.3">
      <c r="A998" t="s">
        <v>2822</v>
      </c>
      <c r="B998" s="2">
        <v>45579</v>
      </c>
      <c r="C998" t="s">
        <v>1211</v>
      </c>
      <c r="D998" t="s">
        <v>1644</v>
      </c>
      <c r="E998" t="str">
        <f ca="1">TRIM(Sales_fact[[#This Row],[Store_ID]])</f>
        <v>STORE6</v>
      </c>
      <c r="F998">
        <v>4</v>
      </c>
      <c r="G998">
        <f>IF(ISBLANK(F998),MODE($F$2:$F$2001),F998)</f>
        <v>4</v>
      </c>
      <c r="H998">
        <v>826.55</v>
      </c>
      <c r="I998">
        <f>IF(ISBLANK(H998),AVERAGE($H$2:$H$2001),H998)</f>
        <v>826.55</v>
      </c>
      <c r="J998">
        <v>0.28000000000000003</v>
      </c>
      <c r="K998">
        <f>IF(ISBLANK(J998),MODE($J$2:$J$2001),J998)</f>
        <v>0.28000000000000003</v>
      </c>
      <c r="L998" t="s">
        <v>1824</v>
      </c>
      <c r="M998">
        <v>2380.4639999999999</v>
      </c>
      <c r="N998">
        <f t="shared" si="15"/>
        <v>2380.4639999999999</v>
      </c>
      <c r="O998" t="str">
        <f>_xlfn.XLOOKUP(Sales_fact[[#This Row],[Customer_ID]],'Customer_Dim'!A:A,'Customer_Dim'!K:K,"Not Found")</f>
        <v>Platinum</v>
      </c>
      <c r="P998">
        <f>_xlfn.XLOOKUP(Sales_fact[[#This Row],[Customer_ID]],'Customer_Dim'!A:A, 'Customer_Dim'!E:E, "Not Found")</f>
        <v>53</v>
      </c>
      <c r="Q998" t="str">
        <f>VLOOKUP(Sales_fact[[#This Row],[Customer_ID]], 'Customer_Dim'!A:F, 6, FALSE)</f>
        <v>Male</v>
      </c>
      <c r="R998" s="13" t="str">
        <f>_xlfn.XLOOKUP(Sales_fact[[#This Row],[Product_ID]],Product_Dim!A:A,Product_Dim!C:C,"OTHERS")</f>
        <v>Electronics</v>
      </c>
    </row>
    <row r="999" spans="1:18" x14ac:dyDescent="0.3">
      <c r="A999" t="s">
        <v>2823</v>
      </c>
      <c r="B999" s="2">
        <v>45805</v>
      </c>
      <c r="C999" t="s">
        <v>625</v>
      </c>
      <c r="D999" t="s">
        <v>1602</v>
      </c>
      <c r="E999" t="str">
        <f ca="1">TRIM(Sales_fact[[#This Row],[Store_ID]])</f>
        <v>STORE3</v>
      </c>
      <c r="F999">
        <v>3</v>
      </c>
      <c r="G999">
        <f>IF(ISBLANK(F999),MODE($F$2:$F$2001),F999)</f>
        <v>3</v>
      </c>
      <c r="H999">
        <v>530.16999999999996</v>
      </c>
      <c r="I999">
        <f>IF(ISBLANK(H999),AVERAGE($H$2:$H$2001),H999)</f>
        <v>530.16999999999996</v>
      </c>
      <c r="J999">
        <v>0.18</v>
      </c>
      <c r="K999">
        <f>IF(ISBLANK(J999),MODE($J$2:$J$2001),J999)</f>
        <v>0.18</v>
      </c>
      <c r="L999" t="s">
        <v>1826</v>
      </c>
      <c r="M999">
        <v>1304.2182</v>
      </c>
      <c r="N999">
        <f t="shared" si="15"/>
        <v>1304.2181999999998</v>
      </c>
      <c r="O999" t="str">
        <f>_xlfn.XLOOKUP(Sales_fact[[#This Row],[Customer_ID]],'Customer_Dim'!A:A,'Customer_Dim'!K:K,"Not Found")</f>
        <v>Bronze</v>
      </c>
      <c r="P999">
        <f>_xlfn.XLOOKUP(Sales_fact[[#This Row],[Customer_ID]],'Customer_Dim'!A:A, 'Customer_Dim'!E:E, "Not Found")</f>
        <v>21</v>
      </c>
      <c r="Q999" t="str">
        <f>VLOOKUP(Sales_fact[[#This Row],[Customer_ID]], 'Customer_Dim'!A:F, 6, FALSE)</f>
        <v>Male</v>
      </c>
      <c r="R999" s="13" t="str">
        <f>_xlfn.XLOOKUP(Sales_fact[[#This Row],[Product_ID]],Product_Dim!A:A,Product_Dim!C:C,"OTHERS")</f>
        <v>Home</v>
      </c>
    </row>
    <row r="1000" spans="1:18" x14ac:dyDescent="0.3">
      <c r="A1000" t="s">
        <v>2824</v>
      </c>
      <c r="B1000" s="2">
        <v>45522</v>
      </c>
      <c r="C1000" t="s">
        <v>1266</v>
      </c>
      <c r="D1000" t="s">
        <v>1616</v>
      </c>
      <c r="E1000" t="str">
        <f ca="1">TRIM(Sales_fact[[#This Row],[Store_ID]])</f>
        <v>STORE17</v>
      </c>
      <c r="F1000">
        <v>3</v>
      </c>
      <c r="G1000">
        <f>IF(ISBLANK(F1000),MODE($F$2:$F$2001),F1000)</f>
        <v>3</v>
      </c>
      <c r="H1000">
        <v>336.17</v>
      </c>
      <c r="I1000">
        <f>IF(ISBLANK(H1000),AVERAGE($H$2:$H$2001),H1000)</f>
        <v>336.17</v>
      </c>
      <c r="J1000">
        <v>0.04</v>
      </c>
      <c r="K1000">
        <f>IF(ISBLANK(J1000),MODE($J$2:$J$2001),J1000)</f>
        <v>0.04</v>
      </c>
      <c r="L1000" t="s">
        <v>1829</v>
      </c>
      <c r="M1000">
        <v>968.16959999999995</v>
      </c>
      <c r="N1000">
        <f t="shared" si="15"/>
        <v>968.16959999999995</v>
      </c>
      <c r="O1000" t="str">
        <f>_xlfn.XLOOKUP(Sales_fact[[#This Row],[Customer_ID]],'Customer_Dim'!A:A,'Customer_Dim'!K:K,"Not Found")</f>
        <v>Gold</v>
      </c>
      <c r="P1000">
        <f>_xlfn.XLOOKUP(Sales_fact[[#This Row],[Customer_ID]],'Customer_Dim'!A:A, 'Customer_Dim'!E:E, "Not Found")</f>
        <v>33</v>
      </c>
      <c r="Q1000" t="str">
        <f>VLOOKUP(Sales_fact[[#This Row],[Customer_ID]], 'Customer_Dim'!A:F, 6, FALSE)</f>
        <v>Male</v>
      </c>
      <c r="R1000" s="13" t="str">
        <f>_xlfn.XLOOKUP(Sales_fact[[#This Row],[Product_ID]],Product_Dim!A:A,Product_Dim!C:C,"OTHERS")</f>
        <v>Electronics</v>
      </c>
    </row>
    <row r="1001" spans="1:18" x14ac:dyDescent="0.3">
      <c r="A1001" t="s">
        <v>2825</v>
      </c>
      <c r="B1001" s="2">
        <v>45304</v>
      </c>
      <c r="C1001" t="s">
        <v>1307</v>
      </c>
      <c r="D1001" t="s">
        <v>1710</v>
      </c>
      <c r="E1001" t="str">
        <f ca="1">TRIM(Sales_fact[[#This Row],[Store_ID]])</f>
        <v>STORE8</v>
      </c>
      <c r="F1001">
        <v>4</v>
      </c>
      <c r="G1001">
        <f>IF(ISBLANK(F1001),MODE($F$2:$F$2001),F1001)</f>
        <v>4</v>
      </c>
      <c r="H1001">
        <v>22.51</v>
      </c>
      <c r="I1001">
        <f>IF(ISBLANK(H1001),AVERAGE($H$2:$H$2001),H1001)</f>
        <v>22.51</v>
      </c>
      <c r="J1001">
        <v>0.27</v>
      </c>
      <c r="K1001">
        <f>IF(ISBLANK(J1001),MODE($J$2:$J$2001),J1001)</f>
        <v>0.27</v>
      </c>
      <c r="L1001" t="s">
        <v>1826</v>
      </c>
      <c r="M1001">
        <v>65.729200000000006</v>
      </c>
      <c r="N1001">
        <f t="shared" si="15"/>
        <v>65.729200000000006</v>
      </c>
      <c r="O1001" t="str">
        <f>_xlfn.XLOOKUP(Sales_fact[[#This Row],[Customer_ID]],'Customer_Dim'!A:A,'Customer_Dim'!K:K,"Not Found")</f>
        <v>Platinum</v>
      </c>
      <c r="P1001">
        <f>_xlfn.XLOOKUP(Sales_fact[[#This Row],[Customer_ID]],'Customer_Dim'!A:A, 'Customer_Dim'!E:E, "Not Found")</f>
        <v>45</v>
      </c>
      <c r="Q1001" t="str">
        <f>VLOOKUP(Sales_fact[[#This Row],[Customer_ID]], 'Customer_Dim'!A:F, 6, FALSE)</f>
        <v>Female</v>
      </c>
      <c r="R1001" s="13" t="str">
        <f>_xlfn.XLOOKUP(Sales_fact[[#This Row],[Product_ID]],Product_Dim!A:A,Product_Dim!C:C,"OTHERS")</f>
        <v>Sports</v>
      </c>
    </row>
    <row r="1002" spans="1:18" x14ac:dyDescent="0.3">
      <c r="A1002" t="s">
        <v>2826</v>
      </c>
      <c r="B1002" s="2">
        <v>45456</v>
      </c>
      <c r="C1002" t="s">
        <v>625</v>
      </c>
      <c r="D1002" t="s">
        <v>1666</v>
      </c>
      <c r="E1002" t="str">
        <f ca="1">TRIM(Sales_fact[[#This Row],[Store_ID]])</f>
        <v>STORE2</v>
      </c>
      <c r="F1002">
        <v>2</v>
      </c>
      <c r="G1002">
        <f>IF(ISBLANK(F1002),MODE($F$2:$F$2001),F1002)</f>
        <v>2</v>
      </c>
      <c r="H1002">
        <v>909.51</v>
      </c>
      <c r="I1002">
        <f>IF(ISBLANK(H1002),AVERAGE($H$2:$H$2001),H1002)</f>
        <v>909.51</v>
      </c>
      <c r="J1002">
        <v>0.27</v>
      </c>
      <c r="K1002">
        <f>IF(ISBLANK(J1002),MODE($J$2:$J$2001),J1002)</f>
        <v>0.27</v>
      </c>
      <c r="L1002" t="s">
        <v>1824</v>
      </c>
      <c r="M1002">
        <v>1327.8846000000001</v>
      </c>
      <c r="N1002">
        <f t="shared" si="15"/>
        <v>1327.8845999999999</v>
      </c>
      <c r="O1002" t="str">
        <f>_xlfn.XLOOKUP(Sales_fact[[#This Row],[Customer_ID]],'Customer_Dim'!A:A,'Customer_Dim'!K:K,"Not Found")</f>
        <v>Bronze</v>
      </c>
      <c r="P1002">
        <f>_xlfn.XLOOKUP(Sales_fact[[#This Row],[Customer_ID]],'Customer_Dim'!A:A, 'Customer_Dim'!E:E, "Not Found")</f>
        <v>21</v>
      </c>
      <c r="Q1002" t="str">
        <f>VLOOKUP(Sales_fact[[#This Row],[Customer_ID]], 'Customer_Dim'!A:F, 6, FALSE)</f>
        <v>Male</v>
      </c>
      <c r="R1002" s="13" t="str">
        <f>_xlfn.XLOOKUP(Sales_fact[[#This Row],[Product_ID]],Product_Dim!A:A,Product_Dim!C:C,"OTHERS")</f>
        <v>Beauty</v>
      </c>
    </row>
    <row r="1003" spans="1:18" x14ac:dyDescent="0.3">
      <c r="A1003" t="s">
        <v>2827</v>
      </c>
      <c r="B1003" s="2">
        <v>45776</v>
      </c>
      <c r="C1003" t="s">
        <v>198</v>
      </c>
      <c r="D1003" t="s">
        <v>1686</v>
      </c>
      <c r="E1003" t="str">
        <f ca="1">TRIM(Sales_fact[[#This Row],[Store_ID]])</f>
        <v>STORE14</v>
      </c>
      <c r="F1003">
        <v>4</v>
      </c>
      <c r="G1003">
        <f>IF(ISBLANK(F1003),MODE($F$2:$F$2001),F1003)</f>
        <v>4</v>
      </c>
      <c r="H1003">
        <v>593.84</v>
      </c>
      <c r="I1003">
        <f>IF(ISBLANK(H1003),AVERAGE($H$2:$H$2001),H1003)</f>
        <v>593.84</v>
      </c>
      <c r="J1003">
        <v>0.24</v>
      </c>
      <c r="K1003">
        <f>IF(ISBLANK(J1003),MODE($J$2:$J$2001),J1003)</f>
        <v>0.24</v>
      </c>
      <c r="L1003" t="s">
        <v>1826</v>
      </c>
      <c r="M1003">
        <v>1805.2736</v>
      </c>
      <c r="N1003">
        <f t="shared" si="15"/>
        <v>1805.2736000000002</v>
      </c>
      <c r="O1003" t="str">
        <f>_xlfn.XLOOKUP(Sales_fact[[#This Row],[Customer_ID]],'Customer_Dim'!A:A,'Customer_Dim'!K:K,"Not Found")</f>
        <v>Bronze</v>
      </c>
      <c r="P1003">
        <f>_xlfn.XLOOKUP(Sales_fact[[#This Row],[Customer_ID]],'Customer_Dim'!A:A, 'Customer_Dim'!E:E, "Not Found")</f>
        <v>55</v>
      </c>
      <c r="Q1003" t="str">
        <f>VLOOKUP(Sales_fact[[#This Row],[Customer_ID]], 'Customer_Dim'!A:F, 6, FALSE)</f>
        <v>Male</v>
      </c>
      <c r="R1003" s="13" t="str">
        <f>_xlfn.XLOOKUP(Sales_fact[[#This Row],[Product_ID]],Product_Dim!A:A,Product_Dim!C:C,"OTHERS")</f>
        <v>Clothing</v>
      </c>
    </row>
    <row r="1004" spans="1:18" x14ac:dyDescent="0.3">
      <c r="A1004" t="s">
        <v>2828</v>
      </c>
      <c r="B1004" s="2">
        <v>45566</v>
      </c>
      <c r="C1004" t="s">
        <v>384</v>
      </c>
      <c r="D1004" t="s">
        <v>1694</v>
      </c>
      <c r="E1004" t="str">
        <f ca="1">TRIM(Sales_fact[[#This Row],[Store_ID]])</f>
        <v>STORE10</v>
      </c>
      <c r="F1004">
        <v>3</v>
      </c>
      <c r="G1004">
        <f>IF(ISBLANK(F1004),MODE($F$2:$F$2001),F1004)</f>
        <v>3</v>
      </c>
      <c r="H1004">
        <v>909.11</v>
      </c>
      <c r="I1004">
        <f>IF(ISBLANK(H1004),AVERAGE($H$2:$H$2001),H1004)</f>
        <v>909.11</v>
      </c>
      <c r="J1004">
        <v>0.23</v>
      </c>
      <c r="K1004">
        <f>IF(ISBLANK(J1004),MODE($J$2:$J$2001),J1004)</f>
        <v>0.23</v>
      </c>
      <c r="L1004" t="s">
        <v>1829</v>
      </c>
      <c r="M1004">
        <v>2100.0441000000001</v>
      </c>
      <c r="N1004">
        <f t="shared" si="15"/>
        <v>2100.0441000000001</v>
      </c>
      <c r="O1004" t="str">
        <f>_xlfn.XLOOKUP(Sales_fact[[#This Row],[Customer_ID]],'Customer_Dim'!A:A,'Customer_Dim'!K:K,"Not Found")</f>
        <v>Silver</v>
      </c>
      <c r="P1004">
        <f>_xlfn.XLOOKUP(Sales_fact[[#This Row],[Customer_ID]],'Customer_Dim'!A:A, 'Customer_Dim'!E:E, "Not Found")</f>
        <v>27</v>
      </c>
      <c r="Q1004" t="str">
        <f>VLOOKUP(Sales_fact[[#This Row],[Customer_ID]], 'Customer_Dim'!A:F, 6, FALSE)</f>
        <v>Male</v>
      </c>
      <c r="R1004" s="13" t="str">
        <f>_xlfn.XLOOKUP(Sales_fact[[#This Row],[Product_ID]],Product_Dim!A:A,Product_Dim!C:C,"OTHERS")</f>
        <v>Sports</v>
      </c>
    </row>
    <row r="1005" spans="1:18" x14ac:dyDescent="0.3">
      <c r="A1005" t="s">
        <v>2829</v>
      </c>
      <c r="B1005" s="2">
        <v>45542</v>
      </c>
      <c r="C1005" t="s">
        <v>1243</v>
      </c>
      <c r="D1005" t="s">
        <v>1596</v>
      </c>
      <c r="E1005" t="str">
        <f ca="1">TRIM(Sales_fact[[#This Row],[Store_ID]])</f>
        <v>STORE1</v>
      </c>
      <c r="F1005">
        <v>4</v>
      </c>
      <c r="G1005">
        <f>IF(ISBLANK(F1005),MODE($F$2:$F$2001),F1005)</f>
        <v>4</v>
      </c>
      <c r="H1005">
        <v>996.85</v>
      </c>
      <c r="I1005">
        <f>IF(ISBLANK(H1005),AVERAGE($H$2:$H$2001),H1005)</f>
        <v>996.85</v>
      </c>
      <c r="J1005">
        <v>0.24</v>
      </c>
      <c r="K1005">
        <f>IF(ISBLANK(J1005),MODE($J$2:$J$2001),J1005)</f>
        <v>0.24</v>
      </c>
      <c r="L1005" t="s">
        <v>1826</v>
      </c>
      <c r="M1005">
        <v>3030.424</v>
      </c>
      <c r="N1005">
        <f t="shared" si="15"/>
        <v>3030.424</v>
      </c>
      <c r="O1005" t="str">
        <f>_xlfn.XLOOKUP(Sales_fact[[#This Row],[Customer_ID]],'Customer_Dim'!A:A,'Customer_Dim'!K:K,"Not Found")</f>
        <v>Bronze</v>
      </c>
      <c r="P1005">
        <f>_xlfn.XLOOKUP(Sales_fact[[#This Row],[Customer_ID]],'Customer_Dim'!A:A, 'Customer_Dim'!E:E, "Not Found")</f>
        <v>27</v>
      </c>
      <c r="Q1005" t="str">
        <f>VLOOKUP(Sales_fact[[#This Row],[Customer_ID]], 'Customer_Dim'!A:F, 6, FALSE)</f>
        <v>Male</v>
      </c>
      <c r="R1005" s="13" t="str">
        <f>_xlfn.XLOOKUP(Sales_fact[[#This Row],[Product_ID]],Product_Dim!A:A,Product_Dim!C:C,"OTHERS")</f>
        <v>Sports</v>
      </c>
    </row>
    <row r="1006" spans="1:18" x14ac:dyDescent="0.3">
      <c r="A1006" t="s">
        <v>2830</v>
      </c>
      <c r="B1006" s="2">
        <v>45834</v>
      </c>
      <c r="C1006" t="s">
        <v>948</v>
      </c>
      <c r="D1006" t="s">
        <v>1543</v>
      </c>
      <c r="E1006" t="str">
        <f ca="1">TRIM(Sales_fact[[#This Row],[Store_ID]])</f>
        <v>STORE17</v>
      </c>
      <c r="F1006">
        <v>1</v>
      </c>
      <c r="G1006">
        <f>IF(ISBLANK(F1006),MODE($F$2:$F$2001),F1006)</f>
        <v>1</v>
      </c>
      <c r="H1006">
        <v>522.69000000000005</v>
      </c>
      <c r="I1006">
        <f>IF(ISBLANK(H1006),AVERAGE($H$2:$H$2001),H1006)</f>
        <v>522.69000000000005</v>
      </c>
      <c r="J1006">
        <v>0.06</v>
      </c>
      <c r="K1006">
        <f>IF(ISBLANK(J1006),MODE($J$2:$J$2001),J1006)</f>
        <v>0.06</v>
      </c>
      <c r="L1006" t="s">
        <v>1829</v>
      </c>
      <c r="M1006">
        <v>491.32860000000011</v>
      </c>
      <c r="N1006">
        <f t="shared" si="15"/>
        <v>491.32860000000005</v>
      </c>
      <c r="O1006" t="str">
        <f>_xlfn.XLOOKUP(Sales_fact[[#This Row],[Customer_ID]],'Customer_Dim'!A:A,'Customer_Dim'!K:K,"Not Found")</f>
        <v>Silver</v>
      </c>
      <c r="P1006">
        <f>_xlfn.XLOOKUP(Sales_fact[[#This Row],[Customer_ID]],'Customer_Dim'!A:A, 'Customer_Dim'!E:E, "Not Found")</f>
        <v>29</v>
      </c>
      <c r="Q1006" t="str">
        <f>VLOOKUP(Sales_fact[[#This Row],[Customer_ID]], 'Customer_Dim'!A:F, 6, FALSE)</f>
        <v>Male</v>
      </c>
      <c r="R1006" s="13" t="str">
        <f>_xlfn.XLOOKUP(Sales_fact[[#This Row],[Product_ID]],Product_Dim!A:A,Product_Dim!C:C,"OTHERS")</f>
        <v>Electronics</v>
      </c>
    </row>
    <row r="1007" spans="1:18" x14ac:dyDescent="0.3">
      <c r="A1007" t="s">
        <v>2831</v>
      </c>
      <c r="B1007" s="2">
        <v>45405</v>
      </c>
      <c r="C1007" t="s">
        <v>637</v>
      </c>
      <c r="D1007" t="s">
        <v>1656</v>
      </c>
      <c r="E1007" t="str">
        <f ca="1">TRIM(Sales_fact[[#This Row],[Store_ID]])</f>
        <v>STORE3</v>
      </c>
      <c r="F1007">
        <v>3</v>
      </c>
      <c r="G1007">
        <f>IF(ISBLANK(F1007),MODE($F$2:$F$2001),F1007)</f>
        <v>3</v>
      </c>
      <c r="H1007">
        <v>261.05</v>
      </c>
      <c r="I1007">
        <f>IF(ISBLANK(H1007),AVERAGE($H$2:$H$2001),H1007)</f>
        <v>261.05</v>
      </c>
      <c r="J1007">
        <v>0.12</v>
      </c>
      <c r="K1007">
        <f>IF(ISBLANK(J1007),MODE($J$2:$J$2001),J1007)</f>
        <v>0.12</v>
      </c>
      <c r="L1007" t="s">
        <v>1826</v>
      </c>
      <c r="M1007">
        <v>689.17200000000014</v>
      </c>
      <c r="N1007">
        <f t="shared" si="15"/>
        <v>689.17200000000014</v>
      </c>
      <c r="O1007" t="str">
        <f>_xlfn.XLOOKUP(Sales_fact[[#This Row],[Customer_ID]],'Customer_Dim'!A:A,'Customer_Dim'!K:K,"Not Found")</f>
        <v>Gold</v>
      </c>
      <c r="P1007">
        <f>_xlfn.XLOOKUP(Sales_fact[[#This Row],[Customer_ID]],'Customer_Dim'!A:A, 'Customer_Dim'!E:E, "Not Found")</f>
        <v>46</v>
      </c>
      <c r="Q1007" t="str">
        <f>VLOOKUP(Sales_fact[[#This Row],[Customer_ID]], 'Customer_Dim'!A:F, 6, FALSE)</f>
        <v>Male</v>
      </c>
      <c r="R1007" s="13" t="str">
        <f>_xlfn.XLOOKUP(Sales_fact[[#This Row],[Product_ID]],Product_Dim!A:A,Product_Dim!C:C,"OTHERS")</f>
        <v>Sports</v>
      </c>
    </row>
    <row r="1008" spans="1:18" x14ac:dyDescent="0.3">
      <c r="A1008" t="s">
        <v>2832</v>
      </c>
      <c r="B1008" s="2">
        <v>45918</v>
      </c>
      <c r="C1008" t="s">
        <v>314</v>
      </c>
      <c r="D1008" t="s">
        <v>1594</v>
      </c>
      <c r="E1008" t="str">
        <f ca="1">TRIM(Sales_fact[[#This Row],[Store_ID]])</f>
        <v>STORE17</v>
      </c>
      <c r="F1008">
        <v>3</v>
      </c>
      <c r="G1008">
        <f>IF(ISBLANK(F1008),MODE($F$2:$F$2001),F1008)</f>
        <v>3</v>
      </c>
      <c r="H1008">
        <v>644.73</v>
      </c>
      <c r="I1008">
        <f>IF(ISBLANK(H1008),AVERAGE($H$2:$H$2001),H1008)</f>
        <v>644.73</v>
      </c>
      <c r="J1008">
        <v>0.01</v>
      </c>
      <c r="K1008">
        <f>IF(ISBLANK(J1008),MODE($J$2:$J$2001),J1008)</f>
        <v>0.01</v>
      </c>
      <c r="L1008" t="s">
        <v>1829</v>
      </c>
      <c r="M1008">
        <v>1914.8480999999999</v>
      </c>
      <c r="N1008">
        <f t="shared" si="15"/>
        <v>1914.8480999999999</v>
      </c>
      <c r="O1008" t="str">
        <f>_xlfn.XLOOKUP(Sales_fact[[#This Row],[Customer_ID]],'Customer_Dim'!A:A,'Customer_Dim'!K:K,"Not Found")</f>
        <v>Bronze</v>
      </c>
      <c r="P1008">
        <f>_xlfn.XLOOKUP(Sales_fact[[#This Row],[Customer_ID]],'Customer_Dim'!A:A, 'Customer_Dim'!E:E, "Not Found")</f>
        <v>58</v>
      </c>
      <c r="Q1008" t="str">
        <f>VLOOKUP(Sales_fact[[#This Row],[Customer_ID]], 'Customer_Dim'!A:F, 6, FALSE)</f>
        <v>Female</v>
      </c>
      <c r="R1008" s="13" t="str">
        <f>_xlfn.XLOOKUP(Sales_fact[[#This Row],[Product_ID]],Product_Dim!A:A,Product_Dim!C:C,"OTHERS")</f>
        <v>Clothing</v>
      </c>
    </row>
    <row r="1009" spans="1:18" x14ac:dyDescent="0.3">
      <c r="A1009" t="s">
        <v>2833</v>
      </c>
      <c r="B1009" s="2">
        <v>45217</v>
      </c>
      <c r="C1009" t="s">
        <v>648</v>
      </c>
      <c r="D1009" t="s">
        <v>1698</v>
      </c>
      <c r="E1009" t="str">
        <f ca="1">TRIM(Sales_fact[[#This Row],[Store_ID]])</f>
        <v>STORE2</v>
      </c>
      <c r="F1009">
        <v>2</v>
      </c>
      <c r="G1009">
        <f>IF(ISBLANK(F1009),MODE($F$2:$F$2001),F1009)</f>
        <v>2</v>
      </c>
      <c r="H1009">
        <v>541.52</v>
      </c>
      <c r="I1009">
        <f>IF(ISBLANK(H1009),AVERAGE($H$2:$H$2001),H1009)</f>
        <v>541.52</v>
      </c>
      <c r="J1009">
        <v>0.26</v>
      </c>
      <c r="K1009">
        <f>IF(ISBLANK(J1009),MODE($J$2:$J$2001),J1009)</f>
        <v>0.26</v>
      </c>
      <c r="L1009" t="s">
        <v>1826</v>
      </c>
      <c r="M1009">
        <v>801.44959999999992</v>
      </c>
      <c r="N1009">
        <f t="shared" si="15"/>
        <v>801.44959999999992</v>
      </c>
      <c r="O1009" t="str">
        <f>_xlfn.XLOOKUP(Sales_fact[[#This Row],[Customer_ID]],'Customer_Dim'!A:A,'Customer_Dim'!K:K,"Not Found")</f>
        <v>Bronze</v>
      </c>
      <c r="P1009">
        <f>_xlfn.XLOOKUP(Sales_fact[[#This Row],[Customer_ID]],'Customer_Dim'!A:A, 'Customer_Dim'!E:E, "Not Found")</f>
        <v>54</v>
      </c>
      <c r="Q1009" t="str">
        <f>VLOOKUP(Sales_fact[[#This Row],[Customer_ID]], 'Customer_Dim'!A:F, 6, FALSE)</f>
        <v>Male</v>
      </c>
      <c r="R1009" s="13" t="str">
        <f>_xlfn.XLOOKUP(Sales_fact[[#This Row],[Product_ID]],Product_Dim!A:A,Product_Dim!C:C,"OTHERS")</f>
        <v>Clothing</v>
      </c>
    </row>
    <row r="1010" spans="1:18" x14ac:dyDescent="0.3">
      <c r="A1010" t="s">
        <v>2834</v>
      </c>
      <c r="B1010" s="2">
        <v>45259</v>
      </c>
      <c r="C1010" t="s">
        <v>1322</v>
      </c>
      <c r="D1010" t="s">
        <v>1674</v>
      </c>
      <c r="E1010" t="str">
        <f ca="1">TRIM(Sales_fact[[#This Row],[Store_ID]])</f>
        <v>STORE10</v>
      </c>
      <c r="F1010">
        <v>1</v>
      </c>
      <c r="G1010">
        <f>IF(ISBLANK(F1010),MODE($F$2:$F$2001),F1010)</f>
        <v>1</v>
      </c>
      <c r="H1010">
        <v>395.18</v>
      </c>
      <c r="I1010">
        <f>IF(ISBLANK(H1010),AVERAGE($H$2:$H$2001),H1010)</f>
        <v>395.18</v>
      </c>
      <c r="J1010">
        <v>0.09</v>
      </c>
      <c r="K1010">
        <f>IF(ISBLANK(J1010),MODE($J$2:$J$2001),J1010)</f>
        <v>0.09</v>
      </c>
      <c r="L1010" t="s">
        <v>1826</v>
      </c>
      <c r="M1010">
        <v>359.61380000000003</v>
      </c>
      <c r="N1010">
        <f t="shared" si="15"/>
        <v>359.61380000000003</v>
      </c>
      <c r="O1010" t="str">
        <f>_xlfn.XLOOKUP(Sales_fact[[#This Row],[Customer_ID]],'Customer_Dim'!A:A,'Customer_Dim'!K:K,"Not Found")</f>
        <v>Platinum</v>
      </c>
      <c r="P1010">
        <f>_xlfn.XLOOKUP(Sales_fact[[#This Row],[Customer_ID]],'Customer_Dim'!A:A, 'Customer_Dim'!E:E, "Not Found")</f>
        <v>28</v>
      </c>
      <c r="Q1010" t="str">
        <f>VLOOKUP(Sales_fact[[#This Row],[Customer_ID]], 'Customer_Dim'!A:F, 6, FALSE)</f>
        <v>Male</v>
      </c>
      <c r="R1010" s="13" t="str">
        <f>_xlfn.XLOOKUP(Sales_fact[[#This Row],[Product_ID]],Product_Dim!A:A,Product_Dim!C:C,"OTHERS")</f>
        <v>Beauty</v>
      </c>
    </row>
    <row r="1011" spans="1:18" x14ac:dyDescent="0.3">
      <c r="A1011" t="s">
        <v>2835</v>
      </c>
      <c r="B1011" s="2">
        <v>45740</v>
      </c>
      <c r="C1011" t="s">
        <v>356</v>
      </c>
      <c r="D1011" t="s">
        <v>1562</v>
      </c>
      <c r="E1011" t="str">
        <f ca="1">TRIM(Sales_fact[[#This Row],[Store_ID]])</f>
        <v>STORE8</v>
      </c>
      <c r="F1011">
        <v>4</v>
      </c>
      <c r="G1011">
        <f>IF(ISBLANK(F1011),MODE($F$2:$F$2001),F1011)</f>
        <v>4</v>
      </c>
      <c r="H1011">
        <v>56.37</v>
      </c>
      <c r="I1011">
        <f>IF(ISBLANK(H1011),AVERAGE($H$2:$H$2001),H1011)</f>
        <v>56.37</v>
      </c>
      <c r="J1011">
        <v>0.17</v>
      </c>
      <c r="K1011">
        <f>IF(ISBLANK(J1011),MODE($J$2:$J$2001),J1011)</f>
        <v>0.17</v>
      </c>
      <c r="L1011" t="s">
        <v>1824</v>
      </c>
      <c r="M1011">
        <v>187.14840000000001</v>
      </c>
      <c r="N1011">
        <f t="shared" si="15"/>
        <v>187.14839999999998</v>
      </c>
      <c r="O1011" t="str">
        <f>_xlfn.XLOOKUP(Sales_fact[[#This Row],[Customer_ID]],'Customer_Dim'!A:A,'Customer_Dim'!K:K,"Not Found")</f>
        <v>Platinum</v>
      </c>
      <c r="P1011">
        <f>_xlfn.XLOOKUP(Sales_fact[[#This Row],[Customer_ID]],'Customer_Dim'!A:A, 'Customer_Dim'!E:E, "Not Found")</f>
        <v>53</v>
      </c>
      <c r="Q1011" t="str">
        <f>VLOOKUP(Sales_fact[[#This Row],[Customer_ID]], 'Customer_Dim'!A:F, 6, FALSE)</f>
        <v>Female</v>
      </c>
      <c r="R1011" s="13" t="str">
        <f>_xlfn.XLOOKUP(Sales_fact[[#This Row],[Product_ID]],Product_Dim!A:A,Product_Dim!C:C,"OTHERS")</f>
        <v>Electronics</v>
      </c>
    </row>
    <row r="1012" spans="1:18" x14ac:dyDescent="0.3">
      <c r="A1012" t="s">
        <v>2836</v>
      </c>
      <c r="B1012" s="2">
        <v>45908</v>
      </c>
      <c r="C1012" t="s">
        <v>681</v>
      </c>
      <c r="D1012" t="s">
        <v>1706</v>
      </c>
      <c r="E1012" t="str">
        <f ca="1">TRIM(Sales_fact[[#This Row],[Store_ID]])</f>
        <v>STORE9</v>
      </c>
      <c r="F1012">
        <v>4</v>
      </c>
      <c r="G1012">
        <f>IF(ISBLANK(F1012),MODE($F$2:$F$2001),F1012)</f>
        <v>4</v>
      </c>
      <c r="H1012">
        <v>202.59</v>
      </c>
      <c r="I1012">
        <f>IF(ISBLANK(H1012),AVERAGE($H$2:$H$2001),H1012)</f>
        <v>202.59</v>
      </c>
      <c r="J1012">
        <v>0.06</v>
      </c>
      <c r="K1012">
        <f>IF(ISBLANK(J1012),MODE($J$2:$J$2001),J1012)</f>
        <v>0.06</v>
      </c>
      <c r="L1012" t="s">
        <v>1829</v>
      </c>
      <c r="M1012">
        <v>761.73839999999996</v>
      </c>
      <c r="N1012">
        <f t="shared" si="15"/>
        <v>761.73839999999996</v>
      </c>
      <c r="O1012" t="str">
        <f>_xlfn.XLOOKUP(Sales_fact[[#This Row],[Customer_ID]],'Customer_Dim'!A:A,'Customer_Dim'!K:K,"Not Found")</f>
        <v>Platinum</v>
      </c>
      <c r="P1012">
        <f>_xlfn.XLOOKUP(Sales_fact[[#This Row],[Customer_ID]],'Customer_Dim'!A:A, 'Customer_Dim'!E:E, "Not Found")</f>
        <v>50</v>
      </c>
      <c r="Q1012" t="str">
        <f>VLOOKUP(Sales_fact[[#This Row],[Customer_ID]], 'Customer_Dim'!A:F, 6, FALSE)</f>
        <v>Female</v>
      </c>
      <c r="R1012" s="13" t="str">
        <f>_xlfn.XLOOKUP(Sales_fact[[#This Row],[Product_ID]],Product_Dim!A:A,Product_Dim!C:C,"OTHERS")</f>
        <v>Home</v>
      </c>
    </row>
    <row r="1013" spans="1:18" x14ac:dyDescent="0.3">
      <c r="A1013" t="s">
        <v>2837</v>
      </c>
      <c r="B1013" s="2">
        <v>45601</v>
      </c>
      <c r="C1013" t="s">
        <v>27</v>
      </c>
      <c r="D1013" t="s">
        <v>1710</v>
      </c>
      <c r="E1013" t="str">
        <f ca="1">TRIM(Sales_fact[[#This Row],[Store_ID]])</f>
        <v>STORE5</v>
      </c>
      <c r="F1013">
        <v>2</v>
      </c>
      <c r="G1013">
        <f>IF(ISBLANK(F1013),MODE($F$2:$F$2001),F1013)</f>
        <v>2</v>
      </c>
      <c r="H1013">
        <v>358.36</v>
      </c>
      <c r="I1013">
        <f>IF(ISBLANK(H1013),AVERAGE($H$2:$H$2001),H1013)</f>
        <v>358.36</v>
      </c>
      <c r="J1013">
        <v>0.05</v>
      </c>
      <c r="K1013">
        <f>IF(ISBLANK(J1013),MODE($J$2:$J$2001),J1013)</f>
        <v>0.05</v>
      </c>
      <c r="L1013" t="s">
        <v>1826</v>
      </c>
      <c r="M1013">
        <v>680.88400000000001</v>
      </c>
      <c r="N1013">
        <f t="shared" si="15"/>
        <v>680.88400000000001</v>
      </c>
      <c r="O1013" t="str">
        <f>_xlfn.XLOOKUP(Sales_fact[[#This Row],[Customer_ID]],'Customer_Dim'!A:A,'Customer_Dim'!K:K,"Not Found")</f>
        <v>Silver</v>
      </c>
      <c r="P1013">
        <f>_xlfn.XLOOKUP(Sales_fact[[#This Row],[Customer_ID]],'Customer_Dim'!A:A, 'Customer_Dim'!E:E, "Not Found")</f>
        <v>64</v>
      </c>
      <c r="Q1013" t="str">
        <f>VLOOKUP(Sales_fact[[#This Row],[Customer_ID]], 'Customer_Dim'!A:F, 6, FALSE)</f>
        <v>Female</v>
      </c>
      <c r="R1013" s="13" t="str">
        <f>_xlfn.XLOOKUP(Sales_fact[[#This Row],[Product_ID]],Product_Dim!A:A,Product_Dim!C:C,"OTHERS")</f>
        <v>Sports</v>
      </c>
    </row>
    <row r="1014" spans="1:18" x14ac:dyDescent="0.3">
      <c r="A1014" t="s">
        <v>2838</v>
      </c>
      <c r="B1014" s="2">
        <v>45535</v>
      </c>
      <c r="C1014" t="s">
        <v>264</v>
      </c>
      <c r="D1014" t="s">
        <v>1622</v>
      </c>
      <c r="E1014" t="str">
        <f ca="1">TRIM(Sales_fact[[#This Row],[Store_ID]])</f>
        <v>STORE18</v>
      </c>
      <c r="F1014">
        <v>4</v>
      </c>
      <c r="G1014">
        <f>IF(ISBLANK(F1014),MODE($F$2:$F$2001),F1014)</f>
        <v>4</v>
      </c>
      <c r="H1014">
        <v>85.62</v>
      </c>
      <c r="I1014">
        <f>IF(ISBLANK(H1014),AVERAGE($H$2:$H$2001),H1014)</f>
        <v>85.62</v>
      </c>
      <c r="J1014">
        <v>0.28000000000000003</v>
      </c>
      <c r="K1014">
        <f>IF(ISBLANK(J1014),MODE($J$2:$J$2001),J1014)</f>
        <v>0.28000000000000003</v>
      </c>
      <c r="L1014" t="s">
        <v>1829</v>
      </c>
      <c r="M1014">
        <v>246.5856</v>
      </c>
      <c r="N1014">
        <f t="shared" si="15"/>
        <v>246.5856</v>
      </c>
      <c r="O1014" t="str">
        <f>_xlfn.XLOOKUP(Sales_fact[[#This Row],[Customer_ID]],'Customer_Dim'!A:A,'Customer_Dim'!K:K,"Not Found")</f>
        <v>Gold</v>
      </c>
      <c r="P1014">
        <f>_xlfn.XLOOKUP(Sales_fact[[#This Row],[Customer_ID]],'Customer_Dim'!A:A, 'Customer_Dim'!E:E, "Not Found")</f>
        <v>39</v>
      </c>
      <c r="Q1014" t="str">
        <f>VLOOKUP(Sales_fact[[#This Row],[Customer_ID]], 'Customer_Dim'!A:F, 6, FALSE)</f>
        <v>Female</v>
      </c>
      <c r="R1014" s="13" t="str">
        <f>_xlfn.XLOOKUP(Sales_fact[[#This Row],[Product_ID]],Product_Dim!A:A,Product_Dim!C:C,"OTHERS")</f>
        <v>Clothing</v>
      </c>
    </row>
    <row r="1015" spans="1:18" x14ac:dyDescent="0.3">
      <c r="A1015" t="s">
        <v>2839</v>
      </c>
      <c r="B1015" s="2">
        <v>45459</v>
      </c>
      <c r="C1015" t="s">
        <v>610</v>
      </c>
      <c r="D1015" t="s">
        <v>1560</v>
      </c>
      <c r="E1015" t="str">
        <f ca="1">TRIM(Sales_fact[[#This Row],[Store_ID]])</f>
        <v>STORE17</v>
      </c>
      <c r="F1015">
        <v>4</v>
      </c>
      <c r="G1015">
        <f>IF(ISBLANK(F1015),MODE($F$2:$F$2001),F1015)</f>
        <v>4</v>
      </c>
      <c r="H1015">
        <v>929.26</v>
      </c>
      <c r="I1015">
        <f>IF(ISBLANK(H1015),AVERAGE($H$2:$H$2001),H1015)</f>
        <v>929.26</v>
      </c>
      <c r="J1015">
        <v>0.23</v>
      </c>
      <c r="K1015">
        <f>IF(ISBLANK(J1015),MODE($J$2:$J$2001),J1015)</f>
        <v>0.23</v>
      </c>
      <c r="L1015" t="s">
        <v>1826</v>
      </c>
      <c r="M1015">
        <v>2862.1208000000001</v>
      </c>
      <c r="N1015">
        <f t="shared" si="15"/>
        <v>2862.1208000000001</v>
      </c>
      <c r="O1015" t="str">
        <f>_xlfn.XLOOKUP(Sales_fact[[#This Row],[Customer_ID]],'Customer_Dim'!A:A,'Customer_Dim'!K:K,"Not Found")</f>
        <v>Platinum</v>
      </c>
      <c r="P1015">
        <f>_xlfn.XLOOKUP(Sales_fact[[#This Row],[Customer_ID]],'Customer_Dim'!A:A, 'Customer_Dim'!E:E, "Not Found")</f>
        <v>54</v>
      </c>
      <c r="Q1015" t="str">
        <f>VLOOKUP(Sales_fact[[#This Row],[Customer_ID]], 'Customer_Dim'!A:F, 6, FALSE)</f>
        <v>Female</v>
      </c>
      <c r="R1015" s="13" t="str">
        <f>_xlfn.XLOOKUP(Sales_fact[[#This Row],[Product_ID]],Product_Dim!A:A,Product_Dim!C:C,"OTHERS")</f>
        <v>Home</v>
      </c>
    </row>
    <row r="1016" spans="1:18" x14ac:dyDescent="0.3">
      <c r="A1016" t="s">
        <v>2840</v>
      </c>
      <c r="B1016" s="2">
        <v>45681</v>
      </c>
      <c r="C1016" t="s">
        <v>975</v>
      </c>
      <c r="D1016" t="s">
        <v>1668</v>
      </c>
      <c r="E1016" t="str">
        <f ca="1">TRIM(Sales_fact[[#This Row],[Store_ID]])</f>
        <v>STORE13</v>
      </c>
      <c r="F1016">
        <v>2</v>
      </c>
      <c r="G1016">
        <f>IF(ISBLANK(F1016),MODE($F$2:$F$2001),F1016)</f>
        <v>2</v>
      </c>
      <c r="H1016">
        <v>92.64</v>
      </c>
      <c r="I1016">
        <f>IF(ISBLANK(H1016),AVERAGE($H$2:$H$2001),H1016)</f>
        <v>92.64</v>
      </c>
      <c r="J1016">
        <v>0.14000000000000001</v>
      </c>
      <c r="K1016">
        <f>IF(ISBLANK(J1016),MODE($J$2:$J$2001),J1016)</f>
        <v>0.14000000000000001</v>
      </c>
      <c r="L1016" t="s">
        <v>1829</v>
      </c>
      <c r="M1016">
        <v>159.3408</v>
      </c>
      <c r="N1016">
        <f t="shared" si="15"/>
        <v>159.3408</v>
      </c>
      <c r="O1016" t="str">
        <f>_xlfn.XLOOKUP(Sales_fact[[#This Row],[Customer_ID]],'Customer_Dim'!A:A,'Customer_Dim'!K:K,"Not Found")</f>
        <v>Bronze</v>
      </c>
      <c r="P1016">
        <f>_xlfn.XLOOKUP(Sales_fact[[#This Row],[Customer_ID]],'Customer_Dim'!A:A, 'Customer_Dim'!E:E, "Not Found")</f>
        <v>41</v>
      </c>
      <c r="Q1016" t="str">
        <f>VLOOKUP(Sales_fact[[#This Row],[Customer_ID]], 'Customer_Dim'!A:F, 6, FALSE)</f>
        <v>Female</v>
      </c>
      <c r="R1016" s="13" t="str">
        <f>_xlfn.XLOOKUP(Sales_fact[[#This Row],[Product_ID]],Product_Dim!A:A,Product_Dim!C:C,"OTHERS")</f>
        <v>Beauty</v>
      </c>
    </row>
    <row r="1017" spans="1:18" x14ac:dyDescent="0.3">
      <c r="A1017" t="s">
        <v>2841</v>
      </c>
      <c r="B1017" s="2">
        <v>45725</v>
      </c>
      <c r="C1017" t="s">
        <v>794</v>
      </c>
      <c r="D1017" t="s">
        <v>1672</v>
      </c>
      <c r="E1017" t="str">
        <f ca="1">TRIM(Sales_fact[[#This Row],[Store_ID]])</f>
        <v>STORE4</v>
      </c>
      <c r="F1017">
        <v>4</v>
      </c>
      <c r="G1017">
        <f>IF(ISBLANK(F1017),MODE($F$2:$F$2001),F1017)</f>
        <v>4</v>
      </c>
      <c r="H1017">
        <v>139.05000000000001</v>
      </c>
      <c r="I1017">
        <f>IF(ISBLANK(H1017),AVERAGE($H$2:$H$2001),H1017)</f>
        <v>139.05000000000001</v>
      </c>
      <c r="J1017">
        <v>0.28999999999999998</v>
      </c>
      <c r="K1017">
        <f>IF(ISBLANK(J1017),MODE($J$2:$J$2001),J1017)</f>
        <v>0.28999999999999998</v>
      </c>
      <c r="L1017" t="s">
        <v>1829</v>
      </c>
      <c r="M1017">
        <v>394.90199999999999</v>
      </c>
      <c r="N1017">
        <f t="shared" si="15"/>
        <v>394.90199999999999</v>
      </c>
      <c r="O1017" t="str">
        <f>_xlfn.XLOOKUP(Sales_fact[[#This Row],[Customer_ID]],'Customer_Dim'!A:A,'Customer_Dim'!K:K,"Not Found")</f>
        <v>Gold</v>
      </c>
      <c r="P1017">
        <f>_xlfn.XLOOKUP(Sales_fact[[#This Row],[Customer_ID]],'Customer_Dim'!A:A, 'Customer_Dim'!E:E, "Not Found")</f>
        <v>19</v>
      </c>
      <c r="Q1017" t="str">
        <f>VLOOKUP(Sales_fact[[#This Row],[Customer_ID]], 'Customer_Dim'!A:F, 6, FALSE)</f>
        <v>Male</v>
      </c>
      <c r="R1017" s="13" t="str">
        <f>_xlfn.XLOOKUP(Sales_fact[[#This Row],[Product_ID]],Product_Dim!A:A,Product_Dim!C:C,"OTHERS")</f>
        <v>Electronics</v>
      </c>
    </row>
    <row r="1018" spans="1:18" x14ac:dyDescent="0.3">
      <c r="A1018" t="s">
        <v>2842</v>
      </c>
      <c r="B1018" s="2">
        <v>45461</v>
      </c>
      <c r="C1018" t="s">
        <v>475</v>
      </c>
      <c r="D1018" t="s">
        <v>1654</v>
      </c>
      <c r="E1018" t="str">
        <f ca="1">TRIM(Sales_fact[[#This Row],[Store_ID]])</f>
        <v>STORE4</v>
      </c>
      <c r="F1018">
        <v>3</v>
      </c>
      <c r="G1018">
        <f>IF(ISBLANK(F1018),MODE($F$2:$F$2001),F1018)</f>
        <v>3</v>
      </c>
      <c r="H1018">
        <v>155.87</v>
      </c>
      <c r="I1018">
        <f>IF(ISBLANK(H1018),AVERAGE($H$2:$H$2001),H1018)</f>
        <v>155.87</v>
      </c>
      <c r="J1018">
        <v>0.03</v>
      </c>
      <c r="K1018">
        <f>IF(ISBLANK(J1018),MODE($J$2:$J$2001),J1018)</f>
        <v>0.03</v>
      </c>
      <c r="L1018" t="s">
        <v>1829</v>
      </c>
      <c r="M1018">
        <v>453.58170000000001</v>
      </c>
      <c r="N1018">
        <f t="shared" si="15"/>
        <v>453.58170000000001</v>
      </c>
      <c r="O1018" t="str">
        <f>_xlfn.XLOOKUP(Sales_fact[[#This Row],[Customer_ID]],'Customer_Dim'!A:A,'Customer_Dim'!K:K,"Not Found")</f>
        <v>Gold</v>
      </c>
      <c r="P1018">
        <f>_xlfn.XLOOKUP(Sales_fact[[#This Row],[Customer_ID]],'Customer_Dim'!A:A, 'Customer_Dim'!E:E, "Not Found")</f>
        <v>63</v>
      </c>
      <c r="Q1018" t="str">
        <f>VLOOKUP(Sales_fact[[#This Row],[Customer_ID]], 'Customer_Dim'!A:F, 6, FALSE)</f>
        <v>Female</v>
      </c>
      <c r="R1018" s="13" t="str">
        <f>_xlfn.XLOOKUP(Sales_fact[[#This Row],[Product_ID]],Product_Dim!A:A,Product_Dim!C:C,"OTHERS")</f>
        <v>Clothing</v>
      </c>
    </row>
    <row r="1019" spans="1:18" x14ac:dyDescent="0.3">
      <c r="A1019" t="s">
        <v>2843</v>
      </c>
      <c r="B1019" s="2">
        <v>45837</v>
      </c>
      <c r="C1019" t="s">
        <v>1368</v>
      </c>
      <c r="D1019" t="s">
        <v>1616</v>
      </c>
      <c r="E1019" t="str">
        <f ca="1">TRIM(Sales_fact[[#This Row],[Store_ID]])</f>
        <v>STORE16</v>
      </c>
      <c r="F1019">
        <v>4</v>
      </c>
      <c r="G1019">
        <f>IF(ISBLANK(F1019),MODE($F$2:$F$2001),F1019)</f>
        <v>4</v>
      </c>
      <c r="H1019">
        <v>115.42</v>
      </c>
      <c r="I1019">
        <f>IF(ISBLANK(H1019),AVERAGE($H$2:$H$2001),H1019)</f>
        <v>115.42</v>
      </c>
      <c r="J1019">
        <v>0.03</v>
      </c>
      <c r="K1019">
        <f>IF(ISBLANK(J1019),MODE($J$2:$J$2001),J1019)</f>
        <v>0.03</v>
      </c>
      <c r="L1019" t="s">
        <v>1829</v>
      </c>
      <c r="M1019">
        <v>447.82960000000003</v>
      </c>
      <c r="N1019">
        <f t="shared" si="15"/>
        <v>447.82959999999997</v>
      </c>
      <c r="O1019" t="str">
        <f>_xlfn.XLOOKUP(Sales_fact[[#This Row],[Customer_ID]],'Customer_Dim'!A:A,'Customer_Dim'!K:K,"Not Found")</f>
        <v>Bronze</v>
      </c>
      <c r="P1019">
        <f>_xlfn.XLOOKUP(Sales_fact[[#This Row],[Customer_ID]],'Customer_Dim'!A:A, 'Customer_Dim'!E:E, "Not Found")</f>
        <v>42</v>
      </c>
      <c r="Q1019" t="str">
        <f>VLOOKUP(Sales_fact[[#This Row],[Customer_ID]], 'Customer_Dim'!A:F, 6, FALSE)</f>
        <v>Female</v>
      </c>
      <c r="R1019" s="13" t="str">
        <f>_xlfn.XLOOKUP(Sales_fact[[#This Row],[Product_ID]],Product_Dim!A:A,Product_Dim!C:C,"OTHERS")</f>
        <v>Electronics</v>
      </c>
    </row>
    <row r="1020" spans="1:18" x14ac:dyDescent="0.3">
      <c r="A1020" t="s">
        <v>2844</v>
      </c>
      <c r="B1020" s="2">
        <v>45823</v>
      </c>
      <c r="C1020" t="s">
        <v>422</v>
      </c>
      <c r="D1020" t="s">
        <v>1652</v>
      </c>
      <c r="E1020" t="str">
        <f ca="1">TRIM(Sales_fact[[#This Row],[Store_ID]])</f>
        <v>STORE6</v>
      </c>
      <c r="F1020">
        <v>3</v>
      </c>
      <c r="G1020">
        <f>IF(ISBLANK(F1020),MODE($F$2:$F$2001),F1020)</f>
        <v>3</v>
      </c>
      <c r="H1020">
        <v>593.62</v>
      </c>
      <c r="I1020">
        <f>IF(ISBLANK(H1020),AVERAGE($H$2:$H$2001),H1020)</f>
        <v>593.62</v>
      </c>
      <c r="J1020">
        <v>0.08</v>
      </c>
      <c r="K1020">
        <f>IF(ISBLANK(J1020),MODE($J$2:$J$2001),J1020)</f>
        <v>0.08</v>
      </c>
      <c r="L1020" t="s">
        <v>1824</v>
      </c>
      <c r="M1020">
        <v>1638.3912</v>
      </c>
      <c r="N1020">
        <f t="shared" si="15"/>
        <v>1638.3912000000003</v>
      </c>
      <c r="O1020" t="str">
        <f>_xlfn.XLOOKUP(Sales_fact[[#This Row],[Customer_ID]],'Customer_Dim'!A:A,'Customer_Dim'!K:K,"Not Found")</f>
        <v>Platinum</v>
      </c>
      <c r="P1020">
        <f>_xlfn.XLOOKUP(Sales_fact[[#This Row],[Customer_ID]],'Customer_Dim'!A:A, 'Customer_Dim'!E:E, "Not Found")</f>
        <v>50</v>
      </c>
      <c r="Q1020" t="str">
        <f>VLOOKUP(Sales_fact[[#This Row],[Customer_ID]], 'Customer_Dim'!A:F, 6, FALSE)</f>
        <v>Male</v>
      </c>
      <c r="R1020" s="13" t="str">
        <f>_xlfn.XLOOKUP(Sales_fact[[#This Row],[Product_ID]],Product_Dim!A:A,Product_Dim!C:C,"OTHERS")</f>
        <v>Sports</v>
      </c>
    </row>
    <row r="1021" spans="1:18" x14ac:dyDescent="0.3">
      <c r="A1021" t="s">
        <v>2845</v>
      </c>
      <c r="B1021" s="2">
        <v>45733</v>
      </c>
      <c r="C1021" t="s">
        <v>1107</v>
      </c>
      <c r="D1021" t="s">
        <v>1638</v>
      </c>
      <c r="E1021" t="str">
        <f ca="1">TRIM(Sales_fact[[#This Row],[Store_ID]])</f>
        <v>STORE4</v>
      </c>
      <c r="F1021">
        <v>2</v>
      </c>
      <c r="G1021">
        <f>IF(ISBLANK(F1021),MODE($F$2:$F$2001),F1021)</f>
        <v>2</v>
      </c>
      <c r="H1021">
        <v>825.04</v>
      </c>
      <c r="I1021">
        <f>IF(ISBLANK(H1021),AVERAGE($H$2:$H$2001),H1021)</f>
        <v>825.04</v>
      </c>
      <c r="J1021">
        <v>0.2</v>
      </c>
      <c r="K1021">
        <f>IF(ISBLANK(J1021),MODE($J$2:$J$2001),J1021)</f>
        <v>0.2</v>
      </c>
      <c r="L1021" t="s">
        <v>1824</v>
      </c>
      <c r="M1021">
        <v>1320.0640000000001</v>
      </c>
      <c r="N1021">
        <f t="shared" si="15"/>
        <v>1320.0640000000001</v>
      </c>
      <c r="O1021" t="str">
        <f>_xlfn.XLOOKUP(Sales_fact[[#This Row],[Customer_ID]],'Customer_Dim'!A:A,'Customer_Dim'!K:K,"Not Found")</f>
        <v>Platinum</v>
      </c>
      <c r="P1021">
        <f>_xlfn.XLOOKUP(Sales_fact[[#This Row],[Customer_ID]],'Customer_Dim'!A:A, 'Customer_Dim'!E:E, "Not Found")</f>
        <v>56</v>
      </c>
      <c r="Q1021" t="str">
        <f>VLOOKUP(Sales_fact[[#This Row],[Customer_ID]], 'Customer_Dim'!A:F, 6, FALSE)</f>
        <v>Female</v>
      </c>
      <c r="R1021" s="13" t="str">
        <f>_xlfn.XLOOKUP(Sales_fact[[#This Row],[Product_ID]],Product_Dim!A:A,Product_Dim!C:C,"OTHERS")</f>
        <v>Sports</v>
      </c>
    </row>
    <row r="1022" spans="1:18" x14ac:dyDescent="0.3">
      <c r="A1022" t="s">
        <v>2846</v>
      </c>
      <c r="B1022" s="2">
        <v>45322</v>
      </c>
      <c r="C1022" t="s">
        <v>1431</v>
      </c>
      <c r="D1022" t="s">
        <v>1598</v>
      </c>
      <c r="E1022" t="str">
        <f ca="1">TRIM(Sales_fact[[#This Row],[Store_ID]])</f>
        <v>STORE13</v>
      </c>
      <c r="F1022">
        <v>1</v>
      </c>
      <c r="G1022">
        <f>IF(ISBLANK(F1022),MODE($F$2:$F$2001),F1022)</f>
        <v>1</v>
      </c>
      <c r="H1022">
        <v>963.76</v>
      </c>
      <c r="I1022">
        <f>IF(ISBLANK(H1022),AVERAGE($H$2:$H$2001),H1022)</f>
        <v>963.76</v>
      </c>
      <c r="J1022">
        <v>0.14000000000000001</v>
      </c>
      <c r="K1022">
        <f>IF(ISBLANK(J1022),MODE($J$2:$J$2001),J1022)</f>
        <v>0.14000000000000001</v>
      </c>
      <c r="L1022" t="s">
        <v>1826</v>
      </c>
      <c r="M1022">
        <v>828.83359999999993</v>
      </c>
      <c r="N1022">
        <f t="shared" si="15"/>
        <v>828.83359999999993</v>
      </c>
      <c r="O1022" t="str">
        <f>_xlfn.XLOOKUP(Sales_fact[[#This Row],[Customer_ID]],'Customer_Dim'!A:A,'Customer_Dim'!K:K,"Not Found")</f>
        <v>Not Found</v>
      </c>
      <c r="P1022" t="str">
        <f>_xlfn.XLOOKUP(Sales_fact[[#This Row],[Customer_ID]],'Customer_Dim'!A:A, 'Customer_Dim'!E:E, "Not Found")</f>
        <v>Not Found</v>
      </c>
      <c r="Q1022" t="e">
        <f>VLOOKUP(Sales_fact[[#This Row],[Customer_ID]], 'Customer_Dim'!A:F, 6, FALSE)</f>
        <v>#N/A</v>
      </c>
      <c r="R1022" s="13" t="str">
        <f>_xlfn.XLOOKUP(Sales_fact[[#This Row],[Product_ID]],Product_Dim!A:A,Product_Dim!C:C,"OTHERS")</f>
        <v>Clothing</v>
      </c>
    </row>
    <row r="1023" spans="1:18" x14ac:dyDescent="0.3">
      <c r="A1023" t="s">
        <v>2847</v>
      </c>
      <c r="B1023" s="2">
        <v>45415</v>
      </c>
      <c r="C1023" t="s">
        <v>926</v>
      </c>
      <c r="D1023" t="s">
        <v>1658</v>
      </c>
      <c r="E1023" t="str">
        <f ca="1">TRIM(Sales_fact[[#This Row],[Store_ID]])</f>
        <v>STORE6</v>
      </c>
      <c r="F1023">
        <v>1</v>
      </c>
      <c r="G1023">
        <f>IF(ISBLANK(F1023),MODE($F$2:$F$2001),F1023)</f>
        <v>1</v>
      </c>
      <c r="H1023">
        <v>238.24</v>
      </c>
      <c r="I1023">
        <f>IF(ISBLANK(H1023),AVERAGE($H$2:$H$2001),H1023)</f>
        <v>238.24</v>
      </c>
      <c r="J1023">
        <v>0.12</v>
      </c>
      <c r="K1023">
        <f>IF(ISBLANK(J1023),MODE($J$2:$J$2001),J1023)</f>
        <v>0.12</v>
      </c>
      <c r="L1023" t="s">
        <v>1826</v>
      </c>
      <c r="M1023">
        <v>209.65119999999999</v>
      </c>
      <c r="N1023">
        <f t="shared" si="15"/>
        <v>209.65120000000002</v>
      </c>
      <c r="O1023" t="str">
        <f>_xlfn.XLOOKUP(Sales_fact[[#This Row],[Customer_ID]],'Customer_Dim'!A:A,'Customer_Dim'!K:K,"Not Found")</f>
        <v>Silver</v>
      </c>
      <c r="P1023">
        <f>_xlfn.XLOOKUP(Sales_fact[[#This Row],[Customer_ID]],'Customer_Dim'!A:A, 'Customer_Dim'!E:E, "Not Found")</f>
        <v>30</v>
      </c>
      <c r="Q1023" t="str">
        <f>VLOOKUP(Sales_fact[[#This Row],[Customer_ID]], 'Customer_Dim'!A:F, 6, FALSE)</f>
        <v>Male</v>
      </c>
      <c r="R1023" s="13" t="str">
        <f>_xlfn.XLOOKUP(Sales_fact[[#This Row],[Product_ID]],Product_Dim!A:A,Product_Dim!C:C,"OTHERS")</f>
        <v>Home</v>
      </c>
    </row>
    <row r="1024" spans="1:18" x14ac:dyDescent="0.3">
      <c r="A1024" t="s">
        <v>2848</v>
      </c>
      <c r="B1024" s="2">
        <v>45644</v>
      </c>
      <c r="C1024" t="s">
        <v>1411</v>
      </c>
      <c r="D1024" t="s">
        <v>1712</v>
      </c>
      <c r="E1024" t="str">
        <f ca="1">TRIM(Sales_fact[[#This Row],[Store_ID]])</f>
        <v>STORE16</v>
      </c>
      <c r="F1024">
        <v>1</v>
      </c>
      <c r="G1024">
        <f>IF(ISBLANK(F1024),MODE($F$2:$F$2001),F1024)</f>
        <v>1</v>
      </c>
      <c r="H1024">
        <v>756.63</v>
      </c>
      <c r="I1024">
        <f>IF(ISBLANK(H1024),AVERAGE($H$2:$H$2001),H1024)</f>
        <v>756.63</v>
      </c>
      <c r="J1024">
        <v>0.04</v>
      </c>
      <c r="K1024">
        <f>IF(ISBLANK(J1024),MODE($J$2:$J$2001),J1024)</f>
        <v>0.04</v>
      </c>
      <c r="L1024" t="s">
        <v>1826</v>
      </c>
      <c r="M1024">
        <v>726.36479999999995</v>
      </c>
      <c r="N1024">
        <f t="shared" si="15"/>
        <v>726.36479999999995</v>
      </c>
      <c r="O1024" t="str">
        <f>_xlfn.XLOOKUP(Sales_fact[[#This Row],[Customer_ID]],'Customer_Dim'!A:A,'Customer_Dim'!K:K,"Not Found")</f>
        <v>Platinum</v>
      </c>
      <c r="P1024">
        <f>_xlfn.XLOOKUP(Sales_fact[[#This Row],[Customer_ID]],'Customer_Dim'!A:A, 'Customer_Dim'!E:E, "Not Found")</f>
        <v>59</v>
      </c>
      <c r="Q1024" t="str">
        <f>VLOOKUP(Sales_fact[[#This Row],[Customer_ID]], 'Customer_Dim'!A:F, 6, FALSE)</f>
        <v>Male</v>
      </c>
      <c r="R1024" s="13" t="str">
        <f>_xlfn.XLOOKUP(Sales_fact[[#This Row],[Product_ID]],Product_Dim!A:A,Product_Dim!C:C,"OTHERS")</f>
        <v>Sports</v>
      </c>
    </row>
    <row r="1025" spans="1:18" x14ac:dyDescent="0.3">
      <c r="A1025" t="s">
        <v>2849</v>
      </c>
      <c r="B1025" s="2">
        <v>45845</v>
      </c>
      <c r="C1025" t="s">
        <v>85</v>
      </c>
      <c r="D1025" t="s">
        <v>1734</v>
      </c>
      <c r="E1025" t="str">
        <f ca="1">TRIM(Sales_fact[[#This Row],[Store_ID]])</f>
        <v>STORE7</v>
      </c>
      <c r="F1025">
        <v>3</v>
      </c>
      <c r="G1025">
        <f>IF(ISBLANK(F1025),MODE($F$2:$F$2001),F1025)</f>
        <v>3</v>
      </c>
      <c r="H1025">
        <v>159.76</v>
      </c>
      <c r="I1025">
        <f>IF(ISBLANK(H1025),AVERAGE($H$2:$H$2001),H1025)</f>
        <v>159.76</v>
      </c>
      <c r="J1025">
        <v>0.22</v>
      </c>
      <c r="K1025">
        <f>IF(ISBLANK(J1025),MODE($J$2:$J$2001),J1025)</f>
        <v>0.22</v>
      </c>
      <c r="L1025" t="s">
        <v>1824</v>
      </c>
      <c r="M1025">
        <v>373.83839999999998</v>
      </c>
      <c r="N1025">
        <f t="shared" si="15"/>
        <v>373.83839999999998</v>
      </c>
      <c r="O1025" t="str">
        <f>_xlfn.XLOOKUP(Sales_fact[[#This Row],[Customer_ID]],'Customer_Dim'!A:A,'Customer_Dim'!K:K,"Not Found")</f>
        <v>Platinum</v>
      </c>
      <c r="P1025">
        <f>_xlfn.XLOOKUP(Sales_fact[[#This Row],[Customer_ID]],'Customer_Dim'!A:A, 'Customer_Dim'!E:E, "Not Found")</f>
        <v>46</v>
      </c>
      <c r="Q1025" t="str">
        <f>VLOOKUP(Sales_fact[[#This Row],[Customer_ID]], 'Customer_Dim'!A:F, 6, FALSE)</f>
        <v>Female</v>
      </c>
      <c r="R1025" s="13" t="str">
        <f>_xlfn.XLOOKUP(Sales_fact[[#This Row],[Product_ID]],Product_Dim!A:A,Product_Dim!C:C,"OTHERS")</f>
        <v>Electronics</v>
      </c>
    </row>
    <row r="1026" spans="1:18" x14ac:dyDescent="0.3">
      <c r="A1026" t="s">
        <v>2850</v>
      </c>
      <c r="B1026" s="2">
        <v>45354</v>
      </c>
      <c r="C1026" t="s">
        <v>1151</v>
      </c>
      <c r="D1026" t="s">
        <v>1738</v>
      </c>
      <c r="E1026" t="str">
        <f ca="1">TRIM(Sales_fact[[#This Row],[Store_ID]])</f>
        <v>STORE8</v>
      </c>
      <c r="F1026">
        <v>1</v>
      </c>
      <c r="G1026">
        <f>IF(ISBLANK(F1026),MODE($F$2:$F$2001),F1026)</f>
        <v>1</v>
      </c>
      <c r="H1026">
        <v>329.94</v>
      </c>
      <c r="I1026">
        <f>IF(ISBLANK(H1026),AVERAGE($H$2:$H$2001),H1026)</f>
        <v>329.94</v>
      </c>
      <c r="J1026">
        <v>0.14000000000000001</v>
      </c>
      <c r="K1026">
        <f>IF(ISBLANK(J1026),MODE($J$2:$J$2001),J1026)</f>
        <v>0.14000000000000001</v>
      </c>
      <c r="L1026" t="s">
        <v>1829</v>
      </c>
      <c r="M1026">
        <v>283.7484</v>
      </c>
      <c r="N1026">
        <f t="shared" si="15"/>
        <v>283.7484</v>
      </c>
      <c r="O1026" t="str">
        <f>_xlfn.XLOOKUP(Sales_fact[[#This Row],[Customer_ID]],'Customer_Dim'!A:A,'Customer_Dim'!K:K,"Not Found")</f>
        <v>Platinum</v>
      </c>
      <c r="P1026">
        <f>_xlfn.XLOOKUP(Sales_fact[[#This Row],[Customer_ID]],'Customer_Dim'!A:A, 'Customer_Dim'!E:E, "Not Found")</f>
        <v>34</v>
      </c>
      <c r="Q1026" t="str">
        <f>VLOOKUP(Sales_fact[[#This Row],[Customer_ID]], 'Customer_Dim'!A:F, 6, FALSE)</f>
        <v>Female</v>
      </c>
      <c r="R1026" s="13" t="str">
        <f>_xlfn.XLOOKUP(Sales_fact[[#This Row],[Product_ID]],Product_Dim!A:A,Product_Dim!C:C,"OTHERS")</f>
        <v>Sports</v>
      </c>
    </row>
    <row r="1027" spans="1:18" x14ac:dyDescent="0.3">
      <c r="A1027" t="s">
        <v>2851</v>
      </c>
      <c r="B1027" s="2">
        <v>45720</v>
      </c>
      <c r="C1027" t="s">
        <v>224</v>
      </c>
      <c r="D1027" t="s">
        <v>1582</v>
      </c>
      <c r="E1027" t="str">
        <f ca="1">TRIM(Sales_fact[[#This Row],[Store_ID]])</f>
        <v>STORE8</v>
      </c>
      <c r="F1027">
        <v>1</v>
      </c>
      <c r="G1027">
        <f>IF(ISBLANK(F1027),MODE($F$2:$F$2001),F1027)</f>
        <v>1</v>
      </c>
      <c r="H1027">
        <v>234.06</v>
      </c>
      <c r="I1027">
        <f>IF(ISBLANK(H1027),AVERAGE($H$2:$H$2001),H1027)</f>
        <v>234.06</v>
      </c>
      <c r="J1027">
        <v>0.11</v>
      </c>
      <c r="K1027">
        <f>IF(ISBLANK(J1027),MODE($J$2:$J$2001),J1027)</f>
        <v>0.11</v>
      </c>
      <c r="L1027" t="s">
        <v>1826</v>
      </c>
      <c r="M1027">
        <v>208.3134</v>
      </c>
      <c r="N1027">
        <f t="shared" ref="N1027:N1090" si="16">G1027*I1027*(1-K1027)</f>
        <v>208.3134</v>
      </c>
      <c r="O1027" t="str">
        <f>_xlfn.XLOOKUP(Sales_fact[[#This Row],[Customer_ID]],'Customer_Dim'!A:A,'Customer_Dim'!K:K,"Not Found")</f>
        <v>Silver</v>
      </c>
      <c r="P1027">
        <f>_xlfn.XLOOKUP(Sales_fact[[#This Row],[Customer_ID]],'Customer_Dim'!A:A, 'Customer_Dim'!E:E, "Not Found")</f>
        <v>22</v>
      </c>
      <c r="Q1027" t="str">
        <f>VLOOKUP(Sales_fact[[#This Row],[Customer_ID]], 'Customer_Dim'!A:F, 6, FALSE)</f>
        <v>Female</v>
      </c>
      <c r="R1027" s="13" t="str">
        <f>_xlfn.XLOOKUP(Sales_fact[[#This Row],[Product_ID]],Product_Dim!A:A,Product_Dim!C:C,"OTHERS")</f>
        <v>Sports</v>
      </c>
    </row>
    <row r="1028" spans="1:18" x14ac:dyDescent="0.3">
      <c r="A1028" t="s">
        <v>2852</v>
      </c>
      <c r="B1028" s="2">
        <v>45278</v>
      </c>
      <c r="C1028" t="s">
        <v>999</v>
      </c>
      <c r="D1028" t="s">
        <v>1710</v>
      </c>
      <c r="E1028" t="str">
        <f ca="1">TRIM(Sales_fact[[#This Row],[Store_ID]])</f>
        <v>STORE0</v>
      </c>
      <c r="F1028">
        <v>2</v>
      </c>
      <c r="G1028">
        <f>IF(ISBLANK(F1028),MODE($F$2:$F$2001),F1028)</f>
        <v>2</v>
      </c>
      <c r="H1028">
        <v>773.75</v>
      </c>
      <c r="I1028">
        <f>IF(ISBLANK(H1028),AVERAGE($H$2:$H$2001),H1028)</f>
        <v>773.75</v>
      </c>
      <c r="J1028">
        <v>0.16</v>
      </c>
      <c r="K1028">
        <f>IF(ISBLANK(J1028),MODE($J$2:$J$2001),J1028)</f>
        <v>0.16</v>
      </c>
      <c r="L1028" t="s">
        <v>1826</v>
      </c>
      <c r="M1028">
        <v>1299.9000000000001</v>
      </c>
      <c r="N1028">
        <f t="shared" si="16"/>
        <v>1299.8999999999999</v>
      </c>
      <c r="O1028" t="str">
        <f>_xlfn.XLOOKUP(Sales_fact[[#This Row],[Customer_ID]],'Customer_Dim'!A:A,'Customer_Dim'!K:K,"Not Found")</f>
        <v>Gold</v>
      </c>
      <c r="P1028">
        <f>_xlfn.XLOOKUP(Sales_fact[[#This Row],[Customer_ID]],'Customer_Dim'!A:A, 'Customer_Dim'!E:E, "Not Found")</f>
        <v>64</v>
      </c>
      <c r="Q1028" t="str">
        <f>VLOOKUP(Sales_fact[[#This Row],[Customer_ID]], 'Customer_Dim'!A:F, 6, FALSE)</f>
        <v>Female</v>
      </c>
      <c r="R1028" s="13" t="str">
        <f>_xlfn.XLOOKUP(Sales_fact[[#This Row],[Product_ID]],Product_Dim!A:A,Product_Dim!C:C,"OTHERS")</f>
        <v>Sports</v>
      </c>
    </row>
    <row r="1029" spans="1:18" x14ac:dyDescent="0.3">
      <c r="A1029" t="s">
        <v>2853</v>
      </c>
      <c r="B1029" s="2">
        <v>45422</v>
      </c>
      <c r="C1029" t="s">
        <v>1352</v>
      </c>
      <c r="D1029" t="s">
        <v>1652</v>
      </c>
      <c r="E1029" t="str">
        <f ca="1">TRIM(Sales_fact[[#This Row],[Store_ID]])</f>
        <v>STORE18</v>
      </c>
      <c r="F1029">
        <v>1</v>
      </c>
      <c r="G1029">
        <f>IF(ISBLANK(F1029),MODE($F$2:$F$2001),F1029)</f>
        <v>1</v>
      </c>
      <c r="H1029">
        <v>73.88</v>
      </c>
      <c r="I1029">
        <f>IF(ISBLANK(H1029),AVERAGE($H$2:$H$2001),H1029)</f>
        <v>73.88</v>
      </c>
      <c r="J1029">
        <v>0.04</v>
      </c>
      <c r="K1029">
        <f>IF(ISBLANK(J1029),MODE($J$2:$J$2001),J1029)</f>
        <v>0.04</v>
      </c>
      <c r="L1029" t="s">
        <v>1824</v>
      </c>
      <c r="M1029">
        <v>70.924799999999991</v>
      </c>
      <c r="N1029">
        <f t="shared" si="16"/>
        <v>70.924799999999991</v>
      </c>
      <c r="O1029" t="str">
        <f>_xlfn.XLOOKUP(Sales_fact[[#This Row],[Customer_ID]],'Customer_Dim'!A:A,'Customer_Dim'!K:K,"Not Found")</f>
        <v>Gold</v>
      </c>
      <c r="P1029">
        <f>_xlfn.XLOOKUP(Sales_fact[[#This Row],[Customer_ID]],'Customer_Dim'!A:A, 'Customer_Dim'!E:E, "Not Found")</f>
        <v>61</v>
      </c>
      <c r="Q1029" t="str">
        <f>VLOOKUP(Sales_fact[[#This Row],[Customer_ID]], 'Customer_Dim'!A:F, 6, FALSE)</f>
        <v>Male</v>
      </c>
      <c r="R1029" s="13" t="str">
        <f>_xlfn.XLOOKUP(Sales_fact[[#This Row],[Product_ID]],Product_Dim!A:A,Product_Dim!C:C,"OTHERS")</f>
        <v>Sports</v>
      </c>
    </row>
    <row r="1030" spans="1:18" x14ac:dyDescent="0.3">
      <c r="A1030" t="s">
        <v>2854</v>
      </c>
      <c r="B1030" s="2">
        <v>45337</v>
      </c>
      <c r="C1030" t="s">
        <v>32</v>
      </c>
      <c r="D1030" t="s">
        <v>1720</v>
      </c>
      <c r="E1030" t="str">
        <f ca="1">TRIM(Sales_fact[[#This Row],[Store_ID]])</f>
        <v>STORE18</v>
      </c>
      <c r="F1030">
        <v>1</v>
      </c>
      <c r="G1030">
        <f>IF(ISBLANK(F1030),MODE($F$2:$F$2001),F1030)</f>
        <v>1</v>
      </c>
      <c r="H1030">
        <v>859.3</v>
      </c>
      <c r="I1030">
        <f>IF(ISBLANK(H1030),AVERAGE($H$2:$H$2001),H1030)</f>
        <v>859.3</v>
      </c>
      <c r="J1030">
        <v>0.16</v>
      </c>
      <c r="K1030">
        <f>IF(ISBLANK(J1030),MODE($J$2:$J$2001),J1030)</f>
        <v>0.16</v>
      </c>
      <c r="L1030" t="s">
        <v>1826</v>
      </c>
      <c r="M1030">
        <v>721.8119999999999</v>
      </c>
      <c r="N1030">
        <f t="shared" si="16"/>
        <v>721.8119999999999</v>
      </c>
      <c r="O1030" t="str">
        <f>_xlfn.XLOOKUP(Sales_fact[[#This Row],[Customer_ID]],'Customer_Dim'!A:A,'Customer_Dim'!K:K,"Not Found")</f>
        <v>Bronze</v>
      </c>
      <c r="P1030">
        <f>_xlfn.XLOOKUP(Sales_fact[[#This Row],[Customer_ID]],'Customer_Dim'!A:A, 'Customer_Dim'!E:E, "Not Found")</f>
        <v>24</v>
      </c>
      <c r="Q1030" t="str">
        <f>VLOOKUP(Sales_fact[[#This Row],[Customer_ID]], 'Customer_Dim'!A:F, 6, FALSE)</f>
        <v>Male</v>
      </c>
      <c r="R1030" s="13" t="str">
        <f>_xlfn.XLOOKUP(Sales_fact[[#This Row],[Product_ID]],Product_Dim!A:A,Product_Dim!C:C,"OTHERS")</f>
        <v>Home</v>
      </c>
    </row>
    <row r="1031" spans="1:18" x14ac:dyDescent="0.3">
      <c r="A1031" t="s">
        <v>2855</v>
      </c>
      <c r="B1031" s="2">
        <v>45564</v>
      </c>
      <c r="C1031" t="s">
        <v>444</v>
      </c>
      <c r="D1031" t="s">
        <v>1710</v>
      </c>
      <c r="E1031" t="str">
        <f ca="1">TRIM(Sales_fact[[#This Row],[Store_ID]])</f>
        <v>STORE6</v>
      </c>
      <c r="F1031">
        <v>4</v>
      </c>
      <c r="G1031">
        <f>IF(ISBLANK(F1031),MODE($F$2:$F$2001),F1031)</f>
        <v>4</v>
      </c>
      <c r="H1031">
        <v>762.43</v>
      </c>
      <c r="I1031">
        <f>IF(ISBLANK(H1031),AVERAGE($H$2:$H$2001),H1031)</f>
        <v>762.43</v>
      </c>
      <c r="J1031">
        <v>0.05</v>
      </c>
      <c r="K1031">
        <f>IF(ISBLANK(J1031),MODE($J$2:$J$2001),J1031)</f>
        <v>0.05</v>
      </c>
      <c r="L1031" t="s">
        <v>1824</v>
      </c>
      <c r="M1031">
        <v>2897.233999999999</v>
      </c>
      <c r="N1031">
        <f t="shared" si="16"/>
        <v>2897.2339999999995</v>
      </c>
      <c r="O1031" t="str">
        <f>_xlfn.XLOOKUP(Sales_fact[[#This Row],[Customer_ID]],'Customer_Dim'!A:A,'Customer_Dim'!K:K,"Not Found")</f>
        <v>Silver</v>
      </c>
      <c r="P1031">
        <f>_xlfn.XLOOKUP(Sales_fact[[#This Row],[Customer_ID]],'Customer_Dim'!A:A, 'Customer_Dim'!E:E, "Not Found")</f>
        <v>43</v>
      </c>
      <c r="Q1031" t="str">
        <f>VLOOKUP(Sales_fact[[#This Row],[Customer_ID]], 'Customer_Dim'!A:F, 6, FALSE)</f>
        <v>Female</v>
      </c>
      <c r="R1031" s="13" t="str">
        <f>_xlfn.XLOOKUP(Sales_fact[[#This Row],[Product_ID]],Product_Dim!A:A,Product_Dim!C:C,"OTHERS")</f>
        <v>Sports</v>
      </c>
    </row>
    <row r="1032" spans="1:18" x14ac:dyDescent="0.3">
      <c r="A1032" t="s">
        <v>2856</v>
      </c>
      <c r="B1032" s="2">
        <v>45424</v>
      </c>
      <c r="C1032" t="s">
        <v>428</v>
      </c>
      <c r="D1032" t="s">
        <v>1694</v>
      </c>
      <c r="E1032" t="str">
        <f ca="1">TRIM(Sales_fact[[#This Row],[Store_ID]])</f>
        <v>STORE0</v>
      </c>
      <c r="F1032">
        <v>1</v>
      </c>
      <c r="G1032">
        <f>IF(ISBLANK(F1032),MODE($F$2:$F$2001),F1032)</f>
        <v>1</v>
      </c>
      <c r="H1032">
        <v>328.51</v>
      </c>
      <c r="I1032">
        <f>IF(ISBLANK(H1032),AVERAGE($H$2:$H$2001),H1032)</f>
        <v>328.51</v>
      </c>
      <c r="J1032">
        <v>0.2</v>
      </c>
      <c r="K1032">
        <f>IF(ISBLANK(J1032),MODE($J$2:$J$2001),J1032)</f>
        <v>0.2</v>
      </c>
      <c r="L1032" t="s">
        <v>1829</v>
      </c>
      <c r="M1032">
        <v>262.80799999999999</v>
      </c>
      <c r="N1032">
        <f t="shared" si="16"/>
        <v>262.80799999999999</v>
      </c>
      <c r="O1032" t="str">
        <f>_xlfn.XLOOKUP(Sales_fact[[#This Row],[Customer_ID]],'Customer_Dim'!A:A,'Customer_Dim'!K:K,"Not Found")</f>
        <v>Bronze</v>
      </c>
      <c r="P1032">
        <f>_xlfn.XLOOKUP(Sales_fact[[#This Row],[Customer_ID]],'Customer_Dim'!A:A, 'Customer_Dim'!E:E, "Not Found")</f>
        <v>26</v>
      </c>
      <c r="Q1032" t="str">
        <f>VLOOKUP(Sales_fact[[#This Row],[Customer_ID]], 'Customer_Dim'!A:F, 6, FALSE)</f>
        <v>Male</v>
      </c>
      <c r="R1032" s="13" t="str">
        <f>_xlfn.XLOOKUP(Sales_fact[[#This Row],[Product_ID]],Product_Dim!A:A,Product_Dim!C:C,"OTHERS")</f>
        <v>Sports</v>
      </c>
    </row>
    <row r="1033" spans="1:18" x14ac:dyDescent="0.3">
      <c r="A1033" t="s">
        <v>2857</v>
      </c>
      <c r="B1033" s="2">
        <v>45719</v>
      </c>
      <c r="C1033" t="s">
        <v>872</v>
      </c>
      <c r="D1033" t="s">
        <v>1636</v>
      </c>
      <c r="E1033" t="str">
        <f ca="1">TRIM(Sales_fact[[#This Row],[Store_ID]])</f>
        <v>STORE4</v>
      </c>
      <c r="F1033">
        <v>1</v>
      </c>
      <c r="G1033">
        <f>IF(ISBLANK(F1033),MODE($F$2:$F$2001),F1033)</f>
        <v>1</v>
      </c>
      <c r="H1033">
        <v>34.51</v>
      </c>
      <c r="I1033">
        <f>IF(ISBLANK(H1033),AVERAGE($H$2:$H$2001),H1033)</f>
        <v>34.51</v>
      </c>
      <c r="J1033">
        <v>0.04</v>
      </c>
      <c r="K1033">
        <f>IF(ISBLANK(J1033),MODE($J$2:$J$2001),J1033)</f>
        <v>0.04</v>
      </c>
      <c r="L1033" t="s">
        <v>1829</v>
      </c>
      <c r="M1033">
        <v>33.129600000000003</v>
      </c>
      <c r="N1033">
        <f t="shared" si="16"/>
        <v>33.129599999999996</v>
      </c>
      <c r="O1033" t="str">
        <f>_xlfn.XLOOKUP(Sales_fact[[#This Row],[Customer_ID]],'Customer_Dim'!A:A,'Customer_Dim'!K:K,"Not Found")</f>
        <v>Silver</v>
      </c>
      <c r="P1033">
        <f>_xlfn.XLOOKUP(Sales_fact[[#This Row],[Customer_ID]],'Customer_Dim'!A:A, 'Customer_Dim'!E:E, "Not Found")</f>
        <v>38</v>
      </c>
      <c r="Q1033" t="str">
        <f>VLOOKUP(Sales_fact[[#This Row],[Customer_ID]], 'Customer_Dim'!A:F, 6, FALSE)</f>
        <v>Male</v>
      </c>
      <c r="R1033" s="13" t="str">
        <f>_xlfn.XLOOKUP(Sales_fact[[#This Row],[Product_ID]],Product_Dim!A:A,Product_Dim!C:C,"OTHERS")</f>
        <v>Sports</v>
      </c>
    </row>
    <row r="1034" spans="1:18" x14ac:dyDescent="0.3">
      <c r="A1034" t="s">
        <v>2858</v>
      </c>
      <c r="B1034" s="2">
        <v>45250</v>
      </c>
      <c r="C1034" t="s">
        <v>372</v>
      </c>
      <c r="D1034" t="s">
        <v>1586</v>
      </c>
      <c r="E1034" t="str">
        <f ca="1">TRIM(Sales_fact[[#This Row],[Store_ID]])</f>
        <v>STORE11</v>
      </c>
      <c r="F1034">
        <v>3</v>
      </c>
      <c r="G1034">
        <f>IF(ISBLANK(F1034),MODE($F$2:$F$2001),F1034)</f>
        <v>3</v>
      </c>
      <c r="H1034">
        <v>663.73</v>
      </c>
      <c r="I1034">
        <f>IF(ISBLANK(H1034),AVERAGE($H$2:$H$2001),H1034)</f>
        <v>663.73</v>
      </c>
      <c r="J1034">
        <v>0.06</v>
      </c>
      <c r="K1034">
        <f>IF(ISBLANK(J1034),MODE($J$2:$J$2001),J1034)</f>
        <v>0.06</v>
      </c>
      <c r="L1034" t="s">
        <v>1829</v>
      </c>
      <c r="M1034">
        <v>1871.7185999999999</v>
      </c>
      <c r="N1034">
        <f t="shared" si="16"/>
        <v>1871.7185999999999</v>
      </c>
      <c r="O1034" t="str">
        <f>_xlfn.XLOOKUP(Sales_fact[[#This Row],[Customer_ID]],'Customer_Dim'!A:A,'Customer_Dim'!K:K,"Not Found")</f>
        <v>Gold</v>
      </c>
      <c r="P1034">
        <f>_xlfn.XLOOKUP(Sales_fact[[#This Row],[Customer_ID]],'Customer_Dim'!A:A, 'Customer_Dim'!E:E, "Not Found")</f>
        <v>50</v>
      </c>
      <c r="Q1034" t="str">
        <f>VLOOKUP(Sales_fact[[#This Row],[Customer_ID]], 'Customer_Dim'!A:F, 6, FALSE)</f>
        <v>Female</v>
      </c>
      <c r="R1034" s="13" t="str">
        <f>_xlfn.XLOOKUP(Sales_fact[[#This Row],[Product_ID]],Product_Dim!A:A,Product_Dim!C:C,"OTHERS")</f>
        <v>Sports</v>
      </c>
    </row>
    <row r="1035" spans="1:18" x14ac:dyDescent="0.3">
      <c r="A1035" t="s">
        <v>2859</v>
      </c>
      <c r="B1035" s="2">
        <v>45479</v>
      </c>
      <c r="C1035" t="s">
        <v>788</v>
      </c>
      <c r="D1035" t="s">
        <v>1614</v>
      </c>
      <c r="E1035" t="str">
        <f ca="1">TRIM(Sales_fact[[#This Row],[Store_ID]])</f>
        <v>STORE9</v>
      </c>
      <c r="F1035">
        <v>1</v>
      </c>
      <c r="G1035">
        <f>IF(ISBLANK(F1035),MODE($F$2:$F$2001),F1035)</f>
        <v>1</v>
      </c>
      <c r="H1035">
        <v>409.41</v>
      </c>
      <c r="I1035">
        <f>IF(ISBLANK(H1035),AVERAGE($H$2:$H$2001),H1035)</f>
        <v>409.41</v>
      </c>
      <c r="J1035">
        <v>0.13</v>
      </c>
      <c r="K1035">
        <f>IF(ISBLANK(J1035),MODE($J$2:$J$2001),J1035)</f>
        <v>0.13</v>
      </c>
      <c r="L1035" t="s">
        <v>1826</v>
      </c>
      <c r="M1035">
        <v>356.18669999999997</v>
      </c>
      <c r="N1035">
        <f t="shared" si="16"/>
        <v>356.18670000000003</v>
      </c>
      <c r="O1035" t="str">
        <f>_xlfn.XLOOKUP(Sales_fact[[#This Row],[Customer_ID]],'Customer_Dim'!A:A,'Customer_Dim'!K:K,"Not Found")</f>
        <v>Bronze</v>
      </c>
      <c r="P1035">
        <f>_xlfn.XLOOKUP(Sales_fact[[#This Row],[Customer_ID]],'Customer_Dim'!A:A, 'Customer_Dim'!E:E, "Not Found")</f>
        <v>58</v>
      </c>
      <c r="Q1035" t="str">
        <f>VLOOKUP(Sales_fact[[#This Row],[Customer_ID]], 'Customer_Dim'!A:F, 6, FALSE)</f>
        <v>Male</v>
      </c>
      <c r="R1035" s="13" t="str">
        <f>_xlfn.XLOOKUP(Sales_fact[[#This Row],[Product_ID]],Product_Dim!A:A,Product_Dim!C:C,"OTHERS")</f>
        <v>Home</v>
      </c>
    </row>
    <row r="1036" spans="1:18" x14ac:dyDescent="0.3">
      <c r="A1036" t="s">
        <v>2860</v>
      </c>
      <c r="B1036" s="2">
        <v>45727</v>
      </c>
      <c r="C1036" t="s">
        <v>332</v>
      </c>
      <c r="D1036" t="s">
        <v>1704</v>
      </c>
      <c r="E1036" t="str">
        <f ca="1">TRIM(Sales_fact[[#This Row],[Store_ID]])</f>
        <v>STORE3</v>
      </c>
      <c r="F1036">
        <v>3</v>
      </c>
      <c r="G1036">
        <f>IF(ISBLANK(F1036),MODE($F$2:$F$2001),F1036)</f>
        <v>3</v>
      </c>
      <c r="H1036">
        <v>461.03</v>
      </c>
      <c r="I1036">
        <f>IF(ISBLANK(H1036),AVERAGE($H$2:$H$2001),H1036)</f>
        <v>461.03</v>
      </c>
      <c r="J1036">
        <v>0.11</v>
      </c>
      <c r="K1036">
        <f>IF(ISBLANK(J1036),MODE($J$2:$J$2001),J1036)</f>
        <v>0.11</v>
      </c>
      <c r="L1036" t="s">
        <v>1826</v>
      </c>
      <c r="M1036">
        <v>1230.9501</v>
      </c>
      <c r="N1036">
        <f t="shared" si="16"/>
        <v>1230.9501</v>
      </c>
      <c r="O1036" t="str">
        <f>_xlfn.XLOOKUP(Sales_fact[[#This Row],[Customer_ID]],'Customer_Dim'!A:A,'Customer_Dim'!K:K,"Not Found")</f>
        <v>Platinum</v>
      </c>
      <c r="P1036">
        <f>_xlfn.XLOOKUP(Sales_fact[[#This Row],[Customer_ID]],'Customer_Dim'!A:A, 'Customer_Dim'!E:E, "Not Found")</f>
        <v>44</v>
      </c>
      <c r="Q1036" t="str">
        <f>VLOOKUP(Sales_fact[[#This Row],[Customer_ID]], 'Customer_Dim'!A:F, 6, FALSE)</f>
        <v>Female</v>
      </c>
      <c r="R1036" s="13" t="str">
        <f>_xlfn.XLOOKUP(Sales_fact[[#This Row],[Product_ID]],Product_Dim!A:A,Product_Dim!C:C,"OTHERS")</f>
        <v>Home</v>
      </c>
    </row>
    <row r="1037" spans="1:18" x14ac:dyDescent="0.3">
      <c r="A1037" t="s">
        <v>2861</v>
      </c>
      <c r="B1037" s="2">
        <v>45394</v>
      </c>
      <c r="C1037" t="s">
        <v>1151</v>
      </c>
      <c r="D1037" t="s">
        <v>1586</v>
      </c>
      <c r="E1037" t="str">
        <f ca="1">TRIM(Sales_fact[[#This Row],[Store_ID]])</f>
        <v>STORE14</v>
      </c>
      <c r="F1037">
        <v>2</v>
      </c>
      <c r="G1037">
        <f>IF(ISBLANK(F1037),MODE($F$2:$F$2001),F1037)</f>
        <v>2</v>
      </c>
      <c r="H1037">
        <v>760.14</v>
      </c>
      <c r="I1037">
        <f>IF(ISBLANK(H1037),AVERAGE($H$2:$H$2001),H1037)</f>
        <v>760.14</v>
      </c>
      <c r="J1037">
        <v>0.02</v>
      </c>
      <c r="K1037">
        <f>IF(ISBLANK(J1037),MODE($J$2:$J$2001),J1037)</f>
        <v>0.02</v>
      </c>
      <c r="L1037" t="s">
        <v>1829</v>
      </c>
      <c r="M1037">
        <v>1489.8743999999999</v>
      </c>
      <c r="N1037">
        <f t="shared" si="16"/>
        <v>1489.8743999999999</v>
      </c>
      <c r="O1037" t="str">
        <f>_xlfn.XLOOKUP(Sales_fact[[#This Row],[Customer_ID]],'Customer_Dim'!A:A,'Customer_Dim'!K:K,"Not Found")</f>
        <v>Platinum</v>
      </c>
      <c r="P1037">
        <f>_xlfn.XLOOKUP(Sales_fact[[#This Row],[Customer_ID]],'Customer_Dim'!A:A, 'Customer_Dim'!E:E, "Not Found")</f>
        <v>34</v>
      </c>
      <c r="Q1037" t="str">
        <f>VLOOKUP(Sales_fact[[#This Row],[Customer_ID]], 'Customer_Dim'!A:F, 6, FALSE)</f>
        <v>Female</v>
      </c>
      <c r="R1037" s="13" t="str">
        <f>_xlfn.XLOOKUP(Sales_fact[[#This Row],[Product_ID]],Product_Dim!A:A,Product_Dim!C:C,"OTHERS")</f>
        <v>Sports</v>
      </c>
    </row>
    <row r="1038" spans="1:18" x14ac:dyDescent="0.3">
      <c r="A1038" t="s">
        <v>2862</v>
      </c>
      <c r="B1038" s="2">
        <v>45773</v>
      </c>
      <c r="C1038" t="s">
        <v>884</v>
      </c>
      <c r="D1038" t="s">
        <v>1594</v>
      </c>
      <c r="E1038" t="str">
        <f ca="1">TRIM(Sales_fact[[#This Row],[Store_ID]])</f>
        <v>STORE1</v>
      </c>
      <c r="F1038">
        <v>3</v>
      </c>
      <c r="G1038">
        <f>IF(ISBLANK(F1038),MODE($F$2:$F$2001),F1038)</f>
        <v>3</v>
      </c>
      <c r="H1038">
        <v>688.76</v>
      </c>
      <c r="I1038">
        <f>IF(ISBLANK(H1038),AVERAGE($H$2:$H$2001),H1038)</f>
        <v>688.76</v>
      </c>
      <c r="J1038">
        <v>0.12</v>
      </c>
      <c r="K1038">
        <f>IF(ISBLANK(J1038),MODE($J$2:$J$2001),J1038)</f>
        <v>0.12</v>
      </c>
      <c r="L1038" t="s">
        <v>1826</v>
      </c>
      <c r="M1038">
        <v>1818.3263999999999</v>
      </c>
      <c r="N1038">
        <f t="shared" si="16"/>
        <v>1818.3263999999997</v>
      </c>
      <c r="O1038" t="str">
        <f>_xlfn.XLOOKUP(Sales_fact[[#This Row],[Customer_ID]],'Customer_Dim'!A:A,'Customer_Dim'!K:K,"Not Found")</f>
        <v>Platinum</v>
      </c>
      <c r="P1038">
        <f>_xlfn.XLOOKUP(Sales_fact[[#This Row],[Customer_ID]],'Customer_Dim'!A:A, 'Customer_Dim'!E:E, "Not Found")</f>
        <v>42</v>
      </c>
      <c r="Q1038" t="str">
        <f>VLOOKUP(Sales_fact[[#This Row],[Customer_ID]], 'Customer_Dim'!A:F, 6, FALSE)</f>
        <v>Female</v>
      </c>
      <c r="R1038" s="13" t="str">
        <f>_xlfn.XLOOKUP(Sales_fact[[#This Row],[Product_ID]],Product_Dim!A:A,Product_Dim!C:C,"OTHERS")</f>
        <v>Clothing</v>
      </c>
    </row>
    <row r="1039" spans="1:18" x14ac:dyDescent="0.3">
      <c r="A1039" t="s">
        <v>2863</v>
      </c>
      <c r="B1039" s="2">
        <v>45779</v>
      </c>
      <c r="C1039" t="s">
        <v>532</v>
      </c>
      <c r="D1039" t="s">
        <v>1634</v>
      </c>
      <c r="E1039" t="str">
        <f ca="1">TRIM(Sales_fact[[#This Row],[Store_ID]])</f>
        <v>STORE9</v>
      </c>
      <c r="F1039">
        <v>2</v>
      </c>
      <c r="G1039">
        <f>IF(ISBLANK(F1039),MODE($F$2:$F$2001),F1039)</f>
        <v>2</v>
      </c>
      <c r="H1039">
        <v>257.77999999999997</v>
      </c>
      <c r="I1039">
        <f>IF(ISBLANK(H1039),AVERAGE($H$2:$H$2001),H1039)</f>
        <v>257.77999999999997</v>
      </c>
      <c r="J1039">
        <v>0.05</v>
      </c>
      <c r="K1039">
        <f>IF(ISBLANK(J1039),MODE($J$2:$J$2001),J1039)</f>
        <v>0.05</v>
      </c>
      <c r="L1039" t="s">
        <v>1824</v>
      </c>
      <c r="M1039">
        <v>489.78199999999993</v>
      </c>
      <c r="N1039">
        <f t="shared" si="16"/>
        <v>489.78199999999993</v>
      </c>
      <c r="O1039" t="str">
        <f>_xlfn.XLOOKUP(Sales_fact[[#This Row],[Customer_ID]],'Customer_Dim'!A:A,'Customer_Dim'!K:K,"Not Found")</f>
        <v>Gold</v>
      </c>
      <c r="P1039">
        <f>_xlfn.XLOOKUP(Sales_fact[[#This Row],[Customer_ID]],'Customer_Dim'!A:A, 'Customer_Dim'!E:E, "Not Found")</f>
        <v>46</v>
      </c>
      <c r="Q1039" t="str">
        <f>VLOOKUP(Sales_fact[[#This Row],[Customer_ID]], 'Customer_Dim'!A:F, 6, FALSE)</f>
        <v>Female</v>
      </c>
      <c r="R1039" s="13" t="str">
        <f>_xlfn.XLOOKUP(Sales_fact[[#This Row],[Product_ID]],Product_Dim!A:A,Product_Dim!C:C,"OTHERS")</f>
        <v>Electronics</v>
      </c>
    </row>
    <row r="1040" spans="1:18" x14ac:dyDescent="0.3">
      <c r="A1040" t="s">
        <v>2864</v>
      </c>
      <c r="B1040" s="2">
        <v>45400</v>
      </c>
      <c r="C1040" t="s">
        <v>198</v>
      </c>
      <c r="D1040" t="s">
        <v>1654</v>
      </c>
      <c r="E1040" t="str">
        <f ca="1">TRIM(Sales_fact[[#This Row],[Store_ID]])</f>
        <v>STORE7</v>
      </c>
      <c r="F1040">
        <v>2</v>
      </c>
      <c r="G1040">
        <f>IF(ISBLANK(F1040),MODE($F$2:$F$2001),F1040)</f>
        <v>2</v>
      </c>
      <c r="H1040">
        <v>314.29000000000002</v>
      </c>
      <c r="I1040">
        <f>IF(ISBLANK(H1040),AVERAGE($H$2:$H$2001),H1040)</f>
        <v>314.29000000000002</v>
      </c>
      <c r="J1040">
        <v>0.19</v>
      </c>
      <c r="K1040">
        <f>IF(ISBLANK(J1040),MODE($J$2:$J$2001),J1040)</f>
        <v>0.19</v>
      </c>
      <c r="L1040" t="s">
        <v>1829</v>
      </c>
      <c r="M1040">
        <v>509.14980000000008</v>
      </c>
      <c r="N1040">
        <f t="shared" si="16"/>
        <v>509.14980000000008</v>
      </c>
      <c r="O1040" t="str">
        <f>_xlfn.XLOOKUP(Sales_fact[[#This Row],[Customer_ID]],'Customer_Dim'!A:A,'Customer_Dim'!K:K,"Not Found")</f>
        <v>Bronze</v>
      </c>
      <c r="P1040">
        <f>_xlfn.XLOOKUP(Sales_fact[[#This Row],[Customer_ID]],'Customer_Dim'!A:A, 'Customer_Dim'!E:E, "Not Found")</f>
        <v>55</v>
      </c>
      <c r="Q1040" t="str">
        <f>VLOOKUP(Sales_fact[[#This Row],[Customer_ID]], 'Customer_Dim'!A:F, 6, FALSE)</f>
        <v>Male</v>
      </c>
      <c r="R1040" s="13" t="str">
        <f>_xlfn.XLOOKUP(Sales_fact[[#This Row],[Product_ID]],Product_Dim!A:A,Product_Dim!C:C,"OTHERS")</f>
        <v>Clothing</v>
      </c>
    </row>
    <row r="1041" spans="1:18" x14ac:dyDescent="0.3">
      <c r="A1041" t="s">
        <v>2865</v>
      </c>
      <c r="B1041" s="2">
        <v>45520</v>
      </c>
      <c r="C1041" t="s">
        <v>520</v>
      </c>
      <c r="D1041" t="s">
        <v>1692</v>
      </c>
      <c r="E1041" t="str">
        <f ca="1">TRIM(Sales_fact[[#This Row],[Store_ID]])</f>
        <v>STORE14</v>
      </c>
      <c r="F1041">
        <v>3</v>
      </c>
      <c r="G1041">
        <f>IF(ISBLANK(F1041),MODE($F$2:$F$2001),F1041)</f>
        <v>3</v>
      </c>
      <c r="H1041">
        <v>336.09</v>
      </c>
      <c r="I1041">
        <f>IF(ISBLANK(H1041),AVERAGE($H$2:$H$2001),H1041)</f>
        <v>336.09</v>
      </c>
      <c r="J1041">
        <v>0.01</v>
      </c>
      <c r="K1041">
        <f>IF(ISBLANK(J1041),MODE($J$2:$J$2001),J1041)</f>
        <v>0.01</v>
      </c>
      <c r="L1041" t="s">
        <v>1826</v>
      </c>
      <c r="M1041">
        <v>998.18729999999994</v>
      </c>
      <c r="N1041">
        <f t="shared" si="16"/>
        <v>998.18729999999994</v>
      </c>
      <c r="O1041" t="str">
        <f>_xlfn.XLOOKUP(Sales_fact[[#This Row],[Customer_ID]],'Customer_Dim'!A:A,'Customer_Dim'!K:K,"Not Found")</f>
        <v>Gold</v>
      </c>
      <c r="P1041">
        <f>_xlfn.XLOOKUP(Sales_fact[[#This Row],[Customer_ID]],'Customer_Dim'!A:A, 'Customer_Dim'!E:E, "Not Found")</f>
        <v>60</v>
      </c>
      <c r="Q1041" t="str">
        <f>VLOOKUP(Sales_fact[[#This Row],[Customer_ID]], 'Customer_Dim'!A:F, 6, FALSE)</f>
        <v>Female</v>
      </c>
      <c r="R1041" s="13" t="str">
        <f>_xlfn.XLOOKUP(Sales_fact[[#This Row],[Product_ID]],Product_Dim!A:A,Product_Dim!C:C,"OTHERS")</f>
        <v>Sports</v>
      </c>
    </row>
    <row r="1042" spans="1:18" x14ac:dyDescent="0.3">
      <c r="A1042" t="s">
        <v>2866</v>
      </c>
      <c r="B1042" s="2">
        <v>45861</v>
      </c>
      <c r="C1042" t="s">
        <v>20</v>
      </c>
      <c r="D1042" t="s">
        <v>1698</v>
      </c>
      <c r="E1042" t="str">
        <f ca="1">TRIM(Sales_fact[[#This Row],[Store_ID]])</f>
        <v>STORE17</v>
      </c>
      <c r="F1042">
        <v>3</v>
      </c>
      <c r="G1042">
        <f>IF(ISBLANK(F1042),MODE($F$2:$F$2001),F1042)</f>
        <v>3</v>
      </c>
      <c r="H1042">
        <v>202.07</v>
      </c>
      <c r="I1042">
        <f>IF(ISBLANK(H1042),AVERAGE($H$2:$H$2001),H1042)</f>
        <v>202.07</v>
      </c>
      <c r="J1042">
        <v>0.23</v>
      </c>
      <c r="K1042">
        <f>IF(ISBLANK(J1042),MODE($J$2:$J$2001),J1042)</f>
        <v>0.23</v>
      </c>
      <c r="L1042" t="s">
        <v>1826</v>
      </c>
      <c r="M1042">
        <v>466.78170000000011</v>
      </c>
      <c r="N1042">
        <f t="shared" si="16"/>
        <v>466.78170000000006</v>
      </c>
      <c r="O1042" t="str">
        <f>_xlfn.XLOOKUP(Sales_fact[[#This Row],[Customer_ID]],'Customer_Dim'!A:A,'Customer_Dim'!K:K,"Not Found")</f>
        <v>Platinum</v>
      </c>
      <c r="P1042">
        <f>_xlfn.XLOOKUP(Sales_fact[[#This Row],[Customer_ID]],'Customer_Dim'!A:A, 'Customer_Dim'!E:E, "Not Found")</f>
        <v>29</v>
      </c>
      <c r="Q1042" t="str">
        <f>VLOOKUP(Sales_fact[[#This Row],[Customer_ID]], 'Customer_Dim'!A:F, 6, FALSE)</f>
        <v>Female</v>
      </c>
      <c r="R1042" s="13" t="str">
        <f>_xlfn.XLOOKUP(Sales_fact[[#This Row],[Product_ID]],Product_Dim!A:A,Product_Dim!C:C,"OTHERS")</f>
        <v>Clothing</v>
      </c>
    </row>
    <row r="1043" spans="1:18" x14ac:dyDescent="0.3">
      <c r="A1043" t="s">
        <v>2867</v>
      </c>
      <c r="B1043" s="2">
        <v>45781</v>
      </c>
      <c r="C1043" t="s">
        <v>978</v>
      </c>
      <c r="D1043" t="s">
        <v>1582</v>
      </c>
      <c r="E1043" t="str">
        <f ca="1">TRIM(Sales_fact[[#This Row],[Store_ID]])</f>
        <v>STORE8</v>
      </c>
      <c r="F1043">
        <v>2</v>
      </c>
      <c r="G1043">
        <f>IF(ISBLANK(F1043),MODE($F$2:$F$2001),F1043)</f>
        <v>2</v>
      </c>
      <c r="H1043">
        <v>485.25</v>
      </c>
      <c r="I1043">
        <f>IF(ISBLANK(H1043),AVERAGE($H$2:$H$2001),H1043)</f>
        <v>485.25</v>
      </c>
      <c r="J1043">
        <v>0.28000000000000003</v>
      </c>
      <c r="K1043">
        <f>IF(ISBLANK(J1043),MODE($J$2:$J$2001),J1043)</f>
        <v>0.28000000000000003</v>
      </c>
      <c r="L1043" t="s">
        <v>1824</v>
      </c>
      <c r="M1043">
        <v>698.76</v>
      </c>
      <c r="N1043">
        <f t="shared" si="16"/>
        <v>698.76</v>
      </c>
      <c r="O1043" t="str">
        <f>_xlfn.XLOOKUP(Sales_fact[[#This Row],[Customer_ID]],'Customer_Dim'!A:A,'Customer_Dim'!K:K,"Not Found")</f>
        <v>Silver</v>
      </c>
      <c r="P1043">
        <f>_xlfn.XLOOKUP(Sales_fact[[#This Row],[Customer_ID]],'Customer_Dim'!A:A, 'Customer_Dim'!E:E, "Not Found")</f>
        <v>20</v>
      </c>
      <c r="Q1043" t="str">
        <f>VLOOKUP(Sales_fact[[#This Row],[Customer_ID]], 'Customer_Dim'!A:F, 6, FALSE)</f>
        <v>Male</v>
      </c>
      <c r="R1043" s="13" t="str">
        <f>_xlfn.XLOOKUP(Sales_fact[[#This Row],[Product_ID]],Product_Dim!A:A,Product_Dim!C:C,"OTHERS")</f>
        <v>Sports</v>
      </c>
    </row>
    <row r="1044" spans="1:18" x14ac:dyDescent="0.3">
      <c r="A1044" t="s">
        <v>2868</v>
      </c>
      <c r="B1044" s="2">
        <v>45906</v>
      </c>
      <c r="C1044" t="s">
        <v>568</v>
      </c>
      <c r="D1044" t="s">
        <v>1698</v>
      </c>
      <c r="E1044" t="str">
        <f ca="1">TRIM(Sales_fact[[#This Row],[Store_ID]])</f>
        <v>STORE10</v>
      </c>
      <c r="F1044">
        <v>4</v>
      </c>
      <c r="G1044">
        <f>IF(ISBLANK(F1044),MODE($F$2:$F$2001),F1044)</f>
        <v>4</v>
      </c>
      <c r="H1044">
        <v>552.38</v>
      </c>
      <c r="I1044">
        <f>IF(ISBLANK(H1044),AVERAGE($H$2:$H$2001),H1044)</f>
        <v>552.38</v>
      </c>
      <c r="J1044">
        <v>0.1</v>
      </c>
      <c r="K1044">
        <f>IF(ISBLANK(J1044),MODE($J$2:$J$2001),J1044)</f>
        <v>0.1</v>
      </c>
      <c r="L1044" t="s">
        <v>1826</v>
      </c>
      <c r="M1044">
        <v>1988.568</v>
      </c>
      <c r="N1044">
        <f t="shared" si="16"/>
        <v>1988.568</v>
      </c>
      <c r="O1044" t="str">
        <f>_xlfn.XLOOKUP(Sales_fact[[#This Row],[Customer_ID]],'Customer_Dim'!A:A,'Customer_Dim'!K:K,"Not Found")</f>
        <v>Platinum</v>
      </c>
      <c r="P1044">
        <f>_xlfn.XLOOKUP(Sales_fact[[#This Row],[Customer_ID]],'Customer_Dim'!A:A, 'Customer_Dim'!E:E, "Not Found")</f>
        <v>44</v>
      </c>
      <c r="Q1044" t="str">
        <f>VLOOKUP(Sales_fact[[#This Row],[Customer_ID]], 'Customer_Dim'!A:F, 6, FALSE)</f>
        <v>Female</v>
      </c>
      <c r="R1044" s="13" t="str">
        <f>_xlfn.XLOOKUP(Sales_fact[[#This Row],[Product_ID]],Product_Dim!A:A,Product_Dim!C:C,"OTHERS")</f>
        <v>Clothing</v>
      </c>
    </row>
    <row r="1045" spans="1:18" x14ac:dyDescent="0.3">
      <c r="A1045" t="s">
        <v>2869</v>
      </c>
      <c r="B1045" s="2">
        <v>45251</v>
      </c>
      <c r="C1045" t="s">
        <v>378</v>
      </c>
      <c r="D1045" t="s">
        <v>1664</v>
      </c>
      <c r="E1045" t="str">
        <f ca="1">TRIM(Sales_fact[[#This Row],[Store_ID]])</f>
        <v>STORE17</v>
      </c>
      <c r="F1045">
        <v>4</v>
      </c>
      <c r="G1045">
        <f>IF(ISBLANK(F1045),MODE($F$2:$F$2001),F1045)</f>
        <v>4</v>
      </c>
      <c r="H1045">
        <v>377.26</v>
      </c>
      <c r="I1045">
        <f>IF(ISBLANK(H1045),AVERAGE($H$2:$H$2001),H1045)</f>
        <v>377.26</v>
      </c>
      <c r="J1045">
        <v>0.22</v>
      </c>
      <c r="K1045">
        <f>IF(ISBLANK(J1045),MODE($J$2:$J$2001),J1045)</f>
        <v>0.22</v>
      </c>
      <c r="L1045" t="s">
        <v>1829</v>
      </c>
      <c r="M1045">
        <v>1177.0512000000001</v>
      </c>
      <c r="N1045">
        <f t="shared" si="16"/>
        <v>1177.0512000000001</v>
      </c>
      <c r="O1045" t="str">
        <f>_xlfn.XLOOKUP(Sales_fact[[#This Row],[Customer_ID]],'Customer_Dim'!A:A,'Customer_Dim'!K:K,"Not Found")</f>
        <v>Platinum</v>
      </c>
      <c r="P1045">
        <f>_xlfn.XLOOKUP(Sales_fact[[#This Row],[Customer_ID]],'Customer_Dim'!A:A, 'Customer_Dim'!E:E, "Not Found")</f>
        <v>62</v>
      </c>
      <c r="Q1045" t="str">
        <f>VLOOKUP(Sales_fact[[#This Row],[Customer_ID]], 'Customer_Dim'!A:F, 6, FALSE)</f>
        <v>Female</v>
      </c>
      <c r="R1045" s="13" t="str">
        <f>_xlfn.XLOOKUP(Sales_fact[[#This Row],[Product_ID]],Product_Dim!A:A,Product_Dim!C:C,"OTHERS")</f>
        <v>Clothing</v>
      </c>
    </row>
    <row r="1046" spans="1:18" x14ac:dyDescent="0.3">
      <c r="A1046" t="s">
        <v>2870</v>
      </c>
      <c r="B1046" s="2">
        <v>45257</v>
      </c>
      <c r="C1046" t="s">
        <v>202</v>
      </c>
      <c r="D1046" t="s">
        <v>1642</v>
      </c>
      <c r="E1046" t="str">
        <f ca="1">TRIM(Sales_fact[[#This Row],[Store_ID]])</f>
        <v>STORE19</v>
      </c>
      <c r="F1046">
        <v>4</v>
      </c>
      <c r="G1046">
        <f>IF(ISBLANK(F1046),MODE($F$2:$F$2001),F1046)</f>
        <v>4</v>
      </c>
      <c r="H1046">
        <v>189.07</v>
      </c>
      <c r="I1046">
        <f>IF(ISBLANK(H1046),AVERAGE($H$2:$H$2001),H1046)</f>
        <v>189.07</v>
      </c>
      <c r="J1046">
        <v>0.1</v>
      </c>
      <c r="K1046">
        <f>IF(ISBLANK(J1046),MODE($J$2:$J$2001),J1046)</f>
        <v>0.1</v>
      </c>
      <c r="L1046" t="s">
        <v>1829</v>
      </c>
      <c r="M1046">
        <v>680.65200000000004</v>
      </c>
      <c r="N1046">
        <f t="shared" si="16"/>
        <v>680.65200000000004</v>
      </c>
      <c r="O1046" t="str">
        <f>_xlfn.XLOOKUP(Sales_fact[[#This Row],[Customer_ID]],'Customer_Dim'!A:A,'Customer_Dim'!K:K,"Not Found")</f>
        <v>Gold</v>
      </c>
      <c r="P1046">
        <f>_xlfn.XLOOKUP(Sales_fact[[#This Row],[Customer_ID]],'Customer_Dim'!A:A, 'Customer_Dim'!E:E, "Not Found")</f>
        <v>37</v>
      </c>
      <c r="Q1046" t="str">
        <f>VLOOKUP(Sales_fact[[#This Row],[Customer_ID]], 'Customer_Dim'!A:F, 6, FALSE)</f>
        <v>Female</v>
      </c>
      <c r="R1046" s="13" t="str">
        <f>_xlfn.XLOOKUP(Sales_fact[[#This Row],[Product_ID]],Product_Dim!A:A,Product_Dim!C:C,"OTHERS")</f>
        <v>Beauty</v>
      </c>
    </row>
    <row r="1047" spans="1:18" x14ac:dyDescent="0.3">
      <c r="A1047" t="s">
        <v>2871</v>
      </c>
      <c r="B1047" s="2">
        <v>45818</v>
      </c>
      <c r="C1047" t="s">
        <v>1533</v>
      </c>
      <c r="D1047" t="s">
        <v>1608</v>
      </c>
      <c r="E1047" t="str">
        <f ca="1">TRIM(Sales_fact[[#This Row],[Store_ID]])</f>
        <v>STORE4</v>
      </c>
      <c r="F1047">
        <v>3</v>
      </c>
      <c r="G1047">
        <f>IF(ISBLANK(F1047),MODE($F$2:$F$2001),F1047)</f>
        <v>3</v>
      </c>
      <c r="H1047">
        <v>272.27</v>
      </c>
      <c r="I1047">
        <f>IF(ISBLANK(H1047),AVERAGE($H$2:$H$2001),H1047)</f>
        <v>272.27</v>
      </c>
      <c r="J1047">
        <v>0.01</v>
      </c>
      <c r="K1047">
        <f>IF(ISBLANK(J1047),MODE($J$2:$J$2001),J1047)</f>
        <v>0.01</v>
      </c>
      <c r="L1047" t="s">
        <v>1824</v>
      </c>
      <c r="M1047">
        <v>808.64189999999996</v>
      </c>
      <c r="N1047">
        <f t="shared" si="16"/>
        <v>808.64189999999996</v>
      </c>
      <c r="O1047" t="str">
        <f>_xlfn.XLOOKUP(Sales_fact[[#This Row],[Customer_ID]],'Customer_Dim'!A:A,'Customer_Dim'!K:K,"Not Found")</f>
        <v>Not Found</v>
      </c>
      <c r="P1047" t="str">
        <f>_xlfn.XLOOKUP(Sales_fact[[#This Row],[Customer_ID]],'Customer_Dim'!A:A, 'Customer_Dim'!E:E, "Not Found")</f>
        <v>Not Found</v>
      </c>
      <c r="Q1047" t="e">
        <f>VLOOKUP(Sales_fact[[#This Row],[Customer_ID]], 'Customer_Dim'!A:F, 6, FALSE)</f>
        <v>#N/A</v>
      </c>
      <c r="R1047" s="13" t="str">
        <f>_xlfn.XLOOKUP(Sales_fact[[#This Row],[Product_ID]],Product_Dim!A:A,Product_Dim!C:C,"OTHERS")</f>
        <v>Home</v>
      </c>
    </row>
    <row r="1048" spans="1:18" x14ac:dyDescent="0.3">
      <c r="A1048" t="s">
        <v>2872</v>
      </c>
      <c r="B1048" s="2">
        <v>45806</v>
      </c>
      <c r="C1048" t="s">
        <v>842</v>
      </c>
      <c r="D1048" t="s">
        <v>1732</v>
      </c>
      <c r="E1048" t="str">
        <f ca="1">TRIM(Sales_fact[[#This Row],[Store_ID]])</f>
        <v>STORE11</v>
      </c>
      <c r="F1048">
        <v>1</v>
      </c>
      <c r="G1048">
        <f>IF(ISBLANK(F1048),MODE($F$2:$F$2001),F1048)</f>
        <v>1</v>
      </c>
      <c r="H1048">
        <v>209.39</v>
      </c>
      <c r="I1048">
        <f>IF(ISBLANK(H1048),AVERAGE($H$2:$H$2001),H1048)</f>
        <v>209.39</v>
      </c>
      <c r="J1048">
        <v>0.28000000000000003</v>
      </c>
      <c r="K1048">
        <f>IF(ISBLANK(J1048),MODE($J$2:$J$2001),J1048)</f>
        <v>0.28000000000000003</v>
      </c>
      <c r="L1048" t="s">
        <v>1826</v>
      </c>
      <c r="M1048">
        <v>150.76079999999999</v>
      </c>
      <c r="N1048">
        <f t="shared" si="16"/>
        <v>150.76079999999999</v>
      </c>
      <c r="O1048" t="str">
        <f>_xlfn.XLOOKUP(Sales_fact[[#This Row],[Customer_ID]],'Customer_Dim'!A:A,'Customer_Dim'!K:K,"Not Found")</f>
        <v>Gold</v>
      </c>
      <c r="P1048">
        <f>_xlfn.XLOOKUP(Sales_fact[[#This Row],[Customer_ID]],'Customer_Dim'!A:A, 'Customer_Dim'!E:E, "Not Found")</f>
        <v>25</v>
      </c>
      <c r="Q1048" t="str">
        <f>VLOOKUP(Sales_fact[[#This Row],[Customer_ID]], 'Customer_Dim'!A:F, 6, FALSE)</f>
        <v>Male</v>
      </c>
      <c r="R1048" s="13" t="str">
        <f>_xlfn.XLOOKUP(Sales_fact[[#This Row],[Product_ID]],Product_Dim!A:A,Product_Dim!C:C,"OTHERS")</f>
        <v>Home</v>
      </c>
    </row>
    <row r="1049" spans="1:18" x14ac:dyDescent="0.3">
      <c r="A1049" t="s">
        <v>2873</v>
      </c>
      <c r="B1049" s="2">
        <v>45288</v>
      </c>
      <c r="C1049" t="s">
        <v>202</v>
      </c>
      <c r="D1049" t="s">
        <v>1708</v>
      </c>
      <c r="E1049" t="str">
        <f ca="1">TRIM(Sales_fact[[#This Row],[Store_ID]])</f>
        <v>STORE9</v>
      </c>
      <c r="F1049">
        <v>1</v>
      </c>
      <c r="G1049">
        <f>IF(ISBLANK(F1049),MODE($F$2:$F$2001),F1049)</f>
        <v>1</v>
      </c>
      <c r="H1049">
        <v>813.87</v>
      </c>
      <c r="I1049">
        <f>IF(ISBLANK(H1049),AVERAGE($H$2:$H$2001),H1049)</f>
        <v>813.87</v>
      </c>
      <c r="J1049">
        <v>0.23</v>
      </c>
      <c r="K1049">
        <f>IF(ISBLANK(J1049),MODE($J$2:$J$2001),J1049)</f>
        <v>0.23</v>
      </c>
      <c r="L1049" t="s">
        <v>1824</v>
      </c>
      <c r="M1049">
        <v>626.67989999999998</v>
      </c>
      <c r="N1049">
        <f t="shared" si="16"/>
        <v>626.67989999999998</v>
      </c>
      <c r="O1049" t="str">
        <f>_xlfn.XLOOKUP(Sales_fact[[#This Row],[Customer_ID]],'Customer_Dim'!A:A,'Customer_Dim'!K:K,"Not Found")</f>
        <v>Gold</v>
      </c>
      <c r="P1049">
        <f>_xlfn.XLOOKUP(Sales_fact[[#This Row],[Customer_ID]],'Customer_Dim'!A:A, 'Customer_Dim'!E:E, "Not Found")</f>
        <v>37</v>
      </c>
      <c r="Q1049" t="str">
        <f>VLOOKUP(Sales_fact[[#This Row],[Customer_ID]], 'Customer_Dim'!A:F, 6, FALSE)</f>
        <v>Female</v>
      </c>
      <c r="R1049" s="13" t="str">
        <f>_xlfn.XLOOKUP(Sales_fact[[#This Row],[Product_ID]],Product_Dim!A:A,Product_Dim!C:C,"OTHERS")</f>
        <v>Home</v>
      </c>
    </row>
    <row r="1050" spans="1:18" x14ac:dyDescent="0.3">
      <c r="A1050" t="s">
        <v>2874</v>
      </c>
      <c r="B1050" s="2">
        <v>45783</v>
      </c>
      <c r="C1050" t="s">
        <v>821</v>
      </c>
      <c r="D1050" t="s">
        <v>1604</v>
      </c>
      <c r="E1050" t="str">
        <f ca="1">TRIM(Sales_fact[[#This Row],[Store_ID]])</f>
        <v>STORE0</v>
      </c>
      <c r="F1050">
        <v>1</v>
      </c>
      <c r="G1050">
        <f>IF(ISBLANK(F1050),MODE($F$2:$F$2001),F1050)</f>
        <v>1</v>
      </c>
      <c r="H1050">
        <v>143.69999999999999</v>
      </c>
      <c r="I1050">
        <f>IF(ISBLANK(H1050),AVERAGE($H$2:$H$2001),H1050)</f>
        <v>143.69999999999999</v>
      </c>
      <c r="J1050">
        <v>0.19</v>
      </c>
      <c r="K1050">
        <f>IF(ISBLANK(J1050),MODE($J$2:$J$2001),J1050)</f>
        <v>0.19</v>
      </c>
      <c r="L1050" t="s">
        <v>1826</v>
      </c>
      <c r="M1050">
        <v>116.39700000000001</v>
      </c>
      <c r="N1050">
        <f t="shared" si="16"/>
        <v>116.39699999999999</v>
      </c>
      <c r="O1050" t="str">
        <f>_xlfn.XLOOKUP(Sales_fact[[#This Row],[Customer_ID]],'Customer_Dim'!A:A,'Customer_Dim'!K:K,"Not Found")</f>
        <v>Silver</v>
      </c>
      <c r="P1050">
        <f>_xlfn.XLOOKUP(Sales_fact[[#This Row],[Customer_ID]],'Customer_Dim'!A:A, 'Customer_Dim'!E:E, "Not Found")</f>
        <v>42</v>
      </c>
      <c r="Q1050" t="str">
        <f>VLOOKUP(Sales_fact[[#This Row],[Customer_ID]], 'Customer_Dim'!A:F, 6, FALSE)</f>
        <v>Male</v>
      </c>
      <c r="R1050" s="13" t="str">
        <f>_xlfn.XLOOKUP(Sales_fact[[#This Row],[Product_ID]],Product_Dim!A:A,Product_Dim!C:C,"OTHERS")</f>
        <v>Sports</v>
      </c>
    </row>
    <row r="1051" spans="1:18" x14ac:dyDescent="0.3">
      <c r="A1051" t="s">
        <v>2875</v>
      </c>
      <c r="B1051" s="2">
        <v>45385</v>
      </c>
      <c r="C1051" t="s">
        <v>1449</v>
      </c>
      <c r="D1051" t="s">
        <v>1640</v>
      </c>
      <c r="E1051" t="str">
        <f ca="1">TRIM(Sales_fact[[#This Row],[Store_ID]])</f>
        <v>STORE1</v>
      </c>
      <c r="F1051">
        <v>4</v>
      </c>
      <c r="G1051">
        <f>IF(ISBLANK(F1051),MODE($F$2:$F$2001),F1051)</f>
        <v>4</v>
      </c>
      <c r="H1051">
        <v>837.34</v>
      </c>
      <c r="I1051">
        <f>IF(ISBLANK(H1051),AVERAGE($H$2:$H$2001),H1051)</f>
        <v>837.34</v>
      </c>
      <c r="J1051">
        <v>0.05</v>
      </c>
      <c r="K1051">
        <f>IF(ISBLANK(J1051),MODE($J$2:$J$2001),J1051)</f>
        <v>0.05</v>
      </c>
      <c r="L1051" t="s">
        <v>1826</v>
      </c>
      <c r="M1051">
        <v>3181.8919999999998</v>
      </c>
      <c r="N1051">
        <f t="shared" si="16"/>
        <v>3181.8919999999998</v>
      </c>
      <c r="O1051" t="str">
        <f>_xlfn.XLOOKUP(Sales_fact[[#This Row],[Customer_ID]],'Customer_Dim'!A:A,'Customer_Dim'!K:K,"Not Found")</f>
        <v>Gold</v>
      </c>
      <c r="P1051">
        <f>_xlfn.XLOOKUP(Sales_fact[[#This Row],[Customer_ID]],'Customer_Dim'!A:A, 'Customer_Dim'!E:E, "Not Found")</f>
        <v>21</v>
      </c>
      <c r="Q1051" t="str">
        <f>VLOOKUP(Sales_fact[[#This Row],[Customer_ID]], 'Customer_Dim'!A:F, 6, FALSE)</f>
        <v>Female</v>
      </c>
      <c r="R1051" s="13" t="str">
        <f>_xlfn.XLOOKUP(Sales_fact[[#This Row],[Product_ID]],Product_Dim!A:A,Product_Dim!C:C,"OTHERS")</f>
        <v>Clothing</v>
      </c>
    </row>
    <row r="1052" spans="1:18" x14ac:dyDescent="0.3">
      <c r="A1052" t="s">
        <v>2876</v>
      </c>
      <c r="B1052" s="2">
        <v>45878</v>
      </c>
      <c r="C1052" t="s">
        <v>417</v>
      </c>
      <c r="D1052" t="s">
        <v>1578</v>
      </c>
      <c r="E1052" t="str">
        <f ca="1">TRIM(Sales_fact[[#This Row],[Store_ID]])</f>
        <v>STORE19</v>
      </c>
      <c r="F1052">
        <v>1</v>
      </c>
      <c r="G1052">
        <f>IF(ISBLANK(F1052),MODE($F$2:$F$2001),F1052)</f>
        <v>1</v>
      </c>
      <c r="H1052">
        <v>151.66</v>
      </c>
      <c r="I1052">
        <f>IF(ISBLANK(H1052),AVERAGE($H$2:$H$2001),H1052)</f>
        <v>151.66</v>
      </c>
      <c r="J1052">
        <v>0.16</v>
      </c>
      <c r="K1052">
        <f>IF(ISBLANK(J1052),MODE($J$2:$J$2001),J1052)</f>
        <v>0.16</v>
      </c>
      <c r="L1052" t="s">
        <v>1829</v>
      </c>
      <c r="M1052">
        <v>127.3944</v>
      </c>
      <c r="N1052">
        <f t="shared" si="16"/>
        <v>127.39439999999999</v>
      </c>
      <c r="O1052" t="str">
        <f>_xlfn.XLOOKUP(Sales_fact[[#This Row],[Customer_ID]],'Customer_Dim'!A:A,'Customer_Dim'!K:K,"Not Found")</f>
        <v>Platinum</v>
      </c>
      <c r="P1052">
        <f>_xlfn.XLOOKUP(Sales_fact[[#This Row],[Customer_ID]],'Customer_Dim'!A:A, 'Customer_Dim'!E:E, "Not Found")</f>
        <v>44</v>
      </c>
      <c r="Q1052" t="str">
        <f>VLOOKUP(Sales_fact[[#This Row],[Customer_ID]], 'Customer_Dim'!A:F, 6, FALSE)</f>
        <v>Female</v>
      </c>
      <c r="R1052" s="13" t="str">
        <f>_xlfn.XLOOKUP(Sales_fact[[#This Row],[Product_ID]],Product_Dim!A:A,Product_Dim!C:C,"OTHERS")</f>
        <v>Electronics</v>
      </c>
    </row>
    <row r="1053" spans="1:18" x14ac:dyDescent="0.3">
      <c r="A1053" t="s">
        <v>2877</v>
      </c>
      <c r="B1053" s="2">
        <v>45720</v>
      </c>
      <c r="C1053" t="s">
        <v>1533</v>
      </c>
      <c r="D1053" t="s">
        <v>1636</v>
      </c>
      <c r="E1053" t="str">
        <f ca="1">TRIM(Sales_fact[[#This Row],[Store_ID]])</f>
        <v>STORE8</v>
      </c>
      <c r="F1053">
        <v>3</v>
      </c>
      <c r="G1053">
        <f>IF(ISBLANK(F1053),MODE($F$2:$F$2001),F1053)</f>
        <v>3</v>
      </c>
      <c r="H1053">
        <v>961.4</v>
      </c>
      <c r="I1053">
        <f>IF(ISBLANK(H1053),AVERAGE($H$2:$H$2001),H1053)</f>
        <v>961.4</v>
      </c>
      <c r="J1053">
        <v>0.02</v>
      </c>
      <c r="K1053">
        <f>IF(ISBLANK(J1053),MODE($J$2:$J$2001),J1053)</f>
        <v>0.02</v>
      </c>
      <c r="L1053" t="s">
        <v>1826</v>
      </c>
      <c r="M1053">
        <v>2826.5160000000001</v>
      </c>
      <c r="N1053">
        <f t="shared" si="16"/>
        <v>2826.5159999999996</v>
      </c>
      <c r="O1053" t="str">
        <f>_xlfn.XLOOKUP(Sales_fact[[#This Row],[Customer_ID]],'Customer_Dim'!A:A,'Customer_Dim'!K:K,"Not Found")</f>
        <v>Not Found</v>
      </c>
      <c r="P1053" t="str">
        <f>_xlfn.XLOOKUP(Sales_fact[[#This Row],[Customer_ID]],'Customer_Dim'!A:A, 'Customer_Dim'!E:E, "Not Found")</f>
        <v>Not Found</v>
      </c>
      <c r="Q1053" t="e">
        <f>VLOOKUP(Sales_fact[[#This Row],[Customer_ID]], 'Customer_Dim'!A:F, 6, FALSE)</f>
        <v>#N/A</v>
      </c>
      <c r="R1053" s="13" t="str">
        <f>_xlfn.XLOOKUP(Sales_fact[[#This Row],[Product_ID]],Product_Dim!A:A,Product_Dim!C:C,"OTHERS")</f>
        <v>Sports</v>
      </c>
    </row>
    <row r="1054" spans="1:18" x14ac:dyDescent="0.3">
      <c r="A1054" t="s">
        <v>2878</v>
      </c>
      <c r="B1054" s="2">
        <v>45503</v>
      </c>
      <c r="C1054" t="s">
        <v>1157</v>
      </c>
      <c r="D1054" t="s">
        <v>1696</v>
      </c>
      <c r="E1054" t="str">
        <f ca="1">TRIM(Sales_fact[[#This Row],[Store_ID]])</f>
        <v>STORE18</v>
      </c>
      <c r="F1054">
        <v>4</v>
      </c>
      <c r="G1054">
        <f>IF(ISBLANK(F1054),MODE($F$2:$F$2001),F1054)</f>
        <v>4</v>
      </c>
      <c r="H1054">
        <v>475.98</v>
      </c>
      <c r="I1054">
        <f>IF(ISBLANK(H1054),AVERAGE($H$2:$H$2001),H1054)</f>
        <v>475.98</v>
      </c>
      <c r="J1054">
        <v>0.19</v>
      </c>
      <c r="K1054">
        <f>IF(ISBLANK(J1054),MODE($J$2:$J$2001),J1054)</f>
        <v>0.19</v>
      </c>
      <c r="L1054" t="s">
        <v>1826</v>
      </c>
      <c r="M1054">
        <v>1542.1751999999999</v>
      </c>
      <c r="N1054">
        <f t="shared" si="16"/>
        <v>1542.1752000000001</v>
      </c>
      <c r="O1054" t="str">
        <f>_xlfn.XLOOKUP(Sales_fact[[#This Row],[Customer_ID]],'Customer_Dim'!A:A,'Customer_Dim'!K:K,"Not Found")</f>
        <v>Silver</v>
      </c>
      <c r="P1054">
        <f>_xlfn.XLOOKUP(Sales_fact[[#This Row],[Customer_ID]],'Customer_Dim'!A:A, 'Customer_Dim'!E:E, "Not Found")</f>
        <v>45</v>
      </c>
      <c r="Q1054" t="str">
        <f>VLOOKUP(Sales_fact[[#This Row],[Customer_ID]], 'Customer_Dim'!A:F, 6, FALSE)</f>
        <v>Male</v>
      </c>
      <c r="R1054" s="13" t="str">
        <f>_xlfn.XLOOKUP(Sales_fact[[#This Row],[Product_ID]],Product_Dim!A:A,Product_Dim!C:C,"OTHERS")</f>
        <v>Electronics</v>
      </c>
    </row>
    <row r="1055" spans="1:18" x14ac:dyDescent="0.3">
      <c r="A1055" t="s">
        <v>2879</v>
      </c>
      <c r="B1055" s="2">
        <v>45551</v>
      </c>
      <c r="C1055" t="s">
        <v>1187</v>
      </c>
      <c r="D1055" t="s">
        <v>1624</v>
      </c>
      <c r="E1055" t="str">
        <f ca="1">TRIM(Sales_fact[[#This Row],[Store_ID]])</f>
        <v>STORE15</v>
      </c>
      <c r="F1055">
        <v>4</v>
      </c>
      <c r="G1055">
        <f>IF(ISBLANK(F1055),MODE($F$2:$F$2001),F1055)</f>
        <v>4</v>
      </c>
      <c r="H1055">
        <v>132.88999999999999</v>
      </c>
      <c r="I1055">
        <f>IF(ISBLANK(H1055),AVERAGE($H$2:$H$2001),H1055)</f>
        <v>132.88999999999999</v>
      </c>
      <c r="J1055">
        <v>0.12</v>
      </c>
      <c r="K1055">
        <f>IF(ISBLANK(J1055),MODE($J$2:$J$2001),J1055)</f>
        <v>0.12</v>
      </c>
      <c r="L1055" t="s">
        <v>1824</v>
      </c>
      <c r="M1055">
        <v>467.77280000000002</v>
      </c>
      <c r="N1055">
        <f t="shared" si="16"/>
        <v>467.77279999999996</v>
      </c>
      <c r="O1055" t="str">
        <f>_xlfn.XLOOKUP(Sales_fact[[#This Row],[Customer_ID]],'Customer_Dim'!A:A,'Customer_Dim'!K:K,"Not Found")</f>
        <v>Gold</v>
      </c>
      <c r="P1055">
        <f>_xlfn.XLOOKUP(Sales_fact[[#This Row],[Customer_ID]],'Customer_Dim'!A:A, 'Customer_Dim'!E:E, "Not Found")</f>
        <v>23</v>
      </c>
      <c r="Q1055" t="str">
        <f>VLOOKUP(Sales_fact[[#This Row],[Customer_ID]], 'Customer_Dim'!A:F, 6, FALSE)</f>
        <v>Male</v>
      </c>
      <c r="R1055" s="13" t="str">
        <f>_xlfn.XLOOKUP(Sales_fact[[#This Row],[Product_ID]],Product_Dim!A:A,Product_Dim!C:C,"OTHERS")</f>
        <v>Sports</v>
      </c>
    </row>
    <row r="1056" spans="1:18" x14ac:dyDescent="0.3">
      <c r="A1056" t="s">
        <v>2880</v>
      </c>
      <c r="B1056" s="2">
        <v>45850</v>
      </c>
      <c r="C1056" t="s">
        <v>1355</v>
      </c>
      <c r="D1056" t="s">
        <v>1618</v>
      </c>
      <c r="E1056" t="str">
        <f ca="1">TRIM(Sales_fact[[#This Row],[Store_ID]])</f>
        <v>STORE12</v>
      </c>
      <c r="F1056">
        <v>3</v>
      </c>
      <c r="G1056">
        <f>IF(ISBLANK(F1056),MODE($F$2:$F$2001),F1056)</f>
        <v>3</v>
      </c>
      <c r="H1056">
        <v>471.31</v>
      </c>
      <c r="I1056">
        <f>IF(ISBLANK(H1056),AVERAGE($H$2:$H$2001),H1056)</f>
        <v>471.31</v>
      </c>
      <c r="J1056">
        <v>0</v>
      </c>
      <c r="K1056">
        <f>IF(ISBLANK(J1056),MODE($J$2:$J$2001),J1056)</f>
        <v>0</v>
      </c>
      <c r="L1056" t="s">
        <v>1826</v>
      </c>
      <c r="M1056">
        <v>1413.93</v>
      </c>
      <c r="N1056">
        <f t="shared" si="16"/>
        <v>1413.93</v>
      </c>
      <c r="O1056" t="str">
        <f>_xlfn.XLOOKUP(Sales_fact[[#This Row],[Customer_ID]],'Customer_Dim'!A:A,'Customer_Dim'!K:K,"Not Found")</f>
        <v>Platinum</v>
      </c>
      <c r="P1056">
        <f>_xlfn.XLOOKUP(Sales_fact[[#This Row],[Customer_ID]],'Customer_Dim'!A:A, 'Customer_Dim'!E:E, "Not Found")</f>
        <v>47</v>
      </c>
      <c r="Q1056" t="str">
        <f>VLOOKUP(Sales_fact[[#This Row],[Customer_ID]], 'Customer_Dim'!A:F, 6, FALSE)</f>
        <v>Female</v>
      </c>
      <c r="R1056" s="13" t="str">
        <f>_xlfn.XLOOKUP(Sales_fact[[#This Row],[Product_ID]],Product_Dim!A:A,Product_Dim!C:C,"OTHERS")</f>
        <v>Home</v>
      </c>
    </row>
    <row r="1057" spans="1:18" x14ac:dyDescent="0.3">
      <c r="A1057" t="s">
        <v>2881</v>
      </c>
      <c r="B1057" s="2">
        <v>45441</v>
      </c>
      <c r="C1057" t="s">
        <v>1431</v>
      </c>
      <c r="D1057" t="s">
        <v>1700</v>
      </c>
      <c r="E1057" t="str">
        <f ca="1">TRIM(Sales_fact[[#This Row],[Store_ID]])</f>
        <v>STORE14</v>
      </c>
      <c r="F1057">
        <v>2</v>
      </c>
      <c r="G1057">
        <f>IF(ISBLANK(F1057),MODE($F$2:$F$2001),F1057)</f>
        <v>2</v>
      </c>
      <c r="H1057">
        <v>720.32</v>
      </c>
      <c r="I1057">
        <f>IF(ISBLANK(H1057),AVERAGE($H$2:$H$2001),H1057)</f>
        <v>720.32</v>
      </c>
      <c r="J1057">
        <v>0.26</v>
      </c>
      <c r="K1057">
        <f>IF(ISBLANK(J1057),MODE($J$2:$J$2001),J1057)</f>
        <v>0.26</v>
      </c>
      <c r="L1057" t="s">
        <v>1824</v>
      </c>
      <c r="M1057">
        <v>1066.0735999999999</v>
      </c>
      <c r="N1057">
        <f t="shared" si="16"/>
        <v>1066.0736000000002</v>
      </c>
      <c r="O1057" t="str">
        <f>_xlfn.XLOOKUP(Sales_fact[[#This Row],[Customer_ID]],'Customer_Dim'!A:A,'Customer_Dim'!K:K,"Not Found")</f>
        <v>Not Found</v>
      </c>
      <c r="P1057" t="str">
        <f>_xlfn.XLOOKUP(Sales_fact[[#This Row],[Customer_ID]],'Customer_Dim'!A:A, 'Customer_Dim'!E:E, "Not Found")</f>
        <v>Not Found</v>
      </c>
      <c r="Q1057" t="e">
        <f>VLOOKUP(Sales_fact[[#This Row],[Customer_ID]], 'Customer_Dim'!A:F, 6, FALSE)</f>
        <v>#N/A</v>
      </c>
      <c r="R1057" s="13" t="str">
        <f>_xlfn.XLOOKUP(Sales_fact[[#This Row],[Product_ID]],Product_Dim!A:A,Product_Dim!C:C,"OTHERS")</f>
        <v>Electronics</v>
      </c>
    </row>
    <row r="1058" spans="1:18" x14ac:dyDescent="0.3">
      <c r="A1058" t="s">
        <v>2882</v>
      </c>
      <c r="B1058" s="2">
        <v>45431</v>
      </c>
      <c r="C1058" t="s">
        <v>275</v>
      </c>
      <c r="D1058" t="s">
        <v>1680</v>
      </c>
      <c r="E1058" t="str">
        <f ca="1">TRIM(Sales_fact[[#This Row],[Store_ID]])</f>
        <v>STORE18</v>
      </c>
      <c r="F1058">
        <v>4</v>
      </c>
      <c r="G1058">
        <f>IF(ISBLANK(F1058),MODE($F$2:$F$2001),F1058)</f>
        <v>4</v>
      </c>
      <c r="H1058">
        <v>99.92</v>
      </c>
      <c r="I1058">
        <f>IF(ISBLANK(H1058),AVERAGE($H$2:$H$2001),H1058)</f>
        <v>99.92</v>
      </c>
      <c r="J1058">
        <v>0.11</v>
      </c>
      <c r="K1058">
        <f>IF(ISBLANK(J1058),MODE($J$2:$J$2001),J1058)</f>
        <v>0.11</v>
      </c>
      <c r="L1058" t="s">
        <v>1829</v>
      </c>
      <c r="M1058">
        <v>355.71519999999998</v>
      </c>
      <c r="N1058">
        <f t="shared" si="16"/>
        <v>355.71520000000004</v>
      </c>
      <c r="O1058" t="str">
        <f>_xlfn.XLOOKUP(Sales_fact[[#This Row],[Customer_ID]],'Customer_Dim'!A:A,'Customer_Dim'!K:K,"Not Found")</f>
        <v>Gold</v>
      </c>
      <c r="P1058">
        <f>_xlfn.XLOOKUP(Sales_fact[[#This Row],[Customer_ID]],'Customer_Dim'!A:A, 'Customer_Dim'!E:E, "Not Found")</f>
        <v>61</v>
      </c>
      <c r="Q1058" t="str">
        <f>VLOOKUP(Sales_fact[[#This Row],[Customer_ID]], 'Customer_Dim'!A:F, 6, FALSE)</f>
        <v>Female</v>
      </c>
      <c r="R1058" s="13" t="str">
        <f>_xlfn.XLOOKUP(Sales_fact[[#This Row],[Product_ID]],Product_Dim!A:A,Product_Dim!C:C,"OTHERS")</f>
        <v>Beauty</v>
      </c>
    </row>
    <row r="1059" spans="1:18" x14ac:dyDescent="0.3">
      <c r="A1059" t="s">
        <v>2883</v>
      </c>
      <c r="B1059" s="2">
        <v>45873</v>
      </c>
      <c r="C1059" t="s">
        <v>247</v>
      </c>
      <c r="D1059" t="s">
        <v>1568</v>
      </c>
      <c r="E1059" t="str">
        <f ca="1">TRIM(Sales_fact[[#This Row],[Store_ID]])</f>
        <v>STORE3</v>
      </c>
      <c r="F1059">
        <v>3</v>
      </c>
      <c r="G1059">
        <f>IF(ISBLANK(F1059),MODE($F$2:$F$2001),F1059)</f>
        <v>3</v>
      </c>
      <c r="H1059">
        <v>900.63</v>
      </c>
      <c r="I1059">
        <f>IF(ISBLANK(H1059),AVERAGE($H$2:$H$2001),H1059)</f>
        <v>900.63</v>
      </c>
      <c r="J1059">
        <v>0.11</v>
      </c>
      <c r="K1059">
        <f>IF(ISBLANK(J1059),MODE($J$2:$J$2001),J1059)</f>
        <v>0.11</v>
      </c>
      <c r="L1059" t="s">
        <v>1829</v>
      </c>
      <c r="M1059">
        <v>2404.6821</v>
      </c>
      <c r="N1059">
        <f t="shared" si="16"/>
        <v>2404.6821</v>
      </c>
      <c r="O1059" t="str">
        <f>_xlfn.XLOOKUP(Sales_fact[[#This Row],[Customer_ID]],'Customer_Dim'!A:A,'Customer_Dim'!K:K,"Not Found")</f>
        <v>Silver</v>
      </c>
      <c r="P1059">
        <f>_xlfn.XLOOKUP(Sales_fact[[#This Row],[Customer_ID]],'Customer_Dim'!A:A, 'Customer_Dim'!E:E, "Not Found")</f>
        <v>58</v>
      </c>
      <c r="Q1059" t="str">
        <f>VLOOKUP(Sales_fact[[#This Row],[Customer_ID]], 'Customer_Dim'!A:F, 6, FALSE)</f>
        <v>Male</v>
      </c>
      <c r="R1059" s="13" t="str">
        <f>_xlfn.XLOOKUP(Sales_fact[[#This Row],[Product_ID]],Product_Dim!A:A,Product_Dim!C:C,"OTHERS")</f>
        <v>Home</v>
      </c>
    </row>
    <row r="1060" spans="1:18" x14ac:dyDescent="0.3">
      <c r="A1060" t="s">
        <v>2884</v>
      </c>
      <c r="B1060" s="2">
        <v>45629</v>
      </c>
      <c r="C1060" t="s">
        <v>1368</v>
      </c>
      <c r="D1060" t="s">
        <v>1640</v>
      </c>
      <c r="E1060" t="str">
        <f ca="1">TRIM(Sales_fact[[#This Row],[Store_ID]])</f>
        <v>STORE8</v>
      </c>
      <c r="F1060">
        <v>1</v>
      </c>
      <c r="G1060">
        <f>IF(ISBLANK(F1060),MODE($F$2:$F$2001),F1060)</f>
        <v>1</v>
      </c>
      <c r="H1060">
        <v>681.72</v>
      </c>
      <c r="I1060">
        <f>IF(ISBLANK(H1060),AVERAGE($H$2:$H$2001),H1060)</f>
        <v>681.72</v>
      </c>
      <c r="J1060">
        <v>0.11</v>
      </c>
      <c r="K1060">
        <f>IF(ISBLANK(J1060),MODE($J$2:$J$2001),J1060)</f>
        <v>0.11</v>
      </c>
      <c r="L1060" t="s">
        <v>1826</v>
      </c>
      <c r="M1060">
        <v>606.73080000000004</v>
      </c>
      <c r="N1060">
        <f t="shared" si="16"/>
        <v>606.73080000000004</v>
      </c>
      <c r="O1060" t="str">
        <f>_xlfn.XLOOKUP(Sales_fact[[#This Row],[Customer_ID]],'Customer_Dim'!A:A,'Customer_Dim'!K:K,"Not Found")</f>
        <v>Bronze</v>
      </c>
      <c r="P1060">
        <f>_xlfn.XLOOKUP(Sales_fact[[#This Row],[Customer_ID]],'Customer_Dim'!A:A, 'Customer_Dim'!E:E, "Not Found")</f>
        <v>42</v>
      </c>
      <c r="Q1060" t="str">
        <f>VLOOKUP(Sales_fact[[#This Row],[Customer_ID]], 'Customer_Dim'!A:F, 6, FALSE)</f>
        <v>Female</v>
      </c>
      <c r="R1060" s="13" t="str">
        <f>_xlfn.XLOOKUP(Sales_fact[[#This Row],[Product_ID]],Product_Dim!A:A,Product_Dim!C:C,"OTHERS")</f>
        <v>Clothing</v>
      </c>
    </row>
    <row r="1061" spans="1:18" x14ac:dyDescent="0.3">
      <c r="A1061" t="s">
        <v>2885</v>
      </c>
      <c r="B1061" s="2">
        <v>45222</v>
      </c>
      <c r="C1061" t="s">
        <v>48</v>
      </c>
      <c r="D1061" t="s">
        <v>1704</v>
      </c>
      <c r="E1061" t="str">
        <f ca="1">TRIM(Sales_fact[[#This Row],[Store_ID]])</f>
        <v>STORE13</v>
      </c>
      <c r="F1061">
        <v>2</v>
      </c>
      <c r="G1061">
        <f>IF(ISBLANK(F1061),MODE($F$2:$F$2001),F1061)</f>
        <v>2</v>
      </c>
      <c r="H1061">
        <v>838.22</v>
      </c>
      <c r="I1061">
        <f>IF(ISBLANK(H1061),AVERAGE($H$2:$H$2001),H1061)</f>
        <v>838.22</v>
      </c>
      <c r="J1061">
        <v>0.3</v>
      </c>
      <c r="K1061">
        <f>IF(ISBLANK(J1061),MODE($J$2:$J$2001),J1061)</f>
        <v>0.3</v>
      </c>
      <c r="L1061" t="s">
        <v>1824</v>
      </c>
      <c r="M1061">
        <v>1173.508</v>
      </c>
      <c r="N1061">
        <f t="shared" si="16"/>
        <v>1173.508</v>
      </c>
      <c r="O1061" t="str">
        <f>_xlfn.XLOOKUP(Sales_fact[[#This Row],[Customer_ID]],'Customer_Dim'!A:A,'Customer_Dim'!K:K,"Not Found")</f>
        <v>Platinum</v>
      </c>
      <c r="P1061">
        <f>_xlfn.XLOOKUP(Sales_fact[[#This Row],[Customer_ID]],'Customer_Dim'!A:A, 'Customer_Dim'!E:E, "Not Found")</f>
        <v>64</v>
      </c>
      <c r="Q1061" t="str">
        <f>VLOOKUP(Sales_fact[[#This Row],[Customer_ID]], 'Customer_Dim'!A:F, 6, FALSE)</f>
        <v>Male</v>
      </c>
      <c r="R1061" s="13" t="str">
        <f>_xlfn.XLOOKUP(Sales_fact[[#This Row],[Product_ID]],Product_Dim!A:A,Product_Dim!C:C,"OTHERS")</f>
        <v>Home</v>
      </c>
    </row>
    <row r="1062" spans="1:18" x14ac:dyDescent="0.3">
      <c r="A1062" t="s">
        <v>2886</v>
      </c>
      <c r="B1062" s="2">
        <v>45797</v>
      </c>
      <c r="C1062" t="s">
        <v>637</v>
      </c>
      <c r="D1062" t="s">
        <v>1722</v>
      </c>
      <c r="E1062" t="str">
        <f ca="1">TRIM(Sales_fact[[#This Row],[Store_ID]])</f>
        <v>STORE12</v>
      </c>
      <c r="F1062">
        <v>2</v>
      </c>
      <c r="G1062">
        <f>IF(ISBLANK(F1062),MODE($F$2:$F$2001),F1062)</f>
        <v>2</v>
      </c>
      <c r="H1062">
        <v>816.22</v>
      </c>
      <c r="I1062">
        <f>IF(ISBLANK(H1062),AVERAGE($H$2:$H$2001),H1062)</f>
        <v>816.22</v>
      </c>
      <c r="J1062">
        <v>0.27</v>
      </c>
      <c r="K1062">
        <f>IF(ISBLANK(J1062),MODE($J$2:$J$2001),J1062)</f>
        <v>0.27</v>
      </c>
      <c r="L1062" t="s">
        <v>1824</v>
      </c>
      <c r="M1062">
        <v>1191.6812</v>
      </c>
      <c r="N1062">
        <f t="shared" si="16"/>
        <v>1191.6812</v>
      </c>
      <c r="O1062" t="str">
        <f>_xlfn.XLOOKUP(Sales_fact[[#This Row],[Customer_ID]],'Customer_Dim'!A:A,'Customer_Dim'!K:K,"Not Found")</f>
        <v>Gold</v>
      </c>
      <c r="P1062">
        <f>_xlfn.XLOOKUP(Sales_fact[[#This Row],[Customer_ID]],'Customer_Dim'!A:A, 'Customer_Dim'!E:E, "Not Found")</f>
        <v>46</v>
      </c>
      <c r="Q1062" t="str">
        <f>VLOOKUP(Sales_fact[[#This Row],[Customer_ID]], 'Customer_Dim'!A:F, 6, FALSE)</f>
        <v>Male</v>
      </c>
      <c r="R1062" s="13" t="str">
        <f>_xlfn.XLOOKUP(Sales_fact[[#This Row],[Product_ID]],Product_Dim!A:A,Product_Dim!C:C,"OTHERS")</f>
        <v>Home</v>
      </c>
    </row>
    <row r="1063" spans="1:18" x14ac:dyDescent="0.3">
      <c r="A1063" t="s">
        <v>2887</v>
      </c>
      <c r="B1063" s="2">
        <v>45554</v>
      </c>
      <c r="C1063" t="s">
        <v>1187</v>
      </c>
      <c r="D1063" t="s">
        <v>1670</v>
      </c>
      <c r="E1063" t="str">
        <f ca="1">TRIM(Sales_fact[[#This Row],[Store_ID]])</f>
        <v>STORE7</v>
      </c>
      <c r="F1063">
        <v>2</v>
      </c>
      <c r="G1063">
        <f>IF(ISBLANK(F1063),MODE($F$2:$F$2001),F1063)</f>
        <v>2</v>
      </c>
      <c r="H1063">
        <v>654.12</v>
      </c>
      <c r="I1063">
        <f>IF(ISBLANK(H1063),AVERAGE($H$2:$H$2001),H1063)</f>
        <v>654.12</v>
      </c>
      <c r="J1063">
        <v>0.27</v>
      </c>
      <c r="K1063">
        <f>IF(ISBLANK(J1063),MODE($J$2:$J$2001),J1063)</f>
        <v>0.27</v>
      </c>
      <c r="L1063" t="s">
        <v>1826</v>
      </c>
      <c r="M1063">
        <v>955.01519999999994</v>
      </c>
      <c r="N1063">
        <f t="shared" si="16"/>
        <v>955.01519999999994</v>
      </c>
      <c r="O1063" t="str">
        <f>_xlfn.XLOOKUP(Sales_fact[[#This Row],[Customer_ID]],'Customer_Dim'!A:A,'Customer_Dim'!K:K,"Not Found")</f>
        <v>Gold</v>
      </c>
      <c r="P1063">
        <f>_xlfn.XLOOKUP(Sales_fact[[#This Row],[Customer_ID]],'Customer_Dim'!A:A, 'Customer_Dim'!E:E, "Not Found")</f>
        <v>23</v>
      </c>
      <c r="Q1063" t="str">
        <f>VLOOKUP(Sales_fact[[#This Row],[Customer_ID]], 'Customer_Dim'!A:F, 6, FALSE)</f>
        <v>Male</v>
      </c>
      <c r="R1063" s="13" t="str">
        <f>_xlfn.XLOOKUP(Sales_fact[[#This Row],[Product_ID]],Product_Dim!A:A,Product_Dim!C:C,"OTHERS")</f>
        <v>Sports</v>
      </c>
    </row>
    <row r="1064" spans="1:18" x14ac:dyDescent="0.3">
      <c r="A1064" t="s">
        <v>2888</v>
      </c>
      <c r="B1064" s="2">
        <v>45385</v>
      </c>
      <c r="C1064" t="s">
        <v>372</v>
      </c>
      <c r="D1064" t="s">
        <v>1694</v>
      </c>
      <c r="E1064" t="str">
        <f ca="1">TRIM(Sales_fact[[#This Row],[Store_ID]])</f>
        <v>STORE13</v>
      </c>
      <c r="F1064">
        <v>4</v>
      </c>
      <c r="G1064">
        <f>IF(ISBLANK(F1064),MODE($F$2:$F$2001),F1064)</f>
        <v>4</v>
      </c>
      <c r="H1064">
        <v>528.22</v>
      </c>
      <c r="I1064">
        <f>IF(ISBLANK(H1064),AVERAGE($H$2:$H$2001),H1064)</f>
        <v>528.22</v>
      </c>
      <c r="J1064">
        <v>0.2</v>
      </c>
      <c r="K1064">
        <f>IF(ISBLANK(J1064),MODE($J$2:$J$2001),J1064)</f>
        <v>0.2</v>
      </c>
      <c r="L1064" t="s">
        <v>1826</v>
      </c>
      <c r="M1064">
        <v>1690.3040000000001</v>
      </c>
      <c r="N1064">
        <f t="shared" si="16"/>
        <v>1690.3040000000001</v>
      </c>
      <c r="O1064" t="str">
        <f>_xlfn.XLOOKUP(Sales_fact[[#This Row],[Customer_ID]],'Customer_Dim'!A:A,'Customer_Dim'!K:K,"Not Found")</f>
        <v>Gold</v>
      </c>
      <c r="P1064">
        <f>_xlfn.XLOOKUP(Sales_fact[[#This Row],[Customer_ID]],'Customer_Dim'!A:A, 'Customer_Dim'!E:E, "Not Found")</f>
        <v>50</v>
      </c>
      <c r="Q1064" t="str">
        <f>VLOOKUP(Sales_fact[[#This Row],[Customer_ID]], 'Customer_Dim'!A:F, 6, FALSE)</f>
        <v>Female</v>
      </c>
      <c r="R1064" s="13" t="str">
        <f>_xlfn.XLOOKUP(Sales_fact[[#This Row],[Product_ID]],Product_Dim!A:A,Product_Dim!C:C,"OTHERS")</f>
        <v>Sports</v>
      </c>
    </row>
    <row r="1065" spans="1:18" x14ac:dyDescent="0.3">
      <c r="A1065" t="s">
        <v>2889</v>
      </c>
      <c r="B1065" s="2">
        <v>45704</v>
      </c>
      <c r="C1065" t="s">
        <v>716</v>
      </c>
      <c r="D1065" t="s">
        <v>1616</v>
      </c>
      <c r="E1065" t="str">
        <f ca="1">TRIM(Sales_fact[[#This Row],[Store_ID]])</f>
        <v>STORE7</v>
      </c>
      <c r="F1065">
        <v>4</v>
      </c>
      <c r="G1065">
        <f>IF(ISBLANK(F1065),MODE($F$2:$F$2001),F1065)</f>
        <v>4</v>
      </c>
      <c r="H1065">
        <v>36.72</v>
      </c>
      <c r="I1065">
        <f>IF(ISBLANK(H1065),AVERAGE($H$2:$H$2001),H1065)</f>
        <v>36.72</v>
      </c>
      <c r="J1065">
        <v>7.0000000000000007E-2</v>
      </c>
      <c r="K1065">
        <f>IF(ISBLANK(J1065),MODE($J$2:$J$2001),J1065)</f>
        <v>7.0000000000000007E-2</v>
      </c>
      <c r="L1065" t="s">
        <v>1829</v>
      </c>
      <c r="M1065">
        <v>136.5984</v>
      </c>
      <c r="N1065">
        <f t="shared" si="16"/>
        <v>136.5984</v>
      </c>
      <c r="O1065" t="str">
        <f>_xlfn.XLOOKUP(Sales_fact[[#This Row],[Customer_ID]],'Customer_Dim'!A:A,'Customer_Dim'!K:K,"Not Found")</f>
        <v>Platinum</v>
      </c>
      <c r="P1065">
        <f>_xlfn.XLOOKUP(Sales_fact[[#This Row],[Customer_ID]],'Customer_Dim'!A:A, 'Customer_Dim'!E:E, "Not Found")</f>
        <v>38</v>
      </c>
      <c r="Q1065" t="str">
        <f>VLOOKUP(Sales_fact[[#This Row],[Customer_ID]], 'Customer_Dim'!A:F, 6, FALSE)</f>
        <v>Male</v>
      </c>
      <c r="R1065" s="13" t="str">
        <f>_xlfn.XLOOKUP(Sales_fact[[#This Row],[Product_ID]],Product_Dim!A:A,Product_Dim!C:C,"OTHERS")</f>
        <v>Electronics</v>
      </c>
    </row>
    <row r="1066" spans="1:18" x14ac:dyDescent="0.3">
      <c r="A1066" t="s">
        <v>2890</v>
      </c>
      <c r="B1066" s="2">
        <v>45545</v>
      </c>
      <c r="C1066" t="s">
        <v>1157</v>
      </c>
      <c r="D1066" t="s">
        <v>1704</v>
      </c>
      <c r="E1066" t="str">
        <f ca="1">TRIM(Sales_fact[[#This Row],[Store_ID]])</f>
        <v>STORE19</v>
      </c>
      <c r="F1066">
        <v>2</v>
      </c>
      <c r="G1066">
        <f>IF(ISBLANK(F1066),MODE($F$2:$F$2001),F1066)</f>
        <v>2</v>
      </c>
      <c r="H1066">
        <v>705.97</v>
      </c>
      <c r="I1066">
        <f>IF(ISBLANK(H1066),AVERAGE($H$2:$H$2001),H1066)</f>
        <v>705.97</v>
      </c>
      <c r="J1066">
        <v>0.1</v>
      </c>
      <c r="K1066">
        <f>IF(ISBLANK(J1066),MODE($J$2:$J$2001),J1066)</f>
        <v>0.1</v>
      </c>
      <c r="L1066" t="s">
        <v>1826</v>
      </c>
      <c r="M1066">
        <v>1270.7460000000001</v>
      </c>
      <c r="N1066">
        <f t="shared" si="16"/>
        <v>1270.7460000000001</v>
      </c>
      <c r="O1066" t="str">
        <f>_xlfn.XLOOKUP(Sales_fact[[#This Row],[Customer_ID]],'Customer_Dim'!A:A,'Customer_Dim'!K:K,"Not Found")</f>
        <v>Silver</v>
      </c>
      <c r="P1066">
        <f>_xlfn.XLOOKUP(Sales_fact[[#This Row],[Customer_ID]],'Customer_Dim'!A:A, 'Customer_Dim'!E:E, "Not Found")</f>
        <v>45</v>
      </c>
      <c r="Q1066" t="str">
        <f>VLOOKUP(Sales_fact[[#This Row],[Customer_ID]], 'Customer_Dim'!A:F, 6, FALSE)</f>
        <v>Male</v>
      </c>
      <c r="R1066" s="13" t="str">
        <f>_xlfn.XLOOKUP(Sales_fact[[#This Row],[Product_ID]],Product_Dim!A:A,Product_Dim!C:C,"OTHERS")</f>
        <v>Home</v>
      </c>
    </row>
    <row r="1067" spans="1:18" x14ac:dyDescent="0.3">
      <c r="A1067" t="s">
        <v>2891</v>
      </c>
      <c r="B1067" s="2">
        <v>45736</v>
      </c>
      <c r="C1067" t="s">
        <v>100</v>
      </c>
      <c r="D1067" t="s">
        <v>1628</v>
      </c>
      <c r="E1067" t="str">
        <f ca="1">TRIM(Sales_fact[[#This Row],[Store_ID]])</f>
        <v>STORE1</v>
      </c>
      <c r="F1067">
        <v>2</v>
      </c>
      <c r="G1067">
        <f>IF(ISBLANK(F1067),MODE($F$2:$F$2001),F1067)</f>
        <v>2</v>
      </c>
      <c r="H1067">
        <v>994.29</v>
      </c>
      <c r="I1067">
        <f>IF(ISBLANK(H1067),AVERAGE($H$2:$H$2001),H1067)</f>
        <v>994.29</v>
      </c>
      <c r="J1067">
        <v>0.01</v>
      </c>
      <c r="K1067">
        <f>IF(ISBLANK(J1067),MODE($J$2:$J$2001),J1067)</f>
        <v>0.01</v>
      </c>
      <c r="L1067" t="s">
        <v>1826</v>
      </c>
      <c r="M1067">
        <v>1968.6941999999999</v>
      </c>
      <c r="N1067">
        <f t="shared" si="16"/>
        <v>1968.6941999999999</v>
      </c>
      <c r="O1067" t="str">
        <f>_xlfn.XLOOKUP(Sales_fact[[#This Row],[Customer_ID]],'Customer_Dim'!A:A,'Customer_Dim'!K:K,"Not Found")</f>
        <v>Silver</v>
      </c>
      <c r="P1067">
        <f>_xlfn.XLOOKUP(Sales_fact[[#This Row],[Customer_ID]],'Customer_Dim'!A:A, 'Customer_Dim'!E:E, "Not Found")</f>
        <v>52</v>
      </c>
      <c r="Q1067" t="str">
        <f>VLOOKUP(Sales_fact[[#This Row],[Customer_ID]], 'Customer_Dim'!A:F, 6, FALSE)</f>
        <v>Female</v>
      </c>
      <c r="R1067" s="13" t="str">
        <f>_xlfn.XLOOKUP(Sales_fact[[#This Row],[Product_ID]],Product_Dim!A:A,Product_Dim!C:C,"OTHERS")</f>
        <v>Electronics</v>
      </c>
    </row>
    <row r="1068" spans="1:18" x14ac:dyDescent="0.3">
      <c r="A1068" t="s">
        <v>2892</v>
      </c>
      <c r="B1068" s="2">
        <v>45608</v>
      </c>
      <c r="C1068" t="s">
        <v>1307</v>
      </c>
      <c r="D1068" t="s">
        <v>1732</v>
      </c>
      <c r="E1068" t="str">
        <f ca="1">TRIM(Sales_fact[[#This Row],[Store_ID]])</f>
        <v>STORE18</v>
      </c>
      <c r="F1068">
        <v>1</v>
      </c>
      <c r="G1068">
        <f>IF(ISBLANK(F1068),MODE($F$2:$F$2001),F1068)</f>
        <v>1</v>
      </c>
      <c r="H1068">
        <v>909.04</v>
      </c>
      <c r="I1068">
        <f>IF(ISBLANK(H1068),AVERAGE($H$2:$H$2001),H1068)</f>
        <v>909.04</v>
      </c>
      <c r="J1068">
        <v>0.11</v>
      </c>
      <c r="K1068">
        <f>IF(ISBLANK(J1068),MODE($J$2:$J$2001),J1068)</f>
        <v>0.11</v>
      </c>
      <c r="L1068" t="s">
        <v>1824</v>
      </c>
      <c r="M1068">
        <v>809.04560000000004</v>
      </c>
      <c r="N1068">
        <f t="shared" si="16"/>
        <v>809.04560000000004</v>
      </c>
      <c r="O1068" t="str">
        <f>_xlfn.XLOOKUP(Sales_fact[[#This Row],[Customer_ID]],'Customer_Dim'!A:A,'Customer_Dim'!K:K,"Not Found")</f>
        <v>Platinum</v>
      </c>
      <c r="P1068">
        <f>_xlfn.XLOOKUP(Sales_fact[[#This Row],[Customer_ID]],'Customer_Dim'!A:A, 'Customer_Dim'!E:E, "Not Found")</f>
        <v>45</v>
      </c>
      <c r="Q1068" t="str">
        <f>VLOOKUP(Sales_fact[[#This Row],[Customer_ID]], 'Customer_Dim'!A:F, 6, FALSE)</f>
        <v>Female</v>
      </c>
      <c r="R1068" s="13" t="str">
        <f>_xlfn.XLOOKUP(Sales_fact[[#This Row],[Product_ID]],Product_Dim!A:A,Product_Dim!C:C,"OTHERS")</f>
        <v>Home</v>
      </c>
    </row>
    <row r="1069" spans="1:18" x14ac:dyDescent="0.3">
      <c r="A1069" t="s">
        <v>2893</v>
      </c>
      <c r="B1069" s="2">
        <v>45334</v>
      </c>
      <c r="C1069" t="s">
        <v>1095</v>
      </c>
      <c r="D1069" t="s">
        <v>1616</v>
      </c>
      <c r="E1069" t="str">
        <f ca="1">TRIM(Sales_fact[[#This Row],[Store_ID]])</f>
        <v>STORE11</v>
      </c>
      <c r="F1069">
        <v>1</v>
      </c>
      <c r="G1069">
        <f>IF(ISBLANK(F1069),MODE($F$2:$F$2001),F1069)</f>
        <v>1</v>
      </c>
      <c r="H1069">
        <v>164.73</v>
      </c>
      <c r="I1069">
        <f>IF(ISBLANK(H1069),AVERAGE($H$2:$H$2001),H1069)</f>
        <v>164.73</v>
      </c>
      <c r="J1069">
        <v>0.12</v>
      </c>
      <c r="K1069">
        <f>IF(ISBLANK(J1069),MODE($J$2:$J$2001),J1069)</f>
        <v>0.12</v>
      </c>
      <c r="L1069" t="s">
        <v>1826</v>
      </c>
      <c r="M1069">
        <v>144.9624</v>
      </c>
      <c r="N1069">
        <f t="shared" si="16"/>
        <v>144.9624</v>
      </c>
      <c r="O1069" t="str">
        <f>_xlfn.XLOOKUP(Sales_fact[[#This Row],[Customer_ID]],'Customer_Dim'!A:A,'Customer_Dim'!K:K,"Not Found")</f>
        <v>Bronze</v>
      </c>
      <c r="P1069">
        <f>_xlfn.XLOOKUP(Sales_fact[[#This Row],[Customer_ID]],'Customer_Dim'!A:A, 'Customer_Dim'!E:E, "Not Found")</f>
        <v>31</v>
      </c>
      <c r="Q1069" t="str">
        <f>VLOOKUP(Sales_fact[[#This Row],[Customer_ID]], 'Customer_Dim'!A:F, 6, FALSE)</f>
        <v>Male</v>
      </c>
      <c r="R1069" s="13" t="str">
        <f>_xlfn.XLOOKUP(Sales_fact[[#This Row],[Product_ID]],Product_Dim!A:A,Product_Dim!C:C,"OTHERS")</f>
        <v>Electronics</v>
      </c>
    </row>
    <row r="1070" spans="1:18" x14ac:dyDescent="0.3">
      <c r="A1070" t="s">
        <v>2894</v>
      </c>
      <c r="B1070" s="2">
        <v>45690</v>
      </c>
      <c r="C1070" t="s">
        <v>230</v>
      </c>
      <c r="D1070" t="s">
        <v>1622</v>
      </c>
      <c r="E1070" t="str">
        <f ca="1">TRIM(Sales_fact[[#This Row],[Store_ID]])</f>
        <v>STORE7</v>
      </c>
      <c r="F1070">
        <v>2</v>
      </c>
      <c r="G1070">
        <f>IF(ISBLANK(F1070),MODE($F$2:$F$2001),F1070)</f>
        <v>2</v>
      </c>
      <c r="H1070">
        <v>606.35</v>
      </c>
      <c r="I1070">
        <f>IF(ISBLANK(H1070),AVERAGE($H$2:$H$2001),H1070)</f>
        <v>606.35</v>
      </c>
      <c r="J1070">
        <v>0.16</v>
      </c>
      <c r="K1070">
        <f>IF(ISBLANK(J1070),MODE($J$2:$J$2001),J1070)</f>
        <v>0.16</v>
      </c>
      <c r="L1070" t="s">
        <v>1829</v>
      </c>
      <c r="M1070">
        <v>1018.668</v>
      </c>
      <c r="N1070">
        <f t="shared" si="16"/>
        <v>1018.668</v>
      </c>
      <c r="O1070" t="str">
        <f>_xlfn.XLOOKUP(Sales_fact[[#This Row],[Customer_ID]],'Customer_Dim'!A:A,'Customer_Dim'!K:K,"Not Found")</f>
        <v>Bronze</v>
      </c>
      <c r="P1070">
        <f>_xlfn.XLOOKUP(Sales_fact[[#This Row],[Customer_ID]],'Customer_Dim'!A:A, 'Customer_Dim'!E:E, "Not Found")</f>
        <v>50</v>
      </c>
      <c r="Q1070" t="str">
        <f>VLOOKUP(Sales_fact[[#This Row],[Customer_ID]], 'Customer_Dim'!A:F, 6, FALSE)</f>
        <v>Male</v>
      </c>
      <c r="R1070" s="13" t="str">
        <f>_xlfn.XLOOKUP(Sales_fact[[#This Row],[Product_ID]],Product_Dim!A:A,Product_Dim!C:C,"OTHERS")</f>
        <v>Clothing</v>
      </c>
    </row>
    <row r="1071" spans="1:18" x14ac:dyDescent="0.3">
      <c r="A1071" t="s">
        <v>2895</v>
      </c>
      <c r="B1071" s="2">
        <v>45481</v>
      </c>
      <c r="C1071" t="s">
        <v>544</v>
      </c>
      <c r="D1071" t="s">
        <v>1744</v>
      </c>
      <c r="E1071" t="str">
        <f ca="1">TRIM(Sales_fact[[#This Row],[Store_ID]])</f>
        <v>STORE4</v>
      </c>
      <c r="F1071">
        <v>3</v>
      </c>
      <c r="G1071">
        <f>IF(ISBLANK(F1071),MODE($F$2:$F$2001),F1071)</f>
        <v>3</v>
      </c>
      <c r="H1071">
        <v>904.19</v>
      </c>
      <c r="I1071">
        <f>IF(ISBLANK(H1071),AVERAGE($H$2:$H$2001),H1071)</f>
        <v>904.19</v>
      </c>
      <c r="J1071">
        <v>0.09</v>
      </c>
      <c r="K1071">
        <f>IF(ISBLANK(J1071),MODE($J$2:$J$2001),J1071)</f>
        <v>0.09</v>
      </c>
      <c r="L1071" t="s">
        <v>1824</v>
      </c>
      <c r="M1071">
        <v>2468.4387000000002</v>
      </c>
      <c r="N1071">
        <f t="shared" si="16"/>
        <v>2468.4387000000002</v>
      </c>
      <c r="O1071" t="str">
        <f>_xlfn.XLOOKUP(Sales_fact[[#This Row],[Customer_ID]],'Customer_Dim'!A:A,'Customer_Dim'!K:K,"Not Found")</f>
        <v>Bronze</v>
      </c>
      <c r="P1071">
        <f>_xlfn.XLOOKUP(Sales_fact[[#This Row],[Customer_ID]],'Customer_Dim'!A:A, 'Customer_Dim'!E:E, "Not Found")</f>
        <v>21</v>
      </c>
      <c r="Q1071" t="str">
        <f>VLOOKUP(Sales_fact[[#This Row],[Customer_ID]], 'Customer_Dim'!A:F, 6, FALSE)</f>
        <v>Male</v>
      </c>
      <c r="R1071" s="13" t="str">
        <f>_xlfn.XLOOKUP(Sales_fact[[#This Row],[Product_ID]],Product_Dim!A:A,Product_Dim!C:C,"OTHERS")</f>
        <v>Electronics</v>
      </c>
    </row>
    <row r="1072" spans="1:18" x14ac:dyDescent="0.3">
      <c r="A1072" t="s">
        <v>2896</v>
      </c>
      <c r="B1072" s="2">
        <v>45576</v>
      </c>
      <c r="C1072" t="s">
        <v>508</v>
      </c>
      <c r="D1072" t="s">
        <v>1648</v>
      </c>
      <c r="E1072" t="str">
        <f ca="1">TRIM(Sales_fact[[#This Row],[Store_ID]])</f>
        <v>STORE2</v>
      </c>
      <c r="F1072">
        <v>4</v>
      </c>
      <c r="G1072">
        <f>IF(ISBLANK(F1072),MODE($F$2:$F$2001),F1072)</f>
        <v>4</v>
      </c>
      <c r="H1072">
        <v>694.61</v>
      </c>
      <c r="I1072">
        <f>IF(ISBLANK(H1072),AVERAGE($H$2:$H$2001),H1072)</f>
        <v>694.61</v>
      </c>
      <c r="J1072">
        <v>0.18</v>
      </c>
      <c r="K1072">
        <f>IF(ISBLANK(J1072),MODE($J$2:$J$2001),J1072)</f>
        <v>0.18</v>
      </c>
      <c r="L1072" t="s">
        <v>1829</v>
      </c>
      <c r="M1072">
        <v>2278.3208</v>
      </c>
      <c r="N1072">
        <f t="shared" si="16"/>
        <v>2278.3208000000004</v>
      </c>
      <c r="O1072" t="str">
        <f>_xlfn.XLOOKUP(Sales_fact[[#This Row],[Customer_ID]],'Customer_Dim'!A:A,'Customer_Dim'!K:K,"Not Found")</f>
        <v>Gold</v>
      </c>
      <c r="P1072">
        <f>_xlfn.XLOOKUP(Sales_fact[[#This Row],[Customer_ID]],'Customer_Dim'!A:A, 'Customer_Dim'!E:E, "Not Found")</f>
        <v>25</v>
      </c>
      <c r="Q1072" t="str">
        <f>VLOOKUP(Sales_fact[[#This Row],[Customer_ID]], 'Customer_Dim'!A:F, 6, FALSE)</f>
        <v>Female</v>
      </c>
      <c r="R1072" s="13" t="str">
        <f>_xlfn.XLOOKUP(Sales_fact[[#This Row],[Product_ID]],Product_Dim!A:A,Product_Dim!C:C,"OTHERS")</f>
        <v>Sports</v>
      </c>
    </row>
    <row r="1073" spans="1:18" x14ac:dyDescent="0.3">
      <c r="A1073" t="s">
        <v>2897</v>
      </c>
      <c r="B1073" s="2">
        <v>45215</v>
      </c>
      <c r="C1073" t="s">
        <v>727</v>
      </c>
      <c r="D1073" t="s">
        <v>1726</v>
      </c>
      <c r="E1073" t="str">
        <f ca="1">TRIM(Sales_fact[[#This Row],[Store_ID]])</f>
        <v>STORE2</v>
      </c>
      <c r="F1073">
        <v>4</v>
      </c>
      <c r="G1073">
        <f>IF(ISBLANK(F1073),MODE($F$2:$F$2001),F1073)</f>
        <v>4</v>
      </c>
      <c r="H1073">
        <v>753.83</v>
      </c>
      <c r="I1073">
        <f>IF(ISBLANK(H1073),AVERAGE($H$2:$H$2001),H1073)</f>
        <v>753.83</v>
      </c>
      <c r="J1073">
        <v>0.24</v>
      </c>
      <c r="K1073">
        <f>IF(ISBLANK(J1073),MODE($J$2:$J$2001),J1073)</f>
        <v>0.24</v>
      </c>
      <c r="L1073" t="s">
        <v>1824</v>
      </c>
      <c r="M1073">
        <v>2291.6432</v>
      </c>
      <c r="N1073">
        <f t="shared" si="16"/>
        <v>2291.6432</v>
      </c>
      <c r="O1073" t="str">
        <f>_xlfn.XLOOKUP(Sales_fact[[#This Row],[Customer_ID]],'Customer_Dim'!A:A,'Customer_Dim'!K:K,"Not Found")</f>
        <v>Platinum</v>
      </c>
      <c r="P1073">
        <f>_xlfn.XLOOKUP(Sales_fact[[#This Row],[Customer_ID]],'Customer_Dim'!A:A, 'Customer_Dim'!E:E, "Not Found")</f>
        <v>46</v>
      </c>
      <c r="Q1073" t="str">
        <f>VLOOKUP(Sales_fact[[#This Row],[Customer_ID]], 'Customer_Dim'!A:F, 6, FALSE)</f>
        <v>Female</v>
      </c>
      <c r="R1073" s="13" t="str">
        <f>_xlfn.XLOOKUP(Sales_fact[[#This Row],[Product_ID]],Product_Dim!A:A,Product_Dim!C:C,"OTHERS")</f>
        <v>Beauty</v>
      </c>
    </row>
    <row r="1074" spans="1:18" x14ac:dyDescent="0.3">
      <c r="A1074" t="s">
        <v>2898</v>
      </c>
      <c r="B1074" s="2">
        <v>45653</v>
      </c>
      <c r="C1074" t="s">
        <v>646</v>
      </c>
      <c r="D1074" t="s">
        <v>1590</v>
      </c>
      <c r="E1074" t="str">
        <f ca="1">TRIM(Sales_fact[[#This Row],[Store_ID]])</f>
        <v>STORE8</v>
      </c>
      <c r="F1074">
        <v>1</v>
      </c>
      <c r="G1074">
        <f>IF(ISBLANK(F1074),MODE($F$2:$F$2001),F1074)</f>
        <v>1</v>
      </c>
      <c r="H1074">
        <v>66.22</v>
      </c>
      <c r="I1074">
        <f>IF(ISBLANK(H1074),AVERAGE($H$2:$H$2001),H1074)</f>
        <v>66.22</v>
      </c>
      <c r="J1074">
        <v>0.02</v>
      </c>
      <c r="K1074">
        <f>IF(ISBLANK(J1074),MODE($J$2:$J$2001),J1074)</f>
        <v>0.02</v>
      </c>
      <c r="L1074" t="s">
        <v>1824</v>
      </c>
      <c r="M1074">
        <v>64.895600000000002</v>
      </c>
      <c r="N1074">
        <f t="shared" si="16"/>
        <v>64.895600000000002</v>
      </c>
      <c r="O1074" t="str">
        <f>_xlfn.XLOOKUP(Sales_fact[[#This Row],[Customer_ID]],'Customer_Dim'!A:A,'Customer_Dim'!K:K,"Not Found")</f>
        <v>Platinum</v>
      </c>
      <c r="P1074">
        <f>_xlfn.XLOOKUP(Sales_fact[[#This Row],[Customer_ID]],'Customer_Dim'!A:A, 'Customer_Dim'!E:E, "Not Found")</f>
        <v>45</v>
      </c>
      <c r="Q1074" t="str">
        <f>VLOOKUP(Sales_fact[[#This Row],[Customer_ID]], 'Customer_Dim'!A:F, 6, FALSE)</f>
        <v>Female</v>
      </c>
      <c r="R1074" s="13" t="str">
        <f>_xlfn.XLOOKUP(Sales_fact[[#This Row],[Product_ID]],Product_Dim!A:A,Product_Dim!C:C,"OTHERS")</f>
        <v>Home</v>
      </c>
    </row>
    <row r="1075" spans="1:18" x14ac:dyDescent="0.3">
      <c r="A1075" t="s">
        <v>2899</v>
      </c>
      <c r="B1075" s="2">
        <v>45241</v>
      </c>
      <c r="C1075" t="s">
        <v>1059</v>
      </c>
      <c r="D1075" t="s">
        <v>1676</v>
      </c>
      <c r="E1075" t="str">
        <f ca="1">TRIM(Sales_fact[[#This Row],[Store_ID]])</f>
        <v>STORE14</v>
      </c>
      <c r="F1075">
        <v>2</v>
      </c>
      <c r="G1075">
        <f>IF(ISBLANK(F1075),MODE($F$2:$F$2001),F1075)</f>
        <v>2</v>
      </c>
      <c r="H1075">
        <v>891.8</v>
      </c>
      <c r="I1075">
        <f>IF(ISBLANK(H1075),AVERAGE($H$2:$H$2001),H1075)</f>
        <v>891.8</v>
      </c>
      <c r="J1075">
        <v>0.28999999999999998</v>
      </c>
      <c r="K1075">
        <f>IF(ISBLANK(J1075),MODE($J$2:$J$2001),J1075)</f>
        <v>0.28999999999999998</v>
      </c>
      <c r="L1075" t="s">
        <v>1829</v>
      </c>
      <c r="M1075">
        <v>1266.356</v>
      </c>
      <c r="N1075">
        <f t="shared" si="16"/>
        <v>1266.3559999999998</v>
      </c>
      <c r="O1075" t="str">
        <f>_xlfn.XLOOKUP(Sales_fact[[#This Row],[Customer_ID]],'Customer_Dim'!A:A,'Customer_Dim'!K:K,"Not Found")</f>
        <v>Bronze</v>
      </c>
      <c r="P1075">
        <f>_xlfn.XLOOKUP(Sales_fact[[#This Row],[Customer_ID]],'Customer_Dim'!A:A, 'Customer_Dim'!E:E, "Not Found")</f>
        <v>40</v>
      </c>
      <c r="Q1075" t="str">
        <f>VLOOKUP(Sales_fact[[#This Row],[Customer_ID]], 'Customer_Dim'!A:F, 6, FALSE)</f>
        <v>Female</v>
      </c>
      <c r="R1075" s="13" t="str">
        <f>_xlfn.XLOOKUP(Sales_fact[[#This Row],[Product_ID]],Product_Dim!A:A,Product_Dim!C:C,"OTHERS")</f>
        <v>Beauty</v>
      </c>
    </row>
    <row r="1076" spans="1:18" x14ac:dyDescent="0.3">
      <c r="A1076" t="s">
        <v>2900</v>
      </c>
      <c r="B1076" s="2">
        <v>45428</v>
      </c>
      <c r="C1076" t="s">
        <v>1136</v>
      </c>
      <c r="D1076" t="s">
        <v>1698</v>
      </c>
      <c r="E1076" t="str">
        <f ca="1">TRIM(Sales_fact[[#This Row],[Store_ID]])</f>
        <v>STORE9</v>
      </c>
      <c r="F1076">
        <v>4</v>
      </c>
      <c r="G1076">
        <f>IF(ISBLANK(F1076),MODE($F$2:$F$2001),F1076)</f>
        <v>4</v>
      </c>
      <c r="H1076">
        <v>255.48</v>
      </c>
      <c r="I1076">
        <f>IF(ISBLANK(H1076),AVERAGE($H$2:$H$2001),H1076)</f>
        <v>255.48</v>
      </c>
      <c r="J1076">
        <v>0.03</v>
      </c>
      <c r="K1076">
        <f>IF(ISBLANK(J1076),MODE($J$2:$J$2001),J1076)</f>
        <v>0.03</v>
      </c>
      <c r="L1076" t="s">
        <v>1829</v>
      </c>
      <c r="M1076">
        <v>991.26239999999996</v>
      </c>
      <c r="N1076">
        <f t="shared" si="16"/>
        <v>991.26239999999996</v>
      </c>
      <c r="O1076" t="str">
        <f>_xlfn.XLOOKUP(Sales_fact[[#This Row],[Customer_ID]],'Customer_Dim'!A:A,'Customer_Dim'!K:K,"Not Found")</f>
        <v>Bronze</v>
      </c>
      <c r="P1076">
        <f>_xlfn.XLOOKUP(Sales_fact[[#This Row],[Customer_ID]],'Customer_Dim'!A:A, 'Customer_Dim'!E:E, "Not Found")</f>
        <v>23</v>
      </c>
      <c r="Q1076" t="str">
        <f>VLOOKUP(Sales_fact[[#This Row],[Customer_ID]], 'Customer_Dim'!A:F, 6, FALSE)</f>
        <v>Male</v>
      </c>
      <c r="R1076" s="13" t="str">
        <f>_xlfn.XLOOKUP(Sales_fact[[#This Row],[Product_ID]],Product_Dim!A:A,Product_Dim!C:C,"OTHERS")</f>
        <v>Clothing</v>
      </c>
    </row>
    <row r="1077" spans="1:18" x14ac:dyDescent="0.3">
      <c r="A1077" t="s">
        <v>2901</v>
      </c>
      <c r="B1077" s="2">
        <v>45593</v>
      </c>
      <c r="C1077" t="s">
        <v>951</v>
      </c>
      <c r="D1077" t="s">
        <v>1716</v>
      </c>
      <c r="E1077" t="str">
        <f ca="1">TRIM(Sales_fact[[#This Row],[Store_ID]])</f>
        <v>STORE17</v>
      </c>
      <c r="F1077">
        <v>4</v>
      </c>
      <c r="G1077">
        <f>IF(ISBLANK(F1077),MODE($F$2:$F$2001),F1077)</f>
        <v>4</v>
      </c>
      <c r="H1077">
        <v>604.87</v>
      </c>
      <c r="I1077">
        <f>IF(ISBLANK(H1077),AVERAGE($H$2:$H$2001),H1077)</f>
        <v>604.87</v>
      </c>
      <c r="J1077">
        <v>0.28000000000000003</v>
      </c>
      <c r="K1077">
        <f>IF(ISBLANK(J1077),MODE($J$2:$J$2001),J1077)</f>
        <v>0.28000000000000003</v>
      </c>
      <c r="L1077" t="s">
        <v>1826</v>
      </c>
      <c r="M1077">
        <v>1742.0255999999999</v>
      </c>
      <c r="N1077">
        <f t="shared" si="16"/>
        <v>1742.0255999999999</v>
      </c>
      <c r="O1077" t="str">
        <f>_xlfn.XLOOKUP(Sales_fact[[#This Row],[Customer_ID]],'Customer_Dim'!A:A,'Customer_Dim'!K:K,"Not Found")</f>
        <v>Gold</v>
      </c>
      <c r="P1077">
        <f>_xlfn.XLOOKUP(Sales_fact[[#This Row],[Customer_ID]],'Customer_Dim'!A:A, 'Customer_Dim'!E:E, "Not Found")</f>
        <v>50</v>
      </c>
      <c r="Q1077" t="str">
        <f>VLOOKUP(Sales_fact[[#This Row],[Customer_ID]], 'Customer_Dim'!A:F, 6, FALSE)</f>
        <v>Male</v>
      </c>
      <c r="R1077" s="13" t="str">
        <f>_xlfn.XLOOKUP(Sales_fact[[#This Row],[Product_ID]],Product_Dim!A:A,Product_Dim!C:C,"OTHERS")</f>
        <v>Home</v>
      </c>
    </row>
    <row r="1078" spans="1:18" x14ac:dyDescent="0.3">
      <c r="A1078" t="s">
        <v>2902</v>
      </c>
      <c r="B1078" s="2">
        <v>45370</v>
      </c>
      <c r="C1078" t="s">
        <v>175</v>
      </c>
      <c r="D1078" t="s">
        <v>1614</v>
      </c>
      <c r="E1078" t="str">
        <f ca="1">TRIM(Sales_fact[[#This Row],[Store_ID]])</f>
        <v>STORE17</v>
      </c>
      <c r="F1078">
        <v>3</v>
      </c>
      <c r="G1078">
        <f>IF(ISBLANK(F1078),MODE($F$2:$F$2001),F1078)</f>
        <v>3</v>
      </c>
      <c r="H1078">
        <v>623.82000000000005</v>
      </c>
      <c r="I1078">
        <f>IF(ISBLANK(H1078),AVERAGE($H$2:$H$2001),H1078)</f>
        <v>623.82000000000005</v>
      </c>
      <c r="J1078">
        <v>0.13</v>
      </c>
      <c r="K1078">
        <f>IF(ISBLANK(J1078),MODE($J$2:$J$2001),J1078)</f>
        <v>0.13</v>
      </c>
      <c r="L1078" t="s">
        <v>1829</v>
      </c>
      <c r="M1078">
        <v>1628.1702</v>
      </c>
      <c r="N1078">
        <f t="shared" si="16"/>
        <v>1628.1702</v>
      </c>
      <c r="O1078" t="str">
        <f>_xlfn.XLOOKUP(Sales_fact[[#This Row],[Customer_ID]],'Customer_Dim'!A:A,'Customer_Dim'!K:K,"Not Found")</f>
        <v>Gold</v>
      </c>
      <c r="P1078">
        <f>_xlfn.XLOOKUP(Sales_fact[[#This Row],[Customer_ID]],'Customer_Dim'!A:A, 'Customer_Dim'!E:E, "Not Found")</f>
        <v>54</v>
      </c>
      <c r="Q1078" t="str">
        <f>VLOOKUP(Sales_fact[[#This Row],[Customer_ID]], 'Customer_Dim'!A:F, 6, FALSE)</f>
        <v>Male</v>
      </c>
      <c r="R1078" s="13" t="str">
        <f>_xlfn.XLOOKUP(Sales_fact[[#This Row],[Product_ID]],Product_Dim!A:A,Product_Dim!C:C,"OTHERS")</f>
        <v>Home</v>
      </c>
    </row>
    <row r="1079" spans="1:18" x14ac:dyDescent="0.3">
      <c r="A1079" t="s">
        <v>2903</v>
      </c>
      <c r="B1079" s="2">
        <v>45882</v>
      </c>
      <c r="C1079" t="s">
        <v>470</v>
      </c>
      <c r="D1079" t="s">
        <v>1690</v>
      </c>
      <c r="E1079" t="str">
        <f ca="1">TRIM(Sales_fact[[#This Row],[Store_ID]])</f>
        <v>STORE16</v>
      </c>
      <c r="F1079">
        <v>3</v>
      </c>
      <c r="G1079">
        <f>IF(ISBLANK(F1079),MODE($F$2:$F$2001),F1079)</f>
        <v>3</v>
      </c>
      <c r="H1079">
        <v>575.24</v>
      </c>
      <c r="I1079">
        <f>IF(ISBLANK(H1079),AVERAGE($H$2:$H$2001),H1079)</f>
        <v>575.24</v>
      </c>
      <c r="J1079">
        <v>0.12</v>
      </c>
      <c r="K1079">
        <f>IF(ISBLANK(J1079),MODE($J$2:$J$2001),J1079)</f>
        <v>0.12</v>
      </c>
      <c r="L1079" t="s">
        <v>1829</v>
      </c>
      <c r="M1079">
        <v>1518.6335999999999</v>
      </c>
      <c r="N1079">
        <f t="shared" si="16"/>
        <v>1518.6336000000001</v>
      </c>
      <c r="O1079" t="str">
        <f>_xlfn.XLOOKUP(Sales_fact[[#This Row],[Customer_ID]],'Customer_Dim'!A:A,'Customer_Dim'!K:K,"Not Found")</f>
        <v>Gold</v>
      </c>
      <c r="P1079">
        <f>_xlfn.XLOOKUP(Sales_fact[[#This Row],[Customer_ID]],'Customer_Dim'!A:A, 'Customer_Dim'!E:E, "Not Found")</f>
        <v>43</v>
      </c>
      <c r="Q1079" t="str">
        <f>VLOOKUP(Sales_fact[[#This Row],[Customer_ID]], 'Customer_Dim'!A:F, 6, FALSE)</f>
        <v>Male</v>
      </c>
      <c r="R1079" s="13" t="str">
        <f>_xlfn.XLOOKUP(Sales_fact[[#This Row],[Product_ID]],Product_Dim!A:A,Product_Dim!C:C,"OTHERS")</f>
        <v>Beauty</v>
      </c>
    </row>
    <row r="1080" spans="1:18" x14ac:dyDescent="0.3">
      <c r="A1080" t="s">
        <v>2904</v>
      </c>
      <c r="B1080" s="2">
        <v>45878</v>
      </c>
      <c r="C1080" t="s">
        <v>1286</v>
      </c>
      <c r="D1080" t="s">
        <v>1553</v>
      </c>
      <c r="E1080" t="str">
        <f ca="1">TRIM(Sales_fact[[#This Row],[Store_ID]])</f>
        <v>STORE11</v>
      </c>
      <c r="F1080">
        <v>1</v>
      </c>
      <c r="G1080">
        <f>IF(ISBLANK(F1080),MODE($F$2:$F$2001),F1080)</f>
        <v>1</v>
      </c>
      <c r="H1080">
        <v>769.4</v>
      </c>
      <c r="I1080">
        <f>IF(ISBLANK(H1080),AVERAGE($H$2:$H$2001),H1080)</f>
        <v>769.4</v>
      </c>
      <c r="J1080">
        <v>0.16</v>
      </c>
      <c r="K1080">
        <f>IF(ISBLANK(J1080),MODE($J$2:$J$2001),J1080)</f>
        <v>0.16</v>
      </c>
      <c r="L1080" t="s">
        <v>1824</v>
      </c>
      <c r="M1080">
        <v>646.29599999999994</v>
      </c>
      <c r="N1080">
        <f t="shared" si="16"/>
        <v>646.29599999999994</v>
      </c>
      <c r="O1080" t="str">
        <f>_xlfn.XLOOKUP(Sales_fact[[#This Row],[Customer_ID]],'Customer_Dim'!A:A,'Customer_Dim'!K:K,"Not Found")</f>
        <v>Gold</v>
      </c>
      <c r="P1080">
        <f>_xlfn.XLOOKUP(Sales_fact[[#This Row],[Customer_ID]],'Customer_Dim'!A:A, 'Customer_Dim'!E:E, "Not Found")</f>
        <v>35</v>
      </c>
      <c r="Q1080" t="str">
        <f>VLOOKUP(Sales_fact[[#This Row],[Customer_ID]], 'Customer_Dim'!A:F, 6, FALSE)</f>
        <v>Female</v>
      </c>
      <c r="R1080" s="13" t="str">
        <f>_xlfn.XLOOKUP(Sales_fact[[#This Row],[Product_ID]],Product_Dim!A:A,Product_Dim!C:C,"OTHERS")</f>
        <v>Clothing</v>
      </c>
    </row>
    <row r="1081" spans="1:18" x14ac:dyDescent="0.3">
      <c r="A1081" t="s">
        <v>2905</v>
      </c>
      <c r="B1081" s="2">
        <v>45420</v>
      </c>
      <c r="C1081" t="s">
        <v>1035</v>
      </c>
      <c r="D1081" t="s">
        <v>1553</v>
      </c>
      <c r="E1081" t="str">
        <f ca="1">TRIM(Sales_fact[[#This Row],[Store_ID]])</f>
        <v>STORE17</v>
      </c>
      <c r="F1081">
        <v>1</v>
      </c>
      <c r="G1081">
        <f>IF(ISBLANK(F1081),MODE($F$2:$F$2001),F1081)</f>
        <v>1</v>
      </c>
      <c r="H1081">
        <v>227.28</v>
      </c>
      <c r="I1081">
        <f>IF(ISBLANK(H1081),AVERAGE($H$2:$H$2001),H1081)</f>
        <v>227.28</v>
      </c>
      <c r="J1081">
        <v>0.13</v>
      </c>
      <c r="K1081">
        <f>IF(ISBLANK(J1081),MODE($J$2:$J$2001),J1081)</f>
        <v>0.13</v>
      </c>
      <c r="L1081" t="s">
        <v>1829</v>
      </c>
      <c r="M1081">
        <v>197.7336</v>
      </c>
      <c r="N1081">
        <f t="shared" si="16"/>
        <v>197.7336</v>
      </c>
      <c r="O1081" t="str">
        <f>_xlfn.XLOOKUP(Sales_fact[[#This Row],[Customer_ID]],'Customer_Dim'!A:A,'Customer_Dim'!K:K,"Not Found")</f>
        <v>Bronze</v>
      </c>
      <c r="P1081">
        <f>_xlfn.XLOOKUP(Sales_fact[[#This Row],[Customer_ID]],'Customer_Dim'!A:A, 'Customer_Dim'!E:E, "Not Found")</f>
        <v>62</v>
      </c>
      <c r="Q1081" t="str">
        <f>VLOOKUP(Sales_fact[[#This Row],[Customer_ID]], 'Customer_Dim'!A:F, 6, FALSE)</f>
        <v>Female</v>
      </c>
      <c r="R1081" s="13" t="str">
        <f>_xlfn.XLOOKUP(Sales_fact[[#This Row],[Product_ID]],Product_Dim!A:A,Product_Dim!C:C,"OTHERS")</f>
        <v>Clothing</v>
      </c>
    </row>
    <row r="1082" spans="1:18" x14ac:dyDescent="0.3">
      <c r="A1082" t="s">
        <v>2906</v>
      </c>
      <c r="B1082" s="2">
        <v>45361</v>
      </c>
      <c r="C1082" t="s">
        <v>195</v>
      </c>
      <c r="D1082" t="s">
        <v>1549</v>
      </c>
      <c r="E1082" t="str">
        <f ca="1">TRIM(Sales_fact[[#This Row],[Store_ID]])</f>
        <v>STORE17</v>
      </c>
      <c r="F1082">
        <v>4</v>
      </c>
      <c r="G1082">
        <f>IF(ISBLANK(F1082),MODE($F$2:$F$2001),F1082)</f>
        <v>4</v>
      </c>
      <c r="H1082">
        <v>127.58</v>
      </c>
      <c r="I1082">
        <f>IF(ISBLANK(H1082),AVERAGE($H$2:$H$2001),H1082)</f>
        <v>127.58</v>
      </c>
      <c r="J1082">
        <v>0.15</v>
      </c>
      <c r="K1082">
        <f>IF(ISBLANK(J1082),MODE($J$2:$J$2001),J1082)</f>
        <v>0.15</v>
      </c>
      <c r="L1082" t="s">
        <v>1824</v>
      </c>
      <c r="M1082">
        <v>433.77199999999999</v>
      </c>
      <c r="N1082">
        <f t="shared" si="16"/>
        <v>433.77199999999999</v>
      </c>
      <c r="O1082" t="str">
        <f>_xlfn.XLOOKUP(Sales_fact[[#This Row],[Customer_ID]],'Customer_Dim'!A:A,'Customer_Dim'!K:K,"Not Found")</f>
        <v>Gold</v>
      </c>
      <c r="P1082">
        <f>_xlfn.XLOOKUP(Sales_fact[[#This Row],[Customer_ID]],'Customer_Dim'!A:A, 'Customer_Dim'!E:E, "Not Found")</f>
        <v>23</v>
      </c>
      <c r="Q1082" t="str">
        <f>VLOOKUP(Sales_fact[[#This Row],[Customer_ID]], 'Customer_Dim'!A:F, 6, FALSE)</f>
        <v>Female</v>
      </c>
      <c r="R1082" s="13" t="str">
        <f>_xlfn.XLOOKUP(Sales_fact[[#This Row],[Product_ID]],Product_Dim!A:A,Product_Dim!C:C,"OTHERS")</f>
        <v>Clothing</v>
      </c>
    </row>
    <row r="1083" spans="1:18" x14ac:dyDescent="0.3">
      <c r="A1083" t="s">
        <v>2907</v>
      </c>
      <c r="B1083" s="2">
        <v>45702</v>
      </c>
      <c r="C1083" t="s">
        <v>1298</v>
      </c>
      <c r="D1083" t="s">
        <v>1636</v>
      </c>
      <c r="E1083" t="str">
        <f ca="1">TRIM(Sales_fact[[#This Row],[Store_ID]])</f>
        <v>STORE3</v>
      </c>
      <c r="F1083">
        <v>1</v>
      </c>
      <c r="G1083">
        <f>IF(ISBLANK(F1083),MODE($F$2:$F$2001),F1083)</f>
        <v>1</v>
      </c>
      <c r="H1083">
        <v>793.21</v>
      </c>
      <c r="I1083">
        <f>IF(ISBLANK(H1083),AVERAGE($H$2:$H$2001),H1083)</f>
        <v>793.21</v>
      </c>
      <c r="J1083">
        <v>0.09</v>
      </c>
      <c r="K1083">
        <f>IF(ISBLANK(J1083),MODE($J$2:$J$2001),J1083)</f>
        <v>0.09</v>
      </c>
      <c r="L1083" t="s">
        <v>1824</v>
      </c>
      <c r="M1083">
        <v>721.8211</v>
      </c>
      <c r="N1083">
        <f t="shared" si="16"/>
        <v>721.8211</v>
      </c>
      <c r="O1083" t="str">
        <f>_xlfn.XLOOKUP(Sales_fact[[#This Row],[Customer_ID]],'Customer_Dim'!A:A,'Customer_Dim'!K:K,"Not Found")</f>
        <v>Silver</v>
      </c>
      <c r="P1083">
        <f>_xlfn.XLOOKUP(Sales_fact[[#This Row],[Customer_ID]],'Customer_Dim'!A:A, 'Customer_Dim'!E:E, "Not Found")</f>
        <v>60</v>
      </c>
      <c r="Q1083" t="str">
        <f>VLOOKUP(Sales_fact[[#This Row],[Customer_ID]], 'Customer_Dim'!A:F, 6, FALSE)</f>
        <v>Female</v>
      </c>
      <c r="R1083" s="13" t="str">
        <f>_xlfn.XLOOKUP(Sales_fact[[#This Row],[Product_ID]],Product_Dim!A:A,Product_Dim!C:C,"OTHERS")</f>
        <v>Sports</v>
      </c>
    </row>
    <row r="1084" spans="1:18" x14ac:dyDescent="0.3">
      <c r="A1084" t="s">
        <v>2908</v>
      </c>
      <c r="B1084" s="2">
        <v>45871</v>
      </c>
      <c r="C1084" t="s">
        <v>951</v>
      </c>
      <c r="D1084" t="s">
        <v>1714</v>
      </c>
      <c r="E1084" t="str">
        <f ca="1">TRIM(Sales_fact[[#This Row],[Store_ID]])</f>
        <v>STORE12</v>
      </c>
      <c r="F1084">
        <v>3</v>
      </c>
      <c r="G1084">
        <f>IF(ISBLANK(F1084),MODE($F$2:$F$2001),F1084)</f>
        <v>3</v>
      </c>
      <c r="H1084">
        <v>435.61</v>
      </c>
      <c r="I1084">
        <f>IF(ISBLANK(H1084),AVERAGE($H$2:$H$2001),H1084)</f>
        <v>435.61</v>
      </c>
      <c r="J1084">
        <v>0.03</v>
      </c>
      <c r="K1084">
        <f>IF(ISBLANK(J1084),MODE($J$2:$J$2001),J1084)</f>
        <v>0.03</v>
      </c>
      <c r="L1084" t="s">
        <v>1826</v>
      </c>
      <c r="M1084">
        <v>1267.6251</v>
      </c>
      <c r="N1084">
        <f t="shared" si="16"/>
        <v>1267.6251</v>
      </c>
      <c r="O1084" t="str">
        <f>_xlfn.XLOOKUP(Sales_fact[[#This Row],[Customer_ID]],'Customer_Dim'!A:A,'Customer_Dim'!K:K,"Not Found")</f>
        <v>Gold</v>
      </c>
      <c r="P1084">
        <f>_xlfn.XLOOKUP(Sales_fact[[#This Row],[Customer_ID]],'Customer_Dim'!A:A, 'Customer_Dim'!E:E, "Not Found")</f>
        <v>50</v>
      </c>
      <c r="Q1084" t="str">
        <f>VLOOKUP(Sales_fact[[#This Row],[Customer_ID]], 'Customer_Dim'!A:F, 6, FALSE)</f>
        <v>Male</v>
      </c>
      <c r="R1084" s="13" t="str">
        <f>_xlfn.XLOOKUP(Sales_fact[[#This Row],[Product_ID]],Product_Dim!A:A,Product_Dim!C:C,"OTHERS")</f>
        <v>Beauty</v>
      </c>
    </row>
    <row r="1085" spans="1:18" x14ac:dyDescent="0.3">
      <c r="A1085" t="s">
        <v>2909</v>
      </c>
      <c r="B1085" s="2">
        <v>45531</v>
      </c>
      <c r="C1085" t="s">
        <v>1202</v>
      </c>
      <c r="D1085" t="s">
        <v>1606</v>
      </c>
      <c r="E1085" t="str">
        <f ca="1">TRIM(Sales_fact[[#This Row],[Store_ID]])</f>
        <v>STORE16</v>
      </c>
      <c r="F1085">
        <v>1</v>
      </c>
      <c r="G1085">
        <f>IF(ISBLANK(F1085),MODE($F$2:$F$2001),F1085)</f>
        <v>1</v>
      </c>
      <c r="H1085">
        <v>850.06</v>
      </c>
      <c r="I1085">
        <f>IF(ISBLANK(H1085),AVERAGE($H$2:$H$2001),H1085)</f>
        <v>850.06</v>
      </c>
      <c r="J1085">
        <v>0.28999999999999998</v>
      </c>
      <c r="K1085">
        <f>IF(ISBLANK(J1085),MODE($J$2:$J$2001),J1085)</f>
        <v>0.28999999999999998</v>
      </c>
      <c r="L1085" t="s">
        <v>1826</v>
      </c>
      <c r="M1085">
        <v>603.54259999999988</v>
      </c>
      <c r="N1085">
        <f t="shared" si="16"/>
        <v>603.54259999999988</v>
      </c>
      <c r="O1085" t="str">
        <f>_xlfn.XLOOKUP(Sales_fact[[#This Row],[Customer_ID]],'Customer_Dim'!A:A,'Customer_Dim'!K:K,"Not Found")</f>
        <v>Gold</v>
      </c>
      <c r="P1085">
        <f>_xlfn.XLOOKUP(Sales_fact[[#This Row],[Customer_ID]],'Customer_Dim'!A:A, 'Customer_Dim'!E:E, "Not Found")</f>
        <v>60</v>
      </c>
      <c r="Q1085" t="str">
        <f>VLOOKUP(Sales_fact[[#This Row],[Customer_ID]], 'Customer_Dim'!A:F, 6, FALSE)</f>
        <v>Male</v>
      </c>
      <c r="R1085" s="13" t="str">
        <f>_xlfn.XLOOKUP(Sales_fact[[#This Row],[Product_ID]],Product_Dim!A:A,Product_Dim!C:C,"OTHERS")</f>
        <v>Home</v>
      </c>
    </row>
    <row r="1086" spans="1:18" x14ac:dyDescent="0.3">
      <c r="A1086" t="s">
        <v>2910</v>
      </c>
      <c r="B1086" s="2">
        <v>45330</v>
      </c>
      <c r="C1086" t="s">
        <v>1089</v>
      </c>
      <c r="D1086" t="s">
        <v>1580</v>
      </c>
      <c r="E1086" t="str">
        <f ca="1">TRIM(Sales_fact[[#This Row],[Store_ID]])</f>
        <v>STORE16</v>
      </c>
      <c r="F1086">
        <v>2</v>
      </c>
      <c r="G1086">
        <f>IF(ISBLANK(F1086),MODE($F$2:$F$2001),F1086)</f>
        <v>2</v>
      </c>
      <c r="H1086">
        <v>753.92</v>
      </c>
      <c r="I1086">
        <f>IF(ISBLANK(H1086),AVERAGE($H$2:$H$2001),H1086)</f>
        <v>753.92</v>
      </c>
      <c r="J1086">
        <v>0.17</v>
      </c>
      <c r="K1086">
        <f>IF(ISBLANK(J1086),MODE($J$2:$J$2001),J1086)</f>
        <v>0.17</v>
      </c>
      <c r="L1086" t="s">
        <v>1826</v>
      </c>
      <c r="M1086">
        <v>1251.5072</v>
      </c>
      <c r="N1086">
        <f t="shared" si="16"/>
        <v>1251.5071999999998</v>
      </c>
      <c r="O1086" t="str">
        <f>_xlfn.XLOOKUP(Sales_fact[[#This Row],[Customer_ID]],'Customer_Dim'!A:A,'Customer_Dim'!K:K,"Not Found")</f>
        <v>Gold</v>
      </c>
      <c r="P1086">
        <f>_xlfn.XLOOKUP(Sales_fact[[#This Row],[Customer_ID]],'Customer_Dim'!A:A, 'Customer_Dim'!E:E, "Not Found")</f>
        <v>39</v>
      </c>
      <c r="Q1086" t="str">
        <f>VLOOKUP(Sales_fact[[#This Row],[Customer_ID]], 'Customer_Dim'!A:F, 6, FALSE)</f>
        <v>Female</v>
      </c>
      <c r="R1086" s="13" t="str">
        <f>_xlfn.XLOOKUP(Sales_fact[[#This Row],[Product_ID]],Product_Dim!A:A,Product_Dim!C:C,"OTHERS")</f>
        <v>OTHERS</v>
      </c>
    </row>
    <row r="1087" spans="1:18" x14ac:dyDescent="0.3">
      <c r="A1087" t="s">
        <v>2911</v>
      </c>
      <c r="B1087" s="2">
        <v>45311</v>
      </c>
      <c r="C1087" t="s">
        <v>1501</v>
      </c>
      <c r="D1087" t="s">
        <v>1553</v>
      </c>
      <c r="E1087" t="str">
        <f ca="1">TRIM(Sales_fact[[#This Row],[Store_ID]])</f>
        <v>STORE13</v>
      </c>
      <c r="F1087">
        <v>3</v>
      </c>
      <c r="G1087">
        <f>IF(ISBLANK(F1087),MODE($F$2:$F$2001),F1087)</f>
        <v>3</v>
      </c>
      <c r="H1087">
        <v>408.99</v>
      </c>
      <c r="I1087">
        <f>IF(ISBLANK(H1087),AVERAGE($H$2:$H$2001),H1087)</f>
        <v>408.99</v>
      </c>
      <c r="J1087">
        <v>0.27</v>
      </c>
      <c r="K1087">
        <f>IF(ISBLANK(J1087),MODE($J$2:$J$2001),J1087)</f>
        <v>0.27</v>
      </c>
      <c r="L1087" t="s">
        <v>1826</v>
      </c>
      <c r="M1087">
        <v>895.68809999999996</v>
      </c>
      <c r="N1087">
        <f t="shared" si="16"/>
        <v>895.68809999999996</v>
      </c>
      <c r="O1087" t="str">
        <f>_xlfn.XLOOKUP(Sales_fact[[#This Row],[Customer_ID]],'Customer_Dim'!A:A,'Customer_Dim'!K:K,"Not Found")</f>
        <v>Platinum</v>
      </c>
      <c r="P1087">
        <f>_xlfn.XLOOKUP(Sales_fact[[#This Row],[Customer_ID]],'Customer_Dim'!A:A, 'Customer_Dim'!E:E, "Not Found")</f>
        <v>23</v>
      </c>
      <c r="Q1087" t="str">
        <f>VLOOKUP(Sales_fact[[#This Row],[Customer_ID]], 'Customer_Dim'!A:F, 6, FALSE)</f>
        <v>Female</v>
      </c>
      <c r="R1087" s="13" t="str">
        <f>_xlfn.XLOOKUP(Sales_fact[[#This Row],[Product_ID]],Product_Dim!A:A,Product_Dim!C:C,"OTHERS")</f>
        <v>Clothing</v>
      </c>
    </row>
    <row r="1088" spans="1:18" x14ac:dyDescent="0.3">
      <c r="A1088" t="s">
        <v>2912</v>
      </c>
      <c r="B1088" s="2">
        <v>45567</v>
      </c>
      <c r="C1088" t="s">
        <v>905</v>
      </c>
      <c r="D1088" t="s">
        <v>1662</v>
      </c>
      <c r="E1088" t="str">
        <f ca="1">TRIM(Sales_fact[[#This Row],[Store_ID]])</f>
        <v>STORE5</v>
      </c>
      <c r="F1088">
        <v>3</v>
      </c>
      <c r="G1088">
        <f>IF(ISBLANK(F1088),MODE($F$2:$F$2001),F1088)</f>
        <v>3</v>
      </c>
      <c r="H1088">
        <v>404.5</v>
      </c>
      <c r="I1088">
        <f>IF(ISBLANK(H1088),AVERAGE($H$2:$H$2001),H1088)</f>
        <v>404.5</v>
      </c>
      <c r="J1088">
        <v>0.22</v>
      </c>
      <c r="K1088">
        <f>IF(ISBLANK(J1088),MODE($J$2:$J$2001),J1088)</f>
        <v>0.22</v>
      </c>
      <c r="L1088" t="s">
        <v>1826</v>
      </c>
      <c r="M1088">
        <v>946.53000000000009</v>
      </c>
      <c r="N1088">
        <f t="shared" si="16"/>
        <v>946.53000000000009</v>
      </c>
      <c r="O1088" t="str">
        <f>_xlfn.XLOOKUP(Sales_fact[[#This Row],[Customer_ID]],'Customer_Dim'!A:A,'Customer_Dim'!K:K,"Not Found")</f>
        <v>Silver</v>
      </c>
      <c r="P1088">
        <f>_xlfn.XLOOKUP(Sales_fact[[#This Row],[Customer_ID]],'Customer_Dim'!A:A, 'Customer_Dim'!E:E, "Not Found")</f>
        <v>46</v>
      </c>
      <c r="Q1088" t="str">
        <f>VLOOKUP(Sales_fact[[#This Row],[Customer_ID]], 'Customer_Dim'!A:F, 6, FALSE)</f>
        <v>Female</v>
      </c>
      <c r="R1088" s="13" t="str">
        <f>_xlfn.XLOOKUP(Sales_fact[[#This Row],[Product_ID]],Product_Dim!A:A,Product_Dim!C:C,"OTHERS")</f>
        <v>Sports</v>
      </c>
    </row>
    <row r="1089" spans="1:18" x14ac:dyDescent="0.3">
      <c r="A1089" t="s">
        <v>2913</v>
      </c>
      <c r="B1089" s="2">
        <v>45239</v>
      </c>
      <c r="C1089" t="s">
        <v>1187</v>
      </c>
      <c r="D1089" t="s">
        <v>1626</v>
      </c>
      <c r="E1089" t="str">
        <f ca="1">TRIM(Sales_fact[[#This Row],[Store_ID]])</f>
        <v>STORE3</v>
      </c>
      <c r="F1089">
        <v>3</v>
      </c>
      <c r="G1089">
        <f>IF(ISBLANK(F1089),MODE($F$2:$F$2001),F1089)</f>
        <v>3</v>
      </c>
      <c r="H1089">
        <v>717.81</v>
      </c>
      <c r="I1089">
        <f>IF(ISBLANK(H1089),AVERAGE($H$2:$H$2001),H1089)</f>
        <v>717.81</v>
      </c>
      <c r="J1089">
        <v>0.17</v>
      </c>
      <c r="K1089">
        <f>IF(ISBLANK(J1089),MODE($J$2:$J$2001),J1089)</f>
        <v>0.17</v>
      </c>
      <c r="L1089" t="s">
        <v>1829</v>
      </c>
      <c r="M1089">
        <v>1787.3469</v>
      </c>
      <c r="N1089">
        <f t="shared" si="16"/>
        <v>1787.3468999999998</v>
      </c>
      <c r="O1089" t="str">
        <f>_xlfn.XLOOKUP(Sales_fact[[#This Row],[Customer_ID]],'Customer_Dim'!A:A,'Customer_Dim'!K:K,"Not Found")</f>
        <v>Gold</v>
      </c>
      <c r="P1089">
        <f>_xlfn.XLOOKUP(Sales_fact[[#This Row],[Customer_ID]],'Customer_Dim'!A:A, 'Customer_Dim'!E:E, "Not Found")</f>
        <v>23</v>
      </c>
      <c r="Q1089" t="str">
        <f>VLOOKUP(Sales_fact[[#This Row],[Customer_ID]], 'Customer_Dim'!A:F, 6, FALSE)</f>
        <v>Male</v>
      </c>
      <c r="R1089" s="13" t="str">
        <f>_xlfn.XLOOKUP(Sales_fact[[#This Row],[Product_ID]],Product_Dim!A:A,Product_Dim!C:C,"OTHERS")</f>
        <v>Electronics</v>
      </c>
    </row>
    <row r="1090" spans="1:18" x14ac:dyDescent="0.3">
      <c r="A1090" t="s">
        <v>2914</v>
      </c>
      <c r="B1090" s="2">
        <v>45284</v>
      </c>
      <c r="C1090" t="s">
        <v>803</v>
      </c>
      <c r="D1090" t="s">
        <v>1716</v>
      </c>
      <c r="E1090" t="str">
        <f ca="1">TRIM(Sales_fact[[#This Row],[Store_ID]])</f>
        <v>STORE1</v>
      </c>
      <c r="F1090">
        <v>3</v>
      </c>
      <c r="G1090">
        <f>IF(ISBLANK(F1090),MODE($F$2:$F$2001),F1090)</f>
        <v>3</v>
      </c>
      <c r="H1090">
        <v>204.77</v>
      </c>
      <c r="I1090">
        <f>IF(ISBLANK(H1090),AVERAGE($H$2:$H$2001),H1090)</f>
        <v>204.77</v>
      </c>
      <c r="J1090">
        <v>0.14000000000000001</v>
      </c>
      <c r="K1090">
        <f>IF(ISBLANK(J1090),MODE($J$2:$J$2001),J1090)</f>
        <v>0.14000000000000001</v>
      </c>
      <c r="L1090" t="s">
        <v>1824</v>
      </c>
      <c r="M1090">
        <v>528.3066</v>
      </c>
      <c r="N1090">
        <f t="shared" si="16"/>
        <v>528.3066</v>
      </c>
      <c r="O1090" t="str">
        <f>_xlfn.XLOOKUP(Sales_fact[[#This Row],[Customer_ID]],'Customer_Dim'!A:A,'Customer_Dim'!K:K,"Not Found")</f>
        <v>Silver</v>
      </c>
      <c r="P1090">
        <f>_xlfn.XLOOKUP(Sales_fact[[#This Row],[Customer_ID]],'Customer_Dim'!A:A, 'Customer_Dim'!E:E, "Not Found")</f>
        <v>64</v>
      </c>
      <c r="Q1090" t="str">
        <f>VLOOKUP(Sales_fact[[#This Row],[Customer_ID]], 'Customer_Dim'!A:F, 6, FALSE)</f>
        <v>Male</v>
      </c>
      <c r="R1090" s="13" t="str">
        <f>_xlfn.XLOOKUP(Sales_fact[[#This Row],[Product_ID]],Product_Dim!A:A,Product_Dim!C:C,"OTHERS")</f>
        <v>Home</v>
      </c>
    </row>
    <row r="1091" spans="1:18" x14ac:dyDescent="0.3">
      <c r="A1091" t="s">
        <v>2915</v>
      </c>
      <c r="B1091" s="2">
        <v>45686</v>
      </c>
      <c r="C1091" t="s">
        <v>153</v>
      </c>
      <c r="D1091" t="s">
        <v>1644</v>
      </c>
      <c r="E1091" t="str">
        <f ca="1">TRIM(Sales_fact[[#This Row],[Store_ID]])</f>
        <v>STORE18</v>
      </c>
      <c r="F1091">
        <v>4</v>
      </c>
      <c r="G1091">
        <f>IF(ISBLANK(F1091),MODE($F$2:$F$2001),F1091)</f>
        <v>4</v>
      </c>
      <c r="H1091">
        <v>106.23</v>
      </c>
      <c r="I1091">
        <f>IF(ISBLANK(H1091),AVERAGE($H$2:$H$2001),H1091)</f>
        <v>106.23</v>
      </c>
      <c r="J1091">
        <v>0.28000000000000003</v>
      </c>
      <c r="K1091">
        <f>IF(ISBLANK(J1091),MODE($J$2:$J$2001),J1091)</f>
        <v>0.28000000000000003</v>
      </c>
      <c r="L1091" t="s">
        <v>1829</v>
      </c>
      <c r="M1091">
        <v>305.94240000000002</v>
      </c>
      <c r="N1091">
        <f t="shared" ref="N1091:N1154" si="17">G1091*I1091*(1-K1091)</f>
        <v>305.94240000000002</v>
      </c>
      <c r="O1091" t="str">
        <f>_xlfn.XLOOKUP(Sales_fact[[#This Row],[Customer_ID]],'Customer_Dim'!A:A,'Customer_Dim'!K:K,"Not Found")</f>
        <v>Gold</v>
      </c>
      <c r="P1091">
        <f>_xlfn.XLOOKUP(Sales_fact[[#This Row],[Customer_ID]],'Customer_Dim'!A:A, 'Customer_Dim'!E:E, "Not Found")</f>
        <v>55</v>
      </c>
      <c r="Q1091" t="str">
        <f>VLOOKUP(Sales_fact[[#This Row],[Customer_ID]], 'Customer_Dim'!A:F, 6, FALSE)</f>
        <v>Female</v>
      </c>
      <c r="R1091" s="13" t="str">
        <f>_xlfn.XLOOKUP(Sales_fact[[#This Row],[Product_ID]],Product_Dim!A:A,Product_Dim!C:C,"OTHERS")</f>
        <v>Electronics</v>
      </c>
    </row>
    <row r="1092" spans="1:18" x14ac:dyDescent="0.3">
      <c r="A1092" t="s">
        <v>2916</v>
      </c>
      <c r="B1092" s="2">
        <v>45824</v>
      </c>
      <c r="C1092" t="s">
        <v>1023</v>
      </c>
      <c r="D1092" t="s">
        <v>1680</v>
      </c>
      <c r="E1092" t="str">
        <f ca="1">TRIM(Sales_fact[[#This Row],[Store_ID]])</f>
        <v>STORE5</v>
      </c>
      <c r="F1092">
        <v>2</v>
      </c>
      <c r="G1092">
        <f>IF(ISBLANK(F1092),MODE($F$2:$F$2001),F1092)</f>
        <v>2</v>
      </c>
      <c r="H1092">
        <v>769.48</v>
      </c>
      <c r="I1092">
        <f>IF(ISBLANK(H1092),AVERAGE($H$2:$H$2001),H1092)</f>
        <v>769.48</v>
      </c>
      <c r="J1092">
        <v>0.11</v>
      </c>
      <c r="K1092">
        <f>IF(ISBLANK(J1092),MODE($J$2:$J$2001),J1092)</f>
        <v>0.11</v>
      </c>
      <c r="L1092" t="s">
        <v>1826</v>
      </c>
      <c r="M1092">
        <v>1369.6744000000001</v>
      </c>
      <c r="N1092">
        <f t="shared" si="17"/>
        <v>1369.6744000000001</v>
      </c>
      <c r="O1092" t="str">
        <f>_xlfn.XLOOKUP(Sales_fact[[#This Row],[Customer_ID]],'Customer_Dim'!A:A,'Customer_Dim'!K:K,"Not Found")</f>
        <v>Bronze</v>
      </c>
      <c r="P1092">
        <f>_xlfn.XLOOKUP(Sales_fact[[#This Row],[Customer_ID]],'Customer_Dim'!A:A, 'Customer_Dim'!E:E, "Not Found")</f>
        <v>60</v>
      </c>
      <c r="Q1092" t="str">
        <f>VLOOKUP(Sales_fact[[#This Row],[Customer_ID]], 'Customer_Dim'!A:F, 6, FALSE)</f>
        <v>Male</v>
      </c>
      <c r="R1092" s="13" t="str">
        <f>_xlfn.XLOOKUP(Sales_fact[[#This Row],[Product_ID]],Product_Dim!A:A,Product_Dim!C:C,"OTHERS")</f>
        <v>Beauty</v>
      </c>
    </row>
    <row r="1093" spans="1:18" x14ac:dyDescent="0.3">
      <c r="A1093" t="s">
        <v>2917</v>
      </c>
      <c r="B1093" s="2">
        <v>45867</v>
      </c>
      <c r="C1093" t="s">
        <v>815</v>
      </c>
      <c r="D1093" t="s">
        <v>1662</v>
      </c>
      <c r="E1093" t="str">
        <f ca="1">TRIM(Sales_fact[[#This Row],[Store_ID]])</f>
        <v>STORE13</v>
      </c>
      <c r="F1093">
        <v>2</v>
      </c>
      <c r="G1093">
        <f>IF(ISBLANK(F1093),MODE($F$2:$F$2001),F1093)</f>
        <v>2</v>
      </c>
      <c r="H1093">
        <v>714.21</v>
      </c>
      <c r="I1093">
        <f>IF(ISBLANK(H1093),AVERAGE($H$2:$H$2001),H1093)</f>
        <v>714.21</v>
      </c>
      <c r="J1093">
        <v>0.14000000000000001</v>
      </c>
      <c r="K1093">
        <f>IF(ISBLANK(J1093),MODE($J$2:$J$2001),J1093)</f>
        <v>0.14000000000000001</v>
      </c>
      <c r="L1093" t="s">
        <v>1824</v>
      </c>
      <c r="M1093">
        <v>1228.4412</v>
      </c>
      <c r="N1093">
        <f t="shared" si="17"/>
        <v>1228.4412</v>
      </c>
      <c r="O1093" t="str">
        <f>_xlfn.XLOOKUP(Sales_fact[[#This Row],[Customer_ID]],'Customer_Dim'!A:A,'Customer_Dim'!K:K,"Not Found")</f>
        <v>Gold</v>
      </c>
      <c r="P1093">
        <f>_xlfn.XLOOKUP(Sales_fact[[#This Row],[Customer_ID]],'Customer_Dim'!A:A, 'Customer_Dim'!E:E, "Not Found")</f>
        <v>21</v>
      </c>
      <c r="Q1093" t="str">
        <f>VLOOKUP(Sales_fact[[#This Row],[Customer_ID]], 'Customer_Dim'!A:F, 6, FALSE)</f>
        <v>Male</v>
      </c>
      <c r="R1093" s="13" t="str">
        <f>_xlfn.XLOOKUP(Sales_fact[[#This Row],[Product_ID]],Product_Dim!A:A,Product_Dim!C:C,"OTHERS")</f>
        <v>Sports</v>
      </c>
    </row>
    <row r="1094" spans="1:18" x14ac:dyDescent="0.3">
      <c r="A1094" t="s">
        <v>2918</v>
      </c>
      <c r="B1094" s="2">
        <v>45578</v>
      </c>
      <c r="C1094" t="s">
        <v>863</v>
      </c>
      <c r="D1094" t="s">
        <v>1570</v>
      </c>
      <c r="E1094" t="str">
        <f ca="1">TRIM(Sales_fact[[#This Row],[Store_ID]])</f>
        <v>STORE15</v>
      </c>
      <c r="F1094">
        <v>4</v>
      </c>
      <c r="G1094">
        <f>IF(ISBLANK(F1094),MODE($F$2:$F$2001),F1094)</f>
        <v>4</v>
      </c>
      <c r="H1094">
        <v>632.24</v>
      </c>
      <c r="I1094">
        <f>IF(ISBLANK(H1094),AVERAGE($H$2:$H$2001),H1094)</f>
        <v>632.24</v>
      </c>
      <c r="J1094">
        <v>0.25</v>
      </c>
      <c r="K1094">
        <f>IF(ISBLANK(J1094),MODE($J$2:$J$2001),J1094)</f>
        <v>0.25</v>
      </c>
      <c r="L1094" t="s">
        <v>1826</v>
      </c>
      <c r="M1094">
        <v>1896.72</v>
      </c>
      <c r="N1094">
        <f t="shared" si="17"/>
        <v>1896.72</v>
      </c>
      <c r="O1094" t="str">
        <f>_xlfn.XLOOKUP(Sales_fact[[#This Row],[Customer_ID]],'Customer_Dim'!A:A,'Customer_Dim'!K:K,"Not Found")</f>
        <v>Platinum</v>
      </c>
      <c r="P1094">
        <f>_xlfn.XLOOKUP(Sales_fact[[#This Row],[Customer_ID]],'Customer_Dim'!A:A, 'Customer_Dim'!E:E, "Not Found")</f>
        <v>64</v>
      </c>
      <c r="Q1094" t="str">
        <f>VLOOKUP(Sales_fact[[#This Row],[Customer_ID]], 'Customer_Dim'!A:F, 6, FALSE)</f>
        <v>Male</v>
      </c>
      <c r="R1094" s="13" t="str">
        <f>_xlfn.XLOOKUP(Sales_fact[[#This Row],[Product_ID]],Product_Dim!A:A,Product_Dim!C:C,"OTHERS")</f>
        <v>Electronics</v>
      </c>
    </row>
    <row r="1095" spans="1:18" x14ac:dyDescent="0.3">
      <c r="A1095" t="s">
        <v>2919</v>
      </c>
      <c r="B1095" s="2">
        <v>45575</v>
      </c>
      <c r="C1095" t="s">
        <v>538</v>
      </c>
      <c r="D1095" t="s">
        <v>1704</v>
      </c>
      <c r="E1095" t="str">
        <f ca="1">TRIM(Sales_fact[[#This Row],[Store_ID]])</f>
        <v>STORE3</v>
      </c>
      <c r="F1095">
        <v>2</v>
      </c>
      <c r="G1095">
        <f>IF(ISBLANK(F1095),MODE($F$2:$F$2001),F1095)</f>
        <v>2</v>
      </c>
      <c r="H1095">
        <v>845.27</v>
      </c>
      <c r="I1095">
        <f>IF(ISBLANK(H1095),AVERAGE($H$2:$H$2001),H1095)</f>
        <v>845.27</v>
      </c>
      <c r="J1095">
        <v>0.18</v>
      </c>
      <c r="K1095">
        <f>IF(ISBLANK(J1095),MODE($J$2:$J$2001),J1095)</f>
        <v>0.18</v>
      </c>
      <c r="L1095" t="s">
        <v>1826</v>
      </c>
      <c r="M1095">
        <v>1386.2428</v>
      </c>
      <c r="N1095">
        <f t="shared" si="17"/>
        <v>1386.2428</v>
      </c>
      <c r="O1095" t="str">
        <f>_xlfn.XLOOKUP(Sales_fact[[#This Row],[Customer_ID]],'Customer_Dim'!A:A,'Customer_Dim'!K:K,"Not Found")</f>
        <v>Silver</v>
      </c>
      <c r="P1095">
        <f>_xlfn.XLOOKUP(Sales_fact[[#This Row],[Customer_ID]],'Customer_Dim'!A:A, 'Customer_Dim'!E:E, "Not Found")</f>
        <v>18</v>
      </c>
      <c r="Q1095" t="str">
        <f>VLOOKUP(Sales_fact[[#This Row],[Customer_ID]], 'Customer_Dim'!A:F, 6, FALSE)</f>
        <v>Female</v>
      </c>
      <c r="R1095" s="13" t="str">
        <f>_xlfn.XLOOKUP(Sales_fact[[#This Row],[Product_ID]],Product_Dim!A:A,Product_Dim!C:C,"OTHERS")</f>
        <v>Home</v>
      </c>
    </row>
    <row r="1096" spans="1:18" x14ac:dyDescent="0.3">
      <c r="A1096" t="s">
        <v>2920</v>
      </c>
      <c r="B1096" s="2">
        <v>45816</v>
      </c>
      <c r="C1096" t="s">
        <v>1527</v>
      </c>
      <c r="D1096" t="s">
        <v>1722</v>
      </c>
      <c r="E1096" t="str">
        <f ca="1">TRIM(Sales_fact[[#This Row],[Store_ID]])</f>
        <v>STORE13</v>
      </c>
      <c r="F1096">
        <v>1</v>
      </c>
      <c r="G1096">
        <f>IF(ISBLANK(F1096),MODE($F$2:$F$2001),F1096)</f>
        <v>1</v>
      </c>
      <c r="H1096">
        <v>575.94000000000005</v>
      </c>
      <c r="I1096">
        <f>IF(ISBLANK(H1096),AVERAGE($H$2:$H$2001),H1096)</f>
        <v>575.94000000000005</v>
      </c>
      <c r="J1096">
        <v>0.17</v>
      </c>
      <c r="K1096">
        <f>IF(ISBLANK(J1096),MODE($J$2:$J$2001),J1096)</f>
        <v>0.17</v>
      </c>
      <c r="L1096" t="s">
        <v>1824</v>
      </c>
      <c r="M1096">
        <v>478.03019999999998</v>
      </c>
      <c r="N1096">
        <f t="shared" si="17"/>
        <v>478.03020000000004</v>
      </c>
      <c r="O1096" t="str">
        <f>_xlfn.XLOOKUP(Sales_fact[[#This Row],[Customer_ID]],'Customer_Dim'!A:A,'Customer_Dim'!K:K,"Not Found")</f>
        <v>Gold</v>
      </c>
      <c r="P1096">
        <f>_xlfn.XLOOKUP(Sales_fact[[#This Row],[Customer_ID]],'Customer_Dim'!A:A, 'Customer_Dim'!E:E, "Not Found")</f>
        <v>47</v>
      </c>
      <c r="Q1096" t="str">
        <f>VLOOKUP(Sales_fact[[#This Row],[Customer_ID]], 'Customer_Dim'!A:F, 6, FALSE)</f>
        <v>Female</v>
      </c>
      <c r="R1096" s="13" t="str">
        <f>_xlfn.XLOOKUP(Sales_fact[[#This Row],[Product_ID]],Product_Dim!A:A,Product_Dim!C:C,"OTHERS")</f>
        <v>Home</v>
      </c>
    </row>
    <row r="1097" spans="1:18" x14ac:dyDescent="0.3">
      <c r="A1097" t="s">
        <v>2921</v>
      </c>
      <c r="B1097" s="2">
        <v>45620</v>
      </c>
      <c r="C1097" t="s">
        <v>803</v>
      </c>
      <c r="D1097" t="s">
        <v>1716</v>
      </c>
      <c r="E1097" t="str">
        <f ca="1">TRIM(Sales_fact[[#This Row],[Store_ID]])</f>
        <v>STORE15</v>
      </c>
      <c r="F1097">
        <v>1</v>
      </c>
      <c r="G1097">
        <f>IF(ISBLANK(F1097),MODE($F$2:$F$2001),F1097)</f>
        <v>1</v>
      </c>
      <c r="H1097">
        <v>907.97</v>
      </c>
      <c r="I1097">
        <f>IF(ISBLANK(H1097),AVERAGE($H$2:$H$2001),H1097)</f>
        <v>907.97</v>
      </c>
      <c r="J1097">
        <v>0.26</v>
      </c>
      <c r="K1097">
        <f>IF(ISBLANK(J1097),MODE($J$2:$J$2001),J1097)</f>
        <v>0.26</v>
      </c>
      <c r="L1097" t="s">
        <v>1829</v>
      </c>
      <c r="M1097">
        <v>671.89779999999996</v>
      </c>
      <c r="N1097">
        <f t="shared" si="17"/>
        <v>671.89779999999996</v>
      </c>
      <c r="O1097" t="str">
        <f>_xlfn.XLOOKUP(Sales_fact[[#This Row],[Customer_ID]],'Customer_Dim'!A:A,'Customer_Dim'!K:K,"Not Found")</f>
        <v>Silver</v>
      </c>
      <c r="P1097">
        <f>_xlfn.XLOOKUP(Sales_fact[[#This Row],[Customer_ID]],'Customer_Dim'!A:A, 'Customer_Dim'!E:E, "Not Found")</f>
        <v>64</v>
      </c>
      <c r="Q1097" t="str">
        <f>VLOOKUP(Sales_fact[[#This Row],[Customer_ID]], 'Customer_Dim'!A:F, 6, FALSE)</f>
        <v>Male</v>
      </c>
      <c r="R1097" s="13" t="str">
        <f>_xlfn.XLOOKUP(Sales_fact[[#This Row],[Product_ID]],Product_Dim!A:A,Product_Dim!C:C,"OTHERS")</f>
        <v>Home</v>
      </c>
    </row>
    <row r="1098" spans="1:18" x14ac:dyDescent="0.3">
      <c r="A1098" t="s">
        <v>2922</v>
      </c>
      <c r="B1098" s="2">
        <v>45695</v>
      </c>
      <c r="C1098" t="s">
        <v>849</v>
      </c>
      <c r="D1098" t="s">
        <v>1588</v>
      </c>
      <c r="E1098" t="str">
        <f ca="1">TRIM(Sales_fact[[#This Row],[Store_ID]])</f>
        <v>STORE12</v>
      </c>
      <c r="F1098">
        <v>1</v>
      </c>
      <c r="G1098">
        <f>IF(ISBLANK(F1098),MODE($F$2:$F$2001),F1098)</f>
        <v>1</v>
      </c>
      <c r="H1098">
        <v>99.35</v>
      </c>
      <c r="I1098">
        <f>IF(ISBLANK(H1098),AVERAGE($H$2:$H$2001),H1098)</f>
        <v>99.35</v>
      </c>
      <c r="J1098">
        <v>0.08</v>
      </c>
      <c r="K1098">
        <f>IF(ISBLANK(J1098),MODE($J$2:$J$2001),J1098)</f>
        <v>0.08</v>
      </c>
      <c r="L1098" t="s">
        <v>1829</v>
      </c>
      <c r="M1098">
        <v>91.402000000000001</v>
      </c>
      <c r="N1098">
        <f t="shared" si="17"/>
        <v>91.402000000000001</v>
      </c>
      <c r="O1098" t="str">
        <f>_xlfn.XLOOKUP(Sales_fact[[#This Row],[Customer_ID]],'Customer_Dim'!A:A,'Customer_Dim'!K:K,"Not Found")</f>
        <v>Bronze</v>
      </c>
      <c r="P1098">
        <f>_xlfn.XLOOKUP(Sales_fact[[#This Row],[Customer_ID]],'Customer_Dim'!A:A, 'Customer_Dim'!E:E, "Not Found")</f>
        <v>32</v>
      </c>
      <c r="Q1098" t="str">
        <f>VLOOKUP(Sales_fact[[#This Row],[Customer_ID]], 'Customer_Dim'!A:F, 6, FALSE)</f>
        <v>Female</v>
      </c>
      <c r="R1098" s="13" t="str">
        <f>_xlfn.XLOOKUP(Sales_fact[[#This Row],[Product_ID]],Product_Dim!A:A,Product_Dim!C:C,"OTHERS")</f>
        <v>Sports</v>
      </c>
    </row>
    <row r="1099" spans="1:18" x14ac:dyDescent="0.3">
      <c r="A1099" t="s">
        <v>2923</v>
      </c>
      <c r="B1099" s="2">
        <v>45596</v>
      </c>
      <c r="C1099" t="s">
        <v>261</v>
      </c>
      <c r="D1099" t="s">
        <v>1543</v>
      </c>
      <c r="E1099" t="str">
        <f ca="1">TRIM(Sales_fact[[#This Row],[Store_ID]])</f>
        <v>STORE3</v>
      </c>
      <c r="F1099">
        <v>2</v>
      </c>
      <c r="G1099">
        <f>IF(ISBLANK(F1099),MODE($F$2:$F$2001),F1099)</f>
        <v>2</v>
      </c>
      <c r="H1099">
        <v>374.42</v>
      </c>
      <c r="I1099">
        <f>IF(ISBLANK(H1099),AVERAGE($H$2:$H$2001),H1099)</f>
        <v>374.42</v>
      </c>
      <c r="J1099">
        <v>0.21</v>
      </c>
      <c r="K1099">
        <f>IF(ISBLANK(J1099),MODE($J$2:$J$2001),J1099)</f>
        <v>0.21</v>
      </c>
      <c r="L1099" t="s">
        <v>1829</v>
      </c>
      <c r="M1099">
        <v>591.58360000000005</v>
      </c>
      <c r="N1099">
        <f t="shared" si="17"/>
        <v>591.58360000000005</v>
      </c>
      <c r="O1099" t="str">
        <f>_xlfn.XLOOKUP(Sales_fact[[#This Row],[Customer_ID]],'Customer_Dim'!A:A,'Customer_Dim'!K:K,"Not Found")</f>
        <v>Gold</v>
      </c>
      <c r="P1099">
        <f>_xlfn.XLOOKUP(Sales_fact[[#This Row],[Customer_ID]],'Customer_Dim'!A:A, 'Customer_Dim'!E:E, "Not Found")</f>
        <v>61</v>
      </c>
      <c r="Q1099" t="str">
        <f>VLOOKUP(Sales_fact[[#This Row],[Customer_ID]], 'Customer_Dim'!A:F, 6, FALSE)</f>
        <v>Female</v>
      </c>
      <c r="R1099" s="13" t="str">
        <f>_xlfn.XLOOKUP(Sales_fact[[#This Row],[Product_ID]],Product_Dim!A:A,Product_Dim!C:C,"OTHERS")</f>
        <v>Electronics</v>
      </c>
    </row>
    <row r="1100" spans="1:18" x14ac:dyDescent="0.3">
      <c r="A1100" t="s">
        <v>2924</v>
      </c>
      <c r="B1100" s="2">
        <v>45869</v>
      </c>
      <c r="C1100" t="s">
        <v>1481</v>
      </c>
      <c r="D1100" t="s">
        <v>1578</v>
      </c>
      <c r="E1100" t="str">
        <f ca="1">TRIM(Sales_fact[[#This Row],[Store_ID]])</f>
        <v>STORE15</v>
      </c>
      <c r="F1100">
        <v>3</v>
      </c>
      <c r="G1100">
        <f>IF(ISBLANK(F1100),MODE($F$2:$F$2001),F1100)</f>
        <v>3</v>
      </c>
      <c r="H1100">
        <v>248.43</v>
      </c>
      <c r="I1100">
        <f>IF(ISBLANK(H1100),AVERAGE($H$2:$H$2001),H1100)</f>
        <v>248.43</v>
      </c>
      <c r="J1100">
        <v>0.24</v>
      </c>
      <c r="K1100">
        <f>IF(ISBLANK(J1100),MODE($J$2:$J$2001),J1100)</f>
        <v>0.24</v>
      </c>
      <c r="L1100" t="s">
        <v>1829</v>
      </c>
      <c r="M1100">
        <v>566.42039999999997</v>
      </c>
      <c r="N1100">
        <f t="shared" si="17"/>
        <v>566.42039999999997</v>
      </c>
      <c r="O1100" t="str">
        <f>_xlfn.XLOOKUP(Sales_fact[[#This Row],[Customer_ID]],'Customer_Dim'!A:A,'Customer_Dim'!K:K,"Not Found")</f>
        <v>Gold</v>
      </c>
      <c r="P1100">
        <f>_xlfn.XLOOKUP(Sales_fact[[#This Row],[Customer_ID]],'Customer_Dim'!A:A, 'Customer_Dim'!E:E, "Not Found")</f>
        <v>21</v>
      </c>
      <c r="Q1100" t="str">
        <f>VLOOKUP(Sales_fact[[#This Row],[Customer_ID]], 'Customer_Dim'!A:F, 6, FALSE)</f>
        <v>Male</v>
      </c>
      <c r="R1100" s="13" t="str">
        <f>_xlfn.XLOOKUP(Sales_fact[[#This Row],[Product_ID]],Product_Dim!A:A,Product_Dim!C:C,"OTHERS")</f>
        <v>Electronics</v>
      </c>
    </row>
    <row r="1101" spans="1:18" x14ac:dyDescent="0.3">
      <c r="A1101" t="s">
        <v>2925</v>
      </c>
      <c r="B1101" s="2">
        <v>45631</v>
      </c>
      <c r="C1101" t="s">
        <v>1443</v>
      </c>
      <c r="D1101" t="s">
        <v>1718</v>
      </c>
      <c r="E1101" t="str">
        <f ca="1">TRIM(Sales_fact[[#This Row],[Store_ID]])</f>
        <v>STORE1</v>
      </c>
      <c r="F1101">
        <v>1</v>
      </c>
      <c r="G1101">
        <f>IF(ISBLANK(F1101),MODE($F$2:$F$2001),F1101)</f>
        <v>1</v>
      </c>
      <c r="H1101">
        <v>784.46</v>
      </c>
      <c r="I1101">
        <f>IF(ISBLANK(H1101),AVERAGE($H$2:$H$2001),H1101)</f>
        <v>784.46</v>
      </c>
      <c r="J1101">
        <v>0.14000000000000001</v>
      </c>
      <c r="K1101">
        <f>IF(ISBLANK(J1101),MODE($J$2:$J$2001),J1101)</f>
        <v>0.14000000000000001</v>
      </c>
      <c r="L1101" t="s">
        <v>1829</v>
      </c>
      <c r="M1101">
        <v>674.63560000000007</v>
      </c>
      <c r="N1101">
        <f t="shared" si="17"/>
        <v>674.63560000000007</v>
      </c>
      <c r="O1101" t="str">
        <f>_xlfn.XLOOKUP(Sales_fact[[#This Row],[Customer_ID]],'Customer_Dim'!A:A,'Customer_Dim'!K:K,"Not Found")</f>
        <v>Bronze</v>
      </c>
      <c r="P1101">
        <f>_xlfn.XLOOKUP(Sales_fact[[#This Row],[Customer_ID]],'Customer_Dim'!A:A, 'Customer_Dim'!E:E, "Not Found")</f>
        <v>45</v>
      </c>
      <c r="Q1101" t="str">
        <f>VLOOKUP(Sales_fact[[#This Row],[Customer_ID]], 'Customer_Dim'!A:F, 6, FALSE)</f>
        <v>Male</v>
      </c>
      <c r="R1101" s="13" t="str">
        <f>_xlfn.XLOOKUP(Sales_fact[[#This Row],[Product_ID]],Product_Dim!A:A,Product_Dim!C:C,"OTHERS")</f>
        <v>Clothing</v>
      </c>
    </row>
    <row r="1102" spans="1:18" x14ac:dyDescent="0.3">
      <c r="A1102" t="s">
        <v>2926</v>
      </c>
      <c r="B1102" s="2">
        <v>45379</v>
      </c>
      <c r="C1102" t="s">
        <v>827</v>
      </c>
      <c r="D1102" t="s">
        <v>1652</v>
      </c>
      <c r="E1102" t="str">
        <f ca="1">TRIM(Sales_fact[[#This Row],[Store_ID]])</f>
        <v>STORE10</v>
      </c>
      <c r="F1102">
        <v>3</v>
      </c>
      <c r="G1102">
        <f>IF(ISBLANK(F1102),MODE($F$2:$F$2001),F1102)</f>
        <v>3</v>
      </c>
      <c r="H1102">
        <v>70.88</v>
      </c>
      <c r="I1102">
        <f>IF(ISBLANK(H1102),AVERAGE($H$2:$H$2001),H1102)</f>
        <v>70.88</v>
      </c>
      <c r="J1102">
        <v>0.27</v>
      </c>
      <c r="K1102">
        <f>IF(ISBLANK(J1102),MODE($J$2:$J$2001),J1102)</f>
        <v>0.27</v>
      </c>
      <c r="L1102" t="s">
        <v>1829</v>
      </c>
      <c r="M1102">
        <v>155.22720000000001</v>
      </c>
      <c r="N1102">
        <f t="shared" si="17"/>
        <v>155.22719999999998</v>
      </c>
      <c r="O1102" t="str">
        <f>_xlfn.XLOOKUP(Sales_fact[[#This Row],[Customer_ID]],'Customer_Dim'!A:A,'Customer_Dim'!K:K,"Not Found")</f>
        <v>Silver</v>
      </c>
      <c r="P1102">
        <f>_xlfn.XLOOKUP(Sales_fact[[#This Row],[Customer_ID]],'Customer_Dim'!A:A, 'Customer_Dim'!E:E, "Not Found")</f>
        <v>32</v>
      </c>
      <c r="Q1102" t="str">
        <f>VLOOKUP(Sales_fact[[#This Row],[Customer_ID]], 'Customer_Dim'!A:F, 6, FALSE)</f>
        <v>Female</v>
      </c>
      <c r="R1102" s="13" t="str">
        <f>_xlfn.XLOOKUP(Sales_fact[[#This Row],[Product_ID]],Product_Dim!A:A,Product_Dim!C:C,"OTHERS")</f>
        <v>Sports</v>
      </c>
    </row>
    <row r="1103" spans="1:18" x14ac:dyDescent="0.3">
      <c r="A1103" t="s">
        <v>2927</v>
      </c>
      <c r="B1103" s="2">
        <v>45641</v>
      </c>
      <c r="C1103" t="s">
        <v>387</v>
      </c>
      <c r="D1103" t="s">
        <v>1562</v>
      </c>
      <c r="E1103" t="str">
        <f ca="1">TRIM(Sales_fact[[#This Row],[Store_ID]])</f>
        <v>STORE1</v>
      </c>
      <c r="F1103">
        <v>3</v>
      </c>
      <c r="G1103">
        <f>IF(ISBLANK(F1103),MODE($F$2:$F$2001),F1103)</f>
        <v>3</v>
      </c>
      <c r="H1103">
        <v>324.29000000000002</v>
      </c>
      <c r="I1103">
        <f>IF(ISBLANK(H1103),AVERAGE($H$2:$H$2001),H1103)</f>
        <v>324.29000000000002</v>
      </c>
      <c r="J1103">
        <v>0.16</v>
      </c>
      <c r="K1103">
        <f>IF(ISBLANK(J1103),MODE($J$2:$J$2001),J1103)</f>
        <v>0.16</v>
      </c>
      <c r="L1103" t="s">
        <v>1829</v>
      </c>
      <c r="M1103">
        <v>817.21080000000006</v>
      </c>
      <c r="N1103">
        <f t="shared" si="17"/>
        <v>817.21080000000006</v>
      </c>
      <c r="O1103" t="str">
        <f>_xlfn.XLOOKUP(Sales_fact[[#This Row],[Customer_ID]],'Customer_Dim'!A:A,'Customer_Dim'!K:K,"Not Found")</f>
        <v>Gold</v>
      </c>
      <c r="P1103">
        <f>_xlfn.XLOOKUP(Sales_fact[[#This Row],[Customer_ID]],'Customer_Dim'!A:A, 'Customer_Dim'!E:E, "Not Found")</f>
        <v>40</v>
      </c>
      <c r="Q1103" t="str">
        <f>VLOOKUP(Sales_fact[[#This Row],[Customer_ID]], 'Customer_Dim'!A:F, 6, FALSE)</f>
        <v>Female</v>
      </c>
      <c r="R1103" s="13" t="str">
        <f>_xlfn.XLOOKUP(Sales_fact[[#This Row],[Product_ID]],Product_Dim!A:A,Product_Dim!C:C,"OTHERS")</f>
        <v>Electronics</v>
      </c>
    </row>
    <row r="1104" spans="1:18" x14ac:dyDescent="0.3">
      <c r="A1104" t="s">
        <v>2928</v>
      </c>
      <c r="B1104" s="2">
        <v>45842</v>
      </c>
      <c r="C1104" t="s">
        <v>478</v>
      </c>
      <c r="D1104" t="s">
        <v>1578</v>
      </c>
      <c r="E1104" t="str">
        <f ca="1">TRIM(Sales_fact[[#This Row],[Store_ID]])</f>
        <v>STORE3</v>
      </c>
      <c r="F1104">
        <v>4</v>
      </c>
      <c r="G1104">
        <f>IF(ISBLANK(F1104),MODE($F$2:$F$2001),F1104)</f>
        <v>4</v>
      </c>
      <c r="H1104">
        <v>243.92</v>
      </c>
      <c r="I1104">
        <f>IF(ISBLANK(H1104),AVERAGE($H$2:$H$2001),H1104)</f>
        <v>243.92</v>
      </c>
      <c r="J1104">
        <v>0.02</v>
      </c>
      <c r="K1104">
        <f>IF(ISBLANK(J1104),MODE($J$2:$J$2001),J1104)</f>
        <v>0.02</v>
      </c>
      <c r="L1104" t="s">
        <v>1826</v>
      </c>
      <c r="M1104">
        <v>956.16639999999995</v>
      </c>
      <c r="N1104">
        <f t="shared" si="17"/>
        <v>956.16639999999995</v>
      </c>
      <c r="O1104" t="str">
        <f>_xlfn.XLOOKUP(Sales_fact[[#This Row],[Customer_ID]],'Customer_Dim'!A:A,'Customer_Dim'!K:K,"Not Found")</f>
        <v>Bronze</v>
      </c>
      <c r="P1104">
        <f>_xlfn.XLOOKUP(Sales_fact[[#This Row],[Customer_ID]],'Customer_Dim'!A:A, 'Customer_Dim'!E:E, "Not Found")</f>
        <v>30</v>
      </c>
      <c r="Q1104" t="str">
        <f>VLOOKUP(Sales_fact[[#This Row],[Customer_ID]], 'Customer_Dim'!A:F, 6, FALSE)</f>
        <v>Male</v>
      </c>
      <c r="R1104" s="13" t="str">
        <f>_xlfn.XLOOKUP(Sales_fact[[#This Row],[Product_ID]],Product_Dim!A:A,Product_Dim!C:C,"OTHERS")</f>
        <v>Electronics</v>
      </c>
    </row>
    <row r="1105" spans="1:18" x14ac:dyDescent="0.3">
      <c r="A1105" t="s">
        <v>2929</v>
      </c>
      <c r="B1105" s="2">
        <v>45257</v>
      </c>
      <c r="C1105" t="s">
        <v>1172</v>
      </c>
      <c r="D1105" t="s">
        <v>1604</v>
      </c>
      <c r="E1105" t="str">
        <f ca="1">TRIM(Sales_fact[[#This Row],[Store_ID]])</f>
        <v>STORE13</v>
      </c>
      <c r="F1105">
        <v>1</v>
      </c>
      <c r="G1105">
        <f>IF(ISBLANK(F1105),MODE($F$2:$F$2001),F1105)</f>
        <v>1</v>
      </c>
      <c r="H1105">
        <v>664.35</v>
      </c>
      <c r="I1105">
        <f>IF(ISBLANK(H1105),AVERAGE($H$2:$H$2001),H1105)</f>
        <v>664.35</v>
      </c>
      <c r="J1105">
        <v>0</v>
      </c>
      <c r="K1105">
        <f>IF(ISBLANK(J1105),MODE($J$2:$J$2001),J1105)</f>
        <v>0</v>
      </c>
      <c r="L1105" t="s">
        <v>1824</v>
      </c>
      <c r="M1105">
        <v>664.35</v>
      </c>
      <c r="N1105">
        <f t="shared" si="17"/>
        <v>664.35</v>
      </c>
      <c r="O1105" t="str">
        <f>_xlfn.XLOOKUP(Sales_fact[[#This Row],[Customer_ID]],'Customer_Dim'!A:A,'Customer_Dim'!K:K,"Not Found")</f>
        <v>Platinum</v>
      </c>
      <c r="P1105">
        <f>_xlfn.XLOOKUP(Sales_fact[[#This Row],[Customer_ID]],'Customer_Dim'!A:A, 'Customer_Dim'!E:E, "Not Found")</f>
        <v>26</v>
      </c>
      <c r="Q1105" t="str">
        <f>VLOOKUP(Sales_fact[[#This Row],[Customer_ID]], 'Customer_Dim'!A:F, 6, FALSE)</f>
        <v>Male</v>
      </c>
      <c r="R1105" s="13" t="str">
        <f>_xlfn.XLOOKUP(Sales_fact[[#This Row],[Product_ID]],Product_Dim!A:A,Product_Dim!C:C,"OTHERS")</f>
        <v>Sports</v>
      </c>
    </row>
    <row r="1106" spans="1:18" x14ac:dyDescent="0.3">
      <c r="A1106" t="s">
        <v>2930</v>
      </c>
      <c r="B1106" s="2">
        <v>45468</v>
      </c>
      <c r="C1106" t="s">
        <v>1199</v>
      </c>
      <c r="D1106" t="s">
        <v>1590</v>
      </c>
      <c r="E1106" t="str">
        <f ca="1">TRIM(Sales_fact[[#This Row],[Store_ID]])</f>
        <v>STORE10</v>
      </c>
      <c r="F1106">
        <v>2</v>
      </c>
      <c r="G1106">
        <f>IF(ISBLANK(F1106),MODE($F$2:$F$2001),F1106)</f>
        <v>2</v>
      </c>
      <c r="H1106">
        <v>218.07</v>
      </c>
      <c r="I1106">
        <f>IF(ISBLANK(H1106),AVERAGE($H$2:$H$2001),H1106)</f>
        <v>218.07</v>
      </c>
      <c r="J1106">
        <v>0.19</v>
      </c>
      <c r="K1106">
        <f>IF(ISBLANK(J1106),MODE($J$2:$J$2001),J1106)</f>
        <v>0.19</v>
      </c>
      <c r="L1106" t="s">
        <v>1826</v>
      </c>
      <c r="M1106">
        <v>353.27339999999998</v>
      </c>
      <c r="N1106">
        <f t="shared" si="17"/>
        <v>353.27340000000004</v>
      </c>
      <c r="O1106" t="str">
        <f>_xlfn.XLOOKUP(Sales_fact[[#This Row],[Customer_ID]],'Customer_Dim'!A:A,'Customer_Dim'!K:K,"Not Found")</f>
        <v>Bronze</v>
      </c>
      <c r="P1106">
        <f>_xlfn.XLOOKUP(Sales_fact[[#This Row],[Customer_ID]],'Customer_Dim'!A:A, 'Customer_Dim'!E:E, "Not Found")</f>
        <v>52</v>
      </c>
      <c r="Q1106" t="str">
        <f>VLOOKUP(Sales_fact[[#This Row],[Customer_ID]], 'Customer_Dim'!A:F, 6, FALSE)</f>
        <v>Female</v>
      </c>
      <c r="R1106" s="13" t="str">
        <f>_xlfn.XLOOKUP(Sales_fact[[#This Row],[Product_ID]],Product_Dim!A:A,Product_Dim!C:C,"OTHERS")</f>
        <v>Home</v>
      </c>
    </row>
    <row r="1107" spans="1:18" x14ac:dyDescent="0.3">
      <c r="A1107" t="s">
        <v>2931</v>
      </c>
      <c r="B1107" s="2">
        <v>45228</v>
      </c>
      <c r="C1107" t="s">
        <v>1196</v>
      </c>
      <c r="D1107" t="s">
        <v>1578</v>
      </c>
      <c r="E1107" t="str">
        <f ca="1">TRIM(Sales_fact[[#This Row],[Store_ID]])</f>
        <v>STORE3</v>
      </c>
      <c r="F1107">
        <v>4</v>
      </c>
      <c r="G1107">
        <f>IF(ISBLANK(F1107),MODE($F$2:$F$2001),F1107)</f>
        <v>4</v>
      </c>
      <c r="H1107">
        <v>921.83</v>
      </c>
      <c r="I1107">
        <f>IF(ISBLANK(H1107),AVERAGE($H$2:$H$2001),H1107)</f>
        <v>921.83</v>
      </c>
      <c r="J1107">
        <v>0.27</v>
      </c>
      <c r="K1107">
        <f>IF(ISBLANK(J1107),MODE($J$2:$J$2001),J1107)</f>
        <v>0.27</v>
      </c>
      <c r="L1107" t="s">
        <v>1824</v>
      </c>
      <c r="M1107">
        <v>2691.7435999999998</v>
      </c>
      <c r="N1107">
        <f t="shared" si="17"/>
        <v>2691.7436000000002</v>
      </c>
      <c r="O1107" t="str">
        <f>_xlfn.XLOOKUP(Sales_fact[[#This Row],[Customer_ID]],'Customer_Dim'!A:A,'Customer_Dim'!K:K,"Not Found")</f>
        <v>Silver</v>
      </c>
      <c r="P1107">
        <f>_xlfn.XLOOKUP(Sales_fact[[#This Row],[Customer_ID]],'Customer_Dim'!A:A, 'Customer_Dim'!E:E, "Not Found")</f>
        <v>27</v>
      </c>
      <c r="Q1107" t="str">
        <f>VLOOKUP(Sales_fact[[#This Row],[Customer_ID]], 'Customer_Dim'!A:F, 6, FALSE)</f>
        <v>Female</v>
      </c>
      <c r="R1107" s="13" t="str">
        <f>_xlfn.XLOOKUP(Sales_fact[[#This Row],[Product_ID]],Product_Dim!A:A,Product_Dim!C:C,"OTHERS")</f>
        <v>Electronics</v>
      </c>
    </row>
    <row r="1108" spans="1:18" x14ac:dyDescent="0.3">
      <c r="A1108" t="s">
        <v>2932</v>
      </c>
      <c r="B1108" s="2">
        <v>45661</v>
      </c>
      <c r="C1108" t="s">
        <v>559</v>
      </c>
      <c r="D1108" t="s">
        <v>1648</v>
      </c>
      <c r="E1108" t="str">
        <f ca="1">TRIM(Sales_fact[[#This Row],[Store_ID]])</f>
        <v>STORE1</v>
      </c>
      <c r="F1108">
        <v>3</v>
      </c>
      <c r="G1108">
        <f>IF(ISBLANK(F1108),MODE($F$2:$F$2001),F1108)</f>
        <v>3</v>
      </c>
      <c r="H1108">
        <v>326.2</v>
      </c>
      <c r="I1108">
        <f>IF(ISBLANK(H1108),AVERAGE($H$2:$H$2001),H1108)</f>
        <v>326.2</v>
      </c>
      <c r="J1108">
        <v>0.22</v>
      </c>
      <c r="K1108">
        <f>IF(ISBLANK(J1108),MODE($J$2:$J$2001),J1108)</f>
        <v>0.22</v>
      </c>
      <c r="L1108" t="s">
        <v>1829</v>
      </c>
      <c r="M1108">
        <v>763.30799999999999</v>
      </c>
      <c r="N1108">
        <f t="shared" si="17"/>
        <v>763.30799999999999</v>
      </c>
      <c r="O1108" t="str">
        <f>_xlfn.XLOOKUP(Sales_fact[[#This Row],[Customer_ID]],'Customer_Dim'!A:A,'Customer_Dim'!K:K,"Not Found")</f>
        <v>Platinum</v>
      </c>
      <c r="P1108">
        <f>_xlfn.XLOOKUP(Sales_fact[[#This Row],[Customer_ID]],'Customer_Dim'!A:A, 'Customer_Dim'!E:E, "Not Found")</f>
        <v>36</v>
      </c>
      <c r="Q1108" t="str">
        <f>VLOOKUP(Sales_fact[[#This Row],[Customer_ID]], 'Customer_Dim'!A:F, 6, FALSE)</f>
        <v>Female</v>
      </c>
      <c r="R1108" s="13" t="str">
        <f>_xlfn.XLOOKUP(Sales_fact[[#This Row],[Product_ID]],Product_Dim!A:A,Product_Dim!C:C,"OTHERS")</f>
        <v>Sports</v>
      </c>
    </row>
    <row r="1109" spans="1:18" x14ac:dyDescent="0.3">
      <c r="A1109" t="s">
        <v>2933</v>
      </c>
      <c r="B1109" s="2">
        <v>45701</v>
      </c>
      <c r="C1109" t="s">
        <v>1414</v>
      </c>
      <c r="D1109" t="s">
        <v>1582</v>
      </c>
      <c r="E1109" t="str">
        <f ca="1">TRIM(Sales_fact[[#This Row],[Store_ID]])</f>
        <v>STORE19</v>
      </c>
      <c r="F1109">
        <v>1</v>
      </c>
      <c r="G1109">
        <f>IF(ISBLANK(F1109),MODE($F$2:$F$2001),F1109)</f>
        <v>1</v>
      </c>
      <c r="H1109">
        <v>244.25</v>
      </c>
      <c r="I1109">
        <f>IF(ISBLANK(H1109),AVERAGE($H$2:$H$2001),H1109)</f>
        <v>244.25</v>
      </c>
      <c r="J1109">
        <v>0.09</v>
      </c>
      <c r="K1109">
        <f>IF(ISBLANK(J1109),MODE($J$2:$J$2001),J1109)</f>
        <v>0.09</v>
      </c>
      <c r="L1109" t="s">
        <v>1826</v>
      </c>
      <c r="M1109">
        <v>222.26750000000001</v>
      </c>
      <c r="N1109">
        <f t="shared" si="17"/>
        <v>222.26750000000001</v>
      </c>
      <c r="O1109" t="str">
        <f>_xlfn.XLOOKUP(Sales_fact[[#This Row],[Customer_ID]],'Customer_Dim'!A:A,'Customer_Dim'!K:K,"Not Found")</f>
        <v>Silver</v>
      </c>
      <c r="P1109">
        <f>_xlfn.XLOOKUP(Sales_fact[[#This Row],[Customer_ID]],'Customer_Dim'!A:A, 'Customer_Dim'!E:E, "Not Found")</f>
        <v>62</v>
      </c>
      <c r="Q1109" t="str">
        <f>VLOOKUP(Sales_fact[[#This Row],[Customer_ID]], 'Customer_Dim'!A:F, 6, FALSE)</f>
        <v>Female</v>
      </c>
      <c r="R1109" s="13" t="str">
        <f>_xlfn.XLOOKUP(Sales_fact[[#This Row],[Product_ID]],Product_Dim!A:A,Product_Dim!C:C,"OTHERS")</f>
        <v>Sports</v>
      </c>
    </row>
    <row r="1110" spans="1:18" x14ac:dyDescent="0.3">
      <c r="A1110" t="s">
        <v>2934</v>
      </c>
      <c r="B1110" s="2">
        <v>45448</v>
      </c>
      <c r="C1110" t="s">
        <v>1154</v>
      </c>
      <c r="D1110" t="s">
        <v>1670</v>
      </c>
      <c r="E1110" t="str">
        <f ca="1">TRIM(Sales_fact[[#This Row],[Store_ID]])</f>
        <v>STORE10</v>
      </c>
      <c r="F1110">
        <v>3</v>
      </c>
      <c r="G1110">
        <f>IF(ISBLANK(F1110),MODE($F$2:$F$2001),F1110)</f>
        <v>3</v>
      </c>
      <c r="H1110">
        <v>808.87</v>
      </c>
      <c r="I1110">
        <f>IF(ISBLANK(H1110),AVERAGE($H$2:$H$2001),H1110)</f>
        <v>808.87</v>
      </c>
      <c r="J1110">
        <v>0.12</v>
      </c>
      <c r="K1110">
        <f>IF(ISBLANK(J1110),MODE($J$2:$J$2001),J1110)</f>
        <v>0.12</v>
      </c>
      <c r="L1110" t="s">
        <v>1829</v>
      </c>
      <c r="M1110">
        <v>2135.4168</v>
      </c>
      <c r="N1110">
        <f t="shared" si="17"/>
        <v>2135.4168</v>
      </c>
      <c r="O1110" t="str">
        <f>_xlfn.XLOOKUP(Sales_fact[[#This Row],[Customer_ID]],'Customer_Dim'!A:A,'Customer_Dim'!K:K,"Not Found")</f>
        <v>Platinum</v>
      </c>
      <c r="P1110">
        <f>_xlfn.XLOOKUP(Sales_fact[[#This Row],[Customer_ID]],'Customer_Dim'!A:A, 'Customer_Dim'!E:E, "Not Found")</f>
        <v>20</v>
      </c>
      <c r="Q1110" t="str">
        <f>VLOOKUP(Sales_fact[[#This Row],[Customer_ID]], 'Customer_Dim'!A:F, 6, FALSE)</f>
        <v>Female</v>
      </c>
      <c r="R1110" s="13" t="str">
        <f>_xlfn.XLOOKUP(Sales_fact[[#This Row],[Product_ID]],Product_Dim!A:A,Product_Dim!C:C,"OTHERS")</f>
        <v>Sports</v>
      </c>
    </row>
    <row r="1111" spans="1:18" x14ac:dyDescent="0.3">
      <c r="A1111" t="s">
        <v>2935</v>
      </c>
      <c r="B1111" s="2">
        <v>45387</v>
      </c>
      <c r="C1111" t="s">
        <v>1062</v>
      </c>
      <c r="D1111" t="s">
        <v>1610</v>
      </c>
      <c r="E1111" t="str">
        <f ca="1">TRIM(Sales_fact[[#This Row],[Store_ID]])</f>
        <v>STORE2</v>
      </c>
      <c r="F1111">
        <v>3</v>
      </c>
      <c r="G1111">
        <f>IF(ISBLANK(F1111),MODE($F$2:$F$2001),F1111)</f>
        <v>3</v>
      </c>
      <c r="H1111">
        <v>826.15</v>
      </c>
      <c r="I1111">
        <f>IF(ISBLANK(H1111),AVERAGE($H$2:$H$2001),H1111)</f>
        <v>826.15</v>
      </c>
      <c r="J1111">
        <v>0</v>
      </c>
      <c r="K1111">
        <f>IF(ISBLANK(J1111),MODE($J$2:$J$2001),J1111)</f>
        <v>0</v>
      </c>
      <c r="L1111" t="s">
        <v>1826</v>
      </c>
      <c r="M1111">
        <v>2478.4499999999998</v>
      </c>
      <c r="N1111">
        <f t="shared" si="17"/>
        <v>2478.4499999999998</v>
      </c>
      <c r="O1111" t="str">
        <f>_xlfn.XLOOKUP(Sales_fact[[#This Row],[Customer_ID]],'Customer_Dim'!A:A,'Customer_Dim'!K:K,"Not Found")</f>
        <v>Silver</v>
      </c>
      <c r="P1111">
        <f>_xlfn.XLOOKUP(Sales_fact[[#This Row],[Customer_ID]],'Customer_Dim'!A:A, 'Customer_Dim'!E:E, "Not Found")</f>
        <v>46</v>
      </c>
      <c r="Q1111" t="str">
        <f>VLOOKUP(Sales_fact[[#This Row],[Customer_ID]], 'Customer_Dim'!A:F, 6, FALSE)</f>
        <v>Female</v>
      </c>
      <c r="R1111" s="13" t="str">
        <f>_xlfn.XLOOKUP(Sales_fact[[#This Row],[Product_ID]],Product_Dim!A:A,Product_Dim!C:C,"OTHERS")</f>
        <v>Sports</v>
      </c>
    </row>
    <row r="1112" spans="1:18" x14ac:dyDescent="0.3">
      <c r="A1112" t="s">
        <v>2936</v>
      </c>
      <c r="B1112" s="2">
        <v>45652</v>
      </c>
      <c r="C1112" t="s">
        <v>616</v>
      </c>
      <c r="D1112" t="s">
        <v>1596</v>
      </c>
      <c r="E1112" t="str">
        <f ca="1">TRIM(Sales_fact[[#This Row],[Store_ID]])</f>
        <v>STORE19</v>
      </c>
      <c r="F1112">
        <v>3</v>
      </c>
      <c r="G1112">
        <f>IF(ISBLANK(F1112),MODE($F$2:$F$2001),F1112)</f>
        <v>3</v>
      </c>
      <c r="H1112">
        <v>631.20000000000005</v>
      </c>
      <c r="I1112">
        <f>IF(ISBLANK(H1112),AVERAGE($H$2:$H$2001),H1112)</f>
        <v>631.20000000000005</v>
      </c>
      <c r="J1112">
        <v>0.24</v>
      </c>
      <c r="K1112">
        <f>IF(ISBLANK(J1112),MODE($J$2:$J$2001),J1112)</f>
        <v>0.24</v>
      </c>
      <c r="L1112" t="s">
        <v>1824</v>
      </c>
      <c r="M1112">
        <v>1439.136</v>
      </c>
      <c r="N1112">
        <f t="shared" si="17"/>
        <v>1439.1360000000002</v>
      </c>
      <c r="O1112" t="str">
        <f>_xlfn.XLOOKUP(Sales_fact[[#This Row],[Customer_ID]],'Customer_Dim'!A:A,'Customer_Dim'!K:K,"Not Found")</f>
        <v>Platinum</v>
      </c>
      <c r="P1112">
        <f>_xlfn.XLOOKUP(Sales_fact[[#This Row],[Customer_ID]],'Customer_Dim'!A:A, 'Customer_Dim'!E:E, "Not Found")</f>
        <v>60</v>
      </c>
      <c r="Q1112" t="str">
        <f>VLOOKUP(Sales_fact[[#This Row],[Customer_ID]], 'Customer_Dim'!A:F, 6, FALSE)</f>
        <v>Female</v>
      </c>
      <c r="R1112" s="13" t="str">
        <f>_xlfn.XLOOKUP(Sales_fact[[#This Row],[Product_ID]],Product_Dim!A:A,Product_Dim!C:C,"OTHERS")</f>
        <v>Sports</v>
      </c>
    </row>
    <row r="1113" spans="1:18" x14ac:dyDescent="0.3">
      <c r="A1113" t="s">
        <v>2937</v>
      </c>
      <c r="B1113" s="2">
        <v>45316</v>
      </c>
      <c r="C1113" t="s">
        <v>872</v>
      </c>
      <c r="D1113" t="s">
        <v>1664</v>
      </c>
      <c r="E1113" t="str">
        <f ca="1">TRIM(Sales_fact[[#This Row],[Store_ID]])</f>
        <v>STORE10</v>
      </c>
      <c r="F1113">
        <v>1</v>
      </c>
      <c r="G1113">
        <f>IF(ISBLANK(F1113),MODE($F$2:$F$2001),F1113)</f>
        <v>1</v>
      </c>
      <c r="H1113">
        <v>937.01</v>
      </c>
      <c r="I1113">
        <f>IF(ISBLANK(H1113),AVERAGE($H$2:$H$2001),H1113)</f>
        <v>937.01</v>
      </c>
      <c r="J1113">
        <v>7.0000000000000007E-2</v>
      </c>
      <c r="K1113">
        <f>IF(ISBLANK(J1113),MODE($J$2:$J$2001),J1113)</f>
        <v>7.0000000000000007E-2</v>
      </c>
      <c r="L1113" t="s">
        <v>1824</v>
      </c>
      <c r="M1113">
        <v>871.41929999999991</v>
      </c>
      <c r="N1113">
        <f t="shared" si="17"/>
        <v>871.41929999999991</v>
      </c>
      <c r="O1113" t="str">
        <f>_xlfn.XLOOKUP(Sales_fact[[#This Row],[Customer_ID]],'Customer_Dim'!A:A,'Customer_Dim'!K:K,"Not Found")</f>
        <v>Silver</v>
      </c>
      <c r="P1113">
        <f>_xlfn.XLOOKUP(Sales_fact[[#This Row],[Customer_ID]],'Customer_Dim'!A:A, 'Customer_Dim'!E:E, "Not Found")</f>
        <v>38</v>
      </c>
      <c r="Q1113" t="str">
        <f>VLOOKUP(Sales_fact[[#This Row],[Customer_ID]], 'Customer_Dim'!A:F, 6, FALSE)</f>
        <v>Male</v>
      </c>
      <c r="R1113" s="13" t="str">
        <f>_xlfn.XLOOKUP(Sales_fact[[#This Row],[Product_ID]],Product_Dim!A:A,Product_Dim!C:C,"OTHERS")</f>
        <v>Clothing</v>
      </c>
    </row>
    <row r="1114" spans="1:18" x14ac:dyDescent="0.3">
      <c r="A1114" t="s">
        <v>2938</v>
      </c>
      <c r="B1114" s="2">
        <v>45316</v>
      </c>
      <c r="C1114" t="s">
        <v>508</v>
      </c>
      <c r="D1114" t="s">
        <v>1694</v>
      </c>
      <c r="E1114" t="str">
        <f ca="1">TRIM(Sales_fact[[#This Row],[Store_ID]])</f>
        <v>STORE5</v>
      </c>
      <c r="F1114">
        <v>2</v>
      </c>
      <c r="G1114">
        <f>IF(ISBLANK(F1114),MODE($F$2:$F$2001),F1114)</f>
        <v>2</v>
      </c>
      <c r="H1114">
        <v>644</v>
      </c>
      <c r="I1114">
        <f>IF(ISBLANK(H1114),AVERAGE($H$2:$H$2001),H1114)</f>
        <v>644</v>
      </c>
      <c r="J1114">
        <v>0.04</v>
      </c>
      <c r="K1114">
        <f>IF(ISBLANK(J1114),MODE($J$2:$J$2001),J1114)</f>
        <v>0.04</v>
      </c>
      <c r="L1114" t="s">
        <v>1826</v>
      </c>
      <c r="M1114">
        <v>1236.48</v>
      </c>
      <c r="N1114">
        <f t="shared" si="17"/>
        <v>1236.48</v>
      </c>
      <c r="O1114" t="str">
        <f>_xlfn.XLOOKUP(Sales_fact[[#This Row],[Customer_ID]],'Customer_Dim'!A:A,'Customer_Dim'!K:K,"Not Found")</f>
        <v>Gold</v>
      </c>
      <c r="P1114">
        <f>_xlfn.XLOOKUP(Sales_fact[[#This Row],[Customer_ID]],'Customer_Dim'!A:A, 'Customer_Dim'!E:E, "Not Found")</f>
        <v>25</v>
      </c>
      <c r="Q1114" t="str">
        <f>VLOOKUP(Sales_fact[[#This Row],[Customer_ID]], 'Customer_Dim'!A:F, 6, FALSE)</f>
        <v>Female</v>
      </c>
      <c r="R1114" s="13" t="str">
        <f>_xlfn.XLOOKUP(Sales_fact[[#This Row],[Product_ID]],Product_Dim!A:A,Product_Dim!C:C,"OTHERS")</f>
        <v>Sports</v>
      </c>
    </row>
    <row r="1115" spans="1:18" x14ac:dyDescent="0.3">
      <c r="A1115" t="s">
        <v>2939</v>
      </c>
      <c r="B1115" s="2">
        <v>45888</v>
      </c>
      <c r="C1115" t="s">
        <v>338</v>
      </c>
      <c r="D1115" t="s">
        <v>1730</v>
      </c>
      <c r="E1115" t="str">
        <f ca="1">TRIM(Sales_fact[[#This Row],[Store_ID]])</f>
        <v>STORE5</v>
      </c>
      <c r="F1115">
        <v>3</v>
      </c>
      <c r="G1115">
        <f>IF(ISBLANK(F1115),MODE($F$2:$F$2001),F1115)</f>
        <v>3</v>
      </c>
      <c r="H1115">
        <v>629.58000000000004</v>
      </c>
      <c r="I1115">
        <f>IF(ISBLANK(H1115),AVERAGE($H$2:$H$2001),H1115)</f>
        <v>629.58000000000004</v>
      </c>
      <c r="J1115">
        <v>0.05</v>
      </c>
      <c r="K1115">
        <f>IF(ISBLANK(J1115),MODE($J$2:$J$2001),J1115)</f>
        <v>0.05</v>
      </c>
      <c r="L1115" t="s">
        <v>1824</v>
      </c>
      <c r="M1115">
        <v>1794.3030000000001</v>
      </c>
      <c r="N1115">
        <f t="shared" si="17"/>
        <v>1794.3030000000001</v>
      </c>
      <c r="O1115" t="str">
        <f>_xlfn.XLOOKUP(Sales_fact[[#This Row],[Customer_ID]],'Customer_Dim'!A:A,'Customer_Dim'!K:K,"Not Found")</f>
        <v>Gold</v>
      </c>
      <c r="P1115">
        <f>_xlfn.XLOOKUP(Sales_fact[[#This Row],[Customer_ID]],'Customer_Dim'!A:A, 'Customer_Dim'!E:E, "Not Found")</f>
        <v>43</v>
      </c>
      <c r="Q1115" t="str">
        <f>VLOOKUP(Sales_fact[[#This Row],[Customer_ID]], 'Customer_Dim'!A:F, 6, FALSE)</f>
        <v>Female</v>
      </c>
      <c r="R1115" s="13" t="str">
        <f>_xlfn.XLOOKUP(Sales_fact[[#This Row],[Product_ID]],Product_Dim!A:A,Product_Dim!C:C,"OTHERS")</f>
        <v>Clothing</v>
      </c>
    </row>
    <row r="1116" spans="1:18" x14ac:dyDescent="0.3">
      <c r="A1116" t="s">
        <v>2940</v>
      </c>
      <c r="B1116" s="2">
        <v>45791</v>
      </c>
      <c r="C1116" t="s">
        <v>1437</v>
      </c>
      <c r="D1116" t="s">
        <v>1722</v>
      </c>
      <c r="E1116" t="str">
        <f ca="1">TRIM(Sales_fact[[#This Row],[Store_ID]])</f>
        <v>STORE2</v>
      </c>
      <c r="F1116">
        <v>2</v>
      </c>
      <c r="G1116">
        <f>IF(ISBLANK(F1116),MODE($F$2:$F$2001),F1116)</f>
        <v>2</v>
      </c>
      <c r="H1116">
        <v>121.52</v>
      </c>
      <c r="I1116">
        <f>IF(ISBLANK(H1116),AVERAGE($H$2:$H$2001),H1116)</f>
        <v>121.52</v>
      </c>
      <c r="J1116">
        <v>0.18</v>
      </c>
      <c r="K1116">
        <f>IF(ISBLANK(J1116),MODE($J$2:$J$2001),J1116)</f>
        <v>0.18</v>
      </c>
      <c r="L1116" t="s">
        <v>1829</v>
      </c>
      <c r="M1116">
        <v>199.2928</v>
      </c>
      <c r="N1116">
        <f t="shared" si="17"/>
        <v>199.2928</v>
      </c>
      <c r="O1116" t="str">
        <f>_xlfn.XLOOKUP(Sales_fact[[#This Row],[Customer_ID]],'Customer_Dim'!A:A,'Customer_Dim'!K:K,"Not Found")</f>
        <v>Silver</v>
      </c>
      <c r="P1116">
        <f>_xlfn.XLOOKUP(Sales_fact[[#This Row],[Customer_ID]],'Customer_Dim'!A:A, 'Customer_Dim'!E:E, "Not Found")</f>
        <v>18</v>
      </c>
      <c r="Q1116" t="str">
        <f>VLOOKUP(Sales_fact[[#This Row],[Customer_ID]], 'Customer_Dim'!A:F, 6, FALSE)</f>
        <v>Male</v>
      </c>
      <c r="R1116" s="13" t="str">
        <f>_xlfn.XLOOKUP(Sales_fact[[#This Row],[Product_ID]],Product_Dim!A:A,Product_Dim!C:C,"OTHERS")</f>
        <v>Home</v>
      </c>
    </row>
    <row r="1117" spans="1:18" x14ac:dyDescent="0.3">
      <c r="A1117" t="s">
        <v>2941</v>
      </c>
      <c r="B1117" s="2">
        <v>45420</v>
      </c>
      <c r="C1117" t="s">
        <v>1249</v>
      </c>
      <c r="D1117" t="s">
        <v>1678</v>
      </c>
      <c r="E1117" t="str">
        <f ca="1">TRIM(Sales_fact[[#This Row],[Store_ID]])</f>
        <v>STORE19</v>
      </c>
      <c r="F1117">
        <v>2</v>
      </c>
      <c r="G1117">
        <f>IF(ISBLANK(F1117),MODE($F$2:$F$2001),F1117)</f>
        <v>2</v>
      </c>
      <c r="H1117">
        <v>549.83000000000004</v>
      </c>
      <c r="I1117">
        <f>IF(ISBLANK(H1117),AVERAGE($H$2:$H$2001),H1117)</f>
        <v>549.83000000000004</v>
      </c>
      <c r="J1117">
        <v>7.0000000000000007E-2</v>
      </c>
      <c r="K1117">
        <f>IF(ISBLANK(J1117),MODE($J$2:$J$2001),J1117)</f>
        <v>7.0000000000000007E-2</v>
      </c>
      <c r="L1117" t="s">
        <v>1826</v>
      </c>
      <c r="M1117">
        <v>1022.6838</v>
      </c>
      <c r="N1117">
        <f t="shared" si="17"/>
        <v>1022.6838</v>
      </c>
      <c r="O1117" t="str">
        <f>_xlfn.XLOOKUP(Sales_fact[[#This Row],[Customer_ID]],'Customer_Dim'!A:A,'Customer_Dim'!K:K,"Not Found")</f>
        <v>Platinum</v>
      </c>
      <c r="P1117">
        <f>_xlfn.XLOOKUP(Sales_fact[[#This Row],[Customer_ID]],'Customer_Dim'!A:A, 'Customer_Dim'!E:E, "Not Found")</f>
        <v>51</v>
      </c>
      <c r="Q1117" t="str">
        <f>VLOOKUP(Sales_fact[[#This Row],[Customer_ID]], 'Customer_Dim'!A:F, 6, FALSE)</f>
        <v>Female</v>
      </c>
      <c r="R1117" s="13" t="str">
        <f>_xlfn.XLOOKUP(Sales_fact[[#This Row],[Product_ID]],Product_Dim!A:A,Product_Dim!C:C,"OTHERS")</f>
        <v>Sports</v>
      </c>
    </row>
    <row r="1118" spans="1:18" x14ac:dyDescent="0.3">
      <c r="A1118" t="s">
        <v>2942</v>
      </c>
      <c r="B1118" s="2">
        <v>45219</v>
      </c>
      <c r="C1118" t="s">
        <v>475</v>
      </c>
      <c r="D1118" t="s">
        <v>1574</v>
      </c>
      <c r="E1118" t="str">
        <f ca="1">TRIM(Sales_fact[[#This Row],[Store_ID]])</f>
        <v>STORE8</v>
      </c>
      <c r="F1118">
        <v>3</v>
      </c>
      <c r="G1118">
        <f>IF(ISBLANK(F1118),MODE($F$2:$F$2001),F1118)</f>
        <v>3</v>
      </c>
      <c r="H1118">
        <v>278.38</v>
      </c>
      <c r="I1118">
        <f>IF(ISBLANK(H1118),AVERAGE($H$2:$H$2001),H1118)</f>
        <v>278.38</v>
      </c>
      <c r="J1118">
        <v>0.03</v>
      </c>
      <c r="K1118">
        <f>IF(ISBLANK(J1118),MODE($J$2:$J$2001),J1118)</f>
        <v>0.03</v>
      </c>
      <c r="L1118" t="s">
        <v>1824</v>
      </c>
      <c r="M1118">
        <v>810.08579999999995</v>
      </c>
      <c r="N1118">
        <f t="shared" si="17"/>
        <v>810.08579999999995</v>
      </c>
      <c r="O1118" t="str">
        <f>_xlfn.XLOOKUP(Sales_fact[[#This Row],[Customer_ID]],'Customer_Dim'!A:A,'Customer_Dim'!K:K,"Not Found")</f>
        <v>Gold</v>
      </c>
      <c r="P1118">
        <f>_xlfn.XLOOKUP(Sales_fact[[#This Row],[Customer_ID]],'Customer_Dim'!A:A, 'Customer_Dim'!E:E, "Not Found")</f>
        <v>63</v>
      </c>
      <c r="Q1118" t="str">
        <f>VLOOKUP(Sales_fact[[#This Row],[Customer_ID]], 'Customer_Dim'!A:F, 6, FALSE)</f>
        <v>Female</v>
      </c>
      <c r="R1118" s="13" t="str">
        <f>_xlfn.XLOOKUP(Sales_fact[[#This Row],[Product_ID]],Product_Dim!A:A,Product_Dim!C:C,"OTHERS")</f>
        <v>Electronics</v>
      </c>
    </row>
    <row r="1119" spans="1:18" x14ac:dyDescent="0.3">
      <c r="A1119" t="s">
        <v>2943</v>
      </c>
      <c r="B1119" s="2">
        <v>45510</v>
      </c>
      <c r="C1119" t="s">
        <v>1355</v>
      </c>
      <c r="D1119" t="s">
        <v>1740</v>
      </c>
      <c r="E1119" t="str">
        <f ca="1">TRIM(Sales_fact[[#This Row],[Store_ID]])</f>
        <v>STORE3</v>
      </c>
      <c r="F1119">
        <v>4</v>
      </c>
      <c r="G1119">
        <f>IF(ISBLANK(F1119),MODE($F$2:$F$2001),F1119)</f>
        <v>4</v>
      </c>
      <c r="H1119">
        <v>723.66</v>
      </c>
      <c r="I1119">
        <f>IF(ISBLANK(H1119),AVERAGE($H$2:$H$2001),H1119)</f>
        <v>723.66</v>
      </c>
      <c r="J1119">
        <v>0.03</v>
      </c>
      <c r="K1119">
        <f>IF(ISBLANK(J1119),MODE($J$2:$J$2001),J1119)</f>
        <v>0.03</v>
      </c>
      <c r="L1119" t="s">
        <v>1826</v>
      </c>
      <c r="M1119">
        <v>2807.8008</v>
      </c>
      <c r="N1119">
        <f t="shared" si="17"/>
        <v>2807.8008</v>
      </c>
      <c r="O1119" t="str">
        <f>_xlfn.XLOOKUP(Sales_fact[[#This Row],[Customer_ID]],'Customer_Dim'!A:A,'Customer_Dim'!K:K,"Not Found")</f>
        <v>Platinum</v>
      </c>
      <c r="P1119">
        <f>_xlfn.XLOOKUP(Sales_fact[[#This Row],[Customer_ID]],'Customer_Dim'!A:A, 'Customer_Dim'!E:E, "Not Found")</f>
        <v>47</v>
      </c>
      <c r="Q1119" t="str">
        <f>VLOOKUP(Sales_fact[[#This Row],[Customer_ID]], 'Customer_Dim'!A:F, 6, FALSE)</f>
        <v>Female</v>
      </c>
      <c r="R1119" s="13" t="str">
        <f>_xlfn.XLOOKUP(Sales_fact[[#This Row],[Product_ID]],Product_Dim!A:A,Product_Dim!C:C,"OTHERS")</f>
        <v>Clothing</v>
      </c>
    </row>
    <row r="1120" spans="1:18" x14ac:dyDescent="0.3">
      <c r="A1120" t="s">
        <v>2944</v>
      </c>
      <c r="B1120" s="2">
        <v>45687</v>
      </c>
      <c r="C1120" t="s">
        <v>669</v>
      </c>
      <c r="D1120" t="s">
        <v>1692</v>
      </c>
      <c r="E1120" t="str">
        <f ca="1">TRIM(Sales_fact[[#This Row],[Store_ID]])</f>
        <v>STORE9</v>
      </c>
      <c r="F1120">
        <v>1</v>
      </c>
      <c r="G1120">
        <f>IF(ISBLANK(F1120),MODE($F$2:$F$2001),F1120)</f>
        <v>1</v>
      </c>
      <c r="H1120">
        <v>724.74</v>
      </c>
      <c r="I1120">
        <f>IF(ISBLANK(H1120),AVERAGE($H$2:$H$2001),H1120)</f>
        <v>724.74</v>
      </c>
      <c r="J1120">
        <v>0.15</v>
      </c>
      <c r="K1120">
        <f>IF(ISBLANK(J1120),MODE($J$2:$J$2001),J1120)</f>
        <v>0.15</v>
      </c>
      <c r="L1120" t="s">
        <v>1826</v>
      </c>
      <c r="M1120">
        <v>616.029</v>
      </c>
      <c r="N1120">
        <f t="shared" si="17"/>
        <v>616.029</v>
      </c>
      <c r="O1120" t="str">
        <f>_xlfn.XLOOKUP(Sales_fact[[#This Row],[Customer_ID]],'Customer_Dim'!A:A,'Customer_Dim'!K:K,"Not Found")</f>
        <v>Gold</v>
      </c>
      <c r="P1120">
        <f>_xlfn.XLOOKUP(Sales_fact[[#This Row],[Customer_ID]],'Customer_Dim'!A:A, 'Customer_Dim'!E:E, "Not Found")</f>
        <v>44</v>
      </c>
      <c r="Q1120" t="str">
        <f>VLOOKUP(Sales_fact[[#This Row],[Customer_ID]], 'Customer_Dim'!A:F, 6, FALSE)</f>
        <v>Female</v>
      </c>
      <c r="R1120" s="13" t="str">
        <f>_xlfn.XLOOKUP(Sales_fact[[#This Row],[Product_ID]],Product_Dim!A:A,Product_Dim!C:C,"OTHERS")</f>
        <v>Sports</v>
      </c>
    </row>
    <row r="1121" spans="1:18" x14ac:dyDescent="0.3">
      <c r="A1121" t="s">
        <v>2945</v>
      </c>
      <c r="B1121" s="2">
        <v>45271</v>
      </c>
      <c r="C1121" t="s">
        <v>1405</v>
      </c>
      <c r="D1121" t="s">
        <v>1590</v>
      </c>
      <c r="E1121" t="str">
        <f ca="1">TRIM(Sales_fact[[#This Row],[Store_ID]])</f>
        <v>STORE4</v>
      </c>
      <c r="F1121">
        <v>2</v>
      </c>
      <c r="G1121">
        <f>IF(ISBLANK(F1121),MODE($F$2:$F$2001),F1121)</f>
        <v>2</v>
      </c>
      <c r="H1121">
        <v>961.84</v>
      </c>
      <c r="I1121">
        <f>IF(ISBLANK(H1121),AVERAGE($H$2:$H$2001),H1121)</f>
        <v>961.84</v>
      </c>
      <c r="J1121">
        <v>0.25</v>
      </c>
      <c r="K1121">
        <f>IF(ISBLANK(J1121),MODE($J$2:$J$2001),J1121)</f>
        <v>0.25</v>
      </c>
      <c r="L1121" t="s">
        <v>1826</v>
      </c>
      <c r="M1121">
        <v>1442.76</v>
      </c>
      <c r="N1121">
        <f t="shared" si="17"/>
        <v>1442.76</v>
      </c>
      <c r="O1121" t="str">
        <f>_xlfn.XLOOKUP(Sales_fact[[#This Row],[Customer_ID]],'Customer_Dim'!A:A,'Customer_Dim'!K:K,"Not Found")</f>
        <v>Gold</v>
      </c>
      <c r="P1121">
        <f>_xlfn.XLOOKUP(Sales_fact[[#This Row],[Customer_ID]],'Customer_Dim'!A:A, 'Customer_Dim'!E:E, "Not Found")</f>
        <v>54</v>
      </c>
      <c r="Q1121" t="str">
        <f>VLOOKUP(Sales_fact[[#This Row],[Customer_ID]], 'Customer_Dim'!A:F, 6, FALSE)</f>
        <v>Male</v>
      </c>
      <c r="R1121" s="13" t="str">
        <f>_xlfn.XLOOKUP(Sales_fact[[#This Row],[Product_ID]],Product_Dim!A:A,Product_Dim!C:C,"OTHERS")</f>
        <v>Home</v>
      </c>
    </row>
    <row r="1122" spans="1:18" x14ac:dyDescent="0.3">
      <c r="A1122" t="s">
        <v>2946</v>
      </c>
      <c r="B1122" s="2">
        <v>45446</v>
      </c>
      <c r="C1122" t="s">
        <v>89</v>
      </c>
      <c r="D1122" t="s">
        <v>1622</v>
      </c>
      <c r="E1122" t="str">
        <f ca="1">TRIM(Sales_fact[[#This Row],[Store_ID]])</f>
        <v>STORE16</v>
      </c>
      <c r="F1122">
        <v>4</v>
      </c>
      <c r="G1122">
        <f>IF(ISBLANK(F1122),MODE($F$2:$F$2001),F1122)</f>
        <v>4</v>
      </c>
      <c r="H1122">
        <v>21.12</v>
      </c>
      <c r="I1122">
        <f>IF(ISBLANK(H1122),AVERAGE($H$2:$H$2001),H1122)</f>
        <v>21.12</v>
      </c>
      <c r="J1122">
        <v>0.18</v>
      </c>
      <c r="K1122">
        <f>IF(ISBLANK(J1122),MODE($J$2:$J$2001),J1122)</f>
        <v>0.18</v>
      </c>
      <c r="L1122" t="s">
        <v>1829</v>
      </c>
      <c r="M1122">
        <v>69.273600000000002</v>
      </c>
      <c r="N1122">
        <f t="shared" si="17"/>
        <v>69.273600000000002</v>
      </c>
      <c r="O1122" t="str">
        <f>_xlfn.XLOOKUP(Sales_fact[[#This Row],[Customer_ID]],'Customer_Dim'!A:A,'Customer_Dim'!K:K,"Not Found")</f>
        <v>Silver</v>
      </c>
      <c r="P1122">
        <f>_xlfn.XLOOKUP(Sales_fact[[#This Row],[Customer_ID]],'Customer_Dim'!A:A, 'Customer_Dim'!E:E, "Not Found")</f>
        <v>59</v>
      </c>
      <c r="Q1122" t="str">
        <f>VLOOKUP(Sales_fact[[#This Row],[Customer_ID]], 'Customer_Dim'!A:F, 6, FALSE)</f>
        <v>Male</v>
      </c>
      <c r="R1122" s="13" t="str">
        <f>_xlfn.XLOOKUP(Sales_fact[[#This Row],[Product_ID]],Product_Dim!A:A,Product_Dim!C:C,"OTHERS")</f>
        <v>Clothing</v>
      </c>
    </row>
    <row r="1123" spans="1:18" x14ac:dyDescent="0.3">
      <c r="A1123" t="s">
        <v>2947</v>
      </c>
      <c r="B1123" s="2">
        <v>45579</v>
      </c>
      <c r="C1123" t="s">
        <v>1005</v>
      </c>
      <c r="D1123" t="s">
        <v>1543</v>
      </c>
      <c r="E1123" t="str">
        <f ca="1">TRIM(Sales_fact[[#This Row],[Store_ID]])</f>
        <v>STORE4</v>
      </c>
      <c r="F1123">
        <v>3</v>
      </c>
      <c r="G1123">
        <f>IF(ISBLANK(F1123),MODE($F$2:$F$2001),F1123)</f>
        <v>3</v>
      </c>
      <c r="H1123">
        <v>819.93</v>
      </c>
      <c r="I1123">
        <f>IF(ISBLANK(H1123),AVERAGE($H$2:$H$2001),H1123)</f>
        <v>819.93</v>
      </c>
      <c r="J1123">
        <v>0.08</v>
      </c>
      <c r="K1123">
        <f>IF(ISBLANK(J1123),MODE($J$2:$J$2001),J1123)</f>
        <v>0.08</v>
      </c>
      <c r="L1123" t="s">
        <v>1826</v>
      </c>
      <c r="M1123">
        <v>2263.0068000000001</v>
      </c>
      <c r="N1123">
        <f t="shared" si="17"/>
        <v>2263.0068000000001</v>
      </c>
      <c r="O1123" t="str">
        <f>_xlfn.XLOOKUP(Sales_fact[[#This Row],[Customer_ID]],'Customer_Dim'!A:A,'Customer_Dim'!K:K,"Not Found")</f>
        <v>Platinum</v>
      </c>
      <c r="P1123">
        <f>_xlfn.XLOOKUP(Sales_fact[[#This Row],[Customer_ID]],'Customer_Dim'!A:A, 'Customer_Dim'!E:E, "Not Found")</f>
        <v>54</v>
      </c>
      <c r="Q1123" t="str">
        <f>VLOOKUP(Sales_fact[[#This Row],[Customer_ID]], 'Customer_Dim'!A:F, 6, FALSE)</f>
        <v>Male</v>
      </c>
      <c r="R1123" s="13" t="str">
        <f>_xlfn.XLOOKUP(Sales_fact[[#This Row],[Product_ID]],Product_Dim!A:A,Product_Dim!C:C,"OTHERS")</f>
        <v>Electronics</v>
      </c>
    </row>
    <row r="1124" spans="1:18" x14ac:dyDescent="0.3">
      <c r="A1124" t="s">
        <v>2948</v>
      </c>
      <c r="B1124" s="2">
        <v>45725</v>
      </c>
      <c r="C1124" t="s">
        <v>932</v>
      </c>
      <c r="D1124" t="s">
        <v>1632</v>
      </c>
      <c r="E1124" t="str">
        <f ca="1">TRIM(Sales_fact[[#This Row],[Store_ID]])</f>
        <v>STORE0</v>
      </c>
      <c r="F1124">
        <v>2</v>
      </c>
      <c r="G1124">
        <f>IF(ISBLANK(F1124),MODE($F$2:$F$2001),F1124)</f>
        <v>2</v>
      </c>
      <c r="H1124">
        <v>700.95</v>
      </c>
      <c r="I1124">
        <f>IF(ISBLANK(H1124),AVERAGE($H$2:$H$2001),H1124)</f>
        <v>700.95</v>
      </c>
      <c r="J1124">
        <v>0.18</v>
      </c>
      <c r="K1124">
        <f>IF(ISBLANK(J1124),MODE($J$2:$J$2001),J1124)</f>
        <v>0.18</v>
      </c>
      <c r="L1124" t="s">
        <v>1824</v>
      </c>
      <c r="M1124">
        <v>1149.558</v>
      </c>
      <c r="N1124">
        <f t="shared" si="17"/>
        <v>1149.5580000000002</v>
      </c>
      <c r="O1124" t="str">
        <f>_xlfn.XLOOKUP(Sales_fact[[#This Row],[Customer_ID]],'Customer_Dim'!A:A,'Customer_Dim'!K:K,"Not Found")</f>
        <v>Platinum</v>
      </c>
      <c r="P1124">
        <f>_xlfn.XLOOKUP(Sales_fact[[#This Row],[Customer_ID]],'Customer_Dim'!A:A, 'Customer_Dim'!E:E, "Not Found")</f>
        <v>29</v>
      </c>
      <c r="Q1124" t="str">
        <f>VLOOKUP(Sales_fact[[#This Row],[Customer_ID]], 'Customer_Dim'!A:F, 6, FALSE)</f>
        <v>Male</v>
      </c>
      <c r="R1124" s="13" t="str">
        <f>_xlfn.XLOOKUP(Sales_fact[[#This Row],[Product_ID]],Product_Dim!A:A,Product_Dim!C:C,"OTHERS")</f>
        <v>Electronics</v>
      </c>
    </row>
    <row r="1125" spans="1:18" x14ac:dyDescent="0.3">
      <c r="A1125" t="s">
        <v>2949</v>
      </c>
      <c r="B1125" s="2">
        <v>45910</v>
      </c>
      <c r="C1125" t="s">
        <v>478</v>
      </c>
      <c r="D1125" t="s">
        <v>1582</v>
      </c>
      <c r="E1125" t="str">
        <f ca="1">TRIM(Sales_fact[[#This Row],[Store_ID]])</f>
        <v>STORE14</v>
      </c>
      <c r="F1125">
        <v>2</v>
      </c>
      <c r="G1125">
        <f>IF(ISBLANK(F1125),MODE($F$2:$F$2001),F1125)</f>
        <v>2</v>
      </c>
      <c r="H1125">
        <v>456.38</v>
      </c>
      <c r="I1125">
        <f>IF(ISBLANK(H1125),AVERAGE($H$2:$H$2001),H1125)</f>
        <v>456.38</v>
      </c>
      <c r="J1125">
        <v>0.12</v>
      </c>
      <c r="K1125">
        <f>IF(ISBLANK(J1125),MODE($J$2:$J$2001),J1125)</f>
        <v>0.12</v>
      </c>
      <c r="L1125" t="s">
        <v>1824</v>
      </c>
      <c r="M1125">
        <v>803.22879999999998</v>
      </c>
      <c r="N1125">
        <f t="shared" si="17"/>
        <v>803.22879999999998</v>
      </c>
      <c r="O1125" t="str">
        <f>_xlfn.XLOOKUP(Sales_fact[[#This Row],[Customer_ID]],'Customer_Dim'!A:A,'Customer_Dim'!K:K,"Not Found")</f>
        <v>Bronze</v>
      </c>
      <c r="P1125">
        <f>_xlfn.XLOOKUP(Sales_fact[[#This Row],[Customer_ID]],'Customer_Dim'!A:A, 'Customer_Dim'!E:E, "Not Found")</f>
        <v>30</v>
      </c>
      <c r="Q1125" t="str">
        <f>VLOOKUP(Sales_fact[[#This Row],[Customer_ID]], 'Customer_Dim'!A:F, 6, FALSE)</f>
        <v>Male</v>
      </c>
      <c r="R1125" s="13" t="str">
        <f>_xlfn.XLOOKUP(Sales_fact[[#This Row],[Product_ID]],Product_Dim!A:A,Product_Dim!C:C,"OTHERS")</f>
        <v>Sports</v>
      </c>
    </row>
    <row r="1126" spans="1:18" x14ac:dyDescent="0.3">
      <c r="A1126" t="s">
        <v>2950</v>
      </c>
      <c r="B1126" s="2">
        <v>45447</v>
      </c>
      <c r="C1126" t="s">
        <v>1130</v>
      </c>
      <c r="D1126" t="s">
        <v>1700</v>
      </c>
      <c r="E1126" t="str">
        <f ca="1">TRIM(Sales_fact[[#This Row],[Store_ID]])</f>
        <v>STORE14</v>
      </c>
      <c r="F1126">
        <v>3</v>
      </c>
      <c r="G1126">
        <f>IF(ISBLANK(F1126),MODE($F$2:$F$2001),F1126)</f>
        <v>3</v>
      </c>
      <c r="H1126">
        <v>291.05</v>
      </c>
      <c r="I1126">
        <f>IF(ISBLANK(H1126),AVERAGE($H$2:$H$2001),H1126)</f>
        <v>291.05</v>
      </c>
      <c r="J1126">
        <v>0.3</v>
      </c>
      <c r="K1126">
        <f>IF(ISBLANK(J1126),MODE($J$2:$J$2001),J1126)</f>
        <v>0.3</v>
      </c>
      <c r="L1126" t="s">
        <v>1824</v>
      </c>
      <c r="M1126">
        <v>611.20500000000004</v>
      </c>
      <c r="N1126">
        <f t="shared" si="17"/>
        <v>611.20500000000004</v>
      </c>
      <c r="O1126" t="str">
        <f>_xlfn.XLOOKUP(Sales_fact[[#This Row],[Customer_ID]],'Customer_Dim'!A:A,'Customer_Dim'!K:K,"Not Found")</f>
        <v>Platinum</v>
      </c>
      <c r="P1126">
        <f>_xlfn.XLOOKUP(Sales_fact[[#This Row],[Customer_ID]],'Customer_Dim'!A:A, 'Customer_Dim'!E:E, "Not Found")</f>
        <v>64</v>
      </c>
      <c r="Q1126" t="str">
        <f>VLOOKUP(Sales_fact[[#This Row],[Customer_ID]], 'Customer_Dim'!A:F, 6, FALSE)</f>
        <v>Male</v>
      </c>
      <c r="R1126" s="13" t="str">
        <f>_xlfn.XLOOKUP(Sales_fact[[#This Row],[Product_ID]],Product_Dim!A:A,Product_Dim!C:C,"OTHERS")</f>
        <v>Electronics</v>
      </c>
    </row>
    <row r="1127" spans="1:18" x14ac:dyDescent="0.3">
      <c r="A1127" t="s">
        <v>2951</v>
      </c>
      <c r="B1127" s="2">
        <v>45307</v>
      </c>
      <c r="C1127" t="s">
        <v>749</v>
      </c>
      <c r="D1127" t="s">
        <v>1738</v>
      </c>
      <c r="E1127" t="str">
        <f ca="1">TRIM(Sales_fact[[#This Row],[Store_ID]])</f>
        <v>STORE15</v>
      </c>
      <c r="F1127">
        <v>2</v>
      </c>
      <c r="G1127">
        <f>IF(ISBLANK(F1127),MODE($F$2:$F$2001),F1127)</f>
        <v>2</v>
      </c>
      <c r="H1127">
        <v>463.52</v>
      </c>
      <c r="I1127">
        <f>IF(ISBLANK(H1127),AVERAGE($H$2:$H$2001),H1127)</f>
        <v>463.52</v>
      </c>
      <c r="J1127">
        <v>0.27</v>
      </c>
      <c r="K1127">
        <f>IF(ISBLANK(J1127),MODE($J$2:$J$2001),J1127)</f>
        <v>0.27</v>
      </c>
      <c r="L1127" t="s">
        <v>1826</v>
      </c>
      <c r="M1127">
        <v>676.73919999999998</v>
      </c>
      <c r="N1127">
        <f t="shared" si="17"/>
        <v>676.73919999999998</v>
      </c>
      <c r="O1127" t="str">
        <f>_xlfn.XLOOKUP(Sales_fact[[#This Row],[Customer_ID]],'Customer_Dim'!A:A,'Customer_Dim'!K:K,"Not Found")</f>
        <v>Silver</v>
      </c>
      <c r="P1127">
        <f>_xlfn.XLOOKUP(Sales_fact[[#This Row],[Customer_ID]],'Customer_Dim'!A:A, 'Customer_Dim'!E:E, "Not Found")</f>
        <v>59</v>
      </c>
      <c r="Q1127" t="str">
        <f>VLOOKUP(Sales_fact[[#This Row],[Customer_ID]], 'Customer_Dim'!A:F, 6, FALSE)</f>
        <v>Male</v>
      </c>
      <c r="R1127" s="13" t="str">
        <f>_xlfn.XLOOKUP(Sales_fact[[#This Row],[Product_ID]],Product_Dim!A:A,Product_Dim!C:C,"OTHERS")</f>
        <v>Sports</v>
      </c>
    </row>
    <row r="1128" spans="1:18" x14ac:dyDescent="0.3">
      <c r="A1128" t="s">
        <v>2952</v>
      </c>
      <c r="B1128" s="2">
        <v>45653</v>
      </c>
      <c r="C1128" t="s">
        <v>1184</v>
      </c>
      <c r="D1128" t="s">
        <v>1543</v>
      </c>
      <c r="E1128" t="str">
        <f ca="1">TRIM(Sales_fact[[#This Row],[Store_ID]])</f>
        <v>STORE17</v>
      </c>
      <c r="F1128">
        <v>3</v>
      </c>
      <c r="G1128">
        <f>IF(ISBLANK(F1128),MODE($F$2:$F$2001),F1128)</f>
        <v>3</v>
      </c>
      <c r="H1128">
        <v>241.64</v>
      </c>
      <c r="I1128">
        <f>IF(ISBLANK(H1128),AVERAGE($H$2:$H$2001),H1128)</f>
        <v>241.64</v>
      </c>
      <c r="J1128">
        <v>0.28999999999999998</v>
      </c>
      <c r="K1128">
        <f>IF(ISBLANK(J1128),MODE($J$2:$J$2001),J1128)</f>
        <v>0.28999999999999998</v>
      </c>
      <c r="L1128" t="s">
        <v>1826</v>
      </c>
      <c r="M1128">
        <v>514.69319999999993</v>
      </c>
      <c r="N1128">
        <f t="shared" si="17"/>
        <v>514.69319999999993</v>
      </c>
      <c r="O1128" t="str">
        <f>_xlfn.XLOOKUP(Sales_fact[[#This Row],[Customer_ID]],'Customer_Dim'!A:A,'Customer_Dim'!K:K,"Not Found")</f>
        <v>Gold</v>
      </c>
      <c r="P1128">
        <f>_xlfn.XLOOKUP(Sales_fact[[#This Row],[Customer_ID]],'Customer_Dim'!A:A, 'Customer_Dim'!E:E, "Not Found")</f>
        <v>34</v>
      </c>
      <c r="Q1128" t="str">
        <f>VLOOKUP(Sales_fact[[#This Row],[Customer_ID]], 'Customer_Dim'!A:F, 6, FALSE)</f>
        <v>Female</v>
      </c>
      <c r="R1128" s="13" t="str">
        <f>_xlfn.XLOOKUP(Sales_fact[[#This Row],[Product_ID]],Product_Dim!A:A,Product_Dim!C:C,"OTHERS")</f>
        <v>Electronics</v>
      </c>
    </row>
    <row r="1129" spans="1:18" x14ac:dyDescent="0.3">
      <c r="A1129" t="s">
        <v>2953</v>
      </c>
      <c r="B1129" s="2">
        <v>45817</v>
      </c>
      <c r="C1129" t="s">
        <v>1487</v>
      </c>
      <c r="D1129" t="s">
        <v>1608</v>
      </c>
      <c r="E1129" t="str">
        <f ca="1">TRIM(Sales_fact[[#This Row],[Store_ID]])</f>
        <v>STORE10</v>
      </c>
      <c r="F1129">
        <v>2</v>
      </c>
      <c r="G1129">
        <f>IF(ISBLANK(F1129),MODE($F$2:$F$2001),F1129)</f>
        <v>2</v>
      </c>
      <c r="H1129">
        <v>47.86</v>
      </c>
      <c r="I1129">
        <f>IF(ISBLANK(H1129),AVERAGE($H$2:$H$2001),H1129)</f>
        <v>47.86</v>
      </c>
      <c r="J1129">
        <v>0.03</v>
      </c>
      <c r="K1129">
        <f>IF(ISBLANK(J1129),MODE($J$2:$J$2001),J1129)</f>
        <v>0.03</v>
      </c>
      <c r="L1129" t="s">
        <v>1826</v>
      </c>
      <c r="M1129">
        <v>92.848399999999998</v>
      </c>
      <c r="N1129">
        <f t="shared" si="17"/>
        <v>92.848399999999998</v>
      </c>
      <c r="O1129" t="str">
        <f>_xlfn.XLOOKUP(Sales_fact[[#This Row],[Customer_ID]],'Customer_Dim'!A:A,'Customer_Dim'!K:K,"Not Found")</f>
        <v>Gold</v>
      </c>
      <c r="P1129">
        <f>_xlfn.XLOOKUP(Sales_fact[[#This Row],[Customer_ID]],'Customer_Dim'!A:A, 'Customer_Dim'!E:E, "Not Found")</f>
        <v>48</v>
      </c>
      <c r="Q1129" t="str">
        <f>VLOOKUP(Sales_fact[[#This Row],[Customer_ID]], 'Customer_Dim'!A:F, 6, FALSE)</f>
        <v>Male</v>
      </c>
      <c r="R1129" s="13" t="str">
        <f>_xlfn.XLOOKUP(Sales_fact[[#This Row],[Product_ID]],Product_Dim!A:A,Product_Dim!C:C,"OTHERS")</f>
        <v>Home</v>
      </c>
    </row>
    <row r="1130" spans="1:18" x14ac:dyDescent="0.3">
      <c r="A1130" t="s">
        <v>2954</v>
      </c>
      <c r="B1130" s="2">
        <v>45509</v>
      </c>
      <c r="C1130" t="s">
        <v>1080</v>
      </c>
      <c r="D1130" t="s">
        <v>1732</v>
      </c>
      <c r="E1130" t="str">
        <f ca="1">TRIM(Sales_fact[[#This Row],[Store_ID]])</f>
        <v>STORE3</v>
      </c>
      <c r="F1130">
        <v>1</v>
      </c>
      <c r="G1130">
        <f>IF(ISBLANK(F1130),MODE($F$2:$F$2001),F1130)</f>
        <v>1</v>
      </c>
      <c r="H1130">
        <v>805.07</v>
      </c>
      <c r="I1130">
        <f>IF(ISBLANK(H1130),AVERAGE($H$2:$H$2001),H1130)</f>
        <v>805.07</v>
      </c>
      <c r="J1130">
        <v>0.06</v>
      </c>
      <c r="K1130">
        <f>IF(ISBLANK(J1130),MODE($J$2:$J$2001),J1130)</f>
        <v>0.06</v>
      </c>
      <c r="L1130" t="s">
        <v>1829</v>
      </c>
      <c r="M1130">
        <v>756.76580000000001</v>
      </c>
      <c r="N1130">
        <f t="shared" si="17"/>
        <v>756.76580000000001</v>
      </c>
      <c r="O1130" t="str">
        <f>_xlfn.XLOOKUP(Sales_fact[[#This Row],[Customer_ID]],'Customer_Dim'!A:A,'Customer_Dim'!K:K,"Not Found")</f>
        <v>Gold</v>
      </c>
      <c r="P1130">
        <f>_xlfn.XLOOKUP(Sales_fact[[#This Row],[Customer_ID]],'Customer_Dim'!A:A, 'Customer_Dim'!E:E, "Not Found")</f>
        <v>39</v>
      </c>
      <c r="Q1130" t="str">
        <f>VLOOKUP(Sales_fact[[#This Row],[Customer_ID]], 'Customer_Dim'!A:F, 6, FALSE)</f>
        <v>Male</v>
      </c>
      <c r="R1130" s="13" t="str">
        <f>_xlfn.XLOOKUP(Sales_fact[[#This Row],[Product_ID]],Product_Dim!A:A,Product_Dim!C:C,"OTHERS")</f>
        <v>Home</v>
      </c>
    </row>
    <row r="1131" spans="1:18" x14ac:dyDescent="0.3">
      <c r="A1131" t="s">
        <v>2955</v>
      </c>
      <c r="B1131" s="2">
        <v>45753</v>
      </c>
      <c r="C1131" t="s">
        <v>1166</v>
      </c>
      <c r="D1131" t="s">
        <v>1616</v>
      </c>
      <c r="E1131" t="str">
        <f ca="1">TRIM(Sales_fact[[#This Row],[Store_ID]])</f>
        <v>STORE1</v>
      </c>
      <c r="F1131">
        <v>3</v>
      </c>
      <c r="G1131">
        <f>IF(ISBLANK(F1131),MODE($F$2:$F$2001),F1131)</f>
        <v>3</v>
      </c>
      <c r="H1131">
        <v>848.48</v>
      </c>
      <c r="I1131">
        <f>IF(ISBLANK(H1131),AVERAGE($H$2:$H$2001),H1131)</f>
        <v>848.48</v>
      </c>
      <c r="J1131">
        <v>0</v>
      </c>
      <c r="K1131">
        <f>IF(ISBLANK(J1131),MODE($J$2:$J$2001),J1131)</f>
        <v>0</v>
      </c>
      <c r="L1131" t="s">
        <v>1829</v>
      </c>
      <c r="M1131">
        <v>2545.44</v>
      </c>
      <c r="N1131">
        <f t="shared" si="17"/>
        <v>2545.44</v>
      </c>
      <c r="O1131" t="str">
        <f>_xlfn.XLOOKUP(Sales_fact[[#This Row],[Customer_ID]],'Customer_Dim'!A:A,'Customer_Dim'!K:K,"Not Found")</f>
        <v>Gold</v>
      </c>
      <c r="P1131">
        <f>_xlfn.XLOOKUP(Sales_fact[[#This Row],[Customer_ID]],'Customer_Dim'!A:A, 'Customer_Dim'!E:E, "Not Found")</f>
        <v>37</v>
      </c>
      <c r="Q1131" t="str">
        <f>VLOOKUP(Sales_fact[[#This Row],[Customer_ID]], 'Customer_Dim'!A:F, 6, FALSE)</f>
        <v>Female</v>
      </c>
      <c r="R1131" s="13" t="str">
        <f>_xlfn.XLOOKUP(Sales_fact[[#This Row],[Product_ID]],Product_Dim!A:A,Product_Dim!C:C,"OTHERS")</f>
        <v>Electronics</v>
      </c>
    </row>
    <row r="1132" spans="1:18" x14ac:dyDescent="0.3">
      <c r="A1132" t="s">
        <v>2956</v>
      </c>
      <c r="B1132" s="2">
        <v>45512</v>
      </c>
      <c r="C1132" t="s">
        <v>782</v>
      </c>
      <c r="D1132" t="s">
        <v>1654</v>
      </c>
      <c r="E1132" t="str">
        <f ca="1">TRIM(Sales_fact[[#This Row],[Store_ID]])</f>
        <v>STORE8</v>
      </c>
      <c r="F1132">
        <v>2</v>
      </c>
      <c r="G1132">
        <f>IF(ISBLANK(F1132),MODE($F$2:$F$2001),F1132)</f>
        <v>2</v>
      </c>
      <c r="H1132">
        <v>568.95000000000005</v>
      </c>
      <c r="I1132">
        <f>IF(ISBLANK(H1132),AVERAGE($H$2:$H$2001),H1132)</f>
        <v>568.95000000000005</v>
      </c>
      <c r="J1132">
        <v>0.22</v>
      </c>
      <c r="K1132">
        <f>IF(ISBLANK(J1132),MODE($J$2:$J$2001),J1132)</f>
        <v>0.22</v>
      </c>
      <c r="L1132" t="s">
        <v>1824</v>
      </c>
      <c r="M1132">
        <v>887.56200000000013</v>
      </c>
      <c r="N1132">
        <f t="shared" si="17"/>
        <v>887.56200000000013</v>
      </c>
      <c r="O1132" t="str">
        <f>_xlfn.XLOOKUP(Sales_fact[[#This Row],[Customer_ID]],'Customer_Dim'!A:A,'Customer_Dim'!K:K,"Not Found")</f>
        <v>Bronze</v>
      </c>
      <c r="P1132">
        <f>_xlfn.XLOOKUP(Sales_fact[[#This Row],[Customer_ID]],'Customer_Dim'!A:A, 'Customer_Dim'!E:E, "Not Found")</f>
        <v>19</v>
      </c>
      <c r="Q1132" t="str">
        <f>VLOOKUP(Sales_fact[[#This Row],[Customer_ID]], 'Customer_Dim'!A:F, 6, FALSE)</f>
        <v>Male</v>
      </c>
      <c r="R1132" s="13" t="str">
        <f>_xlfn.XLOOKUP(Sales_fact[[#This Row],[Product_ID]],Product_Dim!A:A,Product_Dim!C:C,"OTHERS")</f>
        <v>Clothing</v>
      </c>
    </row>
    <row r="1133" spans="1:18" x14ac:dyDescent="0.3">
      <c r="A1133" t="s">
        <v>2957</v>
      </c>
      <c r="B1133" s="2">
        <v>45764</v>
      </c>
      <c r="C1133" t="s">
        <v>541</v>
      </c>
      <c r="D1133" t="s">
        <v>1654</v>
      </c>
      <c r="E1133" t="str">
        <f ca="1">TRIM(Sales_fact[[#This Row],[Store_ID]])</f>
        <v>STORE11</v>
      </c>
      <c r="F1133">
        <v>3</v>
      </c>
      <c r="G1133">
        <f>IF(ISBLANK(F1133),MODE($F$2:$F$2001),F1133)</f>
        <v>3</v>
      </c>
      <c r="H1133">
        <v>269.83999999999997</v>
      </c>
      <c r="I1133">
        <f>IF(ISBLANK(H1133),AVERAGE($H$2:$H$2001),H1133)</f>
        <v>269.83999999999997</v>
      </c>
      <c r="J1133">
        <v>0.05</v>
      </c>
      <c r="K1133">
        <f>IF(ISBLANK(J1133),MODE($J$2:$J$2001),J1133)</f>
        <v>0.05</v>
      </c>
      <c r="L1133" t="s">
        <v>1826</v>
      </c>
      <c r="M1133">
        <v>769.04399999999998</v>
      </c>
      <c r="N1133">
        <f t="shared" si="17"/>
        <v>769.04399999999998</v>
      </c>
      <c r="O1133" t="str">
        <f>_xlfn.XLOOKUP(Sales_fact[[#This Row],[Customer_ID]],'Customer_Dim'!A:A,'Customer_Dim'!K:K,"Not Found")</f>
        <v>Silver</v>
      </c>
      <c r="P1133">
        <f>_xlfn.XLOOKUP(Sales_fact[[#This Row],[Customer_ID]],'Customer_Dim'!A:A, 'Customer_Dim'!E:E, "Not Found")</f>
        <v>37</v>
      </c>
      <c r="Q1133" t="str">
        <f>VLOOKUP(Sales_fact[[#This Row],[Customer_ID]], 'Customer_Dim'!A:F, 6, FALSE)</f>
        <v>Male</v>
      </c>
      <c r="R1133" s="13" t="str">
        <f>_xlfn.XLOOKUP(Sales_fact[[#This Row],[Product_ID]],Product_Dim!A:A,Product_Dim!C:C,"OTHERS")</f>
        <v>Clothing</v>
      </c>
    </row>
    <row r="1134" spans="1:18" x14ac:dyDescent="0.3">
      <c r="A1134" t="s">
        <v>2958</v>
      </c>
      <c r="B1134" s="2">
        <v>45746</v>
      </c>
      <c r="C1134" t="s">
        <v>975</v>
      </c>
      <c r="D1134" t="s">
        <v>1672</v>
      </c>
      <c r="E1134" t="str">
        <f ca="1">TRIM(Sales_fact[[#This Row],[Store_ID]])</f>
        <v>STORE13</v>
      </c>
      <c r="F1134">
        <v>4</v>
      </c>
      <c r="G1134">
        <f>IF(ISBLANK(F1134),MODE($F$2:$F$2001),F1134)</f>
        <v>4</v>
      </c>
      <c r="H1134">
        <v>267.36</v>
      </c>
      <c r="I1134">
        <f>IF(ISBLANK(H1134),AVERAGE($H$2:$H$2001),H1134)</f>
        <v>267.36</v>
      </c>
      <c r="J1134">
        <v>0.27</v>
      </c>
      <c r="K1134">
        <f>IF(ISBLANK(J1134),MODE($J$2:$J$2001),J1134)</f>
        <v>0.27</v>
      </c>
      <c r="L1134" t="s">
        <v>1826</v>
      </c>
      <c r="M1134">
        <v>780.69119999999998</v>
      </c>
      <c r="N1134">
        <f t="shared" si="17"/>
        <v>780.69119999999998</v>
      </c>
      <c r="O1134" t="str">
        <f>_xlfn.XLOOKUP(Sales_fact[[#This Row],[Customer_ID]],'Customer_Dim'!A:A,'Customer_Dim'!K:K,"Not Found")</f>
        <v>Bronze</v>
      </c>
      <c r="P1134">
        <f>_xlfn.XLOOKUP(Sales_fact[[#This Row],[Customer_ID]],'Customer_Dim'!A:A, 'Customer_Dim'!E:E, "Not Found")</f>
        <v>41</v>
      </c>
      <c r="Q1134" t="str">
        <f>VLOOKUP(Sales_fact[[#This Row],[Customer_ID]], 'Customer_Dim'!A:F, 6, FALSE)</f>
        <v>Female</v>
      </c>
      <c r="R1134" s="13" t="str">
        <f>_xlfn.XLOOKUP(Sales_fact[[#This Row],[Product_ID]],Product_Dim!A:A,Product_Dim!C:C,"OTHERS")</f>
        <v>Electronics</v>
      </c>
    </row>
    <row r="1135" spans="1:18" x14ac:dyDescent="0.3">
      <c r="A1135" t="s">
        <v>2959</v>
      </c>
      <c r="B1135" s="2">
        <v>45647</v>
      </c>
      <c r="C1135" t="s">
        <v>399</v>
      </c>
      <c r="D1135" t="s">
        <v>1622</v>
      </c>
      <c r="E1135" t="str">
        <f ca="1">TRIM(Sales_fact[[#This Row],[Store_ID]])</f>
        <v>STORE1</v>
      </c>
      <c r="F1135">
        <v>1</v>
      </c>
      <c r="G1135">
        <f>IF(ISBLANK(F1135),MODE($F$2:$F$2001),F1135)</f>
        <v>1</v>
      </c>
      <c r="H1135">
        <v>438.41</v>
      </c>
      <c r="I1135">
        <f>IF(ISBLANK(H1135),AVERAGE($H$2:$H$2001),H1135)</f>
        <v>438.41</v>
      </c>
      <c r="J1135">
        <v>0.09</v>
      </c>
      <c r="K1135">
        <f>IF(ISBLANK(J1135),MODE($J$2:$J$2001),J1135)</f>
        <v>0.09</v>
      </c>
      <c r="L1135" t="s">
        <v>1824</v>
      </c>
      <c r="M1135">
        <v>398.95310000000012</v>
      </c>
      <c r="N1135">
        <f t="shared" si="17"/>
        <v>398.95310000000006</v>
      </c>
      <c r="O1135" t="str">
        <f>_xlfn.XLOOKUP(Sales_fact[[#This Row],[Customer_ID]],'Customer_Dim'!A:A,'Customer_Dim'!K:K,"Not Found")</f>
        <v>Bronze</v>
      </c>
      <c r="P1135">
        <f>_xlfn.XLOOKUP(Sales_fact[[#This Row],[Customer_ID]],'Customer_Dim'!A:A, 'Customer_Dim'!E:E, "Not Found")</f>
        <v>30</v>
      </c>
      <c r="Q1135" t="str">
        <f>VLOOKUP(Sales_fact[[#This Row],[Customer_ID]], 'Customer_Dim'!A:F, 6, FALSE)</f>
        <v>Male</v>
      </c>
      <c r="R1135" s="13" t="str">
        <f>_xlfn.XLOOKUP(Sales_fact[[#This Row],[Product_ID]],Product_Dim!A:A,Product_Dim!C:C,"OTHERS")</f>
        <v>Clothing</v>
      </c>
    </row>
    <row r="1136" spans="1:18" x14ac:dyDescent="0.3">
      <c r="A1136" t="s">
        <v>2960</v>
      </c>
      <c r="B1136" s="2">
        <v>45443</v>
      </c>
      <c r="C1136" t="s">
        <v>547</v>
      </c>
      <c r="D1136" t="s">
        <v>1650</v>
      </c>
      <c r="E1136" t="str">
        <f ca="1">TRIM(Sales_fact[[#This Row],[Store_ID]])</f>
        <v>STORE18</v>
      </c>
      <c r="F1136">
        <v>2</v>
      </c>
      <c r="G1136">
        <f>IF(ISBLANK(F1136),MODE($F$2:$F$2001),F1136)</f>
        <v>2</v>
      </c>
      <c r="H1136">
        <v>86.72</v>
      </c>
      <c r="I1136">
        <f>IF(ISBLANK(H1136),AVERAGE($H$2:$H$2001),H1136)</f>
        <v>86.72</v>
      </c>
      <c r="J1136">
        <v>0.28000000000000003</v>
      </c>
      <c r="K1136">
        <f>IF(ISBLANK(J1136),MODE($J$2:$J$2001),J1136)</f>
        <v>0.28000000000000003</v>
      </c>
      <c r="L1136" t="s">
        <v>1829</v>
      </c>
      <c r="M1136">
        <v>124.8768</v>
      </c>
      <c r="N1136">
        <f t="shared" si="17"/>
        <v>124.87679999999999</v>
      </c>
      <c r="O1136" t="str">
        <f>_xlfn.XLOOKUP(Sales_fact[[#This Row],[Customer_ID]],'Customer_Dim'!A:A,'Customer_Dim'!K:K,"Not Found")</f>
        <v>Silver</v>
      </c>
      <c r="P1136">
        <f>_xlfn.XLOOKUP(Sales_fact[[#This Row],[Customer_ID]],'Customer_Dim'!A:A, 'Customer_Dim'!E:E, "Not Found")</f>
        <v>39</v>
      </c>
      <c r="Q1136" t="str">
        <f>VLOOKUP(Sales_fact[[#This Row],[Customer_ID]], 'Customer_Dim'!A:F, 6, FALSE)</f>
        <v>Female</v>
      </c>
      <c r="R1136" s="13" t="str">
        <f>_xlfn.XLOOKUP(Sales_fact[[#This Row],[Product_ID]],Product_Dim!A:A,Product_Dim!C:C,"OTHERS")</f>
        <v>Electronics</v>
      </c>
    </row>
    <row r="1137" spans="1:18" x14ac:dyDescent="0.3">
      <c r="A1137" t="s">
        <v>2961</v>
      </c>
      <c r="B1137" s="2">
        <v>45722</v>
      </c>
      <c r="C1137" t="s">
        <v>1319</v>
      </c>
      <c r="D1137" t="s">
        <v>1726</v>
      </c>
      <c r="E1137" t="str">
        <f ca="1">TRIM(Sales_fact[[#This Row],[Store_ID]])</f>
        <v>STORE6</v>
      </c>
      <c r="F1137">
        <v>4</v>
      </c>
      <c r="G1137">
        <f>IF(ISBLANK(F1137),MODE($F$2:$F$2001),F1137)</f>
        <v>4</v>
      </c>
      <c r="H1137">
        <v>630.21</v>
      </c>
      <c r="I1137">
        <f>IF(ISBLANK(H1137),AVERAGE($H$2:$H$2001),H1137)</f>
        <v>630.21</v>
      </c>
      <c r="J1137">
        <v>0.14000000000000001</v>
      </c>
      <c r="K1137">
        <f>IF(ISBLANK(J1137),MODE($J$2:$J$2001),J1137)</f>
        <v>0.14000000000000001</v>
      </c>
      <c r="L1137" t="s">
        <v>1829</v>
      </c>
      <c r="M1137">
        <v>2167.9223999999999</v>
      </c>
      <c r="N1137">
        <f t="shared" si="17"/>
        <v>2167.9223999999999</v>
      </c>
      <c r="O1137" t="str">
        <f>_xlfn.XLOOKUP(Sales_fact[[#This Row],[Customer_ID]],'Customer_Dim'!A:A,'Customer_Dim'!K:K,"Not Found")</f>
        <v>Bronze</v>
      </c>
      <c r="P1137">
        <f>_xlfn.XLOOKUP(Sales_fact[[#This Row],[Customer_ID]],'Customer_Dim'!A:A, 'Customer_Dim'!E:E, "Not Found")</f>
        <v>40</v>
      </c>
      <c r="Q1137" t="str">
        <f>VLOOKUP(Sales_fact[[#This Row],[Customer_ID]], 'Customer_Dim'!A:F, 6, FALSE)</f>
        <v>Male</v>
      </c>
      <c r="R1137" s="13" t="str">
        <f>_xlfn.XLOOKUP(Sales_fact[[#This Row],[Product_ID]],Product_Dim!A:A,Product_Dim!C:C,"OTHERS")</f>
        <v>Beauty</v>
      </c>
    </row>
    <row r="1138" spans="1:18" x14ac:dyDescent="0.3">
      <c r="A1138" t="s">
        <v>2962</v>
      </c>
      <c r="B1138" s="2">
        <v>45575</v>
      </c>
      <c r="C1138" t="s">
        <v>1124</v>
      </c>
      <c r="D1138" t="s">
        <v>1666</v>
      </c>
      <c r="E1138" t="str">
        <f ca="1">TRIM(Sales_fact[[#This Row],[Store_ID]])</f>
        <v>STORE6</v>
      </c>
      <c r="F1138">
        <v>3</v>
      </c>
      <c r="G1138">
        <f>IF(ISBLANK(F1138),MODE($F$2:$F$2001),F1138)</f>
        <v>3</v>
      </c>
      <c r="H1138">
        <v>180.84</v>
      </c>
      <c r="I1138">
        <f>IF(ISBLANK(H1138),AVERAGE($H$2:$H$2001),H1138)</f>
        <v>180.84</v>
      </c>
      <c r="J1138">
        <v>0.03</v>
      </c>
      <c r="K1138">
        <f>IF(ISBLANK(J1138),MODE($J$2:$J$2001),J1138)</f>
        <v>0.03</v>
      </c>
      <c r="L1138" t="s">
        <v>1826</v>
      </c>
      <c r="M1138">
        <v>526.24439999999993</v>
      </c>
      <c r="N1138">
        <f t="shared" si="17"/>
        <v>526.24439999999993</v>
      </c>
      <c r="O1138" t="str">
        <f>_xlfn.XLOOKUP(Sales_fact[[#This Row],[Customer_ID]],'Customer_Dim'!A:A,'Customer_Dim'!K:K,"Not Found")</f>
        <v>Silver</v>
      </c>
      <c r="P1138">
        <f>_xlfn.XLOOKUP(Sales_fact[[#This Row],[Customer_ID]],'Customer_Dim'!A:A, 'Customer_Dim'!E:E, "Not Found")</f>
        <v>32</v>
      </c>
      <c r="Q1138" t="str">
        <f>VLOOKUP(Sales_fact[[#This Row],[Customer_ID]], 'Customer_Dim'!A:F, 6, FALSE)</f>
        <v>Male</v>
      </c>
      <c r="R1138" s="13" t="str">
        <f>_xlfn.XLOOKUP(Sales_fact[[#This Row],[Product_ID]],Product_Dim!A:A,Product_Dim!C:C,"OTHERS")</f>
        <v>Beauty</v>
      </c>
    </row>
    <row r="1139" spans="1:18" x14ac:dyDescent="0.3">
      <c r="A1139" t="s">
        <v>2963</v>
      </c>
      <c r="B1139" s="2">
        <v>45441</v>
      </c>
      <c r="C1139" t="s">
        <v>27</v>
      </c>
      <c r="D1139" t="s">
        <v>1676</v>
      </c>
      <c r="E1139" t="str">
        <f ca="1">TRIM(Sales_fact[[#This Row],[Store_ID]])</f>
        <v>STORE16</v>
      </c>
      <c r="F1139">
        <v>1</v>
      </c>
      <c r="G1139">
        <f>IF(ISBLANK(F1139),MODE($F$2:$F$2001),F1139)</f>
        <v>1</v>
      </c>
      <c r="H1139">
        <v>453.41</v>
      </c>
      <c r="I1139">
        <f>IF(ISBLANK(H1139),AVERAGE($H$2:$H$2001),H1139)</f>
        <v>453.41</v>
      </c>
      <c r="J1139">
        <v>0.04</v>
      </c>
      <c r="K1139">
        <f>IF(ISBLANK(J1139),MODE($J$2:$J$2001),J1139)</f>
        <v>0.04</v>
      </c>
      <c r="L1139" t="s">
        <v>1829</v>
      </c>
      <c r="M1139">
        <v>435.27359999999999</v>
      </c>
      <c r="N1139">
        <f t="shared" si="17"/>
        <v>435.27359999999999</v>
      </c>
      <c r="O1139" t="str">
        <f>_xlfn.XLOOKUP(Sales_fact[[#This Row],[Customer_ID]],'Customer_Dim'!A:A,'Customer_Dim'!K:K,"Not Found")</f>
        <v>Silver</v>
      </c>
      <c r="P1139">
        <f>_xlfn.XLOOKUP(Sales_fact[[#This Row],[Customer_ID]],'Customer_Dim'!A:A, 'Customer_Dim'!E:E, "Not Found")</f>
        <v>64</v>
      </c>
      <c r="Q1139" t="str">
        <f>VLOOKUP(Sales_fact[[#This Row],[Customer_ID]], 'Customer_Dim'!A:F, 6, FALSE)</f>
        <v>Female</v>
      </c>
      <c r="R1139" s="13" t="str">
        <f>_xlfn.XLOOKUP(Sales_fact[[#This Row],[Product_ID]],Product_Dim!A:A,Product_Dim!C:C,"OTHERS")</f>
        <v>Beauty</v>
      </c>
    </row>
    <row r="1140" spans="1:18" x14ac:dyDescent="0.3">
      <c r="A1140" t="s">
        <v>2964</v>
      </c>
      <c r="B1140" s="2">
        <v>45940</v>
      </c>
      <c r="C1140" t="s">
        <v>103</v>
      </c>
      <c r="D1140" t="s">
        <v>1650</v>
      </c>
      <c r="E1140" t="str">
        <f ca="1">TRIM(Sales_fact[[#This Row],[Store_ID]])</f>
        <v>STORE6</v>
      </c>
      <c r="F1140">
        <v>1</v>
      </c>
      <c r="G1140">
        <f>IF(ISBLANK(F1140),MODE($F$2:$F$2001),F1140)</f>
        <v>1</v>
      </c>
      <c r="H1140">
        <v>629.09</v>
      </c>
      <c r="I1140">
        <f>IF(ISBLANK(H1140),AVERAGE($H$2:$H$2001),H1140)</f>
        <v>629.09</v>
      </c>
      <c r="J1140">
        <v>0.02</v>
      </c>
      <c r="K1140">
        <f>IF(ISBLANK(J1140),MODE($J$2:$J$2001),J1140)</f>
        <v>0.02</v>
      </c>
      <c r="L1140" t="s">
        <v>1824</v>
      </c>
      <c r="M1140">
        <v>616.50819999999999</v>
      </c>
      <c r="N1140">
        <f t="shared" si="17"/>
        <v>616.50819999999999</v>
      </c>
      <c r="O1140" t="str">
        <f>_xlfn.XLOOKUP(Sales_fact[[#This Row],[Customer_ID]],'Customer_Dim'!A:A,'Customer_Dim'!K:K,"Not Found")</f>
        <v>Platinum</v>
      </c>
      <c r="P1140">
        <f>_xlfn.XLOOKUP(Sales_fact[[#This Row],[Customer_ID]],'Customer_Dim'!A:A, 'Customer_Dim'!E:E, "Not Found")</f>
        <v>40</v>
      </c>
      <c r="Q1140" t="str">
        <f>VLOOKUP(Sales_fact[[#This Row],[Customer_ID]], 'Customer_Dim'!A:F, 6, FALSE)</f>
        <v>Male</v>
      </c>
      <c r="R1140" s="13" t="str">
        <f>_xlfn.XLOOKUP(Sales_fact[[#This Row],[Product_ID]],Product_Dim!A:A,Product_Dim!C:C,"OTHERS")</f>
        <v>Electronics</v>
      </c>
    </row>
    <row r="1141" spans="1:18" x14ac:dyDescent="0.3">
      <c r="A1141" t="s">
        <v>2965</v>
      </c>
      <c r="B1141" s="2">
        <v>45518</v>
      </c>
      <c r="C1141" t="s">
        <v>97</v>
      </c>
      <c r="D1141" t="s">
        <v>1702</v>
      </c>
      <c r="E1141" t="str">
        <f ca="1">TRIM(Sales_fact[[#This Row],[Store_ID]])</f>
        <v>STORE2</v>
      </c>
      <c r="F1141">
        <v>2</v>
      </c>
      <c r="G1141">
        <f>IF(ISBLANK(F1141),MODE($F$2:$F$2001),F1141)</f>
        <v>2</v>
      </c>
      <c r="H1141">
        <v>257.45</v>
      </c>
      <c r="I1141">
        <f>IF(ISBLANK(H1141),AVERAGE($H$2:$H$2001),H1141)</f>
        <v>257.45</v>
      </c>
      <c r="J1141">
        <v>0</v>
      </c>
      <c r="K1141">
        <f>IF(ISBLANK(J1141),MODE($J$2:$J$2001),J1141)</f>
        <v>0</v>
      </c>
      <c r="L1141" t="s">
        <v>1829</v>
      </c>
      <c r="M1141">
        <v>514.9</v>
      </c>
      <c r="N1141">
        <f t="shared" si="17"/>
        <v>514.9</v>
      </c>
      <c r="O1141" t="str">
        <f>_xlfn.XLOOKUP(Sales_fact[[#This Row],[Customer_ID]],'Customer_Dim'!A:A,'Customer_Dim'!K:K,"Not Found")</f>
        <v>Silver</v>
      </c>
      <c r="P1141">
        <f>_xlfn.XLOOKUP(Sales_fact[[#This Row],[Customer_ID]],'Customer_Dim'!A:A, 'Customer_Dim'!E:E, "Not Found")</f>
        <v>33</v>
      </c>
      <c r="Q1141" t="str">
        <f>VLOOKUP(Sales_fact[[#This Row],[Customer_ID]], 'Customer_Dim'!A:F, 6, FALSE)</f>
        <v>Female</v>
      </c>
      <c r="R1141" s="13" t="str">
        <f>_xlfn.XLOOKUP(Sales_fact[[#This Row],[Product_ID]],Product_Dim!A:A,Product_Dim!C:C,"OTHERS")</f>
        <v>Electronics</v>
      </c>
    </row>
    <row r="1142" spans="1:18" x14ac:dyDescent="0.3">
      <c r="A1142" t="s">
        <v>2966</v>
      </c>
      <c r="B1142" s="2">
        <v>45861</v>
      </c>
      <c r="C1142" t="s">
        <v>592</v>
      </c>
      <c r="D1142" t="s">
        <v>1616</v>
      </c>
      <c r="E1142" t="str">
        <f ca="1">TRIM(Sales_fact[[#This Row],[Store_ID]])</f>
        <v>STORE15</v>
      </c>
      <c r="F1142">
        <v>2</v>
      </c>
      <c r="G1142">
        <f>IF(ISBLANK(F1142),MODE($F$2:$F$2001),F1142)</f>
        <v>2</v>
      </c>
      <c r="H1142">
        <v>696.61</v>
      </c>
      <c r="I1142">
        <f>IF(ISBLANK(H1142),AVERAGE($H$2:$H$2001),H1142)</f>
        <v>696.61</v>
      </c>
      <c r="J1142">
        <v>0.17</v>
      </c>
      <c r="K1142">
        <f>IF(ISBLANK(J1142),MODE($J$2:$J$2001),J1142)</f>
        <v>0.17</v>
      </c>
      <c r="L1142" t="s">
        <v>1826</v>
      </c>
      <c r="M1142">
        <v>1156.3725999999999</v>
      </c>
      <c r="N1142">
        <f t="shared" si="17"/>
        <v>1156.3725999999999</v>
      </c>
      <c r="O1142" t="str">
        <f>_xlfn.XLOOKUP(Sales_fact[[#This Row],[Customer_ID]],'Customer_Dim'!A:A,'Customer_Dim'!K:K,"Not Found")</f>
        <v>Silver</v>
      </c>
      <c r="P1142">
        <f>_xlfn.XLOOKUP(Sales_fact[[#This Row],[Customer_ID]],'Customer_Dim'!A:A, 'Customer_Dim'!E:E, "Not Found")</f>
        <v>43</v>
      </c>
      <c r="Q1142" t="str">
        <f>VLOOKUP(Sales_fact[[#This Row],[Customer_ID]], 'Customer_Dim'!A:F, 6, FALSE)</f>
        <v>Female</v>
      </c>
      <c r="R1142" s="13" t="str">
        <f>_xlfn.XLOOKUP(Sales_fact[[#This Row],[Product_ID]],Product_Dim!A:A,Product_Dim!C:C,"OTHERS")</f>
        <v>Electronics</v>
      </c>
    </row>
    <row r="1143" spans="1:18" x14ac:dyDescent="0.3">
      <c r="A1143" t="s">
        <v>2967</v>
      </c>
      <c r="B1143" s="2">
        <v>45416</v>
      </c>
      <c r="C1143" t="s">
        <v>1166</v>
      </c>
      <c r="D1143" t="s">
        <v>1640</v>
      </c>
      <c r="E1143" t="str">
        <f ca="1">TRIM(Sales_fact[[#This Row],[Store_ID]])</f>
        <v>STORE7</v>
      </c>
      <c r="F1143">
        <v>2</v>
      </c>
      <c r="G1143">
        <f>IF(ISBLANK(F1143),MODE($F$2:$F$2001),F1143)</f>
        <v>2</v>
      </c>
      <c r="H1143">
        <v>143.79</v>
      </c>
      <c r="I1143">
        <f>IF(ISBLANK(H1143),AVERAGE($H$2:$H$2001),H1143)</f>
        <v>143.79</v>
      </c>
      <c r="J1143">
        <v>0.1</v>
      </c>
      <c r="K1143">
        <f>IF(ISBLANK(J1143),MODE($J$2:$J$2001),J1143)</f>
        <v>0.1</v>
      </c>
      <c r="L1143" t="s">
        <v>1826</v>
      </c>
      <c r="M1143">
        <v>258.822</v>
      </c>
      <c r="N1143">
        <f t="shared" si="17"/>
        <v>258.822</v>
      </c>
      <c r="O1143" t="str">
        <f>_xlfn.XLOOKUP(Sales_fact[[#This Row],[Customer_ID]],'Customer_Dim'!A:A,'Customer_Dim'!K:K,"Not Found")</f>
        <v>Gold</v>
      </c>
      <c r="P1143">
        <f>_xlfn.XLOOKUP(Sales_fact[[#This Row],[Customer_ID]],'Customer_Dim'!A:A, 'Customer_Dim'!E:E, "Not Found")</f>
        <v>37</v>
      </c>
      <c r="Q1143" t="str">
        <f>VLOOKUP(Sales_fact[[#This Row],[Customer_ID]], 'Customer_Dim'!A:F, 6, FALSE)</f>
        <v>Female</v>
      </c>
      <c r="R1143" s="13" t="str">
        <f>_xlfn.XLOOKUP(Sales_fact[[#This Row],[Product_ID]],Product_Dim!A:A,Product_Dim!C:C,"OTHERS")</f>
        <v>Clothing</v>
      </c>
    </row>
    <row r="1144" spans="1:18" x14ac:dyDescent="0.3">
      <c r="A1144" t="s">
        <v>2968</v>
      </c>
      <c r="B1144" s="2">
        <v>45608</v>
      </c>
      <c r="C1144" t="s">
        <v>937</v>
      </c>
      <c r="D1144" t="s">
        <v>1714</v>
      </c>
      <c r="E1144" t="str">
        <f ca="1">TRIM(Sales_fact[[#This Row],[Store_ID]])</f>
        <v>STORE1</v>
      </c>
      <c r="F1144">
        <v>3</v>
      </c>
      <c r="G1144">
        <f>IF(ISBLANK(F1144),MODE($F$2:$F$2001),F1144)</f>
        <v>3</v>
      </c>
      <c r="H1144">
        <v>460.93</v>
      </c>
      <c r="I1144">
        <f>IF(ISBLANK(H1144),AVERAGE($H$2:$H$2001),H1144)</f>
        <v>460.93</v>
      </c>
      <c r="J1144">
        <v>0.19</v>
      </c>
      <c r="K1144">
        <f>IF(ISBLANK(J1144),MODE($J$2:$J$2001),J1144)</f>
        <v>0.19</v>
      </c>
      <c r="L1144" t="s">
        <v>1829</v>
      </c>
      <c r="M1144">
        <v>1120.0599</v>
      </c>
      <c r="N1144">
        <f t="shared" si="17"/>
        <v>1120.0599</v>
      </c>
      <c r="O1144" t="str">
        <f>_xlfn.XLOOKUP(Sales_fact[[#This Row],[Customer_ID]],'Customer_Dim'!A:A,'Customer_Dim'!K:K,"Not Found")</f>
        <v>Bronze</v>
      </c>
      <c r="P1144">
        <f>_xlfn.XLOOKUP(Sales_fact[[#This Row],[Customer_ID]],'Customer_Dim'!A:A, 'Customer_Dim'!E:E, "Not Found")</f>
        <v>28</v>
      </c>
      <c r="Q1144" t="str">
        <f>VLOOKUP(Sales_fact[[#This Row],[Customer_ID]], 'Customer_Dim'!A:F, 6, FALSE)</f>
        <v>Female</v>
      </c>
      <c r="R1144" s="13" t="str">
        <f>_xlfn.XLOOKUP(Sales_fact[[#This Row],[Product_ID]],Product_Dim!A:A,Product_Dim!C:C,"OTHERS")</f>
        <v>Beauty</v>
      </c>
    </row>
    <row r="1145" spans="1:18" x14ac:dyDescent="0.3">
      <c r="A1145" t="s">
        <v>2969</v>
      </c>
      <c r="B1145" s="2">
        <v>45301</v>
      </c>
      <c r="C1145" t="s">
        <v>1533</v>
      </c>
      <c r="D1145" t="s">
        <v>1604</v>
      </c>
      <c r="E1145" t="str">
        <f ca="1">TRIM(Sales_fact[[#This Row],[Store_ID]])</f>
        <v>STORE9</v>
      </c>
      <c r="F1145">
        <v>2</v>
      </c>
      <c r="G1145">
        <f>IF(ISBLANK(F1145),MODE($F$2:$F$2001),F1145)</f>
        <v>2</v>
      </c>
      <c r="H1145">
        <v>67.55</v>
      </c>
      <c r="I1145">
        <f>IF(ISBLANK(H1145),AVERAGE($H$2:$H$2001),H1145)</f>
        <v>67.55</v>
      </c>
      <c r="J1145">
        <v>0.03</v>
      </c>
      <c r="K1145">
        <f>IF(ISBLANK(J1145),MODE($J$2:$J$2001),J1145)</f>
        <v>0.03</v>
      </c>
      <c r="L1145" t="s">
        <v>1824</v>
      </c>
      <c r="M1145">
        <v>131.047</v>
      </c>
      <c r="N1145">
        <f t="shared" si="17"/>
        <v>131.047</v>
      </c>
      <c r="O1145" t="str">
        <f>_xlfn.XLOOKUP(Sales_fact[[#This Row],[Customer_ID]],'Customer_Dim'!A:A,'Customer_Dim'!K:K,"Not Found")</f>
        <v>Not Found</v>
      </c>
      <c r="P1145" t="str">
        <f>_xlfn.XLOOKUP(Sales_fact[[#This Row],[Customer_ID]],'Customer_Dim'!A:A, 'Customer_Dim'!E:E, "Not Found")</f>
        <v>Not Found</v>
      </c>
      <c r="Q1145" t="e">
        <f>VLOOKUP(Sales_fact[[#This Row],[Customer_ID]], 'Customer_Dim'!A:F, 6, FALSE)</f>
        <v>#N/A</v>
      </c>
      <c r="R1145" s="13" t="str">
        <f>_xlfn.XLOOKUP(Sales_fact[[#This Row],[Product_ID]],Product_Dim!A:A,Product_Dim!C:C,"OTHERS")</f>
        <v>Sports</v>
      </c>
    </row>
    <row r="1146" spans="1:18" x14ac:dyDescent="0.3">
      <c r="A1146" t="s">
        <v>2970</v>
      </c>
      <c r="B1146" s="2">
        <v>45433</v>
      </c>
      <c r="C1146" t="s">
        <v>684</v>
      </c>
      <c r="D1146" t="s">
        <v>1646</v>
      </c>
      <c r="E1146" t="str">
        <f ca="1">TRIM(Sales_fact[[#This Row],[Store_ID]])</f>
        <v>STORE1</v>
      </c>
      <c r="F1146">
        <v>3</v>
      </c>
      <c r="G1146">
        <f>IF(ISBLANK(F1146),MODE($F$2:$F$2001),F1146)</f>
        <v>3</v>
      </c>
      <c r="H1146">
        <v>803.31</v>
      </c>
      <c r="I1146">
        <f>IF(ISBLANK(H1146),AVERAGE($H$2:$H$2001),H1146)</f>
        <v>803.31</v>
      </c>
      <c r="J1146">
        <v>0.1</v>
      </c>
      <c r="K1146">
        <f>IF(ISBLANK(J1146),MODE($J$2:$J$2001),J1146)</f>
        <v>0.1</v>
      </c>
      <c r="L1146" t="s">
        <v>1826</v>
      </c>
      <c r="M1146">
        <v>2168.9369999999999</v>
      </c>
      <c r="N1146">
        <f t="shared" si="17"/>
        <v>2168.9369999999999</v>
      </c>
      <c r="O1146" t="str">
        <f>_xlfn.XLOOKUP(Sales_fact[[#This Row],[Customer_ID]],'Customer_Dim'!A:A,'Customer_Dim'!K:K,"Not Found")</f>
        <v>Silver</v>
      </c>
      <c r="P1146">
        <f>_xlfn.XLOOKUP(Sales_fact[[#This Row],[Customer_ID]],'Customer_Dim'!A:A, 'Customer_Dim'!E:E, "Not Found")</f>
        <v>48</v>
      </c>
      <c r="Q1146" t="str">
        <f>VLOOKUP(Sales_fact[[#This Row],[Customer_ID]], 'Customer_Dim'!A:F, 6, FALSE)</f>
        <v>Male</v>
      </c>
      <c r="R1146" s="13" t="str">
        <f>_xlfn.XLOOKUP(Sales_fact[[#This Row],[Product_ID]],Product_Dim!A:A,Product_Dim!C:C,"OTHERS")</f>
        <v>Beauty</v>
      </c>
    </row>
    <row r="1147" spans="1:18" x14ac:dyDescent="0.3">
      <c r="A1147" t="s">
        <v>2971</v>
      </c>
      <c r="B1147" s="2">
        <v>45821</v>
      </c>
      <c r="C1147" t="s">
        <v>1340</v>
      </c>
      <c r="D1147" t="s">
        <v>1580</v>
      </c>
      <c r="E1147" t="str">
        <f ca="1">TRIM(Sales_fact[[#This Row],[Store_ID]])</f>
        <v>STORE13</v>
      </c>
      <c r="F1147">
        <v>4</v>
      </c>
      <c r="G1147">
        <f>IF(ISBLANK(F1147),MODE($F$2:$F$2001),F1147)</f>
        <v>4</v>
      </c>
      <c r="H1147">
        <v>254.71</v>
      </c>
      <c r="I1147">
        <f>IF(ISBLANK(H1147),AVERAGE($H$2:$H$2001),H1147)</f>
        <v>254.71</v>
      </c>
      <c r="J1147">
        <v>0.2</v>
      </c>
      <c r="K1147">
        <f>IF(ISBLANK(J1147),MODE($J$2:$J$2001),J1147)</f>
        <v>0.2</v>
      </c>
      <c r="L1147" t="s">
        <v>1829</v>
      </c>
      <c r="M1147">
        <v>815.07200000000012</v>
      </c>
      <c r="N1147">
        <f t="shared" si="17"/>
        <v>815.07200000000012</v>
      </c>
      <c r="O1147" t="str">
        <f>_xlfn.XLOOKUP(Sales_fact[[#This Row],[Customer_ID]],'Customer_Dim'!A:A,'Customer_Dim'!K:K,"Not Found")</f>
        <v>Bronze</v>
      </c>
      <c r="P1147">
        <f>_xlfn.XLOOKUP(Sales_fact[[#This Row],[Customer_ID]],'Customer_Dim'!A:A, 'Customer_Dim'!E:E, "Not Found")</f>
        <v>37</v>
      </c>
      <c r="Q1147" t="str">
        <f>VLOOKUP(Sales_fact[[#This Row],[Customer_ID]], 'Customer_Dim'!A:F, 6, FALSE)</f>
        <v>Male</v>
      </c>
      <c r="R1147" s="13" t="str">
        <f>_xlfn.XLOOKUP(Sales_fact[[#This Row],[Product_ID]],Product_Dim!A:A,Product_Dim!C:C,"OTHERS")</f>
        <v>OTHERS</v>
      </c>
    </row>
    <row r="1148" spans="1:18" x14ac:dyDescent="0.3">
      <c r="A1148" t="s">
        <v>2972</v>
      </c>
      <c r="B1148" s="2">
        <v>45508</v>
      </c>
      <c r="C1148" t="s">
        <v>195</v>
      </c>
      <c r="D1148" t="s">
        <v>1648</v>
      </c>
      <c r="E1148" t="str">
        <f ca="1">TRIM(Sales_fact[[#This Row],[Store_ID]])</f>
        <v>STORE4</v>
      </c>
      <c r="F1148">
        <v>4</v>
      </c>
      <c r="G1148">
        <f>IF(ISBLANK(F1148),MODE($F$2:$F$2001),F1148)</f>
        <v>4</v>
      </c>
      <c r="H1148">
        <v>594.89</v>
      </c>
      <c r="I1148">
        <f>IF(ISBLANK(H1148),AVERAGE($H$2:$H$2001),H1148)</f>
        <v>594.89</v>
      </c>
      <c r="J1148">
        <v>0.3</v>
      </c>
      <c r="K1148">
        <f>IF(ISBLANK(J1148),MODE($J$2:$J$2001),J1148)</f>
        <v>0.3</v>
      </c>
      <c r="L1148" t="s">
        <v>1826</v>
      </c>
      <c r="M1148">
        <v>1665.692</v>
      </c>
      <c r="N1148">
        <f t="shared" si="17"/>
        <v>1665.6919999999998</v>
      </c>
      <c r="O1148" t="str">
        <f>_xlfn.XLOOKUP(Sales_fact[[#This Row],[Customer_ID]],'Customer_Dim'!A:A,'Customer_Dim'!K:K,"Not Found")</f>
        <v>Gold</v>
      </c>
      <c r="P1148">
        <f>_xlfn.XLOOKUP(Sales_fact[[#This Row],[Customer_ID]],'Customer_Dim'!A:A, 'Customer_Dim'!E:E, "Not Found")</f>
        <v>23</v>
      </c>
      <c r="Q1148" t="str">
        <f>VLOOKUP(Sales_fact[[#This Row],[Customer_ID]], 'Customer_Dim'!A:F, 6, FALSE)</f>
        <v>Female</v>
      </c>
      <c r="R1148" s="13" t="str">
        <f>_xlfn.XLOOKUP(Sales_fact[[#This Row],[Product_ID]],Product_Dim!A:A,Product_Dim!C:C,"OTHERS")</f>
        <v>Sports</v>
      </c>
    </row>
    <row r="1149" spans="1:18" x14ac:dyDescent="0.3">
      <c r="A1149" t="s">
        <v>2973</v>
      </c>
      <c r="B1149" s="2">
        <v>45854</v>
      </c>
      <c r="C1149" t="s">
        <v>711</v>
      </c>
      <c r="D1149" t="s">
        <v>1730</v>
      </c>
      <c r="E1149" t="str">
        <f ca="1">TRIM(Sales_fact[[#This Row],[Store_ID]])</f>
        <v>STORE0</v>
      </c>
      <c r="F1149">
        <v>2</v>
      </c>
      <c r="G1149">
        <f>IF(ISBLANK(F1149),MODE($F$2:$F$2001),F1149)</f>
        <v>2</v>
      </c>
      <c r="H1149">
        <v>844.31</v>
      </c>
      <c r="I1149">
        <f>IF(ISBLANK(H1149),AVERAGE($H$2:$H$2001),H1149)</f>
        <v>844.31</v>
      </c>
      <c r="J1149">
        <v>7.0000000000000007E-2</v>
      </c>
      <c r="K1149">
        <f>IF(ISBLANK(J1149),MODE($J$2:$J$2001),J1149)</f>
        <v>7.0000000000000007E-2</v>
      </c>
      <c r="L1149" t="s">
        <v>1826</v>
      </c>
      <c r="M1149">
        <v>1570.4166</v>
      </c>
      <c r="N1149">
        <f t="shared" si="17"/>
        <v>1570.4165999999998</v>
      </c>
      <c r="O1149" t="str">
        <f>_xlfn.XLOOKUP(Sales_fact[[#This Row],[Customer_ID]],'Customer_Dim'!A:A,'Customer_Dim'!K:K,"Not Found")</f>
        <v>Gold</v>
      </c>
      <c r="P1149">
        <f>_xlfn.XLOOKUP(Sales_fact[[#This Row],[Customer_ID]],'Customer_Dim'!A:A, 'Customer_Dim'!E:E, "Not Found")</f>
        <v>47</v>
      </c>
      <c r="Q1149" t="str">
        <f>VLOOKUP(Sales_fact[[#This Row],[Customer_ID]], 'Customer_Dim'!A:F, 6, FALSE)</f>
        <v>Female</v>
      </c>
      <c r="R1149" s="13" t="str">
        <f>_xlfn.XLOOKUP(Sales_fact[[#This Row],[Product_ID]],Product_Dim!A:A,Product_Dim!C:C,"OTHERS")</f>
        <v>Clothing</v>
      </c>
    </row>
    <row r="1150" spans="1:18" x14ac:dyDescent="0.3">
      <c r="A1150" t="s">
        <v>2974</v>
      </c>
      <c r="B1150" s="2">
        <v>45569</v>
      </c>
      <c r="C1150" t="s">
        <v>458</v>
      </c>
      <c r="D1150" t="s">
        <v>1578</v>
      </c>
      <c r="E1150" t="str">
        <f ca="1">TRIM(Sales_fact[[#This Row],[Store_ID]])</f>
        <v>STORE6</v>
      </c>
      <c r="F1150">
        <v>4</v>
      </c>
      <c r="G1150">
        <f>IF(ISBLANK(F1150),MODE($F$2:$F$2001),F1150)</f>
        <v>4</v>
      </c>
      <c r="H1150">
        <v>101.33</v>
      </c>
      <c r="I1150">
        <f>IF(ISBLANK(H1150),AVERAGE($H$2:$H$2001),H1150)</f>
        <v>101.33</v>
      </c>
      <c r="J1150">
        <v>0</v>
      </c>
      <c r="K1150">
        <f>IF(ISBLANK(J1150),MODE($J$2:$J$2001),J1150)</f>
        <v>0</v>
      </c>
      <c r="L1150" t="s">
        <v>1824</v>
      </c>
      <c r="M1150">
        <v>405.32</v>
      </c>
      <c r="N1150">
        <f t="shared" si="17"/>
        <v>405.32</v>
      </c>
      <c r="O1150" t="str">
        <f>_xlfn.XLOOKUP(Sales_fact[[#This Row],[Customer_ID]],'Customer_Dim'!A:A,'Customer_Dim'!K:K,"Not Found")</f>
        <v>Gold</v>
      </c>
      <c r="P1150">
        <f>_xlfn.XLOOKUP(Sales_fact[[#This Row],[Customer_ID]],'Customer_Dim'!A:A, 'Customer_Dim'!E:E, "Not Found")</f>
        <v>54</v>
      </c>
      <c r="Q1150" t="str">
        <f>VLOOKUP(Sales_fact[[#This Row],[Customer_ID]], 'Customer_Dim'!A:F, 6, FALSE)</f>
        <v>Male</v>
      </c>
      <c r="R1150" s="13" t="str">
        <f>_xlfn.XLOOKUP(Sales_fact[[#This Row],[Product_ID]],Product_Dim!A:A,Product_Dim!C:C,"OTHERS")</f>
        <v>Electronics</v>
      </c>
    </row>
    <row r="1151" spans="1:18" x14ac:dyDescent="0.3">
      <c r="A1151" t="s">
        <v>2975</v>
      </c>
      <c r="B1151" s="2">
        <v>45824</v>
      </c>
      <c r="C1151" t="s">
        <v>449</v>
      </c>
      <c r="D1151" t="s">
        <v>1600</v>
      </c>
      <c r="E1151" t="str">
        <f ca="1">TRIM(Sales_fact[[#This Row],[Store_ID]])</f>
        <v>STORE8</v>
      </c>
      <c r="F1151">
        <v>3</v>
      </c>
      <c r="G1151">
        <f>IF(ISBLANK(F1151),MODE($F$2:$F$2001),F1151)</f>
        <v>3</v>
      </c>
      <c r="H1151">
        <v>922.56</v>
      </c>
      <c r="I1151">
        <f>IF(ISBLANK(H1151),AVERAGE($H$2:$H$2001),H1151)</f>
        <v>922.56</v>
      </c>
      <c r="J1151">
        <v>0.18</v>
      </c>
      <c r="K1151">
        <f>IF(ISBLANK(J1151),MODE($J$2:$J$2001),J1151)</f>
        <v>0.18</v>
      </c>
      <c r="L1151" t="s">
        <v>1826</v>
      </c>
      <c r="M1151">
        <v>2269.4976000000001</v>
      </c>
      <c r="N1151">
        <f t="shared" si="17"/>
        <v>2269.4976000000001</v>
      </c>
      <c r="O1151" t="str">
        <f>_xlfn.XLOOKUP(Sales_fact[[#This Row],[Customer_ID]],'Customer_Dim'!A:A,'Customer_Dim'!K:K,"Not Found")</f>
        <v>Bronze</v>
      </c>
      <c r="P1151">
        <f>_xlfn.XLOOKUP(Sales_fact[[#This Row],[Customer_ID]],'Customer_Dim'!A:A, 'Customer_Dim'!E:E, "Not Found")</f>
        <v>34</v>
      </c>
      <c r="Q1151" t="str">
        <f>VLOOKUP(Sales_fact[[#This Row],[Customer_ID]], 'Customer_Dim'!A:F, 6, FALSE)</f>
        <v>Female</v>
      </c>
      <c r="R1151" s="13" t="str">
        <f>_xlfn.XLOOKUP(Sales_fact[[#This Row],[Product_ID]],Product_Dim!A:A,Product_Dim!C:C,"OTHERS")</f>
        <v>Electronics</v>
      </c>
    </row>
    <row r="1152" spans="1:18" x14ac:dyDescent="0.3">
      <c r="A1152" t="s">
        <v>2976</v>
      </c>
      <c r="B1152" s="2">
        <v>45352</v>
      </c>
      <c r="C1152" t="s">
        <v>1340</v>
      </c>
      <c r="D1152" t="s">
        <v>1624</v>
      </c>
      <c r="E1152" t="str">
        <f ca="1">TRIM(Sales_fact[[#This Row],[Store_ID]])</f>
        <v>STORE14</v>
      </c>
      <c r="F1152">
        <v>4</v>
      </c>
      <c r="G1152">
        <f>IF(ISBLANK(F1152),MODE($F$2:$F$2001),F1152)</f>
        <v>4</v>
      </c>
      <c r="H1152">
        <v>867.19</v>
      </c>
      <c r="I1152">
        <f>IF(ISBLANK(H1152),AVERAGE($H$2:$H$2001),H1152)</f>
        <v>867.19</v>
      </c>
      <c r="J1152">
        <v>7.0000000000000007E-2</v>
      </c>
      <c r="K1152">
        <f>IF(ISBLANK(J1152),MODE($J$2:$J$2001),J1152)</f>
        <v>7.0000000000000007E-2</v>
      </c>
      <c r="L1152" t="s">
        <v>1829</v>
      </c>
      <c r="M1152">
        <v>3225.9468000000002</v>
      </c>
      <c r="N1152">
        <f t="shared" si="17"/>
        <v>3225.9468000000002</v>
      </c>
      <c r="O1152" t="str">
        <f>_xlfn.XLOOKUP(Sales_fact[[#This Row],[Customer_ID]],'Customer_Dim'!A:A,'Customer_Dim'!K:K,"Not Found")</f>
        <v>Bronze</v>
      </c>
      <c r="P1152">
        <f>_xlfn.XLOOKUP(Sales_fact[[#This Row],[Customer_ID]],'Customer_Dim'!A:A, 'Customer_Dim'!E:E, "Not Found")</f>
        <v>37</v>
      </c>
      <c r="Q1152" t="str">
        <f>VLOOKUP(Sales_fact[[#This Row],[Customer_ID]], 'Customer_Dim'!A:F, 6, FALSE)</f>
        <v>Male</v>
      </c>
      <c r="R1152" s="13" t="str">
        <f>_xlfn.XLOOKUP(Sales_fact[[#This Row],[Product_ID]],Product_Dim!A:A,Product_Dim!C:C,"OTHERS")</f>
        <v>Sports</v>
      </c>
    </row>
    <row r="1153" spans="1:18" x14ac:dyDescent="0.3">
      <c r="A1153" t="s">
        <v>2977</v>
      </c>
      <c r="B1153" s="2">
        <v>45454</v>
      </c>
      <c r="C1153" t="s">
        <v>36</v>
      </c>
      <c r="D1153" t="s">
        <v>1714</v>
      </c>
      <c r="E1153" t="str">
        <f ca="1">TRIM(Sales_fact[[#This Row],[Store_ID]])</f>
        <v>STORE17</v>
      </c>
      <c r="F1153">
        <v>3</v>
      </c>
      <c r="G1153">
        <f>IF(ISBLANK(F1153),MODE($F$2:$F$2001),F1153)</f>
        <v>3</v>
      </c>
      <c r="H1153">
        <v>816.87</v>
      </c>
      <c r="I1153">
        <f>IF(ISBLANK(H1153),AVERAGE($H$2:$H$2001),H1153)</f>
        <v>816.87</v>
      </c>
      <c r="J1153">
        <v>0.14000000000000001</v>
      </c>
      <c r="K1153">
        <f>IF(ISBLANK(J1153),MODE($J$2:$J$2001),J1153)</f>
        <v>0.14000000000000001</v>
      </c>
      <c r="L1153" t="s">
        <v>1826</v>
      </c>
      <c r="M1153">
        <v>2107.5246000000002</v>
      </c>
      <c r="N1153">
        <f t="shared" si="17"/>
        <v>2107.5246000000002</v>
      </c>
      <c r="O1153" t="str">
        <f>_xlfn.XLOOKUP(Sales_fact[[#This Row],[Customer_ID]],'Customer_Dim'!A:A,'Customer_Dim'!K:K,"Not Found")</f>
        <v>Platinum</v>
      </c>
      <c r="P1153">
        <f>_xlfn.XLOOKUP(Sales_fact[[#This Row],[Customer_ID]],'Customer_Dim'!A:A, 'Customer_Dim'!E:E, "Not Found")</f>
        <v>29</v>
      </c>
      <c r="Q1153" t="str">
        <f>VLOOKUP(Sales_fact[[#This Row],[Customer_ID]], 'Customer_Dim'!A:F, 6, FALSE)</f>
        <v>Female</v>
      </c>
      <c r="R1153" s="13" t="str">
        <f>_xlfn.XLOOKUP(Sales_fact[[#This Row],[Product_ID]],Product_Dim!A:A,Product_Dim!C:C,"OTHERS")</f>
        <v>Beauty</v>
      </c>
    </row>
    <row r="1154" spans="1:18" x14ac:dyDescent="0.3">
      <c r="A1154" t="s">
        <v>2978</v>
      </c>
      <c r="B1154" s="2">
        <v>45924</v>
      </c>
      <c r="C1154" t="s">
        <v>1478</v>
      </c>
      <c r="D1154" t="s">
        <v>1678</v>
      </c>
      <c r="E1154" t="str">
        <f ca="1">TRIM(Sales_fact[[#This Row],[Store_ID]])</f>
        <v>STORE3</v>
      </c>
      <c r="F1154">
        <v>3</v>
      </c>
      <c r="G1154">
        <f>IF(ISBLANK(F1154),MODE($F$2:$F$2001),F1154)</f>
        <v>3</v>
      </c>
      <c r="H1154">
        <v>258.06</v>
      </c>
      <c r="I1154">
        <f>IF(ISBLANK(H1154),AVERAGE($H$2:$H$2001),H1154)</f>
        <v>258.06</v>
      </c>
      <c r="J1154">
        <v>0</v>
      </c>
      <c r="K1154">
        <f>IF(ISBLANK(J1154),MODE($J$2:$J$2001),J1154)</f>
        <v>0</v>
      </c>
      <c r="L1154" t="s">
        <v>1826</v>
      </c>
      <c r="M1154">
        <v>774.18000000000006</v>
      </c>
      <c r="N1154">
        <f t="shared" si="17"/>
        <v>774.18000000000006</v>
      </c>
      <c r="O1154" t="str">
        <f>_xlfn.XLOOKUP(Sales_fact[[#This Row],[Customer_ID]],'Customer_Dim'!A:A,'Customer_Dim'!K:K,"Not Found")</f>
        <v>Bronze</v>
      </c>
      <c r="P1154">
        <f>_xlfn.XLOOKUP(Sales_fact[[#This Row],[Customer_ID]],'Customer_Dim'!A:A, 'Customer_Dim'!E:E, "Not Found")</f>
        <v>33</v>
      </c>
      <c r="Q1154" t="str">
        <f>VLOOKUP(Sales_fact[[#This Row],[Customer_ID]], 'Customer_Dim'!A:F, 6, FALSE)</f>
        <v>Male</v>
      </c>
      <c r="R1154" s="13" t="str">
        <f>_xlfn.XLOOKUP(Sales_fact[[#This Row],[Product_ID]],Product_Dim!A:A,Product_Dim!C:C,"OTHERS")</f>
        <v>Sports</v>
      </c>
    </row>
    <row r="1155" spans="1:18" x14ac:dyDescent="0.3">
      <c r="A1155" t="s">
        <v>2979</v>
      </c>
      <c r="B1155" s="2">
        <v>45694</v>
      </c>
      <c r="C1155" t="s">
        <v>984</v>
      </c>
      <c r="D1155" t="s">
        <v>1624</v>
      </c>
      <c r="E1155" t="str">
        <f ca="1">TRIM(Sales_fact[[#This Row],[Store_ID]])</f>
        <v>STORE14</v>
      </c>
      <c r="F1155">
        <v>2</v>
      </c>
      <c r="G1155">
        <f>IF(ISBLANK(F1155),MODE($F$2:$F$2001),F1155)</f>
        <v>2</v>
      </c>
      <c r="H1155">
        <v>574.58000000000004</v>
      </c>
      <c r="I1155">
        <f>IF(ISBLANK(H1155),AVERAGE($H$2:$H$2001),H1155)</f>
        <v>574.58000000000004</v>
      </c>
      <c r="J1155">
        <v>0.06</v>
      </c>
      <c r="K1155">
        <f>IF(ISBLANK(J1155),MODE($J$2:$J$2001),J1155)</f>
        <v>0.06</v>
      </c>
      <c r="L1155" t="s">
        <v>1824</v>
      </c>
      <c r="M1155">
        <v>1080.2103999999999</v>
      </c>
      <c r="N1155">
        <f t="shared" ref="N1155:N1218" si="18">G1155*I1155*(1-K1155)</f>
        <v>1080.2103999999999</v>
      </c>
      <c r="O1155" t="str">
        <f>_xlfn.XLOOKUP(Sales_fact[[#This Row],[Customer_ID]],'Customer_Dim'!A:A,'Customer_Dim'!K:K,"Not Found")</f>
        <v>Silver</v>
      </c>
      <c r="P1155">
        <f>_xlfn.XLOOKUP(Sales_fact[[#This Row],[Customer_ID]],'Customer_Dim'!A:A, 'Customer_Dim'!E:E, "Not Found")</f>
        <v>47</v>
      </c>
      <c r="Q1155" t="str">
        <f>VLOOKUP(Sales_fact[[#This Row],[Customer_ID]], 'Customer_Dim'!A:F, 6, FALSE)</f>
        <v>Female</v>
      </c>
      <c r="R1155" s="13" t="str">
        <f>_xlfn.XLOOKUP(Sales_fact[[#This Row],[Product_ID]],Product_Dim!A:A,Product_Dim!C:C,"OTHERS")</f>
        <v>Sports</v>
      </c>
    </row>
    <row r="1156" spans="1:18" x14ac:dyDescent="0.3">
      <c r="A1156" t="s">
        <v>2980</v>
      </c>
      <c r="B1156" s="2">
        <v>45587</v>
      </c>
      <c r="C1156" t="s">
        <v>97</v>
      </c>
      <c r="D1156" t="s">
        <v>1714</v>
      </c>
      <c r="E1156" t="str">
        <f ca="1">TRIM(Sales_fact[[#This Row],[Store_ID]])</f>
        <v>STORE6</v>
      </c>
      <c r="F1156">
        <v>2</v>
      </c>
      <c r="G1156">
        <f>IF(ISBLANK(F1156),MODE($F$2:$F$2001),F1156)</f>
        <v>2</v>
      </c>
      <c r="H1156">
        <v>472.18</v>
      </c>
      <c r="I1156">
        <f>IF(ISBLANK(H1156),AVERAGE($H$2:$H$2001),H1156)</f>
        <v>472.18</v>
      </c>
      <c r="J1156">
        <v>0.27</v>
      </c>
      <c r="K1156">
        <f>IF(ISBLANK(J1156),MODE($J$2:$J$2001),J1156)</f>
        <v>0.27</v>
      </c>
      <c r="L1156" t="s">
        <v>1826</v>
      </c>
      <c r="M1156">
        <v>689.38279999999997</v>
      </c>
      <c r="N1156">
        <f t="shared" si="18"/>
        <v>689.38279999999997</v>
      </c>
      <c r="O1156" t="str">
        <f>_xlfn.XLOOKUP(Sales_fact[[#This Row],[Customer_ID]],'Customer_Dim'!A:A,'Customer_Dim'!K:K,"Not Found")</f>
        <v>Silver</v>
      </c>
      <c r="P1156">
        <f>_xlfn.XLOOKUP(Sales_fact[[#This Row],[Customer_ID]],'Customer_Dim'!A:A, 'Customer_Dim'!E:E, "Not Found")</f>
        <v>33</v>
      </c>
      <c r="Q1156" t="str">
        <f>VLOOKUP(Sales_fact[[#This Row],[Customer_ID]], 'Customer_Dim'!A:F, 6, FALSE)</f>
        <v>Female</v>
      </c>
      <c r="R1156" s="13" t="str">
        <f>_xlfn.XLOOKUP(Sales_fact[[#This Row],[Product_ID]],Product_Dim!A:A,Product_Dim!C:C,"OTHERS")</f>
        <v>Beauty</v>
      </c>
    </row>
    <row r="1157" spans="1:18" x14ac:dyDescent="0.3">
      <c r="A1157" t="s">
        <v>2981</v>
      </c>
      <c r="B1157" s="2">
        <v>45556</v>
      </c>
      <c r="C1157" t="s">
        <v>1068</v>
      </c>
      <c r="D1157" t="s">
        <v>1630</v>
      </c>
      <c r="E1157" t="str">
        <f ca="1">TRIM(Sales_fact[[#This Row],[Store_ID]])</f>
        <v>STORE5</v>
      </c>
      <c r="F1157">
        <v>2</v>
      </c>
      <c r="G1157">
        <f>IF(ISBLANK(F1157),MODE($F$2:$F$2001),F1157)</f>
        <v>2</v>
      </c>
      <c r="H1157">
        <v>20.47</v>
      </c>
      <c r="I1157">
        <f>IF(ISBLANK(H1157),AVERAGE($H$2:$H$2001),H1157)</f>
        <v>20.47</v>
      </c>
      <c r="J1157">
        <v>0.12</v>
      </c>
      <c r="K1157">
        <f>IF(ISBLANK(J1157),MODE($J$2:$J$2001),J1157)</f>
        <v>0.12</v>
      </c>
      <c r="L1157" t="s">
        <v>1829</v>
      </c>
      <c r="M1157">
        <v>36.027200000000001</v>
      </c>
      <c r="N1157">
        <f t="shared" si="18"/>
        <v>36.027200000000001</v>
      </c>
      <c r="O1157" t="str">
        <f>_xlfn.XLOOKUP(Sales_fact[[#This Row],[Customer_ID]],'Customer_Dim'!A:A,'Customer_Dim'!K:K,"Not Found")</f>
        <v>Bronze</v>
      </c>
      <c r="P1157">
        <f>_xlfn.XLOOKUP(Sales_fact[[#This Row],[Customer_ID]],'Customer_Dim'!A:A, 'Customer_Dim'!E:E, "Not Found")</f>
        <v>27</v>
      </c>
      <c r="Q1157" t="str">
        <f>VLOOKUP(Sales_fact[[#This Row],[Customer_ID]], 'Customer_Dim'!A:F, 6, FALSE)</f>
        <v>Male</v>
      </c>
      <c r="R1157" s="13" t="str">
        <f>_xlfn.XLOOKUP(Sales_fact[[#This Row],[Product_ID]],Product_Dim!A:A,Product_Dim!C:C,"OTHERS")</f>
        <v>Sports</v>
      </c>
    </row>
    <row r="1158" spans="1:18" x14ac:dyDescent="0.3">
      <c r="A1158" t="s">
        <v>2982</v>
      </c>
      <c r="B1158" s="2">
        <v>45923</v>
      </c>
      <c r="C1158" t="s">
        <v>100</v>
      </c>
      <c r="D1158" t="s">
        <v>1592</v>
      </c>
      <c r="E1158" t="str">
        <f ca="1">TRIM(Sales_fact[[#This Row],[Store_ID]])</f>
        <v>STORE7</v>
      </c>
      <c r="F1158">
        <v>3</v>
      </c>
      <c r="G1158">
        <f>IF(ISBLANK(F1158),MODE($F$2:$F$2001),F1158)</f>
        <v>3</v>
      </c>
      <c r="H1158">
        <v>235.41</v>
      </c>
      <c r="I1158">
        <f>IF(ISBLANK(H1158),AVERAGE($H$2:$H$2001),H1158)</f>
        <v>235.41</v>
      </c>
      <c r="J1158">
        <v>0.15</v>
      </c>
      <c r="K1158">
        <f>IF(ISBLANK(J1158),MODE($J$2:$J$2001),J1158)</f>
        <v>0.15</v>
      </c>
      <c r="L1158" t="s">
        <v>1826</v>
      </c>
      <c r="M1158">
        <v>600.29549999999995</v>
      </c>
      <c r="N1158">
        <f t="shared" si="18"/>
        <v>600.29549999999995</v>
      </c>
      <c r="O1158" t="str">
        <f>_xlfn.XLOOKUP(Sales_fact[[#This Row],[Customer_ID]],'Customer_Dim'!A:A,'Customer_Dim'!K:K,"Not Found")</f>
        <v>Silver</v>
      </c>
      <c r="P1158">
        <f>_xlfn.XLOOKUP(Sales_fact[[#This Row],[Customer_ID]],'Customer_Dim'!A:A, 'Customer_Dim'!E:E, "Not Found")</f>
        <v>52</v>
      </c>
      <c r="Q1158" t="str">
        <f>VLOOKUP(Sales_fact[[#This Row],[Customer_ID]], 'Customer_Dim'!A:F, 6, FALSE)</f>
        <v>Female</v>
      </c>
      <c r="R1158" s="13" t="str">
        <f>_xlfn.XLOOKUP(Sales_fact[[#This Row],[Product_ID]],Product_Dim!A:A,Product_Dim!C:C,"OTHERS")</f>
        <v>Sports</v>
      </c>
    </row>
    <row r="1159" spans="1:18" x14ac:dyDescent="0.3">
      <c r="A1159" t="s">
        <v>2983</v>
      </c>
      <c r="B1159" s="2">
        <v>45811</v>
      </c>
      <c r="C1159" t="s">
        <v>740</v>
      </c>
      <c r="D1159" t="s">
        <v>1704</v>
      </c>
      <c r="E1159" t="str">
        <f ca="1">TRIM(Sales_fact[[#This Row],[Store_ID]])</f>
        <v>STORE7</v>
      </c>
      <c r="F1159">
        <v>3</v>
      </c>
      <c r="G1159">
        <f>IF(ISBLANK(F1159),MODE($F$2:$F$2001),F1159)</f>
        <v>3</v>
      </c>
      <c r="H1159">
        <v>744.9</v>
      </c>
      <c r="I1159">
        <f>IF(ISBLANK(H1159),AVERAGE($H$2:$H$2001),H1159)</f>
        <v>744.9</v>
      </c>
      <c r="J1159">
        <v>0.27</v>
      </c>
      <c r="K1159">
        <f>IF(ISBLANK(J1159),MODE($J$2:$J$2001),J1159)</f>
        <v>0.27</v>
      </c>
      <c r="L1159" t="s">
        <v>1826</v>
      </c>
      <c r="M1159">
        <v>1631.3309999999999</v>
      </c>
      <c r="N1159">
        <f t="shared" si="18"/>
        <v>1631.3309999999999</v>
      </c>
      <c r="O1159" t="str">
        <f>_xlfn.XLOOKUP(Sales_fact[[#This Row],[Customer_ID]],'Customer_Dim'!A:A,'Customer_Dim'!K:K,"Not Found")</f>
        <v>Bronze</v>
      </c>
      <c r="P1159">
        <f>_xlfn.XLOOKUP(Sales_fact[[#This Row],[Customer_ID]],'Customer_Dim'!A:A, 'Customer_Dim'!E:E, "Not Found")</f>
        <v>29</v>
      </c>
      <c r="Q1159" t="str">
        <f>VLOOKUP(Sales_fact[[#This Row],[Customer_ID]], 'Customer_Dim'!A:F, 6, FALSE)</f>
        <v>Male</v>
      </c>
      <c r="R1159" s="13" t="str">
        <f>_xlfn.XLOOKUP(Sales_fact[[#This Row],[Product_ID]],Product_Dim!A:A,Product_Dim!C:C,"OTHERS")</f>
        <v>Home</v>
      </c>
    </row>
    <row r="1160" spans="1:18" x14ac:dyDescent="0.3">
      <c r="A1160" t="s">
        <v>2984</v>
      </c>
      <c r="B1160" s="2">
        <v>45559</v>
      </c>
      <c r="C1160" t="s">
        <v>181</v>
      </c>
      <c r="D1160" t="s">
        <v>1584</v>
      </c>
      <c r="E1160" t="str">
        <f ca="1">TRIM(Sales_fact[[#This Row],[Store_ID]])</f>
        <v>STORE3</v>
      </c>
      <c r="F1160">
        <v>2</v>
      </c>
      <c r="G1160">
        <f>IF(ISBLANK(F1160),MODE($F$2:$F$2001),F1160)</f>
        <v>2</v>
      </c>
      <c r="H1160">
        <v>382.2</v>
      </c>
      <c r="I1160">
        <f>IF(ISBLANK(H1160),AVERAGE($H$2:$H$2001),H1160)</f>
        <v>382.2</v>
      </c>
      <c r="J1160">
        <v>0.15</v>
      </c>
      <c r="K1160">
        <f>IF(ISBLANK(J1160),MODE($J$2:$J$2001),J1160)</f>
        <v>0.15</v>
      </c>
      <c r="L1160" t="s">
        <v>1824</v>
      </c>
      <c r="M1160">
        <v>649.74</v>
      </c>
      <c r="N1160">
        <f t="shared" si="18"/>
        <v>649.74</v>
      </c>
      <c r="O1160" t="str">
        <f>_xlfn.XLOOKUP(Sales_fact[[#This Row],[Customer_ID]],'Customer_Dim'!A:A,'Customer_Dim'!K:K,"Not Found")</f>
        <v>Silver</v>
      </c>
      <c r="P1160">
        <f>_xlfn.XLOOKUP(Sales_fact[[#This Row],[Customer_ID]],'Customer_Dim'!A:A, 'Customer_Dim'!E:E, "Not Found")</f>
        <v>54</v>
      </c>
      <c r="Q1160" t="str">
        <f>VLOOKUP(Sales_fact[[#This Row],[Customer_ID]], 'Customer_Dim'!A:F, 6, FALSE)</f>
        <v>Female</v>
      </c>
      <c r="R1160" s="13" t="str">
        <f>_xlfn.XLOOKUP(Sales_fact[[#This Row],[Product_ID]],Product_Dim!A:A,Product_Dim!C:C,"OTHERS")</f>
        <v>Clothing</v>
      </c>
    </row>
    <row r="1161" spans="1:18" x14ac:dyDescent="0.3">
      <c r="A1161" t="s">
        <v>2985</v>
      </c>
      <c r="B1161" s="2">
        <v>45881</v>
      </c>
      <c r="C1161" t="s">
        <v>1086</v>
      </c>
      <c r="D1161" t="s">
        <v>1728</v>
      </c>
      <c r="E1161" t="str">
        <f ca="1">TRIM(Sales_fact[[#This Row],[Store_ID]])</f>
        <v>STORE16</v>
      </c>
      <c r="F1161">
        <v>1</v>
      </c>
      <c r="G1161">
        <f>IF(ISBLANK(F1161),MODE($F$2:$F$2001),F1161)</f>
        <v>1</v>
      </c>
      <c r="H1161">
        <v>269.25</v>
      </c>
      <c r="I1161">
        <f>IF(ISBLANK(H1161),AVERAGE($H$2:$H$2001),H1161)</f>
        <v>269.25</v>
      </c>
      <c r="J1161">
        <v>0.14000000000000001</v>
      </c>
      <c r="K1161">
        <f>IF(ISBLANK(J1161),MODE($J$2:$J$2001),J1161)</f>
        <v>0.14000000000000001</v>
      </c>
      <c r="L1161" t="s">
        <v>1826</v>
      </c>
      <c r="M1161">
        <v>231.55500000000001</v>
      </c>
      <c r="N1161">
        <f t="shared" si="18"/>
        <v>231.55500000000001</v>
      </c>
      <c r="O1161" t="str">
        <f>_xlfn.XLOOKUP(Sales_fact[[#This Row],[Customer_ID]],'Customer_Dim'!A:A,'Customer_Dim'!K:K,"Not Found")</f>
        <v>Platinum</v>
      </c>
      <c r="P1161">
        <f>_xlfn.XLOOKUP(Sales_fact[[#This Row],[Customer_ID]],'Customer_Dim'!A:A, 'Customer_Dim'!E:E, "Not Found")</f>
        <v>58</v>
      </c>
      <c r="Q1161" t="str">
        <f>VLOOKUP(Sales_fact[[#This Row],[Customer_ID]], 'Customer_Dim'!A:F, 6, FALSE)</f>
        <v>Female</v>
      </c>
      <c r="R1161" s="13" t="str">
        <f>_xlfn.XLOOKUP(Sales_fact[[#This Row],[Product_ID]],Product_Dim!A:A,Product_Dim!C:C,"OTHERS")</f>
        <v>Electronics</v>
      </c>
    </row>
    <row r="1162" spans="1:18" x14ac:dyDescent="0.3">
      <c r="A1162" t="s">
        <v>2986</v>
      </c>
      <c r="B1162" s="2">
        <v>45367</v>
      </c>
      <c r="C1162" t="s">
        <v>1142</v>
      </c>
      <c r="D1162" t="s">
        <v>1608</v>
      </c>
      <c r="E1162" t="str">
        <f ca="1">TRIM(Sales_fact[[#This Row],[Store_ID]])</f>
        <v>STORE11</v>
      </c>
      <c r="F1162">
        <v>2</v>
      </c>
      <c r="G1162">
        <f>IF(ISBLANK(F1162),MODE($F$2:$F$2001),F1162)</f>
        <v>2</v>
      </c>
      <c r="H1162">
        <v>723.75</v>
      </c>
      <c r="I1162">
        <f>IF(ISBLANK(H1162),AVERAGE($H$2:$H$2001),H1162)</f>
        <v>723.75</v>
      </c>
      <c r="J1162">
        <v>0.03</v>
      </c>
      <c r="K1162">
        <f>IF(ISBLANK(J1162),MODE($J$2:$J$2001),J1162)</f>
        <v>0.03</v>
      </c>
      <c r="L1162" t="s">
        <v>1826</v>
      </c>
      <c r="M1162">
        <v>1404.075</v>
      </c>
      <c r="N1162">
        <f t="shared" si="18"/>
        <v>1404.075</v>
      </c>
      <c r="O1162" t="str">
        <f>_xlfn.XLOOKUP(Sales_fact[[#This Row],[Customer_ID]],'Customer_Dim'!A:A,'Customer_Dim'!K:K,"Not Found")</f>
        <v>Platinum</v>
      </c>
      <c r="P1162">
        <f>_xlfn.XLOOKUP(Sales_fact[[#This Row],[Customer_ID]],'Customer_Dim'!A:A, 'Customer_Dim'!E:E, "Not Found")</f>
        <v>63</v>
      </c>
      <c r="Q1162" t="str">
        <f>VLOOKUP(Sales_fact[[#This Row],[Customer_ID]], 'Customer_Dim'!A:F, 6, FALSE)</f>
        <v>Female</v>
      </c>
      <c r="R1162" s="13" t="str">
        <f>_xlfn.XLOOKUP(Sales_fact[[#This Row],[Product_ID]],Product_Dim!A:A,Product_Dim!C:C,"OTHERS")</f>
        <v>Home</v>
      </c>
    </row>
    <row r="1163" spans="1:18" x14ac:dyDescent="0.3">
      <c r="A1163" t="s">
        <v>2987</v>
      </c>
      <c r="B1163" s="2">
        <v>45832</v>
      </c>
      <c r="C1163" t="s">
        <v>893</v>
      </c>
      <c r="D1163" t="s">
        <v>1586</v>
      </c>
      <c r="E1163" t="str">
        <f ca="1">TRIM(Sales_fact[[#This Row],[Store_ID]])</f>
        <v>STORE19</v>
      </c>
      <c r="F1163">
        <v>4</v>
      </c>
      <c r="G1163">
        <f>IF(ISBLANK(F1163),MODE($F$2:$F$2001),F1163)</f>
        <v>4</v>
      </c>
      <c r="H1163">
        <v>58.92</v>
      </c>
      <c r="I1163">
        <f>IF(ISBLANK(H1163),AVERAGE($H$2:$H$2001),H1163)</f>
        <v>58.92</v>
      </c>
      <c r="J1163">
        <v>0.18</v>
      </c>
      <c r="K1163">
        <f>IF(ISBLANK(J1163),MODE($J$2:$J$2001),J1163)</f>
        <v>0.18</v>
      </c>
      <c r="L1163" t="s">
        <v>1824</v>
      </c>
      <c r="M1163">
        <v>193.2576</v>
      </c>
      <c r="N1163">
        <f t="shared" si="18"/>
        <v>193.25760000000002</v>
      </c>
      <c r="O1163" t="str">
        <f>_xlfn.XLOOKUP(Sales_fact[[#This Row],[Customer_ID]],'Customer_Dim'!A:A,'Customer_Dim'!K:K,"Not Found")</f>
        <v>Platinum</v>
      </c>
      <c r="P1163">
        <f>_xlfn.XLOOKUP(Sales_fact[[#This Row],[Customer_ID]],'Customer_Dim'!A:A, 'Customer_Dim'!E:E, "Not Found")</f>
        <v>59</v>
      </c>
      <c r="Q1163" t="str">
        <f>VLOOKUP(Sales_fact[[#This Row],[Customer_ID]], 'Customer_Dim'!A:F, 6, FALSE)</f>
        <v>Male</v>
      </c>
      <c r="R1163" s="13" t="str">
        <f>_xlfn.XLOOKUP(Sales_fact[[#This Row],[Product_ID]],Product_Dim!A:A,Product_Dim!C:C,"OTHERS")</f>
        <v>Sports</v>
      </c>
    </row>
    <row r="1164" spans="1:18" x14ac:dyDescent="0.3">
      <c r="A1164" t="s">
        <v>2988</v>
      </c>
      <c r="B1164" s="2">
        <v>45438</v>
      </c>
      <c r="C1164" t="s">
        <v>619</v>
      </c>
      <c r="D1164" t="s">
        <v>1690</v>
      </c>
      <c r="E1164" t="str">
        <f ca="1">TRIM(Sales_fact[[#This Row],[Store_ID]])</f>
        <v>STORE10</v>
      </c>
      <c r="F1164">
        <v>2</v>
      </c>
      <c r="G1164">
        <f>IF(ISBLANK(F1164),MODE($F$2:$F$2001),F1164)</f>
        <v>2</v>
      </c>
      <c r="H1164">
        <v>913.08</v>
      </c>
      <c r="I1164">
        <f>IF(ISBLANK(H1164),AVERAGE($H$2:$H$2001),H1164)</f>
        <v>913.08</v>
      </c>
      <c r="J1164">
        <v>0.26</v>
      </c>
      <c r="K1164">
        <f>IF(ISBLANK(J1164),MODE($J$2:$J$2001),J1164)</f>
        <v>0.26</v>
      </c>
      <c r="L1164" t="s">
        <v>1824</v>
      </c>
      <c r="M1164">
        <v>1351.3584000000001</v>
      </c>
      <c r="N1164">
        <f t="shared" si="18"/>
        <v>1351.3584000000001</v>
      </c>
      <c r="O1164" t="str">
        <f>_xlfn.XLOOKUP(Sales_fact[[#This Row],[Customer_ID]],'Customer_Dim'!A:A,'Customer_Dim'!K:K,"Not Found")</f>
        <v>Silver</v>
      </c>
      <c r="P1164">
        <f>_xlfn.XLOOKUP(Sales_fact[[#This Row],[Customer_ID]],'Customer_Dim'!A:A, 'Customer_Dim'!E:E, "Not Found")</f>
        <v>42</v>
      </c>
      <c r="Q1164" t="str">
        <f>VLOOKUP(Sales_fact[[#This Row],[Customer_ID]], 'Customer_Dim'!A:F, 6, FALSE)</f>
        <v>Male</v>
      </c>
      <c r="R1164" s="13" t="str">
        <f>_xlfn.XLOOKUP(Sales_fact[[#This Row],[Product_ID]],Product_Dim!A:A,Product_Dim!C:C,"OTHERS")</f>
        <v>Beauty</v>
      </c>
    </row>
    <row r="1165" spans="1:18" x14ac:dyDescent="0.3">
      <c r="A1165" t="s">
        <v>2989</v>
      </c>
      <c r="B1165" s="2">
        <v>45691</v>
      </c>
      <c r="C1165" t="s">
        <v>776</v>
      </c>
      <c r="D1165" t="s">
        <v>1710</v>
      </c>
      <c r="E1165" t="str">
        <f ca="1">TRIM(Sales_fact[[#This Row],[Store_ID]])</f>
        <v>STORE1</v>
      </c>
      <c r="F1165">
        <v>1</v>
      </c>
      <c r="G1165">
        <f>IF(ISBLANK(F1165),MODE($F$2:$F$2001),F1165)</f>
        <v>1</v>
      </c>
      <c r="H1165">
        <v>791.83</v>
      </c>
      <c r="I1165">
        <f>IF(ISBLANK(H1165),AVERAGE($H$2:$H$2001),H1165)</f>
        <v>791.83</v>
      </c>
      <c r="J1165">
        <v>0.28000000000000003</v>
      </c>
      <c r="K1165">
        <f>IF(ISBLANK(J1165),MODE($J$2:$J$2001),J1165)</f>
        <v>0.28000000000000003</v>
      </c>
      <c r="L1165" t="s">
        <v>1826</v>
      </c>
      <c r="M1165">
        <v>570.11760000000004</v>
      </c>
      <c r="N1165">
        <f t="shared" si="18"/>
        <v>570.11760000000004</v>
      </c>
      <c r="O1165" t="str">
        <f>_xlfn.XLOOKUP(Sales_fact[[#This Row],[Customer_ID]],'Customer_Dim'!A:A,'Customer_Dim'!K:K,"Not Found")</f>
        <v>Silver</v>
      </c>
      <c r="P1165">
        <f>_xlfn.XLOOKUP(Sales_fact[[#This Row],[Customer_ID]],'Customer_Dim'!A:A, 'Customer_Dim'!E:E, "Not Found")</f>
        <v>58</v>
      </c>
      <c r="Q1165" t="str">
        <f>VLOOKUP(Sales_fact[[#This Row],[Customer_ID]], 'Customer_Dim'!A:F, 6, FALSE)</f>
        <v>Female</v>
      </c>
      <c r="R1165" s="13" t="str">
        <f>_xlfn.XLOOKUP(Sales_fact[[#This Row],[Product_ID]],Product_Dim!A:A,Product_Dim!C:C,"OTHERS")</f>
        <v>Sports</v>
      </c>
    </row>
    <row r="1166" spans="1:18" x14ac:dyDescent="0.3">
      <c r="A1166" t="s">
        <v>2990</v>
      </c>
      <c r="B1166" s="2">
        <v>45506</v>
      </c>
      <c r="C1166" t="s">
        <v>1452</v>
      </c>
      <c r="D1166" t="s">
        <v>1551</v>
      </c>
      <c r="E1166" t="str">
        <f ca="1">TRIM(Sales_fact[[#This Row],[Store_ID]])</f>
        <v>STORE15</v>
      </c>
      <c r="F1166">
        <v>1</v>
      </c>
      <c r="G1166">
        <f>IF(ISBLANK(F1166),MODE($F$2:$F$2001),F1166)</f>
        <v>1</v>
      </c>
      <c r="H1166">
        <v>74.290000000000006</v>
      </c>
      <c r="I1166">
        <f>IF(ISBLANK(H1166),AVERAGE($H$2:$H$2001),H1166)</f>
        <v>74.290000000000006</v>
      </c>
      <c r="J1166">
        <v>0.3</v>
      </c>
      <c r="K1166">
        <f>IF(ISBLANK(J1166),MODE($J$2:$J$2001),J1166)</f>
        <v>0.3</v>
      </c>
      <c r="L1166" t="s">
        <v>1829</v>
      </c>
      <c r="M1166">
        <v>52.003</v>
      </c>
      <c r="N1166">
        <f t="shared" si="18"/>
        <v>52.003</v>
      </c>
      <c r="O1166" t="str">
        <f>_xlfn.XLOOKUP(Sales_fact[[#This Row],[Customer_ID]],'Customer_Dim'!A:A,'Customer_Dim'!K:K,"Not Found")</f>
        <v>Platinum</v>
      </c>
      <c r="P1166">
        <f>_xlfn.XLOOKUP(Sales_fact[[#This Row],[Customer_ID]],'Customer_Dim'!A:A, 'Customer_Dim'!E:E, "Not Found")</f>
        <v>42</v>
      </c>
      <c r="Q1166" t="str">
        <f>VLOOKUP(Sales_fact[[#This Row],[Customer_ID]], 'Customer_Dim'!A:F, 6, FALSE)</f>
        <v>Male</v>
      </c>
      <c r="R1166" s="13" t="str">
        <f>_xlfn.XLOOKUP(Sales_fact[[#This Row],[Product_ID]],Product_Dim!A:A,Product_Dim!C:C,"OTHERS")</f>
        <v>OTHERS</v>
      </c>
    </row>
    <row r="1167" spans="1:18" x14ac:dyDescent="0.3">
      <c r="A1167" t="s">
        <v>2991</v>
      </c>
      <c r="B1167" s="2">
        <v>45251</v>
      </c>
      <c r="C1167" t="s">
        <v>779</v>
      </c>
      <c r="D1167" t="s">
        <v>1618</v>
      </c>
      <c r="E1167" t="str">
        <f ca="1">TRIM(Sales_fact[[#This Row],[Store_ID]])</f>
        <v>STORE0</v>
      </c>
      <c r="F1167">
        <v>2</v>
      </c>
      <c r="G1167">
        <f>IF(ISBLANK(F1167),MODE($F$2:$F$2001),F1167)</f>
        <v>2</v>
      </c>
      <c r="H1167">
        <v>961.68</v>
      </c>
      <c r="I1167">
        <f>IF(ISBLANK(H1167),AVERAGE($H$2:$H$2001),H1167)</f>
        <v>961.68</v>
      </c>
      <c r="J1167">
        <v>0.27</v>
      </c>
      <c r="K1167">
        <f>IF(ISBLANK(J1167),MODE($J$2:$J$2001),J1167)</f>
        <v>0.27</v>
      </c>
      <c r="L1167" t="s">
        <v>1826</v>
      </c>
      <c r="M1167">
        <v>1404.0527999999999</v>
      </c>
      <c r="N1167">
        <f t="shared" si="18"/>
        <v>1404.0527999999999</v>
      </c>
      <c r="O1167" t="str">
        <f>_xlfn.XLOOKUP(Sales_fact[[#This Row],[Customer_ID]],'Customer_Dim'!A:A,'Customer_Dim'!K:K,"Not Found")</f>
        <v>Gold</v>
      </c>
      <c r="P1167">
        <f>_xlfn.XLOOKUP(Sales_fact[[#This Row],[Customer_ID]],'Customer_Dim'!A:A, 'Customer_Dim'!E:E, "Not Found")</f>
        <v>56</v>
      </c>
      <c r="Q1167" t="str">
        <f>VLOOKUP(Sales_fact[[#This Row],[Customer_ID]], 'Customer_Dim'!A:F, 6, FALSE)</f>
        <v>Female</v>
      </c>
      <c r="R1167" s="13" t="str">
        <f>_xlfn.XLOOKUP(Sales_fact[[#This Row],[Product_ID]],Product_Dim!A:A,Product_Dim!C:C,"OTHERS")</f>
        <v>Home</v>
      </c>
    </row>
    <row r="1168" spans="1:18" x14ac:dyDescent="0.3">
      <c r="A1168" t="s">
        <v>2992</v>
      </c>
      <c r="B1168" s="2">
        <v>45722</v>
      </c>
      <c r="C1168" t="s">
        <v>1518</v>
      </c>
      <c r="D1168" t="s">
        <v>1586</v>
      </c>
      <c r="E1168" t="str">
        <f ca="1">TRIM(Sales_fact[[#This Row],[Store_ID]])</f>
        <v>STORE14</v>
      </c>
      <c r="F1168">
        <v>1</v>
      </c>
      <c r="G1168">
        <f>IF(ISBLANK(F1168),MODE($F$2:$F$2001),F1168)</f>
        <v>1</v>
      </c>
      <c r="H1168">
        <v>90.72</v>
      </c>
      <c r="I1168">
        <f>IF(ISBLANK(H1168),AVERAGE($H$2:$H$2001),H1168)</f>
        <v>90.72</v>
      </c>
      <c r="J1168">
        <v>0.1</v>
      </c>
      <c r="K1168">
        <f>IF(ISBLANK(J1168),MODE($J$2:$J$2001),J1168)</f>
        <v>0.1</v>
      </c>
      <c r="L1168" t="s">
        <v>1826</v>
      </c>
      <c r="M1168">
        <v>81.647999999999996</v>
      </c>
      <c r="N1168">
        <f t="shared" si="18"/>
        <v>81.647999999999996</v>
      </c>
      <c r="O1168" t="str">
        <f>_xlfn.XLOOKUP(Sales_fact[[#This Row],[Customer_ID]],'Customer_Dim'!A:A,'Customer_Dim'!K:K,"Not Found")</f>
        <v>Gold</v>
      </c>
      <c r="P1168">
        <f>_xlfn.XLOOKUP(Sales_fact[[#This Row],[Customer_ID]],'Customer_Dim'!A:A, 'Customer_Dim'!E:E, "Not Found")</f>
        <v>21</v>
      </c>
      <c r="Q1168" t="str">
        <f>VLOOKUP(Sales_fact[[#This Row],[Customer_ID]], 'Customer_Dim'!A:F, 6, FALSE)</f>
        <v>Male</v>
      </c>
      <c r="R1168" s="13" t="str">
        <f>_xlfn.XLOOKUP(Sales_fact[[#This Row],[Product_ID]],Product_Dim!A:A,Product_Dim!C:C,"OTHERS")</f>
        <v>Sports</v>
      </c>
    </row>
    <row r="1169" spans="1:18" x14ac:dyDescent="0.3">
      <c r="A1169" t="s">
        <v>2993</v>
      </c>
      <c r="B1169" s="2">
        <v>45689</v>
      </c>
      <c r="C1169" t="s">
        <v>224</v>
      </c>
      <c r="D1169" t="s">
        <v>1664</v>
      </c>
      <c r="E1169" t="str">
        <f ca="1">TRIM(Sales_fact[[#This Row],[Store_ID]])</f>
        <v>STORE7</v>
      </c>
      <c r="F1169">
        <v>1</v>
      </c>
      <c r="G1169">
        <f>IF(ISBLANK(F1169),MODE($F$2:$F$2001),F1169)</f>
        <v>1</v>
      </c>
      <c r="H1169">
        <v>458.69</v>
      </c>
      <c r="I1169">
        <f>IF(ISBLANK(H1169),AVERAGE($H$2:$H$2001),H1169)</f>
        <v>458.69</v>
      </c>
      <c r="J1169">
        <v>0.16</v>
      </c>
      <c r="K1169">
        <f>IF(ISBLANK(J1169),MODE($J$2:$J$2001),J1169)</f>
        <v>0.16</v>
      </c>
      <c r="L1169" t="s">
        <v>1826</v>
      </c>
      <c r="M1169">
        <v>385.2996</v>
      </c>
      <c r="N1169">
        <f t="shared" si="18"/>
        <v>385.2996</v>
      </c>
      <c r="O1169" t="str">
        <f>_xlfn.XLOOKUP(Sales_fact[[#This Row],[Customer_ID]],'Customer_Dim'!A:A,'Customer_Dim'!K:K,"Not Found")</f>
        <v>Silver</v>
      </c>
      <c r="P1169">
        <f>_xlfn.XLOOKUP(Sales_fact[[#This Row],[Customer_ID]],'Customer_Dim'!A:A, 'Customer_Dim'!E:E, "Not Found")</f>
        <v>22</v>
      </c>
      <c r="Q1169" t="str">
        <f>VLOOKUP(Sales_fact[[#This Row],[Customer_ID]], 'Customer_Dim'!A:F, 6, FALSE)</f>
        <v>Female</v>
      </c>
      <c r="R1169" s="13" t="str">
        <f>_xlfn.XLOOKUP(Sales_fact[[#This Row],[Product_ID]],Product_Dim!A:A,Product_Dim!C:C,"OTHERS")</f>
        <v>Clothing</v>
      </c>
    </row>
    <row r="1170" spans="1:18" x14ac:dyDescent="0.3">
      <c r="A1170" t="s">
        <v>2994</v>
      </c>
      <c r="B1170" s="2">
        <v>45346</v>
      </c>
      <c r="C1170" t="s">
        <v>743</v>
      </c>
      <c r="D1170" t="s">
        <v>1616</v>
      </c>
      <c r="E1170" t="str">
        <f ca="1">TRIM(Sales_fact[[#This Row],[Store_ID]])</f>
        <v>STORE7</v>
      </c>
      <c r="F1170">
        <v>1</v>
      </c>
      <c r="G1170">
        <f>IF(ISBLANK(F1170),MODE($F$2:$F$2001),F1170)</f>
        <v>1</v>
      </c>
      <c r="H1170">
        <v>168.29</v>
      </c>
      <c r="I1170">
        <f>IF(ISBLANK(H1170),AVERAGE($H$2:$H$2001),H1170)</f>
        <v>168.29</v>
      </c>
      <c r="J1170">
        <v>0.05</v>
      </c>
      <c r="K1170">
        <f>IF(ISBLANK(J1170),MODE($J$2:$J$2001),J1170)</f>
        <v>0.05</v>
      </c>
      <c r="L1170" t="s">
        <v>1826</v>
      </c>
      <c r="M1170">
        <v>159.87549999999999</v>
      </c>
      <c r="N1170">
        <f t="shared" si="18"/>
        <v>159.87549999999999</v>
      </c>
      <c r="O1170" t="str">
        <f>_xlfn.XLOOKUP(Sales_fact[[#This Row],[Customer_ID]],'Customer_Dim'!A:A,'Customer_Dim'!K:K,"Not Found")</f>
        <v>Bronze</v>
      </c>
      <c r="P1170">
        <f>_xlfn.XLOOKUP(Sales_fact[[#This Row],[Customer_ID]],'Customer_Dim'!A:A, 'Customer_Dim'!E:E, "Not Found")</f>
        <v>22</v>
      </c>
      <c r="Q1170" t="str">
        <f>VLOOKUP(Sales_fact[[#This Row],[Customer_ID]], 'Customer_Dim'!A:F, 6, FALSE)</f>
        <v>Female</v>
      </c>
      <c r="R1170" s="13" t="str">
        <f>_xlfn.XLOOKUP(Sales_fact[[#This Row],[Product_ID]],Product_Dim!A:A,Product_Dim!C:C,"OTHERS")</f>
        <v>Electronics</v>
      </c>
    </row>
    <row r="1171" spans="1:18" x14ac:dyDescent="0.3">
      <c r="A1171" t="s">
        <v>2995</v>
      </c>
      <c r="B1171" s="2">
        <v>45549</v>
      </c>
      <c r="C1171" t="s">
        <v>687</v>
      </c>
      <c r="D1171" t="s">
        <v>1582</v>
      </c>
      <c r="E1171" t="str">
        <f ca="1">TRIM(Sales_fact[[#This Row],[Store_ID]])</f>
        <v>STORE17</v>
      </c>
      <c r="F1171">
        <v>1</v>
      </c>
      <c r="G1171">
        <f>IF(ISBLANK(F1171),MODE($F$2:$F$2001),F1171)</f>
        <v>1</v>
      </c>
      <c r="H1171">
        <v>391.77</v>
      </c>
      <c r="I1171">
        <f>IF(ISBLANK(H1171),AVERAGE($H$2:$H$2001),H1171)</f>
        <v>391.77</v>
      </c>
      <c r="J1171">
        <v>0.1</v>
      </c>
      <c r="K1171">
        <f>IF(ISBLANK(J1171),MODE($J$2:$J$2001),J1171)</f>
        <v>0.1</v>
      </c>
      <c r="L1171" t="s">
        <v>1826</v>
      </c>
      <c r="M1171">
        <v>352.59300000000002</v>
      </c>
      <c r="N1171">
        <f t="shared" si="18"/>
        <v>352.59300000000002</v>
      </c>
      <c r="O1171" t="str">
        <f>_xlfn.XLOOKUP(Sales_fact[[#This Row],[Customer_ID]],'Customer_Dim'!A:A,'Customer_Dim'!K:K,"Not Found")</f>
        <v>Silver</v>
      </c>
      <c r="P1171">
        <f>_xlfn.XLOOKUP(Sales_fact[[#This Row],[Customer_ID]],'Customer_Dim'!A:A, 'Customer_Dim'!E:E, "Not Found")</f>
        <v>20</v>
      </c>
      <c r="Q1171" t="str">
        <f>VLOOKUP(Sales_fact[[#This Row],[Customer_ID]], 'Customer_Dim'!A:F, 6, FALSE)</f>
        <v>Female</v>
      </c>
      <c r="R1171" s="13" t="str">
        <f>_xlfn.XLOOKUP(Sales_fact[[#This Row],[Product_ID]],Product_Dim!A:A,Product_Dim!C:C,"OTHERS")</f>
        <v>Sports</v>
      </c>
    </row>
    <row r="1172" spans="1:18" x14ac:dyDescent="0.3">
      <c r="A1172" t="s">
        <v>2996</v>
      </c>
      <c r="B1172" s="2">
        <v>45900</v>
      </c>
      <c r="C1172" t="s">
        <v>1077</v>
      </c>
      <c r="D1172" t="s">
        <v>1572</v>
      </c>
      <c r="E1172" t="str">
        <f ca="1">TRIM(Sales_fact[[#This Row],[Store_ID]])</f>
        <v>STORE14</v>
      </c>
      <c r="F1172">
        <v>1</v>
      </c>
      <c r="G1172">
        <f>IF(ISBLANK(F1172),MODE($F$2:$F$2001),F1172)</f>
        <v>1</v>
      </c>
      <c r="H1172">
        <v>424.83</v>
      </c>
      <c r="I1172">
        <f>IF(ISBLANK(H1172),AVERAGE($H$2:$H$2001),H1172)</f>
        <v>424.83</v>
      </c>
      <c r="J1172">
        <v>0.05</v>
      </c>
      <c r="K1172">
        <f>IF(ISBLANK(J1172),MODE($J$2:$J$2001),J1172)</f>
        <v>0.05</v>
      </c>
      <c r="L1172" t="s">
        <v>1829</v>
      </c>
      <c r="M1172">
        <v>403.58850000000001</v>
      </c>
      <c r="N1172">
        <f t="shared" si="18"/>
        <v>403.58849999999995</v>
      </c>
      <c r="O1172" t="str">
        <f>_xlfn.XLOOKUP(Sales_fact[[#This Row],[Customer_ID]],'Customer_Dim'!A:A,'Customer_Dim'!K:K,"Not Found")</f>
        <v>Bronze</v>
      </c>
      <c r="P1172">
        <f>_xlfn.XLOOKUP(Sales_fact[[#This Row],[Customer_ID]],'Customer_Dim'!A:A, 'Customer_Dim'!E:E, "Not Found")</f>
        <v>38</v>
      </c>
      <c r="Q1172" t="str">
        <f>VLOOKUP(Sales_fact[[#This Row],[Customer_ID]], 'Customer_Dim'!A:F, 6, FALSE)</f>
        <v>Male</v>
      </c>
      <c r="R1172" s="13" t="str">
        <f>_xlfn.XLOOKUP(Sales_fact[[#This Row],[Product_ID]],Product_Dim!A:A,Product_Dim!C:C,"OTHERS")</f>
        <v>Beauty</v>
      </c>
    </row>
    <row r="1173" spans="1:18" x14ac:dyDescent="0.3">
      <c r="A1173" t="s">
        <v>2997</v>
      </c>
      <c r="B1173" s="2">
        <v>45308</v>
      </c>
      <c r="C1173" t="s">
        <v>202</v>
      </c>
      <c r="D1173" t="s">
        <v>1570</v>
      </c>
      <c r="E1173" t="str">
        <f ca="1">TRIM(Sales_fact[[#This Row],[Store_ID]])</f>
        <v>STORE3</v>
      </c>
      <c r="F1173">
        <v>1</v>
      </c>
      <c r="G1173">
        <f>IF(ISBLANK(F1173),MODE($F$2:$F$2001),F1173)</f>
        <v>1</v>
      </c>
      <c r="H1173">
        <v>499.46</v>
      </c>
      <c r="I1173">
        <f>IF(ISBLANK(H1173),AVERAGE($H$2:$H$2001),H1173)</f>
        <v>499.46</v>
      </c>
      <c r="J1173">
        <v>0.1</v>
      </c>
      <c r="K1173">
        <f>IF(ISBLANK(J1173),MODE($J$2:$J$2001),J1173)</f>
        <v>0.1</v>
      </c>
      <c r="L1173" t="s">
        <v>1824</v>
      </c>
      <c r="M1173">
        <v>449.51400000000001</v>
      </c>
      <c r="N1173">
        <f t="shared" si="18"/>
        <v>449.51400000000001</v>
      </c>
      <c r="O1173" t="str">
        <f>_xlfn.XLOOKUP(Sales_fact[[#This Row],[Customer_ID]],'Customer_Dim'!A:A,'Customer_Dim'!K:K,"Not Found")</f>
        <v>Gold</v>
      </c>
      <c r="P1173">
        <f>_xlfn.XLOOKUP(Sales_fact[[#This Row],[Customer_ID]],'Customer_Dim'!A:A, 'Customer_Dim'!E:E, "Not Found")</f>
        <v>37</v>
      </c>
      <c r="Q1173" t="str">
        <f>VLOOKUP(Sales_fact[[#This Row],[Customer_ID]], 'Customer_Dim'!A:F, 6, FALSE)</f>
        <v>Female</v>
      </c>
      <c r="R1173" s="13" t="str">
        <f>_xlfn.XLOOKUP(Sales_fact[[#This Row],[Product_ID]],Product_Dim!A:A,Product_Dim!C:C,"OTHERS")</f>
        <v>Electronics</v>
      </c>
    </row>
    <row r="1174" spans="1:18" x14ac:dyDescent="0.3">
      <c r="A1174" t="s">
        <v>2998</v>
      </c>
      <c r="B1174" s="2">
        <v>45336</v>
      </c>
      <c r="C1174" t="s">
        <v>85</v>
      </c>
      <c r="D1174" t="s">
        <v>1746</v>
      </c>
      <c r="E1174" t="str">
        <f ca="1">TRIM(Sales_fact[[#This Row],[Store_ID]])</f>
        <v>STORE1</v>
      </c>
      <c r="F1174">
        <v>2</v>
      </c>
      <c r="G1174">
        <f>IF(ISBLANK(F1174),MODE($F$2:$F$2001),F1174)</f>
        <v>2</v>
      </c>
      <c r="H1174">
        <v>698.34</v>
      </c>
      <c r="I1174">
        <f>IF(ISBLANK(H1174),AVERAGE($H$2:$H$2001),H1174)</f>
        <v>698.34</v>
      </c>
      <c r="J1174">
        <v>0.15</v>
      </c>
      <c r="K1174">
        <f>IF(ISBLANK(J1174),MODE($J$2:$J$2001),J1174)</f>
        <v>0.15</v>
      </c>
      <c r="L1174" t="s">
        <v>1826</v>
      </c>
      <c r="M1174">
        <v>1187.1780000000001</v>
      </c>
      <c r="N1174">
        <f t="shared" si="18"/>
        <v>1187.1780000000001</v>
      </c>
      <c r="O1174" t="str">
        <f>_xlfn.XLOOKUP(Sales_fact[[#This Row],[Customer_ID]],'Customer_Dim'!A:A,'Customer_Dim'!K:K,"Not Found")</f>
        <v>Platinum</v>
      </c>
      <c r="P1174">
        <f>_xlfn.XLOOKUP(Sales_fact[[#This Row],[Customer_ID]],'Customer_Dim'!A:A, 'Customer_Dim'!E:E, "Not Found")</f>
        <v>46</v>
      </c>
      <c r="Q1174" t="str">
        <f>VLOOKUP(Sales_fact[[#This Row],[Customer_ID]], 'Customer_Dim'!A:F, 6, FALSE)</f>
        <v>Female</v>
      </c>
      <c r="R1174" s="13" t="str">
        <f>_xlfn.XLOOKUP(Sales_fact[[#This Row],[Product_ID]],Product_Dim!A:A,Product_Dim!C:C,"OTHERS")</f>
        <v>Home</v>
      </c>
    </row>
    <row r="1175" spans="1:18" x14ac:dyDescent="0.3">
      <c r="A1175" t="s">
        <v>2999</v>
      </c>
      <c r="B1175" s="2">
        <v>45213</v>
      </c>
      <c r="C1175" t="s">
        <v>899</v>
      </c>
      <c r="D1175" t="s">
        <v>1660</v>
      </c>
      <c r="E1175" t="str">
        <f ca="1">TRIM(Sales_fact[[#This Row],[Store_ID]])</f>
        <v>STORE16</v>
      </c>
      <c r="F1175">
        <v>2</v>
      </c>
      <c r="G1175">
        <f>IF(ISBLANK(F1175),MODE($F$2:$F$2001),F1175)</f>
        <v>2</v>
      </c>
      <c r="H1175">
        <v>805.08</v>
      </c>
      <c r="I1175">
        <f>IF(ISBLANK(H1175),AVERAGE($H$2:$H$2001),H1175)</f>
        <v>805.08</v>
      </c>
      <c r="J1175">
        <v>0.27</v>
      </c>
      <c r="K1175">
        <f>IF(ISBLANK(J1175),MODE($J$2:$J$2001),J1175)</f>
        <v>0.27</v>
      </c>
      <c r="L1175" t="s">
        <v>1826</v>
      </c>
      <c r="M1175">
        <v>1175.4168</v>
      </c>
      <c r="N1175">
        <f t="shared" si="18"/>
        <v>1175.4168</v>
      </c>
      <c r="O1175" t="str">
        <f>_xlfn.XLOOKUP(Sales_fact[[#This Row],[Customer_ID]],'Customer_Dim'!A:A,'Customer_Dim'!K:K,"Not Found")</f>
        <v>Silver</v>
      </c>
      <c r="P1175">
        <f>_xlfn.XLOOKUP(Sales_fact[[#This Row],[Customer_ID]],'Customer_Dim'!A:A, 'Customer_Dim'!E:E, "Not Found")</f>
        <v>54</v>
      </c>
      <c r="Q1175" t="str">
        <f>VLOOKUP(Sales_fact[[#This Row],[Customer_ID]], 'Customer_Dim'!A:F, 6, FALSE)</f>
        <v>Female</v>
      </c>
      <c r="R1175" s="13" t="str">
        <f>_xlfn.XLOOKUP(Sales_fact[[#This Row],[Product_ID]],Product_Dim!A:A,Product_Dim!C:C,"OTHERS")</f>
        <v>Home</v>
      </c>
    </row>
    <row r="1176" spans="1:18" x14ac:dyDescent="0.3">
      <c r="A1176" t="s">
        <v>3000</v>
      </c>
      <c r="B1176" s="2">
        <v>45742</v>
      </c>
      <c r="C1176" t="s">
        <v>1437</v>
      </c>
      <c r="D1176" t="s">
        <v>1700</v>
      </c>
      <c r="E1176" t="str">
        <f ca="1">TRIM(Sales_fact[[#This Row],[Store_ID]])</f>
        <v>STORE2</v>
      </c>
      <c r="F1176">
        <v>4</v>
      </c>
      <c r="G1176">
        <f>IF(ISBLANK(F1176),MODE($F$2:$F$2001),F1176)</f>
        <v>4</v>
      </c>
      <c r="H1176">
        <v>934.79</v>
      </c>
      <c r="I1176">
        <f>IF(ISBLANK(H1176),AVERAGE($H$2:$H$2001),H1176)</f>
        <v>934.79</v>
      </c>
      <c r="J1176">
        <v>0.08</v>
      </c>
      <c r="K1176">
        <f>IF(ISBLANK(J1176),MODE($J$2:$J$2001),J1176)</f>
        <v>0.08</v>
      </c>
      <c r="L1176" t="s">
        <v>1826</v>
      </c>
      <c r="M1176">
        <v>3440.0272</v>
      </c>
      <c r="N1176">
        <f t="shared" si="18"/>
        <v>3440.0272</v>
      </c>
      <c r="O1176" t="str">
        <f>_xlfn.XLOOKUP(Sales_fact[[#This Row],[Customer_ID]],'Customer_Dim'!A:A,'Customer_Dim'!K:K,"Not Found")</f>
        <v>Silver</v>
      </c>
      <c r="P1176">
        <f>_xlfn.XLOOKUP(Sales_fact[[#This Row],[Customer_ID]],'Customer_Dim'!A:A, 'Customer_Dim'!E:E, "Not Found")</f>
        <v>18</v>
      </c>
      <c r="Q1176" t="str">
        <f>VLOOKUP(Sales_fact[[#This Row],[Customer_ID]], 'Customer_Dim'!A:F, 6, FALSE)</f>
        <v>Male</v>
      </c>
      <c r="R1176" s="13" t="str">
        <f>_xlfn.XLOOKUP(Sales_fact[[#This Row],[Product_ID]],Product_Dim!A:A,Product_Dim!C:C,"OTHERS")</f>
        <v>Electronics</v>
      </c>
    </row>
    <row r="1177" spans="1:18" x14ac:dyDescent="0.3">
      <c r="A1177" t="s">
        <v>3001</v>
      </c>
      <c r="B1177" s="2">
        <v>45932</v>
      </c>
      <c r="C1177" t="s">
        <v>85</v>
      </c>
      <c r="D1177" t="s">
        <v>1668</v>
      </c>
      <c r="E1177" t="str">
        <f ca="1">TRIM(Sales_fact[[#This Row],[Store_ID]])</f>
        <v>STORE1</v>
      </c>
      <c r="F1177">
        <v>2</v>
      </c>
      <c r="G1177">
        <f>IF(ISBLANK(F1177),MODE($F$2:$F$2001),F1177)</f>
        <v>2</v>
      </c>
      <c r="H1177">
        <v>424.54</v>
      </c>
      <c r="I1177">
        <f>IF(ISBLANK(H1177),AVERAGE($H$2:$H$2001),H1177)</f>
        <v>424.54</v>
      </c>
      <c r="J1177">
        <v>0.24</v>
      </c>
      <c r="K1177">
        <f>IF(ISBLANK(J1177),MODE($J$2:$J$2001),J1177)</f>
        <v>0.24</v>
      </c>
      <c r="L1177" t="s">
        <v>1826</v>
      </c>
      <c r="M1177">
        <v>645.30080000000009</v>
      </c>
      <c r="N1177">
        <f t="shared" si="18"/>
        <v>645.30080000000009</v>
      </c>
      <c r="O1177" t="str">
        <f>_xlfn.XLOOKUP(Sales_fact[[#This Row],[Customer_ID]],'Customer_Dim'!A:A,'Customer_Dim'!K:K,"Not Found")</f>
        <v>Platinum</v>
      </c>
      <c r="P1177">
        <f>_xlfn.XLOOKUP(Sales_fact[[#This Row],[Customer_ID]],'Customer_Dim'!A:A, 'Customer_Dim'!E:E, "Not Found")</f>
        <v>46</v>
      </c>
      <c r="Q1177" t="str">
        <f>VLOOKUP(Sales_fact[[#This Row],[Customer_ID]], 'Customer_Dim'!A:F, 6, FALSE)</f>
        <v>Female</v>
      </c>
      <c r="R1177" s="13" t="str">
        <f>_xlfn.XLOOKUP(Sales_fact[[#This Row],[Product_ID]],Product_Dim!A:A,Product_Dim!C:C,"OTHERS")</f>
        <v>Beauty</v>
      </c>
    </row>
    <row r="1178" spans="1:18" x14ac:dyDescent="0.3">
      <c r="A1178" t="s">
        <v>3002</v>
      </c>
      <c r="B1178" s="2">
        <v>45462</v>
      </c>
      <c r="C1178" t="s">
        <v>1029</v>
      </c>
      <c r="D1178" t="s">
        <v>1716</v>
      </c>
      <c r="E1178" t="str">
        <f ca="1">TRIM(Sales_fact[[#This Row],[Store_ID]])</f>
        <v>STORE17</v>
      </c>
      <c r="F1178">
        <v>1</v>
      </c>
      <c r="G1178">
        <f>IF(ISBLANK(F1178),MODE($F$2:$F$2001),F1178)</f>
        <v>1</v>
      </c>
      <c r="H1178">
        <v>235.44</v>
      </c>
      <c r="I1178">
        <f>IF(ISBLANK(H1178),AVERAGE($H$2:$H$2001),H1178)</f>
        <v>235.44</v>
      </c>
      <c r="J1178">
        <v>0.19</v>
      </c>
      <c r="K1178">
        <f>IF(ISBLANK(J1178),MODE($J$2:$J$2001),J1178)</f>
        <v>0.19</v>
      </c>
      <c r="L1178" t="s">
        <v>1829</v>
      </c>
      <c r="M1178">
        <v>190.7064</v>
      </c>
      <c r="N1178">
        <f t="shared" si="18"/>
        <v>190.7064</v>
      </c>
      <c r="O1178" t="str">
        <f>_xlfn.XLOOKUP(Sales_fact[[#This Row],[Customer_ID]],'Customer_Dim'!A:A,'Customer_Dim'!K:K,"Not Found")</f>
        <v>Bronze</v>
      </c>
      <c r="P1178">
        <f>_xlfn.XLOOKUP(Sales_fact[[#This Row],[Customer_ID]],'Customer_Dim'!A:A, 'Customer_Dim'!E:E, "Not Found")</f>
        <v>62</v>
      </c>
      <c r="Q1178" t="str">
        <f>VLOOKUP(Sales_fact[[#This Row],[Customer_ID]], 'Customer_Dim'!A:F, 6, FALSE)</f>
        <v>Female</v>
      </c>
      <c r="R1178" s="13" t="str">
        <f>_xlfn.XLOOKUP(Sales_fact[[#This Row],[Product_ID]],Product_Dim!A:A,Product_Dim!C:C,"OTHERS")</f>
        <v>Home</v>
      </c>
    </row>
    <row r="1179" spans="1:18" x14ac:dyDescent="0.3">
      <c r="A1179" t="s">
        <v>3003</v>
      </c>
      <c r="B1179" s="2">
        <v>45568</v>
      </c>
      <c r="C1179" t="s">
        <v>863</v>
      </c>
      <c r="D1179" t="s">
        <v>1646</v>
      </c>
      <c r="E1179" t="str">
        <f ca="1">TRIM(Sales_fact[[#This Row],[Store_ID]])</f>
        <v>STORE13</v>
      </c>
      <c r="F1179">
        <v>2</v>
      </c>
      <c r="G1179">
        <f>IF(ISBLANK(F1179),MODE($F$2:$F$2001),F1179)</f>
        <v>2</v>
      </c>
      <c r="H1179">
        <v>620.71</v>
      </c>
      <c r="I1179">
        <f>IF(ISBLANK(H1179),AVERAGE($H$2:$H$2001),H1179)</f>
        <v>620.71</v>
      </c>
      <c r="J1179">
        <v>0.27</v>
      </c>
      <c r="K1179">
        <f>IF(ISBLANK(J1179),MODE($J$2:$J$2001),J1179)</f>
        <v>0.27</v>
      </c>
      <c r="L1179" t="s">
        <v>1824</v>
      </c>
      <c r="M1179">
        <v>906.23660000000007</v>
      </c>
      <c r="N1179">
        <f t="shared" si="18"/>
        <v>906.23660000000007</v>
      </c>
      <c r="O1179" t="str">
        <f>_xlfn.XLOOKUP(Sales_fact[[#This Row],[Customer_ID]],'Customer_Dim'!A:A,'Customer_Dim'!K:K,"Not Found")</f>
        <v>Platinum</v>
      </c>
      <c r="P1179">
        <f>_xlfn.XLOOKUP(Sales_fact[[#This Row],[Customer_ID]],'Customer_Dim'!A:A, 'Customer_Dim'!E:E, "Not Found")</f>
        <v>64</v>
      </c>
      <c r="Q1179" t="str">
        <f>VLOOKUP(Sales_fact[[#This Row],[Customer_ID]], 'Customer_Dim'!A:F, 6, FALSE)</f>
        <v>Male</v>
      </c>
      <c r="R1179" s="13" t="str">
        <f>_xlfn.XLOOKUP(Sales_fact[[#This Row],[Product_ID]],Product_Dim!A:A,Product_Dim!C:C,"OTHERS")</f>
        <v>Beauty</v>
      </c>
    </row>
    <row r="1180" spans="1:18" x14ac:dyDescent="0.3">
      <c r="A1180" t="s">
        <v>3004</v>
      </c>
      <c r="B1180" s="2">
        <v>45397</v>
      </c>
      <c r="C1180" t="s">
        <v>402</v>
      </c>
      <c r="D1180" t="s">
        <v>1580</v>
      </c>
      <c r="E1180" t="str">
        <f ca="1">TRIM(Sales_fact[[#This Row],[Store_ID]])</f>
        <v>STORE11</v>
      </c>
      <c r="F1180">
        <v>2</v>
      </c>
      <c r="G1180">
        <f>IF(ISBLANK(F1180),MODE($F$2:$F$2001),F1180)</f>
        <v>2</v>
      </c>
      <c r="H1180">
        <v>851.77</v>
      </c>
      <c r="I1180">
        <f>IF(ISBLANK(H1180),AVERAGE($H$2:$H$2001),H1180)</f>
        <v>851.77</v>
      </c>
      <c r="J1180">
        <v>0.13</v>
      </c>
      <c r="K1180">
        <f>IF(ISBLANK(J1180),MODE($J$2:$J$2001),J1180)</f>
        <v>0.13</v>
      </c>
      <c r="L1180" t="s">
        <v>1826</v>
      </c>
      <c r="M1180">
        <v>1482.0798</v>
      </c>
      <c r="N1180">
        <f t="shared" si="18"/>
        <v>1482.0798</v>
      </c>
      <c r="O1180" t="str">
        <f>_xlfn.XLOOKUP(Sales_fact[[#This Row],[Customer_ID]],'Customer_Dim'!A:A,'Customer_Dim'!K:K,"Not Found")</f>
        <v>Platinum</v>
      </c>
      <c r="P1180">
        <f>_xlfn.XLOOKUP(Sales_fact[[#This Row],[Customer_ID]],'Customer_Dim'!A:A, 'Customer_Dim'!E:E, "Not Found")</f>
        <v>53</v>
      </c>
      <c r="Q1180" t="str">
        <f>VLOOKUP(Sales_fact[[#This Row],[Customer_ID]], 'Customer_Dim'!A:F, 6, FALSE)</f>
        <v>Female</v>
      </c>
      <c r="R1180" s="13" t="str">
        <f>_xlfn.XLOOKUP(Sales_fact[[#This Row],[Product_ID]],Product_Dim!A:A,Product_Dim!C:C,"OTHERS")</f>
        <v>OTHERS</v>
      </c>
    </row>
    <row r="1181" spans="1:18" x14ac:dyDescent="0.3">
      <c r="A1181" t="s">
        <v>3005</v>
      </c>
      <c r="B1181" s="2">
        <v>45569</v>
      </c>
      <c r="C1181" t="s">
        <v>559</v>
      </c>
      <c r="D1181" t="s">
        <v>1638</v>
      </c>
      <c r="E1181" t="str">
        <f ca="1">TRIM(Sales_fact[[#This Row],[Store_ID]])</f>
        <v>STORE1</v>
      </c>
      <c r="F1181">
        <v>3</v>
      </c>
      <c r="G1181">
        <f>IF(ISBLANK(F1181),MODE($F$2:$F$2001),F1181)</f>
        <v>3</v>
      </c>
      <c r="H1181">
        <v>876.01</v>
      </c>
      <c r="I1181">
        <f>IF(ISBLANK(H1181),AVERAGE($H$2:$H$2001),H1181)</f>
        <v>876.01</v>
      </c>
      <c r="J1181">
        <v>0.2</v>
      </c>
      <c r="K1181">
        <f>IF(ISBLANK(J1181),MODE($J$2:$J$2001),J1181)</f>
        <v>0.2</v>
      </c>
      <c r="L1181" t="s">
        <v>1824</v>
      </c>
      <c r="M1181">
        <v>2102.424</v>
      </c>
      <c r="N1181">
        <f t="shared" si="18"/>
        <v>2102.424</v>
      </c>
      <c r="O1181" t="str">
        <f>_xlfn.XLOOKUP(Sales_fact[[#This Row],[Customer_ID]],'Customer_Dim'!A:A,'Customer_Dim'!K:K,"Not Found")</f>
        <v>Platinum</v>
      </c>
      <c r="P1181">
        <f>_xlfn.XLOOKUP(Sales_fact[[#This Row],[Customer_ID]],'Customer_Dim'!A:A, 'Customer_Dim'!E:E, "Not Found")</f>
        <v>36</v>
      </c>
      <c r="Q1181" t="str">
        <f>VLOOKUP(Sales_fact[[#This Row],[Customer_ID]], 'Customer_Dim'!A:F, 6, FALSE)</f>
        <v>Female</v>
      </c>
      <c r="R1181" s="13" t="str">
        <f>_xlfn.XLOOKUP(Sales_fact[[#This Row],[Product_ID]],Product_Dim!A:A,Product_Dim!C:C,"OTHERS")</f>
        <v>Sports</v>
      </c>
    </row>
    <row r="1182" spans="1:18" x14ac:dyDescent="0.3">
      <c r="A1182" t="s">
        <v>3006</v>
      </c>
      <c r="B1182" s="2">
        <v>45353</v>
      </c>
      <c r="C1182" t="s">
        <v>878</v>
      </c>
      <c r="D1182" t="s">
        <v>1602</v>
      </c>
      <c r="E1182" t="str">
        <f ca="1">TRIM(Sales_fact[[#This Row],[Store_ID]])</f>
        <v>STORE9</v>
      </c>
      <c r="F1182">
        <v>2</v>
      </c>
      <c r="G1182">
        <f>IF(ISBLANK(F1182),MODE($F$2:$F$2001),F1182)</f>
        <v>2</v>
      </c>
      <c r="H1182">
        <v>717.21</v>
      </c>
      <c r="I1182">
        <f>IF(ISBLANK(H1182),AVERAGE($H$2:$H$2001),H1182)</f>
        <v>717.21</v>
      </c>
      <c r="J1182">
        <v>0.15</v>
      </c>
      <c r="K1182">
        <f>IF(ISBLANK(J1182),MODE($J$2:$J$2001),J1182)</f>
        <v>0.15</v>
      </c>
      <c r="L1182" t="s">
        <v>1829</v>
      </c>
      <c r="M1182">
        <v>1219.2570000000001</v>
      </c>
      <c r="N1182">
        <f t="shared" si="18"/>
        <v>1219.2570000000001</v>
      </c>
      <c r="O1182" t="str">
        <f>_xlfn.XLOOKUP(Sales_fact[[#This Row],[Customer_ID]],'Customer_Dim'!A:A,'Customer_Dim'!K:K,"Not Found")</f>
        <v>Gold</v>
      </c>
      <c r="P1182">
        <f>_xlfn.XLOOKUP(Sales_fact[[#This Row],[Customer_ID]],'Customer_Dim'!A:A, 'Customer_Dim'!E:E, "Not Found")</f>
        <v>38</v>
      </c>
      <c r="Q1182" t="str">
        <f>VLOOKUP(Sales_fact[[#This Row],[Customer_ID]], 'Customer_Dim'!A:F, 6, FALSE)</f>
        <v>Male</v>
      </c>
      <c r="R1182" s="13" t="str">
        <f>_xlfn.XLOOKUP(Sales_fact[[#This Row],[Product_ID]],Product_Dim!A:A,Product_Dim!C:C,"OTHERS")</f>
        <v>Home</v>
      </c>
    </row>
    <row r="1183" spans="1:18" x14ac:dyDescent="0.3">
      <c r="A1183" t="s">
        <v>3007</v>
      </c>
      <c r="B1183" s="2">
        <v>45343</v>
      </c>
      <c r="C1183" t="s">
        <v>211</v>
      </c>
      <c r="D1183" t="s">
        <v>1630</v>
      </c>
      <c r="E1183" t="str">
        <f ca="1">TRIM(Sales_fact[[#This Row],[Store_ID]])</f>
        <v>STORE8</v>
      </c>
      <c r="F1183">
        <v>2</v>
      </c>
      <c r="G1183">
        <f>IF(ISBLANK(F1183),MODE($F$2:$F$2001),F1183)</f>
        <v>2</v>
      </c>
      <c r="H1183">
        <v>871.43</v>
      </c>
      <c r="I1183">
        <f>IF(ISBLANK(H1183),AVERAGE($H$2:$H$2001),H1183)</f>
        <v>871.43</v>
      </c>
      <c r="J1183">
        <v>0.05</v>
      </c>
      <c r="K1183">
        <f>IF(ISBLANK(J1183),MODE($J$2:$J$2001),J1183)</f>
        <v>0.05</v>
      </c>
      <c r="L1183" t="s">
        <v>1824</v>
      </c>
      <c r="M1183">
        <v>1655.7170000000001</v>
      </c>
      <c r="N1183">
        <f t="shared" si="18"/>
        <v>1655.7169999999999</v>
      </c>
      <c r="O1183" t="str">
        <f>_xlfn.XLOOKUP(Sales_fact[[#This Row],[Customer_ID]],'Customer_Dim'!A:A,'Customer_Dim'!K:K,"Not Found")</f>
        <v>Gold</v>
      </c>
      <c r="P1183">
        <f>_xlfn.XLOOKUP(Sales_fact[[#This Row],[Customer_ID]],'Customer_Dim'!A:A, 'Customer_Dim'!E:E, "Not Found")</f>
        <v>49</v>
      </c>
      <c r="Q1183" t="str">
        <f>VLOOKUP(Sales_fact[[#This Row],[Customer_ID]], 'Customer_Dim'!A:F, 6, FALSE)</f>
        <v>Female</v>
      </c>
      <c r="R1183" s="13" t="str">
        <f>_xlfn.XLOOKUP(Sales_fact[[#This Row],[Product_ID]],Product_Dim!A:A,Product_Dim!C:C,"OTHERS")</f>
        <v>Sports</v>
      </c>
    </row>
    <row r="1184" spans="1:18" x14ac:dyDescent="0.3">
      <c r="A1184" t="s">
        <v>3008</v>
      </c>
      <c r="B1184" s="2">
        <v>45321</v>
      </c>
      <c r="C1184" t="s">
        <v>1400</v>
      </c>
      <c r="D1184" t="s">
        <v>1620</v>
      </c>
      <c r="E1184" t="str">
        <f ca="1">TRIM(Sales_fact[[#This Row],[Store_ID]])</f>
        <v>STORE7</v>
      </c>
      <c r="F1184">
        <v>1</v>
      </c>
      <c r="G1184">
        <f>IF(ISBLANK(F1184),MODE($F$2:$F$2001),F1184)</f>
        <v>1</v>
      </c>
      <c r="H1184">
        <v>514.65</v>
      </c>
      <c r="I1184">
        <f>IF(ISBLANK(H1184),AVERAGE($H$2:$H$2001),H1184)</f>
        <v>514.65</v>
      </c>
      <c r="J1184">
        <v>0.18</v>
      </c>
      <c r="K1184">
        <f>IF(ISBLANK(J1184),MODE($J$2:$J$2001),J1184)</f>
        <v>0.18</v>
      </c>
      <c r="L1184" t="s">
        <v>1824</v>
      </c>
      <c r="M1184">
        <v>422.01299999999998</v>
      </c>
      <c r="N1184">
        <f t="shared" si="18"/>
        <v>422.01300000000003</v>
      </c>
      <c r="O1184" t="str">
        <f>_xlfn.XLOOKUP(Sales_fact[[#This Row],[Customer_ID]],'Customer_Dim'!A:A,'Customer_Dim'!K:K,"Not Found")</f>
        <v>Platinum</v>
      </c>
      <c r="P1184">
        <f>_xlfn.XLOOKUP(Sales_fact[[#This Row],[Customer_ID]],'Customer_Dim'!A:A, 'Customer_Dim'!E:E, "Not Found")</f>
        <v>62</v>
      </c>
      <c r="Q1184" t="str">
        <f>VLOOKUP(Sales_fact[[#This Row],[Customer_ID]], 'Customer_Dim'!A:F, 6, FALSE)</f>
        <v>Female</v>
      </c>
      <c r="R1184" s="13" t="str">
        <f>_xlfn.XLOOKUP(Sales_fact[[#This Row],[Product_ID]],Product_Dim!A:A,Product_Dim!C:C,"OTHERS")</f>
        <v>Clothing</v>
      </c>
    </row>
    <row r="1185" spans="1:18" x14ac:dyDescent="0.3">
      <c r="A1185" t="s">
        <v>3009</v>
      </c>
      <c r="B1185" s="2">
        <v>45650</v>
      </c>
      <c r="C1185" t="s">
        <v>1417</v>
      </c>
      <c r="D1185" t="s">
        <v>1672</v>
      </c>
      <c r="E1185" t="str">
        <f ca="1">TRIM(Sales_fact[[#This Row],[Store_ID]])</f>
        <v>STORE16</v>
      </c>
      <c r="F1185">
        <v>3</v>
      </c>
      <c r="G1185">
        <f>IF(ISBLANK(F1185),MODE($F$2:$F$2001),F1185)</f>
        <v>3</v>
      </c>
      <c r="H1185">
        <v>198.76</v>
      </c>
      <c r="I1185">
        <f>IF(ISBLANK(H1185),AVERAGE($H$2:$H$2001),H1185)</f>
        <v>198.76</v>
      </c>
      <c r="J1185">
        <v>0.28000000000000003</v>
      </c>
      <c r="K1185">
        <f>IF(ISBLANK(J1185),MODE($J$2:$J$2001),J1185)</f>
        <v>0.28000000000000003</v>
      </c>
      <c r="L1185" t="s">
        <v>1829</v>
      </c>
      <c r="M1185">
        <v>429.32159999999999</v>
      </c>
      <c r="N1185">
        <f t="shared" si="18"/>
        <v>429.32159999999999</v>
      </c>
      <c r="O1185" t="str">
        <f>_xlfn.XLOOKUP(Sales_fact[[#This Row],[Customer_ID]],'Customer_Dim'!A:A,'Customer_Dim'!K:K,"Not Found")</f>
        <v>Gold</v>
      </c>
      <c r="P1185">
        <f>_xlfn.XLOOKUP(Sales_fact[[#This Row],[Customer_ID]],'Customer_Dim'!A:A, 'Customer_Dim'!E:E, "Not Found")</f>
        <v>29</v>
      </c>
      <c r="Q1185" t="str">
        <f>VLOOKUP(Sales_fact[[#This Row],[Customer_ID]], 'Customer_Dim'!A:F, 6, FALSE)</f>
        <v>Female</v>
      </c>
      <c r="R1185" s="13" t="str">
        <f>_xlfn.XLOOKUP(Sales_fact[[#This Row],[Product_ID]],Product_Dim!A:A,Product_Dim!C:C,"OTHERS")</f>
        <v>Electronics</v>
      </c>
    </row>
    <row r="1186" spans="1:18" x14ac:dyDescent="0.3">
      <c r="A1186" t="s">
        <v>3010</v>
      </c>
      <c r="B1186" s="2">
        <v>45811</v>
      </c>
      <c r="C1186" t="s">
        <v>727</v>
      </c>
      <c r="D1186" t="s">
        <v>1674</v>
      </c>
      <c r="E1186" t="str">
        <f ca="1">TRIM(Sales_fact[[#This Row],[Store_ID]])</f>
        <v>STORE3</v>
      </c>
      <c r="F1186">
        <v>2</v>
      </c>
      <c r="G1186">
        <f>IF(ISBLANK(F1186),MODE($F$2:$F$2001),F1186)</f>
        <v>2</v>
      </c>
      <c r="H1186">
        <v>975.72</v>
      </c>
      <c r="I1186">
        <f>IF(ISBLANK(H1186),AVERAGE($H$2:$H$2001),H1186)</f>
        <v>975.72</v>
      </c>
      <c r="J1186">
        <v>0.16</v>
      </c>
      <c r="K1186">
        <f>IF(ISBLANK(J1186),MODE($J$2:$J$2001),J1186)</f>
        <v>0.16</v>
      </c>
      <c r="L1186" t="s">
        <v>1829</v>
      </c>
      <c r="M1186">
        <v>1639.2095999999999</v>
      </c>
      <c r="N1186">
        <f t="shared" si="18"/>
        <v>1639.2095999999999</v>
      </c>
      <c r="O1186" t="str">
        <f>_xlfn.XLOOKUP(Sales_fact[[#This Row],[Customer_ID]],'Customer_Dim'!A:A,'Customer_Dim'!K:K,"Not Found")</f>
        <v>Platinum</v>
      </c>
      <c r="P1186">
        <f>_xlfn.XLOOKUP(Sales_fact[[#This Row],[Customer_ID]],'Customer_Dim'!A:A, 'Customer_Dim'!E:E, "Not Found")</f>
        <v>46</v>
      </c>
      <c r="Q1186" t="str">
        <f>VLOOKUP(Sales_fact[[#This Row],[Customer_ID]], 'Customer_Dim'!A:F, 6, FALSE)</f>
        <v>Female</v>
      </c>
      <c r="R1186" s="13" t="str">
        <f>_xlfn.XLOOKUP(Sales_fact[[#This Row],[Product_ID]],Product_Dim!A:A,Product_Dim!C:C,"OTHERS")</f>
        <v>Beauty</v>
      </c>
    </row>
    <row r="1187" spans="1:18" x14ac:dyDescent="0.3">
      <c r="A1187" t="s">
        <v>3011</v>
      </c>
      <c r="B1187" s="2">
        <v>45505</v>
      </c>
      <c r="C1187" t="s">
        <v>1304</v>
      </c>
      <c r="D1187" t="s">
        <v>1578</v>
      </c>
      <c r="E1187" t="str">
        <f ca="1">TRIM(Sales_fact[[#This Row],[Store_ID]])</f>
        <v>STORE1</v>
      </c>
      <c r="F1187">
        <v>1</v>
      </c>
      <c r="G1187">
        <f>IF(ISBLANK(F1187),MODE($F$2:$F$2001),F1187)</f>
        <v>1</v>
      </c>
      <c r="H1187">
        <v>86.03</v>
      </c>
      <c r="I1187">
        <f>IF(ISBLANK(H1187),AVERAGE($H$2:$H$2001),H1187)</f>
        <v>86.03</v>
      </c>
      <c r="J1187">
        <v>0.01</v>
      </c>
      <c r="K1187">
        <f>IF(ISBLANK(J1187),MODE($J$2:$J$2001),J1187)</f>
        <v>0.01</v>
      </c>
      <c r="L1187" t="s">
        <v>1824</v>
      </c>
      <c r="M1187">
        <v>85.169700000000006</v>
      </c>
      <c r="N1187">
        <f t="shared" si="18"/>
        <v>85.169700000000006</v>
      </c>
      <c r="O1187" t="str">
        <f>_xlfn.XLOOKUP(Sales_fact[[#This Row],[Customer_ID]],'Customer_Dim'!A:A,'Customer_Dim'!K:K,"Not Found")</f>
        <v>Bronze</v>
      </c>
      <c r="P1187">
        <f>_xlfn.XLOOKUP(Sales_fact[[#This Row],[Customer_ID]],'Customer_Dim'!A:A, 'Customer_Dim'!E:E, "Not Found")</f>
        <v>60</v>
      </c>
      <c r="Q1187" t="str">
        <f>VLOOKUP(Sales_fact[[#This Row],[Customer_ID]], 'Customer_Dim'!A:F, 6, FALSE)</f>
        <v>Male</v>
      </c>
      <c r="R1187" s="13" t="str">
        <f>_xlfn.XLOOKUP(Sales_fact[[#This Row],[Product_ID]],Product_Dim!A:A,Product_Dim!C:C,"OTHERS")</f>
        <v>Electronics</v>
      </c>
    </row>
    <row r="1188" spans="1:18" x14ac:dyDescent="0.3">
      <c r="A1188" t="s">
        <v>3012</v>
      </c>
      <c r="B1188" s="2">
        <v>45897</v>
      </c>
      <c r="C1188" t="s">
        <v>314</v>
      </c>
      <c r="D1188" t="s">
        <v>1656</v>
      </c>
      <c r="E1188" t="str">
        <f ca="1">TRIM(Sales_fact[[#This Row],[Store_ID]])</f>
        <v>STORE12</v>
      </c>
      <c r="F1188">
        <v>4</v>
      </c>
      <c r="G1188">
        <f>IF(ISBLANK(F1188),MODE($F$2:$F$2001),F1188)</f>
        <v>4</v>
      </c>
      <c r="H1188">
        <v>705.12</v>
      </c>
      <c r="I1188">
        <f>IF(ISBLANK(H1188),AVERAGE($H$2:$H$2001),H1188)</f>
        <v>705.12</v>
      </c>
      <c r="J1188">
        <v>0.15</v>
      </c>
      <c r="K1188">
        <f>IF(ISBLANK(J1188),MODE($J$2:$J$2001),J1188)</f>
        <v>0.15</v>
      </c>
      <c r="L1188" t="s">
        <v>1826</v>
      </c>
      <c r="M1188">
        <v>2397.4079999999999</v>
      </c>
      <c r="N1188">
        <f t="shared" si="18"/>
        <v>2397.4079999999999</v>
      </c>
      <c r="O1188" t="str">
        <f>_xlfn.XLOOKUP(Sales_fact[[#This Row],[Customer_ID]],'Customer_Dim'!A:A,'Customer_Dim'!K:K,"Not Found")</f>
        <v>Bronze</v>
      </c>
      <c r="P1188">
        <f>_xlfn.XLOOKUP(Sales_fact[[#This Row],[Customer_ID]],'Customer_Dim'!A:A, 'Customer_Dim'!E:E, "Not Found")</f>
        <v>58</v>
      </c>
      <c r="Q1188" t="str">
        <f>VLOOKUP(Sales_fact[[#This Row],[Customer_ID]], 'Customer_Dim'!A:F, 6, FALSE)</f>
        <v>Female</v>
      </c>
      <c r="R1188" s="13" t="str">
        <f>_xlfn.XLOOKUP(Sales_fact[[#This Row],[Product_ID]],Product_Dim!A:A,Product_Dim!C:C,"OTHERS")</f>
        <v>Sports</v>
      </c>
    </row>
    <row r="1189" spans="1:18" x14ac:dyDescent="0.3">
      <c r="A1189" t="s">
        <v>3013</v>
      </c>
      <c r="B1189" s="2">
        <v>45602</v>
      </c>
      <c r="C1189" t="s">
        <v>1160</v>
      </c>
      <c r="D1189" t="s">
        <v>1584</v>
      </c>
      <c r="E1189" t="str">
        <f ca="1">TRIM(Sales_fact[[#This Row],[Store_ID]])</f>
        <v>STORE12</v>
      </c>
      <c r="F1189">
        <v>3</v>
      </c>
      <c r="G1189">
        <f>IF(ISBLANK(F1189),MODE($F$2:$F$2001),F1189)</f>
        <v>3</v>
      </c>
      <c r="H1189">
        <v>99.77</v>
      </c>
      <c r="I1189">
        <f>IF(ISBLANK(H1189),AVERAGE($H$2:$H$2001),H1189)</f>
        <v>99.77</v>
      </c>
      <c r="J1189">
        <v>0.01</v>
      </c>
      <c r="K1189">
        <f>IF(ISBLANK(J1189),MODE($J$2:$J$2001),J1189)</f>
        <v>0.01</v>
      </c>
      <c r="L1189" t="s">
        <v>1826</v>
      </c>
      <c r="M1189">
        <v>296.31689999999998</v>
      </c>
      <c r="N1189">
        <f t="shared" si="18"/>
        <v>296.31689999999998</v>
      </c>
      <c r="O1189" t="str">
        <f>_xlfn.XLOOKUP(Sales_fact[[#This Row],[Customer_ID]],'Customer_Dim'!A:A,'Customer_Dim'!K:K,"Not Found")</f>
        <v>Platinum</v>
      </c>
      <c r="P1189">
        <f>_xlfn.XLOOKUP(Sales_fact[[#This Row],[Customer_ID]],'Customer_Dim'!A:A, 'Customer_Dim'!E:E, "Not Found")</f>
        <v>21</v>
      </c>
      <c r="Q1189" t="str">
        <f>VLOOKUP(Sales_fact[[#This Row],[Customer_ID]], 'Customer_Dim'!A:F, 6, FALSE)</f>
        <v>Female</v>
      </c>
      <c r="R1189" s="13" t="str">
        <f>_xlfn.XLOOKUP(Sales_fact[[#This Row],[Product_ID]],Product_Dim!A:A,Product_Dim!C:C,"OTHERS")</f>
        <v>Clothing</v>
      </c>
    </row>
    <row r="1190" spans="1:18" x14ac:dyDescent="0.3">
      <c r="A1190" t="s">
        <v>3014</v>
      </c>
      <c r="B1190" s="2">
        <v>45530</v>
      </c>
      <c r="C1190" t="s">
        <v>681</v>
      </c>
      <c r="D1190" t="s">
        <v>1616</v>
      </c>
      <c r="E1190" t="str">
        <f ca="1">TRIM(Sales_fact[[#This Row],[Store_ID]])</f>
        <v>STORE9</v>
      </c>
      <c r="F1190">
        <v>2</v>
      </c>
      <c r="G1190">
        <f>IF(ISBLANK(F1190),MODE($F$2:$F$2001),F1190)</f>
        <v>2</v>
      </c>
      <c r="H1190">
        <v>166.26</v>
      </c>
      <c r="I1190">
        <f>IF(ISBLANK(H1190),AVERAGE($H$2:$H$2001),H1190)</f>
        <v>166.26</v>
      </c>
      <c r="J1190">
        <v>0.14000000000000001</v>
      </c>
      <c r="K1190">
        <f>IF(ISBLANK(J1190),MODE($J$2:$J$2001),J1190)</f>
        <v>0.14000000000000001</v>
      </c>
      <c r="L1190" t="s">
        <v>1826</v>
      </c>
      <c r="M1190">
        <v>285.96719999999999</v>
      </c>
      <c r="N1190">
        <f t="shared" si="18"/>
        <v>285.96719999999999</v>
      </c>
      <c r="O1190" t="str">
        <f>_xlfn.XLOOKUP(Sales_fact[[#This Row],[Customer_ID]],'Customer_Dim'!A:A,'Customer_Dim'!K:K,"Not Found")</f>
        <v>Platinum</v>
      </c>
      <c r="P1190">
        <f>_xlfn.XLOOKUP(Sales_fact[[#This Row],[Customer_ID]],'Customer_Dim'!A:A, 'Customer_Dim'!E:E, "Not Found")</f>
        <v>50</v>
      </c>
      <c r="Q1190" t="str">
        <f>VLOOKUP(Sales_fact[[#This Row],[Customer_ID]], 'Customer_Dim'!A:F, 6, FALSE)</f>
        <v>Female</v>
      </c>
      <c r="R1190" s="13" t="str">
        <f>_xlfn.XLOOKUP(Sales_fact[[#This Row],[Product_ID]],Product_Dim!A:A,Product_Dim!C:C,"OTHERS")</f>
        <v>Electronics</v>
      </c>
    </row>
    <row r="1191" spans="1:18" x14ac:dyDescent="0.3">
      <c r="A1191" t="s">
        <v>3015</v>
      </c>
      <c r="B1191" s="2">
        <v>45729</v>
      </c>
      <c r="C1191" t="s">
        <v>1417</v>
      </c>
      <c r="D1191" t="s">
        <v>1600</v>
      </c>
      <c r="E1191" t="str">
        <f ca="1">TRIM(Sales_fact[[#This Row],[Store_ID]])</f>
        <v>STORE5</v>
      </c>
      <c r="F1191">
        <v>1</v>
      </c>
      <c r="G1191">
        <f>IF(ISBLANK(F1191),MODE($F$2:$F$2001),F1191)</f>
        <v>1</v>
      </c>
      <c r="H1191">
        <v>429.25</v>
      </c>
      <c r="I1191">
        <f>IF(ISBLANK(H1191),AVERAGE($H$2:$H$2001),H1191)</f>
        <v>429.25</v>
      </c>
      <c r="J1191">
        <v>0.28999999999999998</v>
      </c>
      <c r="K1191">
        <f>IF(ISBLANK(J1191),MODE($J$2:$J$2001),J1191)</f>
        <v>0.28999999999999998</v>
      </c>
      <c r="L1191" t="s">
        <v>1824</v>
      </c>
      <c r="M1191">
        <v>304.76749999999998</v>
      </c>
      <c r="N1191">
        <f t="shared" si="18"/>
        <v>304.76749999999998</v>
      </c>
      <c r="O1191" t="str">
        <f>_xlfn.XLOOKUP(Sales_fact[[#This Row],[Customer_ID]],'Customer_Dim'!A:A,'Customer_Dim'!K:K,"Not Found")</f>
        <v>Gold</v>
      </c>
      <c r="P1191">
        <f>_xlfn.XLOOKUP(Sales_fact[[#This Row],[Customer_ID]],'Customer_Dim'!A:A, 'Customer_Dim'!E:E, "Not Found")</f>
        <v>29</v>
      </c>
      <c r="Q1191" t="str">
        <f>VLOOKUP(Sales_fact[[#This Row],[Customer_ID]], 'Customer_Dim'!A:F, 6, FALSE)</f>
        <v>Female</v>
      </c>
      <c r="R1191" s="13" t="str">
        <f>_xlfn.XLOOKUP(Sales_fact[[#This Row],[Product_ID]],Product_Dim!A:A,Product_Dim!C:C,"OTHERS")</f>
        <v>Electronics</v>
      </c>
    </row>
    <row r="1192" spans="1:18" x14ac:dyDescent="0.3">
      <c r="A1192" t="s">
        <v>3016</v>
      </c>
      <c r="B1192" s="2">
        <v>45468</v>
      </c>
      <c r="C1192" t="s">
        <v>1371</v>
      </c>
      <c r="D1192" t="s">
        <v>1543</v>
      </c>
      <c r="E1192" t="str">
        <f ca="1">TRIM(Sales_fact[[#This Row],[Store_ID]])</f>
        <v>STORE9</v>
      </c>
      <c r="F1192">
        <v>2</v>
      </c>
      <c r="G1192">
        <f>IF(ISBLANK(F1192),MODE($F$2:$F$2001),F1192)</f>
        <v>2</v>
      </c>
      <c r="H1192">
        <v>540.48</v>
      </c>
      <c r="I1192">
        <f>IF(ISBLANK(H1192),AVERAGE($H$2:$H$2001),H1192)</f>
        <v>540.48</v>
      </c>
      <c r="J1192">
        <v>0.28999999999999998</v>
      </c>
      <c r="K1192">
        <f>IF(ISBLANK(J1192),MODE($J$2:$J$2001),J1192)</f>
        <v>0.28999999999999998</v>
      </c>
      <c r="L1192" t="s">
        <v>1824</v>
      </c>
      <c r="M1192">
        <v>767.48159999999996</v>
      </c>
      <c r="N1192">
        <f t="shared" si="18"/>
        <v>767.48159999999996</v>
      </c>
      <c r="O1192" t="str">
        <f>_xlfn.XLOOKUP(Sales_fact[[#This Row],[Customer_ID]],'Customer_Dim'!A:A,'Customer_Dim'!K:K,"Not Found")</f>
        <v>Silver</v>
      </c>
      <c r="P1192">
        <f>_xlfn.XLOOKUP(Sales_fact[[#This Row],[Customer_ID]],'Customer_Dim'!A:A, 'Customer_Dim'!E:E, "Not Found")</f>
        <v>51</v>
      </c>
      <c r="Q1192" t="str">
        <f>VLOOKUP(Sales_fact[[#This Row],[Customer_ID]], 'Customer_Dim'!A:F, 6, FALSE)</f>
        <v>Male</v>
      </c>
      <c r="R1192" s="13" t="str">
        <f>_xlfn.XLOOKUP(Sales_fact[[#This Row],[Product_ID]],Product_Dim!A:A,Product_Dim!C:C,"OTHERS")</f>
        <v>Electronics</v>
      </c>
    </row>
    <row r="1193" spans="1:18" x14ac:dyDescent="0.3">
      <c r="A1193" t="s">
        <v>3017</v>
      </c>
      <c r="B1193" s="2">
        <v>45936</v>
      </c>
      <c r="C1193" t="s">
        <v>857</v>
      </c>
      <c r="D1193" t="s">
        <v>1666</v>
      </c>
      <c r="E1193" t="str">
        <f ca="1">TRIM(Sales_fact[[#This Row],[Store_ID]])</f>
        <v>STORE14</v>
      </c>
      <c r="F1193">
        <v>2</v>
      </c>
      <c r="G1193">
        <f>IF(ISBLANK(F1193),MODE($F$2:$F$2001),F1193)</f>
        <v>2</v>
      </c>
      <c r="H1193">
        <v>579.52</v>
      </c>
      <c r="I1193">
        <f>IF(ISBLANK(H1193),AVERAGE($H$2:$H$2001),H1193)</f>
        <v>579.52</v>
      </c>
      <c r="J1193">
        <v>0.01</v>
      </c>
      <c r="K1193">
        <f>IF(ISBLANK(J1193),MODE($J$2:$J$2001),J1193)</f>
        <v>0.01</v>
      </c>
      <c r="L1193" t="s">
        <v>1826</v>
      </c>
      <c r="M1193">
        <v>1147.4495999999999</v>
      </c>
      <c r="N1193">
        <f t="shared" si="18"/>
        <v>1147.4495999999999</v>
      </c>
      <c r="O1193" t="str">
        <f>_xlfn.XLOOKUP(Sales_fact[[#This Row],[Customer_ID]],'Customer_Dim'!A:A,'Customer_Dim'!K:K,"Not Found")</f>
        <v>Silver</v>
      </c>
      <c r="P1193">
        <f>_xlfn.XLOOKUP(Sales_fact[[#This Row],[Customer_ID]],'Customer_Dim'!A:A, 'Customer_Dim'!E:E, "Not Found")</f>
        <v>45</v>
      </c>
      <c r="Q1193" t="str">
        <f>VLOOKUP(Sales_fact[[#This Row],[Customer_ID]], 'Customer_Dim'!A:F, 6, FALSE)</f>
        <v>Female</v>
      </c>
      <c r="R1193" s="13" t="str">
        <f>_xlfn.XLOOKUP(Sales_fact[[#This Row],[Product_ID]],Product_Dim!A:A,Product_Dim!C:C,"OTHERS")</f>
        <v>Beauty</v>
      </c>
    </row>
    <row r="1194" spans="1:18" x14ac:dyDescent="0.3">
      <c r="A1194" t="s">
        <v>3018</v>
      </c>
      <c r="B1194" s="2">
        <v>45622</v>
      </c>
      <c r="C1194" t="s">
        <v>110</v>
      </c>
      <c r="D1194" t="s">
        <v>1686</v>
      </c>
      <c r="E1194" t="str">
        <f ca="1">TRIM(Sales_fact[[#This Row],[Store_ID]])</f>
        <v>STORE17</v>
      </c>
      <c r="F1194">
        <v>4</v>
      </c>
      <c r="G1194">
        <f>IF(ISBLANK(F1194),MODE($F$2:$F$2001),F1194)</f>
        <v>4</v>
      </c>
      <c r="H1194">
        <v>477.52</v>
      </c>
      <c r="I1194">
        <f>IF(ISBLANK(H1194),AVERAGE($H$2:$H$2001),H1194)</f>
        <v>477.52</v>
      </c>
      <c r="J1194">
        <v>7.0000000000000007E-2</v>
      </c>
      <c r="K1194">
        <f>IF(ISBLANK(J1194),MODE($J$2:$J$2001),J1194)</f>
        <v>7.0000000000000007E-2</v>
      </c>
      <c r="L1194" t="s">
        <v>1826</v>
      </c>
      <c r="M1194">
        <v>1776.3743999999999</v>
      </c>
      <c r="N1194">
        <f t="shared" si="18"/>
        <v>1776.3743999999999</v>
      </c>
      <c r="O1194" t="str">
        <f>_xlfn.XLOOKUP(Sales_fact[[#This Row],[Customer_ID]],'Customer_Dim'!A:A,'Customer_Dim'!K:K,"Not Found")</f>
        <v>Gold</v>
      </c>
      <c r="P1194">
        <f>_xlfn.XLOOKUP(Sales_fact[[#This Row],[Customer_ID]],'Customer_Dim'!A:A, 'Customer_Dim'!E:E, "Not Found")</f>
        <v>18</v>
      </c>
      <c r="Q1194" t="str">
        <f>VLOOKUP(Sales_fact[[#This Row],[Customer_ID]], 'Customer_Dim'!A:F, 6, FALSE)</f>
        <v>Female</v>
      </c>
      <c r="R1194" s="13" t="str">
        <f>_xlfn.XLOOKUP(Sales_fact[[#This Row],[Product_ID]],Product_Dim!A:A,Product_Dim!C:C,"OTHERS")</f>
        <v>Clothing</v>
      </c>
    </row>
    <row r="1195" spans="1:18" x14ac:dyDescent="0.3">
      <c r="A1195" t="s">
        <v>3019</v>
      </c>
      <c r="B1195" s="2">
        <v>45705</v>
      </c>
      <c r="C1195" t="s">
        <v>827</v>
      </c>
      <c r="D1195" t="s">
        <v>1730</v>
      </c>
      <c r="E1195" t="str">
        <f ca="1">TRIM(Sales_fact[[#This Row],[Store_ID]])</f>
        <v>STORE6</v>
      </c>
      <c r="F1195">
        <v>3</v>
      </c>
      <c r="G1195">
        <f>IF(ISBLANK(F1195),MODE($F$2:$F$2001),F1195)</f>
        <v>3</v>
      </c>
      <c r="H1195">
        <v>242.58</v>
      </c>
      <c r="I1195">
        <f>IF(ISBLANK(H1195),AVERAGE($H$2:$H$2001),H1195)</f>
        <v>242.58</v>
      </c>
      <c r="J1195">
        <v>0.25</v>
      </c>
      <c r="K1195">
        <f>IF(ISBLANK(J1195),MODE($J$2:$J$2001),J1195)</f>
        <v>0.25</v>
      </c>
      <c r="L1195" t="s">
        <v>1824</v>
      </c>
      <c r="M1195">
        <v>545.80500000000006</v>
      </c>
      <c r="N1195">
        <f t="shared" si="18"/>
        <v>545.80500000000006</v>
      </c>
      <c r="O1195" t="str">
        <f>_xlfn.XLOOKUP(Sales_fact[[#This Row],[Customer_ID]],'Customer_Dim'!A:A,'Customer_Dim'!K:K,"Not Found")</f>
        <v>Silver</v>
      </c>
      <c r="P1195">
        <f>_xlfn.XLOOKUP(Sales_fact[[#This Row],[Customer_ID]],'Customer_Dim'!A:A, 'Customer_Dim'!E:E, "Not Found")</f>
        <v>32</v>
      </c>
      <c r="Q1195" t="str">
        <f>VLOOKUP(Sales_fact[[#This Row],[Customer_ID]], 'Customer_Dim'!A:F, 6, FALSE)</f>
        <v>Female</v>
      </c>
      <c r="R1195" s="13" t="str">
        <f>_xlfn.XLOOKUP(Sales_fact[[#This Row],[Product_ID]],Product_Dim!A:A,Product_Dim!C:C,"OTHERS")</f>
        <v>Clothing</v>
      </c>
    </row>
    <row r="1196" spans="1:18" x14ac:dyDescent="0.3">
      <c r="A1196" t="s">
        <v>3020</v>
      </c>
      <c r="B1196" s="2">
        <v>45250</v>
      </c>
      <c r="C1196" t="s">
        <v>1148</v>
      </c>
      <c r="D1196" t="s">
        <v>1600</v>
      </c>
      <c r="E1196" t="str">
        <f ca="1">TRIM(Sales_fact[[#This Row],[Store_ID]])</f>
        <v>STORE17</v>
      </c>
      <c r="F1196">
        <v>2</v>
      </c>
      <c r="G1196">
        <f>IF(ISBLANK(F1196),MODE($F$2:$F$2001),F1196)</f>
        <v>2</v>
      </c>
      <c r="H1196">
        <v>519.29999999999995</v>
      </c>
      <c r="I1196">
        <f>IF(ISBLANK(H1196),AVERAGE($H$2:$H$2001),H1196)</f>
        <v>519.29999999999995</v>
      </c>
      <c r="J1196">
        <v>0.09</v>
      </c>
      <c r="K1196">
        <f>IF(ISBLANK(J1196),MODE($J$2:$J$2001),J1196)</f>
        <v>0.09</v>
      </c>
      <c r="L1196" t="s">
        <v>1826</v>
      </c>
      <c r="M1196">
        <v>945.12599999999998</v>
      </c>
      <c r="N1196">
        <f t="shared" si="18"/>
        <v>945.12599999999998</v>
      </c>
      <c r="O1196" t="str">
        <f>_xlfn.XLOOKUP(Sales_fact[[#This Row],[Customer_ID]],'Customer_Dim'!A:A,'Customer_Dim'!K:K,"Not Found")</f>
        <v>Bronze</v>
      </c>
      <c r="P1196">
        <f>_xlfn.XLOOKUP(Sales_fact[[#This Row],[Customer_ID]],'Customer_Dim'!A:A, 'Customer_Dim'!E:E, "Not Found")</f>
        <v>51</v>
      </c>
      <c r="Q1196" t="str">
        <f>VLOOKUP(Sales_fact[[#This Row],[Customer_ID]], 'Customer_Dim'!A:F, 6, FALSE)</f>
        <v>Male</v>
      </c>
      <c r="R1196" s="13" t="str">
        <f>_xlfn.XLOOKUP(Sales_fact[[#This Row],[Product_ID]],Product_Dim!A:A,Product_Dim!C:C,"OTHERS")</f>
        <v>Electronics</v>
      </c>
    </row>
    <row r="1197" spans="1:18" x14ac:dyDescent="0.3">
      <c r="A1197" t="s">
        <v>3021</v>
      </c>
      <c r="B1197" s="2">
        <v>45684</v>
      </c>
      <c r="C1197" t="s">
        <v>1510</v>
      </c>
      <c r="D1197" t="s">
        <v>1736</v>
      </c>
      <c r="E1197" t="str">
        <f ca="1">TRIM(Sales_fact[[#This Row],[Store_ID]])</f>
        <v>STORE11</v>
      </c>
      <c r="F1197">
        <v>3</v>
      </c>
      <c r="G1197">
        <f>IF(ISBLANK(F1197),MODE($F$2:$F$2001),F1197)</f>
        <v>3</v>
      </c>
      <c r="H1197">
        <v>845.67</v>
      </c>
      <c r="I1197">
        <f>IF(ISBLANK(H1197),AVERAGE($H$2:$H$2001),H1197)</f>
        <v>845.67</v>
      </c>
      <c r="J1197">
        <v>0.12</v>
      </c>
      <c r="K1197">
        <f>IF(ISBLANK(J1197),MODE($J$2:$J$2001),J1197)</f>
        <v>0.12</v>
      </c>
      <c r="L1197" t="s">
        <v>1829</v>
      </c>
      <c r="M1197">
        <v>2232.5688</v>
      </c>
      <c r="N1197">
        <f t="shared" si="18"/>
        <v>2232.5688</v>
      </c>
      <c r="O1197" t="str">
        <f>_xlfn.XLOOKUP(Sales_fact[[#This Row],[Customer_ID]],'Customer_Dim'!A:A,'Customer_Dim'!K:K,"Not Found")</f>
        <v>Not Found</v>
      </c>
      <c r="P1197" t="str">
        <f>_xlfn.XLOOKUP(Sales_fact[[#This Row],[Customer_ID]],'Customer_Dim'!A:A, 'Customer_Dim'!E:E, "Not Found")</f>
        <v>Not Found</v>
      </c>
      <c r="Q1197" t="e">
        <f>VLOOKUP(Sales_fact[[#This Row],[Customer_ID]], 'Customer_Dim'!A:F, 6, FALSE)</f>
        <v>#N/A</v>
      </c>
      <c r="R1197" s="13" t="str">
        <f>_xlfn.XLOOKUP(Sales_fact[[#This Row],[Product_ID]],Product_Dim!A:A,Product_Dim!C:C,"OTHERS")</f>
        <v>Beauty</v>
      </c>
    </row>
    <row r="1198" spans="1:18" x14ac:dyDescent="0.3">
      <c r="A1198" t="s">
        <v>3022</v>
      </c>
      <c r="B1198" s="2">
        <v>45395</v>
      </c>
      <c r="C1198" t="s">
        <v>963</v>
      </c>
      <c r="D1198" t="s">
        <v>1658</v>
      </c>
      <c r="E1198" t="str">
        <f ca="1">TRIM(Sales_fact[[#This Row],[Store_ID]])</f>
        <v>STORE16</v>
      </c>
      <c r="F1198">
        <v>4</v>
      </c>
      <c r="G1198">
        <f>IF(ISBLANK(F1198),MODE($F$2:$F$2001),F1198)</f>
        <v>4</v>
      </c>
      <c r="H1198">
        <v>750.26</v>
      </c>
      <c r="I1198">
        <f>IF(ISBLANK(H1198),AVERAGE($H$2:$H$2001),H1198)</f>
        <v>750.26</v>
      </c>
      <c r="J1198">
        <v>0.01</v>
      </c>
      <c r="K1198">
        <f>IF(ISBLANK(J1198),MODE($J$2:$J$2001),J1198)</f>
        <v>0.01</v>
      </c>
      <c r="L1198" t="s">
        <v>1826</v>
      </c>
      <c r="M1198">
        <v>2971.0295999999998</v>
      </c>
      <c r="N1198">
        <f t="shared" si="18"/>
        <v>2971.0295999999998</v>
      </c>
      <c r="O1198" t="str">
        <f>_xlfn.XLOOKUP(Sales_fact[[#This Row],[Customer_ID]],'Customer_Dim'!A:A,'Customer_Dim'!K:K,"Not Found")</f>
        <v>Platinum</v>
      </c>
      <c r="P1198">
        <f>_xlfn.XLOOKUP(Sales_fact[[#This Row],[Customer_ID]],'Customer_Dim'!A:A, 'Customer_Dim'!E:E, "Not Found")</f>
        <v>64</v>
      </c>
      <c r="Q1198" t="str">
        <f>VLOOKUP(Sales_fact[[#This Row],[Customer_ID]], 'Customer_Dim'!A:F, 6, FALSE)</f>
        <v>Male</v>
      </c>
      <c r="R1198" s="13" t="str">
        <f>_xlfn.XLOOKUP(Sales_fact[[#This Row],[Product_ID]],Product_Dim!A:A,Product_Dim!C:C,"OTHERS")</f>
        <v>Home</v>
      </c>
    </row>
    <row r="1199" spans="1:18" x14ac:dyDescent="0.3">
      <c r="A1199" t="s">
        <v>3023</v>
      </c>
      <c r="B1199" s="2">
        <v>45382</v>
      </c>
      <c r="C1199" t="s">
        <v>1044</v>
      </c>
      <c r="D1199" t="s">
        <v>1732</v>
      </c>
      <c r="E1199" t="str">
        <f ca="1">TRIM(Sales_fact[[#This Row],[Store_ID]])</f>
        <v>STORE12</v>
      </c>
      <c r="F1199">
        <v>4</v>
      </c>
      <c r="G1199">
        <f>IF(ISBLANK(F1199),MODE($F$2:$F$2001),F1199)</f>
        <v>4</v>
      </c>
      <c r="H1199">
        <v>294.38</v>
      </c>
      <c r="I1199">
        <f>IF(ISBLANK(H1199),AVERAGE($H$2:$H$2001),H1199)</f>
        <v>294.38</v>
      </c>
      <c r="J1199">
        <v>0.2</v>
      </c>
      <c r="K1199">
        <f>IF(ISBLANK(J1199),MODE($J$2:$J$2001),J1199)</f>
        <v>0.2</v>
      </c>
      <c r="L1199" t="s">
        <v>1824</v>
      </c>
      <c r="M1199">
        <v>942.01600000000008</v>
      </c>
      <c r="N1199">
        <f t="shared" si="18"/>
        <v>942.01600000000008</v>
      </c>
      <c r="O1199" t="str">
        <f>_xlfn.XLOOKUP(Sales_fact[[#This Row],[Customer_ID]],'Customer_Dim'!A:A,'Customer_Dim'!K:K,"Not Found")</f>
        <v>Bronze</v>
      </c>
      <c r="P1199">
        <f>_xlfn.XLOOKUP(Sales_fact[[#This Row],[Customer_ID]],'Customer_Dim'!A:A, 'Customer_Dim'!E:E, "Not Found")</f>
        <v>34</v>
      </c>
      <c r="Q1199" t="str">
        <f>VLOOKUP(Sales_fact[[#This Row],[Customer_ID]], 'Customer_Dim'!A:F, 6, FALSE)</f>
        <v>Female</v>
      </c>
      <c r="R1199" s="13" t="str">
        <f>_xlfn.XLOOKUP(Sales_fact[[#This Row],[Product_ID]],Product_Dim!A:A,Product_Dim!C:C,"OTHERS")</f>
        <v>Home</v>
      </c>
    </row>
    <row r="1200" spans="1:18" x14ac:dyDescent="0.3">
      <c r="A1200" t="s">
        <v>3024</v>
      </c>
      <c r="B1200" s="2">
        <v>45919</v>
      </c>
      <c r="C1200" t="s">
        <v>347</v>
      </c>
      <c r="D1200" t="s">
        <v>1740</v>
      </c>
      <c r="E1200" t="str">
        <f ca="1">TRIM(Sales_fact[[#This Row],[Store_ID]])</f>
        <v>STORE2</v>
      </c>
      <c r="F1200">
        <v>3</v>
      </c>
      <c r="G1200">
        <f>IF(ISBLANK(F1200),MODE($F$2:$F$2001),F1200)</f>
        <v>3</v>
      </c>
      <c r="H1200">
        <v>583.52</v>
      </c>
      <c r="I1200">
        <f>IF(ISBLANK(H1200),AVERAGE($H$2:$H$2001),H1200)</f>
        <v>583.52</v>
      </c>
      <c r="J1200">
        <v>7.0000000000000007E-2</v>
      </c>
      <c r="K1200">
        <f>IF(ISBLANK(J1200),MODE($J$2:$J$2001),J1200)</f>
        <v>7.0000000000000007E-2</v>
      </c>
      <c r="L1200" t="s">
        <v>1826</v>
      </c>
      <c r="M1200">
        <v>1628.0208</v>
      </c>
      <c r="N1200">
        <f t="shared" si="18"/>
        <v>1628.0207999999998</v>
      </c>
      <c r="O1200" t="str">
        <f>_xlfn.XLOOKUP(Sales_fact[[#This Row],[Customer_ID]],'Customer_Dim'!A:A,'Customer_Dim'!K:K,"Not Found")</f>
        <v>Silver</v>
      </c>
      <c r="P1200">
        <f>_xlfn.XLOOKUP(Sales_fact[[#This Row],[Customer_ID]],'Customer_Dim'!A:A, 'Customer_Dim'!E:E, "Not Found")</f>
        <v>36</v>
      </c>
      <c r="Q1200" t="str">
        <f>VLOOKUP(Sales_fact[[#This Row],[Customer_ID]], 'Customer_Dim'!A:F, 6, FALSE)</f>
        <v>Male</v>
      </c>
      <c r="R1200" s="13" t="str">
        <f>_xlfn.XLOOKUP(Sales_fact[[#This Row],[Product_ID]],Product_Dim!A:A,Product_Dim!C:C,"OTHERS")</f>
        <v>Clothing</v>
      </c>
    </row>
    <row r="1201" spans="1:18" x14ac:dyDescent="0.3">
      <c r="A1201" t="s">
        <v>3025</v>
      </c>
      <c r="B1201" s="2">
        <v>45453</v>
      </c>
      <c r="C1201" t="s">
        <v>1449</v>
      </c>
      <c r="D1201" t="s">
        <v>1726</v>
      </c>
      <c r="E1201" t="str">
        <f ca="1">TRIM(Sales_fact[[#This Row],[Store_ID]])</f>
        <v>STORE16</v>
      </c>
      <c r="F1201">
        <v>2</v>
      </c>
      <c r="G1201">
        <f>IF(ISBLANK(F1201),MODE($F$2:$F$2001),F1201)</f>
        <v>2</v>
      </c>
      <c r="H1201">
        <v>635.22</v>
      </c>
      <c r="I1201">
        <f>IF(ISBLANK(H1201),AVERAGE($H$2:$H$2001),H1201)</f>
        <v>635.22</v>
      </c>
      <c r="J1201">
        <v>0.3</v>
      </c>
      <c r="K1201">
        <f>IF(ISBLANK(J1201),MODE($J$2:$J$2001),J1201)</f>
        <v>0.3</v>
      </c>
      <c r="L1201" t="s">
        <v>1829</v>
      </c>
      <c r="M1201">
        <v>889.30799999999999</v>
      </c>
      <c r="N1201">
        <f t="shared" si="18"/>
        <v>889.30799999999999</v>
      </c>
      <c r="O1201" t="str">
        <f>_xlfn.XLOOKUP(Sales_fact[[#This Row],[Customer_ID]],'Customer_Dim'!A:A,'Customer_Dim'!K:K,"Not Found")</f>
        <v>Gold</v>
      </c>
      <c r="P1201">
        <f>_xlfn.XLOOKUP(Sales_fact[[#This Row],[Customer_ID]],'Customer_Dim'!A:A, 'Customer_Dim'!E:E, "Not Found")</f>
        <v>21</v>
      </c>
      <c r="Q1201" t="str">
        <f>VLOOKUP(Sales_fact[[#This Row],[Customer_ID]], 'Customer_Dim'!A:F, 6, FALSE)</f>
        <v>Female</v>
      </c>
      <c r="R1201" s="13" t="str">
        <f>_xlfn.XLOOKUP(Sales_fact[[#This Row],[Product_ID]],Product_Dim!A:A,Product_Dim!C:C,"OTHERS")</f>
        <v>Beauty</v>
      </c>
    </row>
    <row r="1202" spans="1:18" x14ac:dyDescent="0.3">
      <c r="A1202" t="s">
        <v>3026</v>
      </c>
      <c r="B1202" s="2">
        <v>45313</v>
      </c>
      <c r="C1202" t="s">
        <v>1328</v>
      </c>
      <c r="D1202" t="s">
        <v>1680</v>
      </c>
      <c r="E1202" t="str">
        <f ca="1">TRIM(Sales_fact[[#This Row],[Store_ID]])</f>
        <v>STORE2</v>
      </c>
      <c r="F1202">
        <v>1</v>
      </c>
      <c r="G1202">
        <f>IF(ISBLANK(F1202),MODE($F$2:$F$2001),F1202)</f>
        <v>1</v>
      </c>
      <c r="H1202">
        <v>743.55</v>
      </c>
      <c r="I1202">
        <f>IF(ISBLANK(H1202),AVERAGE($H$2:$H$2001),H1202)</f>
        <v>743.55</v>
      </c>
      <c r="J1202">
        <v>0.11</v>
      </c>
      <c r="K1202">
        <f>IF(ISBLANK(J1202),MODE($J$2:$J$2001),J1202)</f>
        <v>0.11</v>
      </c>
      <c r="L1202" t="s">
        <v>1829</v>
      </c>
      <c r="M1202">
        <v>661.7595</v>
      </c>
      <c r="N1202">
        <f t="shared" si="18"/>
        <v>661.7595</v>
      </c>
      <c r="O1202" t="str">
        <f>_xlfn.XLOOKUP(Sales_fact[[#This Row],[Customer_ID]],'Customer_Dim'!A:A,'Customer_Dim'!K:K,"Not Found")</f>
        <v>Bronze</v>
      </c>
      <c r="P1202">
        <f>_xlfn.XLOOKUP(Sales_fact[[#This Row],[Customer_ID]],'Customer_Dim'!A:A, 'Customer_Dim'!E:E, "Not Found")</f>
        <v>27</v>
      </c>
      <c r="Q1202" t="str">
        <f>VLOOKUP(Sales_fact[[#This Row],[Customer_ID]], 'Customer_Dim'!A:F, 6, FALSE)</f>
        <v>Female</v>
      </c>
      <c r="R1202" s="13" t="str">
        <f>_xlfn.XLOOKUP(Sales_fact[[#This Row],[Product_ID]],Product_Dim!A:A,Product_Dim!C:C,"OTHERS")</f>
        <v>Beauty</v>
      </c>
    </row>
    <row r="1203" spans="1:18" x14ac:dyDescent="0.3">
      <c r="A1203" t="s">
        <v>3027</v>
      </c>
      <c r="B1203" s="2">
        <v>45377</v>
      </c>
      <c r="C1203" t="s">
        <v>360</v>
      </c>
      <c r="D1203" t="s">
        <v>1636</v>
      </c>
      <c r="E1203" t="str">
        <f ca="1">TRIM(Sales_fact[[#This Row],[Store_ID]])</f>
        <v>STORE3</v>
      </c>
      <c r="F1203">
        <v>4</v>
      </c>
      <c r="G1203">
        <f>IF(ISBLANK(F1203),MODE($F$2:$F$2001),F1203)</f>
        <v>4</v>
      </c>
      <c r="H1203">
        <v>530.45000000000005</v>
      </c>
      <c r="I1203">
        <f>IF(ISBLANK(H1203),AVERAGE($H$2:$H$2001),H1203)</f>
        <v>530.45000000000005</v>
      </c>
      <c r="J1203">
        <v>0.13</v>
      </c>
      <c r="K1203">
        <f>IF(ISBLANK(J1203),MODE($J$2:$J$2001),J1203)</f>
        <v>0.13</v>
      </c>
      <c r="L1203" t="s">
        <v>1824</v>
      </c>
      <c r="M1203">
        <v>1845.9659999999999</v>
      </c>
      <c r="N1203">
        <f t="shared" si="18"/>
        <v>1845.9660000000001</v>
      </c>
      <c r="O1203" t="str">
        <f>_xlfn.XLOOKUP(Sales_fact[[#This Row],[Customer_ID]],'Customer_Dim'!A:A,'Customer_Dim'!K:K,"Not Found")</f>
        <v>Gold</v>
      </c>
      <c r="P1203">
        <f>_xlfn.XLOOKUP(Sales_fact[[#This Row],[Customer_ID]],'Customer_Dim'!A:A, 'Customer_Dim'!E:E, "Not Found")</f>
        <v>29</v>
      </c>
      <c r="Q1203" t="str">
        <f>VLOOKUP(Sales_fact[[#This Row],[Customer_ID]], 'Customer_Dim'!A:F, 6, FALSE)</f>
        <v>Male</v>
      </c>
      <c r="R1203" s="13" t="str">
        <f>_xlfn.XLOOKUP(Sales_fact[[#This Row],[Product_ID]],Product_Dim!A:A,Product_Dim!C:C,"OTHERS")</f>
        <v>Sports</v>
      </c>
    </row>
    <row r="1204" spans="1:18" x14ac:dyDescent="0.3">
      <c r="A1204" t="s">
        <v>3028</v>
      </c>
      <c r="B1204" s="2">
        <v>45371</v>
      </c>
      <c r="C1204" t="s">
        <v>842</v>
      </c>
      <c r="D1204" t="s">
        <v>1680</v>
      </c>
      <c r="E1204" t="str">
        <f ca="1">TRIM(Sales_fact[[#This Row],[Store_ID]])</f>
        <v>STORE9</v>
      </c>
      <c r="F1204">
        <v>2</v>
      </c>
      <c r="G1204">
        <f>IF(ISBLANK(F1204),MODE($F$2:$F$2001),F1204)</f>
        <v>2</v>
      </c>
      <c r="H1204">
        <v>972.4</v>
      </c>
      <c r="I1204">
        <f>IF(ISBLANK(H1204),AVERAGE($H$2:$H$2001),H1204)</f>
        <v>972.4</v>
      </c>
      <c r="J1204">
        <v>0.06</v>
      </c>
      <c r="K1204">
        <f>IF(ISBLANK(J1204),MODE($J$2:$J$2001),J1204)</f>
        <v>0.06</v>
      </c>
      <c r="L1204" t="s">
        <v>1829</v>
      </c>
      <c r="M1204">
        <v>1828.1120000000001</v>
      </c>
      <c r="N1204">
        <f t="shared" si="18"/>
        <v>1828.1119999999999</v>
      </c>
      <c r="O1204" t="str">
        <f>_xlfn.XLOOKUP(Sales_fact[[#This Row],[Customer_ID]],'Customer_Dim'!A:A,'Customer_Dim'!K:K,"Not Found")</f>
        <v>Gold</v>
      </c>
      <c r="P1204">
        <f>_xlfn.XLOOKUP(Sales_fact[[#This Row],[Customer_ID]],'Customer_Dim'!A:A, 'Customer_Dim'!E:E, "Not Found")</f>
        <v>25</v>
      </c>
      <c r="Q1204" t="str">
        <f>VLOOKUP(Sales_fact[[#This Row],[Customer_ID]], 'Customer_Dim'!A:F, 6, FALSE)</f>
        <v>Male</v>
      </c>
      <c r="R1204" s="13" t="str">
        <f>_xlfn.XLOOKUP(Sales_fact[[#This Row],[Product_ID]],Product_Dim!A:A,Product_Dim!C:C,"OTHERS")</f>
        <v>Beauty</v>
      </c>
    </row>
    <row r="1205" spans="1:18" x14ac:dyDescent="0.3">
      <c r="A1205" t="s">
        <v>3029</v>
      </c>
      <c r="B1205" s="2">
        <v>45797</v>
      </c>
      <c r="C1205" t="s">
        <v>1181</v>
      </c>
      <c r="D1205" t="s">
        <v>1578</v>
      </c>
      <c r="E1205" t="str">
        <f ca="1">TRIM(Sales_fact[[#This Row],[Store_ID]])</f>
        <v>STORE18</v>
      </c>
      <c r="F1205">
        <v>3</v>
      </c>
      <c r="G1205">
        <f>IF(ISBLANK(F1205),MODE($F$2:$F$2001),F1205)</f>
        <v>3</v>
      </c>
      <c r="H1205">
        <v>197.93</v>
      </c>
      <c r="I1205">
        <f>IF(ISBLANK(H1205),AVERAGE($H$2:$H$2001),H1205)</f>
        <v>197.93</v>
      </c>
      <c r="J1205">
        <v>0</v>
      </c>
      <c r="K1205">
        <f>IF(ISBLANK(J1205),MODE($J$2:$J$2001),J1205)</f>
        <v>0</v>
      </c>
      <c r="L1205" t="s">
        <v>1829</v>
      </c>
      <c r="M1205">
        <v>593.79</v>
      </c>
      <c r="N1205">
        <f t="shared" si="18"/>
        <v>593.79</v>
      </c>
      <c r="O1205" t="str">
        <f>_xlfn.XLOOKUP(Sales_fact[[#This Row],[Customer_ID]],'Customer_Dim'!A:A,'Customer_Dim'!K:K,"Not Found")</f>
        <v>Bronze</v>
      </c>
      <c r="P1205">
        <f>_xlfn.XLOOKUP(Sales_fact[[#This Row],[Customer_ID]],'Customer_Dim'!A:A, 'Customer_Dim'!E:E, "Not Found")</f>
        <v>44</v>
      </c>
      <c r="Q1205" t="str">
        <f>VLOOKUP(Sales_fact[[#This Row],[Customer_ID]], 'Customer_Dim'!A:F, 6, FALSE)</f>
        <v>Female</v>
      </c>
      <c r="R1205" s="13" t="str">
        <f>_xlfn.XLOOKUP(Sales_fact[[#This Row],[Product_ID]],Product_Dim!A:A,Product_Dim!C:C,"OTHERS")</f>
        <v>Electronics</v>
      </c>
    </row>
    <row r="1206" spans="1:18" x14ac:dyDescent="0.3">
      <c r="A1206" t="s">
        <v>3030</v>
      </c>
      <c r="B1206" s="2">
        <v>45575</v>
      </c>
      <c r="C1206" t="s">
        <v>1074</v>
      </c>
      <c r="D1206" t="s">
        <v>1722</v>
      </c>
      <c r="E1206" t="str">
        <f ca="1">TRIM(Sales_fact[[#This Row],[Store_ID]])</f>
        <v>STORE11</v>
      </c>
      <c r="F1206">
        <v>4</v>
      </c>
      <c r="G1206">
        <f>IF(ISBLANK(F1206),MODE($F$2:$F$2001),F1206)</f>
        <v>4</v>
      </c>
      <c r="H1206">
        <v>565.51</v>
      </c>
      <c r="I1206">
        <f>IF(ISBLANK(H1206),AVERAGE($H$2:$H$2001),H1206)</f>
        <v>565.51</v>
      </c>
      <c r="J1206">
        <v>0.16</v>
      </c>
      <c r="K1206">
        <f>IF(ISBLANK(J1206),MODE($J$2:$J$2001),J1206)</f>
        <v>0.16</v>
      </c>
      <c r="L1206" t="s">
        <v>1826</v>
      </c>
      <c r="M1206">
        <v>1900.1135999999999</v>
      </c>
      <c r="N1206">
        <f t="shared" si="18"/>
        <v>1900.1135999999999</v>
      </c>
      <c r="O1206" t="str">
        <f>_xlfn.XLOOKUP(Sales_fact[[#This Row],[Customer_ID]],'Customer_Dim'!A:A,'Customer_Dim'!K:K,"Not Found")</f>
        <v>Bronze</v>
      </c>
      <c r="P1206">
        <f>_xlfn.XLOOKUP(Sales_fact[[#This Row],[Customer_ID]],'Customer_Dim'!A:A, 'Customer_Dim'!E:E, "Not Found")</f>
        <v>30</v>
      </c>
      <c r="Q1206" t="str">
        <f>VLOOKUP(Sales_fact[[#This Row],[Customer_ID]], 'Customer_Dim'!A:F, 6, FALSE)</f>
        <v>Female</v>
      </c>
      <c r="R1206" s="13" t="str">
        <f>_xlfn.XLOOKUP(Sales_fact[[#This Row],[Product_ID]],Product_Dim!A:A,Product_Dim!C:C,"OTHERS")</f>
        <v>Home</v>
      </c>
    </row>
    <row r="1207" spans="1:18" x14ac:dyDescent="0.3">
      <c r="A1207" t="s">
        <v>3031</v>
      </c>
      <c r="B1207" s="2">
        <v>45566</v>
      </c>
      <c r="C1207" t="s">
        <v>1246</v>
      </c>
      <c r="D1207" t="s">
        <v>1626</v>
      </c>
      <c r="E1207" t="str">
        <f ca="1">TRIM(Sales_fact[[#This Row],[Store_ID]])</f>
        <v>STORE4</v>
      </c>
      <c r="F1207">
        <v>4</v>
      </c>
      <c r="G1207">
        <f>IF(ISBLANK(F1207),MODE($F$2:$F$2001),F1207)</f>
        <v>4</v>
      </c>
      <c r="H1207">
        <v>983.38</v>
      </c>
      <c r="I1207">
        <f>IF(ISBLANK(H1207),AVERAGE($H$2:$H$2001),H1207)</f>
        <v>983.38</v>
      </c>
      <c r="J1207">
        <v>0.25</v>
      </c>
      <c r="K1207">
        <f>IF(ISBLANK(J1207),MODE($J$2:$J$2001),J1207)</f>
        <v>0.25</v>
      </c>
      <c r="L1207" t="s">
        <v>1829</v>
      </c>
      <c r="M1207">
        <v>2950.14</v>
      </c>
      <c r="N1207">
        <f t="shared" si="18"/>
        <v>2950.14</v>
      </c>
      <c r="O1207" t="str">
        <f>_xlfn.XLOOKUP(Sales_fact[[#This Row],[Customer_ID]],'Customer_Dim'!A:A,'Customer_Dim'!K:K,"Not Found")</f>
        <v>Platinum</v>
      </c>
      <c r="P1207">
        <f>_xlfn.XLOOKUP(Sales_fact[[#This Row],[Customer_ID]],'Customer_Dim'!A:A, 'Customer_Dim'!E:E, "Not Found")</f>
        <v>57</v>
      </c>
      <c r="Q1207" t="str">
        <f>VLOOKUP(Sales_fact[[#This Row],[Customer_ID]], 'Customer_Dim'!A:F, 6, FALSE)</f>
        <v>Female</v>
      </c>
      <c r="R1207" s="13" t="str">
        <f>_xlfn.XLOOKUP(Sales_fact[[#This Row],[Product_ID]],Product_Dim!A:A,Product_Dim!C:C,"OTHERS")</f>
        <v>Electronics</v>
      </c>
    </row>
    <row r="1208" spans="1:18" x14ac:dyDescent="0.3">
      <c r="A1208" t="s">
        <v>3032</v>
      </c>
      <c r="B1208" s="2">
        <v>45252</v>
      </c>
      <c r="C1208" t="s">
        <v>752</v>
      </c>
      <c r="D1208" t="s">
        <v>1746</v>
      </c>
      <c r="E1208" t="str">
        <f ca="1">TRIM(Sales_fact[[#This Row],[Store_ID]])</f>
        <v>STORE9</v>
      </c>
      <c r="F1208">
        <v>1</v>
      </c>
      <c r="G1208">
        <f>IF(ISBLANK(F1208),MODE($F$2:$F$2001),F1208)</f>
        <v>1</v>
      </c>
      <c r="H1208">
        <v>955.06</v>
      </c>
      <c r="I1208">
        <f>IF(ISBLANK(H1208),AVERAGE($H$2:$H$2001),H1208)</f>
        <v>955.06</v>
      </c>
      <c r="J1208">
        <v>0.14000000000000001</v>
      </c>
      <c r="K1208">
        <f>IF(ISBLANK(J1208),MODE($J$2:$J$2001),J1208)</f>
        <v>0.14000000000000001</v>
      </c>
      <c r="L1208" t="s">
        <v>1824</v>
      </c>
      <c r="M1208">
        <v>821.35159999999996</v>
      </c>
      <c r="N1208">
        <f t="shared" si="18"/>
        <v>821.35159999999996</v>
      </c>
      <c r="O1208" t="str">
        <f>_xlfn.XLOOKUP(Sales_fact[[#This Row],[Customer_ID]],'Customer_Dim'!A:A,'Customer_Dim'!K:K,"Not Found")</f>
        <v>Gold</v>
      </c>
      <c r="P1208">
        <f>_xlfn.XLOOKUP(Sales_fact[[#This Row],[Customer_ID]],'Customer_Dim'!A:A, 'Customer_Dim'!E:E, "Not Found")</f>
        <v>43</v>
      </c>
      <c r="Q1208" t="str">
        <f>VLOOKUP(Sales_fact[[#This Row],[Customer_ID]], 'Customer_Dim'!A:F, 6, FALSE)</f>
        <v>Female</v>
      </c>
      <c r="R1208" s="13" t="str">
        <f>_xlfn.XLOOKUP(Sales_fact[[#This Row],[Product_ID]],Product_Dim!A:A,Product_Dim!C:C,"OTHERS")</f>
        <v>Home</v>
      </c>
    </row>
    <row r="1209" spans="1:18" x14ac:dyDescent="0.3">
      <c r="A1209" t="s">
        <v>3033</v>
      </c>
      <c r="B1209" s="2">
        <v>45693</v>
      </c>
      <c r="C1209" t="s">
        <v>1104</v>
      </c>
      <c r="D1209" t="s">
        <v>1666</v>
      </c>
      <c r="E1209" t="str">
        <f ca="1">TRIM(Sales_fact[[#This Row],[Store_ID]])</f>
        <v>STORE15</v>
      </c>
      <c r="F1209">
        <v>3</v>
      </c>
      <c r="G1209">
        <f>IF(ISBLANK(F1209),MODE($F$2:$F$2001),F1209)</f>
        <v>3</v>
      </c>
      <c r="H1209">
        <v>597.46</v>
      </c>
      <c r="I1209">
        <f>IF(ISBLANK(H1209),AVERAGE($H$2:$H$2001),H1209)</f>
        <v>597.46</v>
      </c>
      <c r="J1209">
        <v>0.02</v>
      </c>
      <c r="K1209">
        <f>IF(ISBLANK(J1209),MODE($J$2:$J$2001),J1209)</f>
        <v>0.02</v>
      </c>
      <c r="L1209" t="s">
        <v>1826</v>
      </c>
      <c r="M1209">
        <v>1756.5324000000001</v>
      </c>
      <c r="N1209">
        <f t="shared" si="18"/>
        <v>1756.5324000000001</v>
      </c>
      <c r="O1209" t="str">
        <f>_xlfn.XLOOKUP(Sales_fact[[#This Row],[Customer_ID]],'Customer_Dim'!A:A,'Customer_Dim'!K:K,"Not Found")</f>
        <v>Silver</v>
      </c>
      <c r="P1209">
        <f>_xlfn.XLOOKUP(Sales_fact[[#This Row],[Customer_ID]],'Customer_Dim'!A:A, 'Customer_Dim'!E:E, "Not Found")</f>
        <v>52</v>
      </c>
      <c r="Q1209" t="str">
        <f>VLOOKUP(Sales_fact[[#This Row],[Customer_ID]], 'Customer_Dim'!A:F, 6, FALSE)</f>
        <v>Female</v>
      </c>
      <c r="R1209" s="13" t="str">
        <f>_xlfn.XLOOKUP(Sales_fact[[#This Row],[Product_ID]],Product_Dim!A:A,Product_Dim!C:C,"OTHERS")</f>
        <v>Beauty</v>
      </c>
    </row>
    <row r="1210" spans="1:18" x14ac:dyDescent="0.3">
      <c r="A1210" t="s">
        <v>3034</v>
      </c>
      <c r="B1210" s="2">
        <v>45446</v>
      </c>
      <c r="C1210" t="s">
        <v>999</v>
      </c>
      <c r="D1210" t="s">
        <v>1562</v>
      </c>
      <c r="E1210" t="str">
        <f ca="1">TRIM(Sales_fact[[#This Row],[Store_ID]])</f>
        <v>STORE16</v>
      </c>
      <c r="F1210">
        <v>3</v>
      </c>
      <c r="G1210">
        <f>IF(ISBLANK(F1210),MODE($F$2:$F$2001),F1210)</f>
        <v>3</v>
      </c>
      <c r="H1210">
        <v>581.09</v>
      </c>
      <c r="I1210">
        <f>IF(ISBLANK(H1210),AVERAGE($H$2:$H$2001),H1210)</f>
        <v>581.09</v>
      </c>
      <c r="J1210">
        <v>0.1</v>
      </c>
      <c r="K1210">
        <f>IF(ISBLANK(J1210),MODE($J$2:$J$2001),J1210)</f>
        <v>0.1</v>
      </c>
      <c r="L1210" t="s">
        <v>1829</v>
      </c>
      <c r="M1210">
        <v>1568.943</v>
      </c>
      <c r="N1210">
        <f t="shared" si="18"/>
        <v>1568.943</v>
      </c>
      <c r="O1210" t="str">
        <f>_xlfn.XLOOKUP(Sales_fact[[#This Row],[Customer_ID]],'Customer_Dim'!A:A,'Customer_Dim'!K:K,"Not Found")</f>
        <v>Gold</v>
      </c>
      <c r="P1210">
        <f>_xlfn.XLOOKUP(Sales_fact[[#This Row],[Customer_ID]],'Customer_Dim'!A:A, 'Customer_Dim'!E:E, "Not Found")</f>
        <v>64</v>
      </c>
      <c r="Q1210" t="str">
        <f>VLOOKUP(Sales_fact[[#This Row],[Customer_ID]], 'Customer_Dim'!A:F, 6, FALSE)</f>
        <v>Female</v>
      </c>
      <c r="R1210" s="13" t="str">
        <f>_xlfn.XLOOKUP(Sales_fact[[#This Row],[Product_ID]],Product_Dim!A:A,Product_Dim!C:C,"OTHERS")</f>
        <v>Electronics</v>
      </c>
    </row>
    <row r="1211" spans="1:18" x14ac:dyDescent="0.3">
      <c r="A1211" t="s">
        <v>3035</v>
      </c>
      <c r="B1211" s="2">
        <v>45862</v>
      </c>
      <c r="C1211" t="s">
        <v>205</v>
      </c>
      <c r="D1211" t="s">
        <v>1608</v>
      </c>
      <c r="E1211" t="str">
        <f ca="1">TRIM(Sales_fact[[#This Row],[Store_ID]])</f>
        <v>STORE4</v>
      </c>
      <c r="F1211">
        <v>4</v>
      </c>
      <c r="G1211">
        <f>IF(ISBLANK(F1211),MODE($F$2:$F$2001),F1211)</f>
        <v>4</v>
      </c>
      <c r="H1211">
        <v>153.94999999999999</v>
      </c>
      <c r="I1211">
        <f>IF(ISBLANK(H1211),AVERAGE($H$2:$H$2001),H1211)</f>
        <v>153.94999999999999</v>
      </c>
      <c r="J1211">
        <v>0.11</v>
      </c>
      <c r="K1211">
        <f>IF(ISBLANK(J1211),MODE($J$2:$J$2001),J1211)</f>
        <v>0.11</v>
      </c>
      <c r="L1211" t="s">
        <v>1826</v>
      </c>
      <c r="M1211">
        <v>548.06200000000001</v>
      </c>
      <c r="N1211">
        <f t="shared" si="18"/>
        <v>548.06200000000001</v>
      </c>
      <c r="O1211" t="str">
        <f>_xlfn.XLOOKUP(Sales_fact[[#This Row],[Customer_ID]],'Customer_Dim'!A:A,'Customer_Dim'!K:K,"Not Found")</f>
        <v>Platinum</v>
      </c>
      <c r="P1211">
        <f>_xlfn.XLOOKUP(Sales_fact[[#This Row],[Customer_ID]],'Customer_Dim'!A:A, 'Customer_Dim'!E:E, "Not Found")</f>
        <v>24</v>
      </c>
      <c r="Q1211" t="str">
        <f>VLOOKUP(Sales_fact[[#This Row],[Customer_ID]], 'Customer_Dim'!A:F, 6, FALSE)</f>
        <v>Male</v>
      </c>
      <c r="R1211" s="13" t="str">
        <f>_xlfn.XLOOKUP(Sales_fact[[#This Row],[Product_ID]],Product_Dim!A:A,Product_Dim!C:C,"OTHERS")</f>
        <v>Home</v>
      </c>
    </row>
    <row r="1212" spans="1:18" x14ac:dyDescent="0.3">
      <c r="A1212" t="s">
        <v>3036</v>
      </c>
      <c r="B1212" s="2">
        <v>45530</v>
      </c>
      <c r="C1212" t="s">
        <v>295</v>
      </c>
      <c r="D1212" t="s">
        <v>1620</v>
      </c>
      <c r="E1212" t="str">
        <f ca="1">TRIM(Sales_fact[[#This Row],[Store_ID]])</f>
        <v>STORE8</v>
      </c>
      <c r="F1212">
        <v>4</v>
      </c>
      <c r="G1212">
        <f>IF(ISBLANK(F1212),MODE($F$2:$F$2001),F1212)</f>
        <v>4</v>
      </c>
      <c r="H1212">
        <v>271.04000000000002</v>
      </c>
      <c r="I1212">
        <f>IF(ISBLANK(H1212),AVERAGE($H$2:$H$2001),H1212)</f>
        <v>271.04000000000002</v>
      </c>
      <c r="J1212">
        <v>0.12</v>
      </c>
      <c r="K1212">
        <f>IF(ISBLANK(J1212),MODE($J$2:$J$2001),J1212)</f>
        <v>0.12</v>
      </c>
      <c r="L1212" t="s">
        <v>1829</v>
      </c>
      <c r="M1212">
        <v>954.06080000000009</v>
      </c>
      <c r="N1212">
        <f t="shared" si="18"/>
        <v>954.06080000000009</v>
      </c>
      <c r="O1212" t="str">
        <f>_xlfn.XLOOKUP(Sales_fact[[#This Row],[Customer_ID]],'Customer_Dim'!A:A,'Customer_Dim'!K:K,"Not Found")</f>
        <v>Platinum</v>
      </c>
      <c r="P1212">
        <f>_xlfn.XLOOKUP(Sales_fact[[#This Row],[Customer_ID]],'Customer_Dim'!A:A, 'Customer_Dim'!E:E, "Not Found")</f>
        <v>34</v>
      </c>
      <c r="Q1212" t="str">
        <f>VLOOKUP(Sales_fact[[#This Row],[Customer_ID]], 'Customer_Dim'!A:F, 6, FALSE)</f>
        <v>Female</v>
      </c>
      <c r="R1212" s="13" t="str">
        <f>_xlfn.XLOOKUP(Sales_fact[[#This Row],[Product_ID]],Product_Dim!A:A,Product_Dim!C:C,"OTHERS")</f>
        <v>Clothing</v>
      </c>
    </row>
    <row r="1213" spans="1:18" x14ac:dyDescent="0.3">
      <c r="A1213" t="s">
        <v>3037</v>
      </c>
      <c r="B1213" s="2">
        <v>45558</v>
      </c>
      <c r="C1213" t="s">
        <v>71</v>
      </c>
      <c r="D1213" t="s">
        <v>1618</v>
      </c>
      <c r="E1213" t="str">
        <f ca="1">TRIM(Sales_fact[[#This Row],[Store_ID]])</f>
        <v>STORE6</v>
      </c>
      <c r="F1213">
        <v>4</v>
      </c>
      <c r="G1213">
        <f>IF(ISBLANK(F1213),MODE($F$2:$F$2001),F1213)</f>
        <v>4</v>
      </c>
      <c r="H1213">
        <v>328.27</v>
      </c>
      <c r="I1213">
        <f>IF(ISBLANK(H1213),AVERAGE($H$2:$H$2001),H1213)</f>
        <v>328.27</v>
      </c>
      <c r="J1213">
        <v>0.09</v>
      </c>
      <c r="K1213">
        <f>IF(ISBLANK(J1213),MODE($J$2:$J$2001),J1213)</f>
        <v>0.09</v>
      </c>
      <c r="L1213" t="s">
        <v>1826</v>
      </c>
      <c r="M1213">
        <v>1194.9028000000001</v>
      </c>
      <c r="N1213">
        <f t="shared" si="18"/>
        <v>1194.9028000000001</v>
      </c>
      <c r="O1213" t="str">
        <f>_xlfn.XLOOKUP(Sales_fact[[#This Row],[Customer_ID]],'Customer_Dim'!A:A,'Customer_Dim'!K:K,"Not Found")</f>
        <v>Platinum</v>
      </c>
      <c r="P1213">
        <f>_xlfn.XLOOKUP(Sales_fact[[#This Row],[Customer_ID]],'Customer_Dim'!A:A, 'Customer_Dim'!E:E, "Not Found")</f>
        <v>49</v>
      </c>
      <c r="Q1213" t="str">
        <f>VLOOKUP(Sales_fact[[#This Row],[Customer_ID]], 'Customer_Dim'!A:F, 6, FALSE)</f>
        <v>Female</v>
      </c>
      <c r="R1213" s="13" t="str">
        <f>_xlfn.XLOOKUP(Sales_fact[[#This Row],[Product_ID]],Product_Dim!A:A,Product_Dim!C:C,"OTHERS")</f>
        <v>Home</v>
      </c>
    </row>
    <row r="1214" spans="1:18" x14ac:dyDescent="0.3">
      <c r="A1214" t="s">
        <v>3038</v>
      </c>
      <c r="B1214" s="2">
        <v>45472</v>
      </c>
      <c r="C1214" t="s">
        <v>1518</v>
      </c>
      <c r="D1214" t="s">
        <v>1582</v>
      </c>
      <c r="E1214" t="str">
        <f ca="1">TRIM(Sales_fact[[#This Row],[Store_ID]])</f>
        <v>STORE14</v>
      </c>
      <c r="F1214">
        <v>4</v>
      </c>
      <c r="G1214">
        <f>IF(ISBLANK(F1214),MODE($F$2:$F$2001),F1214)</f>
        <v>4</v>
      </c>
      <c r="H1214">
        <v>884.71</v>
      </c>
      <c r="I1214">
        <f>IF(ISBLANK(H1214),AVERAGE($H$2:$H$2001),H1214)</f>
        <v>884.71</v>
      </c>
      <c r="J1214">
        <v>0.09</v>
      </c>
      <c r="K1214">
        <f>IF(ISBLANK(J1214),MODE($J$2:$J$2001),J1214)</f>
        <v>0.09</v>
      </c>
      <c r="L1214" t="s">
        <v>1826</v>
      </c>
      <c r="M1214">
        <v>3220.3444</v>
      </c>
      <c r="N1214">
        <f t="shared" si="18"/>
        <v>3220.3444000000004</v>
      </c>
      <c r="O1214" t="str">
        <f>_xlfn.XLOOKUP(Sales_fact[[#This Row],[Customer_ID]],'Customer_Dim'!A:A,'Customer_Dim'!K:K,"Not Found")</f>
        <v>Gold</v>
      </c>
      <c r="P1214">
        <f>_xlfn.XLOOKUP(Sales_fact[[#This Row],[Customer_ID]],'Customer_Dim'!A:A, 'Customer_Dim'!E:E, "Not Found")</f>
        <v>21</v>
      </c>
      <c r="Q1214" t="str">
        <f>VLOOKUP(Sales_fact[[#This Row],[Customer_ID]], 'Customer_Dim'!A:F, 6, FALSE)</f>
        <v>Male</v>
      </c>
      <c r="R1214" s="13" t="str">
        <f>_xlfn.XLOOKUP(Sales_fact[[#This Row],[Product_ID]],Product_Dim!A:A,Product_Dim!C:C,"OTHERS")</f>
        <v>Sports</v>
      </c>
    </row>
    <row r="1215" spans="1:18" x14ac:dyDescent="0.3">
      <c r="A1215" t="s">
        <v>3039</v>
      </c>
      <c r="B1215" s="2">
        <v>45809</v>
      </c>
      <c r="C1215" t="s">
        <v>797</v>
      </c>
      <c r="D1215" t="s">
        <v>1692</v>
      </c>
      <c r="E1215" t="str">
        <f ca="1">TRIM(Sales_fact[[#This Row],[Store_ID]])</f>
        <v>STORE4</v>
      </c>
      <c r="F1215">
        <v>1</v>
      </c>
      <c r="G1215">
        <f>IF(ISBLANK(F1215),MODE($F$2:$F$2001),F1215)</f>
        <v>1</v>
      </c>
      <c r="H1215">
        <v>41.39</v>
      </c>
      <c r="I1215">
        <f>IF(ISBLANK(H1215),AVERAGE($H$2:$H$2001),H1215)</f>
        <v>41.39</v>
      </c>
      <c r="J1215">
        <v>0.01</v>
      </c>
      <c r="K1215">
        <f>IF(ISBLANK(J1215),MODE($J$2:$J$2001),J1215)</f>
        <v>0.01</v>
      </c>
      <c r="L1215" t="s">
        <v>1824</v>
      </c>
      <c r="M1215">
        <v>40.976100000000002</v>
      </c>
      <c r="N1215">
        <f t="shared" si="18"/>
        <v>40.976100000000002</v>
      </c>
      <c r="O1215" t="str">
        <f>_xlfn.XLOOKUP(Sales_fact[[#This Row],[Customer_ID]],'Customer_Dim'!A:A,'Customer_Dim'!K:K,"Not Found")</f>
        <v>Gold</v>
      </c>
      <c r="P1215">
        <f>_xlfn.XLOOKUP(Sales_fact[[#This Row],[Customer_ID]],'Customer_Dim'!A:A, 'Customer_Dim'!E:E, "Not Found")</f>
        <v>41</v>
      </c>
      <c r="Q1215" t="str">
        <f>VLOOKUP(Sales_fact[[#This Row],[Customer_ID]], 'Customer_Dim'!A:F, 6, FALSE)</f>
        <v>Female</v>
      </c>
      <c r="R1215" s="13" t="str">
        <f>_xlfn.XLOOKUP(Sales_fact[[#This Row],[Product_ID]],Product_Dim!A:A,Product_Dim!C:C,"OTHERS")</f>
        <v>Sports</v>
      </c>
    </row>
    <row r="1216" spans="1:18" x14ac:dyDescent="0.3">
      <c r="A1216" t="s">
        <v>3040</v>
      </c>
      <c r="B1216" s="2">
        <v>45783</v>
      </c>
      <c r="C1216" t="s">
        <v>550</v>
      </c>
      <c r="D1216" t="s">
        <v>1662</v>
      </c>
      <c r="E1216" t="str">
        <f ca="1">TRIM(Sales_fact[[#This Row],[Store_ID]])</f>
        <v>STORE9</v>
      </c>
      <c r="F1216">
        <v>4</v>
      </c>
      <c r="G1216">
        <f>IF(ISBLANK(F1216),MODE($F$2:$F$2001),F1216)</f>
        <v>4</v>
      </c>
      <c r="H1216">
        <v>64.06</v>
      </c>
      <c r="I1216">
        <f>IF(ISBLANK(H1216),AVERAGE($H$2:$H$2001),H1216)</f>
        <v>64.06</v>
      </c>
      <c r="J1216">
        <v>0.26</v>
      </c>
      <c r="K1216">
        <f>IF(ISBLANK(J1216),MODE($J$2:$J$2001),J1216)</f>
        <v>0.26</v>
      </c>
      <c r="L1216" t="s">
        <v>1824</v>
      </c>
      <c r="M1216">
        <v>189.61760000000001</v>
      </c>
      <c r="N1216">
        <f t="shared" si="18"/>
        <v>189.61760000000001</v>
      </c>
      <c r="O1216" t="str">
        <f>_xlfn.XLOOKUP(Sales_fact[[#This Row],[Customer_ID]],'Customer_Dim'!A:A,'Customer_Dim'!K:K,"Not Found")</f>
        <v>Platinum</v>
      </c>
      <c r="P1216">
        <f>_xlfn.XLOOKUP(Sales_fact[[#This Row],[Customer_ID]],'Customer_Dim'!A:A, 'Customer_Dim'!E:E, "Not Found")</f>
        <v>47</v>
      </c>
      <c r="Q1216" t="str">
        <f>VLOOKUP(Sales_fact[[#This Row],[Customer_ID]], 'Customer_Dim'!A:F, 6, FALSE)</f>
        <v>Female</v>
      </c>
      <c r="R1216" s="13" t="str">
        <f>_xlfn.XLOOKUP(Sales_fact[[#This Row],[Product_ID]],Product_Dim!A:A,Product_Dim!C:C,"OTHERS")</f>
        <v>Sports</v>
      </c>
    </row>
    <row r="1217" spans="1:18" x14ac:dyDescent="0.3">
      <c r="A1217" t="s">
        <v>3041</v>
      </c>
      <c r="B1217" s="2">
        <v>45849</v>
      </c>
      <c r="C1217" t="s">
        <v>1086</v>
      </c>
      <c r="D1217" t="s">
        <v>1640</v>
      </c>
      <c r="E1217" t="str">
        <f ca="1">TRIM(Sales_fact[[#This Row],[Store_ID]])</f>
        <v>STORE9</v>
      </c>
      <c r="F1217">
        <v>2</v>
      </c>
      <c r="G1217">
        <f>IF(ISBLANK(F1217),MODE($F$2:$F$2001),F1217)</f>
        <v>2</v>
      </c>
      <c r="H1217">
        <v>152.25</v>
      </c>
      <c r="I1217">
        <f>IF(ISBLANK(H1217),AVERAGE($H$2:$H$2001),H1217)</f>
        <v>152.25</v>
      </c>
      <c r="J1217">
        <v>0.13</v>
      </c>
      <c r="K1217">
        <f>IF(ISBLANK(J1217),MODE($J$2:$J$2001),J1217)</f>
        <v>0.13</v>
      </c>
      <c r="L1217" t="s">
        <v>1824</v>
      </c>
      <c r="M1217">
        <v>264.91500000000002</v>
      </c>
      <c r="N1217">
        <f t="shared" si="18"/>
        <v>264.91500000000002</v>
      </c>
      <c r="O1217" t="str">
        <f>_xlfn.XLOOKUP(Sales_fact[[#This Row],[Customer_ID]],'Customer_Dim'!A:A,'Customer_Dim'!K:K,"Not Found")</f>
        <v>Platinum</v>
      </c>
      <c r="P1217">
        <f>_xlfn.XLOOKUP(Sales_fact[[#This Row],[Customer_ID]],'Customer_Dim'!A:A, 'Customer_Dim'!E:E, "Not Found")</f>
        <v>58</v>
      </c>
      <c r="Q1217" t="str">
        <f>VLOOKUP(Sales_fact[[#This Row],[Customer_ID]], 'Customer_Dim'!A:F, 6, FALSE)</f>
        <v>Female</v>
      </c>
      <c r="R1217" s="13" t="str">
        <f>_xlfn.XLOOKUP(Sales_fact[[#This Row],[Product_ID]],Product_Dim!A:A,Product_Dim!C:C,"OTHERS")</f>
        <v>Clothing</v>
      </c>
    </row>
    <row r="1218" spans="1:18" x14ac:dyDescent="0.3">
      <c r="A1218" t="s">
        <v>3042</v>
      </c>
      <c r="B1218" s="2">
        <v>45281</v>
      </c>
      <c r="C1218" t="s">
        <v>356</v>
      </c>
      <c r="D1218" t="s">
        <v>1574</v>
      </c>
      <c r="E1218" t="str">
        <f ca="1">TRIM(Sales_fact[[#This Row],[Store_ID]])</f>
        <v>STORE19</v>
      </c>
      <c r="F1218">
        <v>2</v>
      </c>
      <c r="G1218">
        <f>IF(ISBLANK(F1218),MODE($F$2:$F$2001),F1218)</f>
        <v>2</v>
      </c>
      <c r="H1218">
        <v>889.04</v>
      </c>
      <c r="I1218">
        <f>IF(ISBLANK(H1218),AVERAGE($H$2:$H$2001),H1218)</f>
        <v>889.04</v>
      </c>
      <c r="J1218">
        <v>0.23</v>
      </c>
      <c r="K1218">
        <f>IF(ISBLANK(J1218),MODE($J$2:$J$2001),J1218)</f>
        <v>0.23</v>
      </c>
      <c r="L1218" t="s">
        <v>1824</v>
      </c>
      <c r="M1218">
        <v>1369.1215999999999</v>
      </c>
      <c r="N1218">
        <f t="shared" si="18"/>
        <v>1369.1215999999999</v>
      </c>
      <c r="O1218" t="str">
        <f>_xlfn.XLOOKUP(Sales_fact[[#This Row],[Customer_ID]],'Customer_Dim'!A:A,'Customer_Dim'!K:K,"Not Found")</f>
        <v>Platinum</v>
      </c>
      <c r="P1218">
        <f>_xlfn.XLOOKUP(Sales_fact[[#This Row],[Customer_ID]],'Customer_Dim'!A:A, 'Customer_Dim'!E:E, "Not Found")</f>
        <v>53</v>
      </c>
      <c r="Q1218" t="str">
        <f>VLOOKUP(Sales_fact[[#This Row],[Customer_ID]], 'Customer_Dim'!A:F, 6, FALSE)</f>
        <v>Female</v>
      </c>
      <c r="R1218" s="13" t="str">
        <f>_xlfn.XLOOKUP(Sales_fact[[#This Row],[Product_ID]],Product_Dim!A:A,Product_Dim!C:C,"OTHERS")</f>
        <v>Electronics</v>
      </c>
    </row>
    <row r="1219" spans="1:18" x14ac:dyDescent="0.3">
      <c r="A1219" t="s">
        <v>3043</v>
      </c>
      <c r="B1219" s="2">
        <v>45322</v>
      </c>
      <c r="C1219" t="s">
        <v>538</v>
      </c>
      <c r="D1219" t="s">
        <v>1622</v>
      </c>
      <c r="E1219" t="str">
        <f ca="1">TRIM(Sales_fact[[#This Row],[Store_ID]])</f>
        <v>STORE10</v>
      </c>
      <c r="F1219">
        <v>3</v>
      </c>
      <c r="G1219">
        <f>IF(ISBLANK(F1219),MODE($F$2:$F$2001),F1219)</f>
        <v>3</v>
      </c>
      <c r="H1219">
        <v>145.25</v>
      </c>
      <c r="I1219">
        <f>IF(ISBLANK(H1219),AVERAGE($H$2:$H$2001),H1219)</f>
        <v>145.25</v>
      </c>
      <c r="J1219">
        <v>0.24</v>
      </c>
      <c r="K1219">
        <f>IF(ISBLANK(J1219),MODE($J$2:$J$2001),J1219)</f>
        <v>0.24</v>
      </c>
      <c r="L1219" t="s">
        <v>1826</v>
      </c>
      <c r="M1219">
        <v>331.17</v>
      </c>
      <c r="N1219">
        <f t="shared" ref="N1219:N1282" si="19">G1219*I1219*(1-K1219)</f>
        <v>331.17</v>
      </c>
      <c r="O1219" t="str">
        <f>_xlfn.XLOOKUP(Sales_fact[[#This Row],[Customer_ID]],'Customer_Dim'!A:A,'Customer_Dim'!K:K,"Not Found")</f>
        <v>Silver</v>
      </c>
      <c r="P1219">
        <f>_xlfn.XLOOKUP(Sales_fact[[#This Row],[Customer_ID]],'Customer_Dim'!A:A, 'Customer_Dim'!E:E, "Not Found")</f>
        <v>18</v>
      </c>
      <c r="Q1219" t="str">
        <f>VLOOKUP(Sales_fact[[#This Row],[Customer_ID]], 'Customer_Dim'!A:F, 6, FALSE)</f>
        <v>Female</v>
      </c>
      <c r="R1219" s="13" t="str">
        <f>_xlfn.XLOOKUP(Sales_fact[[#This Row],[Product_ID]],Product_Dim!A:A,Product_Dim!C:C,"OTHERS")</f>
        <v>Clothing</v>
      </c>
    </row>
    <row r="1220" spans="1:18" x14ac:dyDescent="0.3">
      <c r="A1220" t="s">
        <v>3044</v>
      </c>
      <c r="B1220" s="2">
        <v>45560</v>
      </c>
      <c r="C1220" t="s">
        <v>211</v>
      </c>
      <c r="D1220" t="s">
        <v>1724</v>
      </c>
      <c r="E1220" t="str">
        <f ca="1">TRIM(Sales_fact[[#This Row],[Store_ID]])</f>
        <v>STORE2</v>
      </c>
      <c r="F1220">
        <v>2</v>
      </c>
      <c r="G1220">
        <f>IF(ISBLANK(F1220),MODE($F$2:$F$2001),F1220)</f>
        <v>2</v>
      </c>
      <c r="H1220">
        <v>898.45</v>
      </c>
      <c r="I1220">
        <f>IF(ISBLANK(H1220),AVERAGE($H$2:$H$2001),H1220)</f>
        <v>898.45</v>
      </c>
      <c r="J1220">
        <v>0.28999999999999998</v>
      </c>
      <c r="K1220">
        <f>IF(ISBLANK(J1220),MODE($J$2:$J$2001),J1220)</f>
        <v>0.28999999999999998</v>
      </c>
      <c r="L1220" t="s">
        <v>1829</v>
      </c>
      <c r="M1220">
        <v>1275.799</v>
      </c>
      <c r="N1220">
        <f t="shared" si="19"/>
        <v>1275.799</v>
      </c>
      <c r="O1220" t="str">
        <f>_xlfn.XLOOKUP(Sales_fact[[#This Row],[Customer_ID]],'Customer_Dim'!A:A,'Customer_Dim'!K:K,"Not Found")</f>
        <v>Gold</v>
      </c>
      <c r="P1220">
        <f>_xlfn.XLOOKUP(Sales_fact[[#This Row],[Customer_ID]],'Customer_Dim'!A:A, 'Customer_Dim'!E:E, "Not Found")</f>
        <v>49</v>
      </c>
      <c r="Q1220" t="str">
        <f>VLOOKUP(Sales_fact[[#This Row],[Customer_ID]], 'Customer_Dim'!A:F, 6, FALSE)</f>
        <v>Female</v>
      </c>
      <c r="R1220" s="13" t="str">
        <f>_xlfn.XLOOKUP(Sales_fact[[#This Row],[Product_ID]],Product_Dim!A:A,Product_Dim!C:C,"OTHERS")</f>
        <v>Sports</v>
      </c>
    </row>
    <row r="1221" spans="1:18" x14ac:dyDescent="0.3">
      <c r="A1221" t="s">
        <v>3045</v>
      </c>
      <c r="B1221" s="2">
        <v>45905</v>
      </c>
      <c r="C1221" t="s">
        <v>124</v>
      </c>
      <c r="D1221" t="s">
        <v>1618</v>
      </c>
      <c r="E1221" t="str">
        <f ca="1">TRIM(Sales_fact[[#This Row],[Store_ID]])</f>
        <v>STORE15</v>
      </c>
      <c r="F1221">
        <v>4</v>
      </c>
      <c r="G1221">
        <f>IF(ISBLANK(F1221),MODE($F$2:$F$2001),F1221)</f>
        <v>4</v>
      </c>
      <c r="H1221">
        <v>642.04999999999995</v>
      </c>
      <c r="I1221">
        <f>IF(ISBLANK(H1221),AVERAGE($H$2:$H$2001),H1221)</f>
        <v>642.04999999999995</v>
      </c>
      <c r="J1221">
        <v>0.25</v>
      </c>
      <c r="K1221">
        <f>IF(ISBLANK(J1221),MODE($J$2:$J$2001),J1221)</f>
        <v>0.25</v>
      </c>
      <c r="L1221" t="s">
        <v>1824</v>
      </c>
      <c r="M1221">
        <v>1926.15</v>
      </c>
      <c r="N1221">
        <f t="shared" si="19"/>
        <v>1926.1499999999999</v>
      </c>
      <c r="O1221" t="str">
        <f>_xlfn.XLOOKUP(Sales_fact[[#This Row],[Customer_ID]],'Customer_Dim'!A:A,'Customer_Dim'!K:K,"Not Found")</f>
        <v>Bronze</v>
      </c>
      <c r="P1221">
        <f>_xlfn.XLOOKUP(Sales_fact[[#This Row],[Customer_ID]],'Customer_Dim'!A:A, 'Customer_Dim'!E:E, "Not Found")</f>
        <v>64</v>
      </c>
      <c r="Q1221" t="str">
        <f>VLOOKUP(Sales_fact[[#This Row],[Customer_ID]], 'Customer_Dim'!A:F, 6, FALSE)</f>
        <v>Female</v>
      </c>
      <c r="R1221" s="13" t="str">
        <f>_xlfn.XLOOKUP(Sales_fact[[#This Row],[Product_ID]],Product_Dim!A:A,Product_Dim!C:C,"OTHERS")</f>
        <v>Home</v>
      </c>
    </row>
    <row r="1222" spans="1:18" x14ac:dyDescent="0.3">
      <c r="A1222" t="s">
        <v>3046</v>
      </c>
      <c r="B1222" s="2">
        <v>45531</v>
      </c>
      <c r="C1222" t="s">
        <v>987</v>
      </c>
      <c r="D1222" t="s">
        <v>1716</v>
      </c>
      <c r="E1222" t="str">
        <f ca="1">TRIM(Sales_fact[[#This Row],[Store_ID]])</f>
        <v>STORE7</v>
      </c>
      <c r="F1222">
        <v>4</v>
      </c>
      <c r="G1222">
        <f>IF(ISBLANK(F1222),MODE($F$2:$F$2001),F1222)</f>
        <v>4</v>
      </c>
      <c r="H1222">
        <v>450.83</v>
      </c>
      <c r="I1222">
        <f>IF(ISBLANK(H1222),AVERAGE($H$2:$H$2001),H1222)</f>
        <v>450.83</v>
      </c>
      <c r="J1222">
        <v>0.24</v>
      </c>
      <c r="K1222">
        <f>IF(ISBLANK(J1222),MODE($J$2:$J$2001),J1222)</f>
        <v>0.24</v>
      </c>
      <c r="L1222" t="s">
        <v>1824</v>
      </c>
      <c r="M1222">
        <v>1370.5232000000001</v>
      </c>
      <c r="N1222">
        <f t="shared" si="19"/>
        <v>1370.5231999999999</v>
      </c>
      <c r="O1222" t="str">
        <f>_xlfn.XLOOKUP(Sales_fact[[#This Row],[Customer_ID]],'Customer_Dim'!A:A,'Customer_Dim'!K:K,"Not Found")</f>
        <v>Platinum</v>
      </c>
      <c r="P1222">
        <f>_xlfn.XLOOKUP(Sales_fact[[#This Row],[Customer_ID]],'Customer_Dim'!A:A, 'Customer_Dim'!E:E, "Not Found")</f>
        <v>62</v>
      </c>
      <c r="Q1222" t="str">
        <f>VLOOKUP(Sales_fact[[#This Row],[Customer_ID]], 'Customer_Dim'!A:F, 6, FALSE)</f>
        <v>Male</v>
      </c>
      <c r="R1222" s="13" t="str">
        <f>_xlfn.XLOOKUP(Sales_fact[[#This Row],[Product_ID]],Product_Dim!A:A,Product_Dim!C:C,"OTHERS")</f>
        <v>Home</v>
      </c>
    </row>
    <row r="1223" spans="1:18" x14ac:dyDescent="0.3">
      <c r="A1223" t="s">
        <v>3047</v>
      </c>
      <c r="B1223" s="2">
        <v>45216</v>
      </c>
      <c r="C1223" t="s">
        <v>52</v>
      </c>
      <c r="D1223" t="s">
        <v>1652</v>
      </c>
      <c r="E1223" t="str">
        <f ca="1">TRIM(Sales_fact[[#This Row],[Store_ID]])</f>
        <v>STORE19</v>
      </c>
      <c r="F1223">
        <v>2</v>
      </c>
      <c r="G1223">
        <f>IF(ISBLANK(F1223),MODE($F$2:$F$2001),F1223)</f>
        <v>2</v>
      </c>
      <c r="H1223">
        <v>441.03</v>
      </c>
      <c r="I1223">
        <f>IF(ISBLANK(H1223),AVERAGE($H$2:$H$2001),H1223)</f>
        <v>441.03</v>
      </c>
      <c r="J1223">
        <v>0.23</v>
      </c>
      <c r="K1223">
        <f>IF(ISBLANK(J1223),MODE($J$2:$J$2001),J1223)</f>
        <v>0.23</v>
      </c>
      <c r="L1223" t="s">
        <v>1829</v>
      </c>
      <c r="M1223">
        <v>679.18619999999999</v>
      </c>
      <c r="N1223">
        <f t="shared" si="19"/>
        <v>679.18619999999999</v>
      </c>
      <c r="O1223" t="str">
        <f>_xlfn.XLOOKUP(Sales_fact[[#This Row],[Customer_ID]],'Customer_Dim'!A:A,'Customer_Dim'!K:K,"Not Found")</f>
        <v>Bronze</v>
      </c>
      <c r="P1223">
        <f>_xlfn.XLOOKUP(Sales_fact[[#This Row],[Customer_ID]],'Customer_Dim'!A:A, 'Customer_Dim'!E:E, "Not Found")</f>
        <v>53</v>
      </c>
      <c r="Q1223" t="str">
        <f>VLOOKUP(Sales_fact[[#This Row],[Customer_ID]], 'Customer_Dim'!A:F, 6, FALSE)</f>
        <v>Male</v>
      </c>
      <c r="R1223" s="13" t="str">
        <f>_xlfn.XLOOKUP(Sales_fact[[#This Row],[Product_ID]],Product_Dim!A:A,Product_Dim!C:C,"OTHERS")</f>
        <v>Sports</v>
      </c>
    </row>
    <row r="1224" spans="1:18" x14ac:dyDescent="0.3">
      <c r="A1224" t="s">
        <v>3048</v>
      </c>
      <c r="B1224" s="2">
        <v>45384</v>
      </c>
      <c r="C1224" t="s">
        <v>298</v>
      </c>
      <c r="D1224" t="s">
        <v>1598</v>
      </c>
      <c r="E1224" t="str">
        <f ca="1">TRIM(Sales_fact[[#This Row],[Store_ID]])</f>
        <v>STORE2</v>
      </c>
      <c r="F1224">
        <v>3</v>
      </c>
      <c r="G1224">
        <f>IF(ISBLANK(F1224),MODE($F$2:$F$2001),F1224)</f>
        <v>3</v>
      </c>
      <c r="H1224">
        <v>377.69</v>
      </c>
      <c r="I1224">
        <f>IF(ISBLANK(H1224),AVERAGE($H$2:$H$2001),H1224)</f>
        <v>377.69</v>
      </c>
      <c r="J1224">
        <v>7.0000000000000007E-2</v>
      </c>
      <c r="K1224">
        <f>IF(ISBLANK(J1224),MODE($J$2:$J$2001),J1224)</f>
        <v>7.0000000000000007E-2</v>
      </c>
      <c r="L1224" t="s">
        <v>1826</v>
      </c>
      <c r="M1224">
        <v>1053.7551000000001</v>
      </c>
      <c r="N1224">
        <f t="shared" si="19"/>
        <v>1053.7550999999999</v>
      </c>
      <c r="O1224" t="str">
        <f>_xlfn.XLOOKUP(Sales_fact[[#This Row],[Customer_ID]],'Customer_Dim'!A:A,'Customer_Dim'!K:K,"Not Found")</f>
        <v>Bronze</v>
      </c>
      <c r="P1224">
        <f>_xlfn.XLOOKUP(Sales_fact[[#This Row],[Customer_ID]],'Customer_Dim'!A:A, 'Customer_Dim'!E:E, "Not Found")</f>
        <v>53</v>
      </c>
      <c r="Q1224" t="str">
        <f>VLOOKUP(Sales_fact[[#This Row],[Customer_ID]], 'Customer_Dim'!A:F, 6, FALSE)</f>
        <v>Male</v>
      </c>
      <c r="R1224" s="13" t="str">
        <f>_xlfn.XLOOKUP(Sales_fact[[#This Row],[Product_ID]],Product_Dim!A:A,Product_Dim!C:C,"OTHERS")</f>
        <v>Clothing</v>
      </c>
    </row>
    <row r="1225" spans="1:18" x14ac:dyDescent="0.3">
      <c r="A1225" t="s">
        <v>3049</v>
      </c>
      <c r="B1225" s="2">
        <v>45416</v>
      </c>
      <c r="C1225" t="s">
        <v>535</v>
      </c>
      <c r="D1225" t="s">
        <v>1568</v>
      </c>
      <c r="E1225" t="str">
        <f ca="1">TRIM(Sales_fact[[#This Row],[Store_ID]])</f>
        <v>STORE7</v>
      </c>
      <c r="F1225">
        <v>1</v>
      </c>
      <c r="G1225">
        <f>IF(ISBLANK(F1225),MODE($F$2:$F$2001),F1225)</f>
        <v>1</v>
      </c>
      <c r="H1225">
        <v>457.33</v>
      </c>
      <c r="I1225">
        <f>IF(ISBLANK(H1225),AVERAGE($H$2:$H$2001),H1225)</f>
        <v>457.33</v>
      </c>
      <c r="J1225">
        <v>0.27</v>
      </c>
      <c r="K1225">
        <f>IF(ISBLANK(J1225),MODE($J$2:$J$2001),J1225)</f>
        <v>0.27</v>
      </c>
      <c r="L1225" t="s">
        <v>1824</v>
      </c>
      <c r="M1225">
        <v>333.85090000000002</v>
      </c>
      <c r="N1225">
        <f t="shared" si="19"/>
        <v>333.85089999999997</v>
      </c>
      <c r="O1225" t="str">
        <f>_xlfn.XLOOKUP(Sales_fact[[#This Row],[Customer_ID]],'Customer_Dim'!A:A,'Customer_Dim'!K:K,"Not Found")</f>
        <v>Platinum</v>
      </c>
      <c r="P1225">
        <f>_xlfn.XLOOKUP(Sales_fact[[#This Row],[Customer_ID]],'Customer_Dim'!A:A, 'Customer_Dim'!E:E, "Not Found")</f>
        <v>41</v>
      </c>
      <c r="Q1225" t="str">
        <f>VLOOKUP(Sales_fact[[#This Row],[Customer_ID]], 'Customer_Dim'!A:F, 6, FALSE)</f>
        <v>Female</v>
      </c>
      <c r="R1225" s="13" t="str">
        <f>_xlfn.XLOOKUP(Sales_fact[[#This Row],[Product_ID]],Product_Dim!A:A,Product_Dim!C:C,"OTHERS")</f>
        <v>Home</v>
      </c>
    </row>
    <row r="1226" spans="1:18" x14ac:dyDescent="0.3">
      <c r="A1226" t="s">
        <v>3050</v>
      </c>
      <c r="B1226" s="2">
        <v>45880</v>
      </c>
      <c r="C1226" t="s">
        <v>782</v>
      </c>
      <c r="D1226" t="s">
        <v>1700</v>
      </c>
      <c r="E1226" t="str">
        <f ca="1">TRIM(Sales_fact[[#This Row],[Store_ID]])</f>
        <v>STORE6</v>
      </c>
      <c r="F1226">
        <v>4</v>
      </c>
      <c r="G1226">
        <f>IF(ISBLANK(F1226),MODE($F$2:$F$2001),F1226)</f>
        <v>4</v>
      </c>
      <c r="H1226">
        <v>218.01</v>
      </c>
      <c r="I1226">
        <f>IF(ISBLANK(H1226),AVERAGE($H$2:$H$2001),H1226)</f>
        <v>218.01</v>
      </c>
      <c r="J1226">
        <v>0.06</v>
      </c>
      <c r="K1226">
        <f>IF(ISBLANK(J1226),MODE($J$2:$J$2001),J1226)</f>
        <v>0.06</v>
      </c>
      <c r="L1226" t="s">
        <v>1824</v>
      </c>
      <c r="M1226">
        <v>819.71759999999995</v>
      </c>
      <c r="N1226">
        <f t="shared" si="19"/>
        <v>819.71759999999995</v>
      </c>
      <c r="O1226" t="str">
        <f>_xlfn.XLOOKUP(Sales_fact[[#This Row],[Customer_ID]],'Customer_Dim'!A:A,'Customer_Dim'!K:K,"Not Found")</f>
        <v>Bronze</v>
      </c>
      <c r="P1226">
        <f>_xlfn.XLOOKUP(Sales_fact[[#This Row],[Customer_ID]],'Customer_Dim'!A:A, 'Customer_Dim'!E:E, "Not Found")</f>
        <v>19</v>
      </c>
      <c r="Q1226" t="str">
        <f>VLOOKUP(Sales_fact[[#This Row],[Customer_ID]], 'Customer_Dim'!A:F, 6, FALSE)</f>
        <v>Male</v>
      </c>
      <c r="R1226" s="13" t="str">
        <f>_xlfn.XLOOKUP(Sales_fact[[#This Row],[Product_ID]],Product_Dim!A:A,Product_Dim!C:C,"OTHERS")</f>
        <v>Electronics</v>
      </c>
    </row>
    <row r="1227" spans="1:18" x14ac:dyDescent="0.3">
      <c r="A1227" t="s">
        <v>3051</v>
      </c>
      <c r="B1227" s="2">
        <v>45933</v>
      </c>
      <c r="C1227" t="s">
        <v>708</v>
      </c>
      <c r="D1227" t="s">
        <v>1732</v>
      </c>
      <c r="E1227" t="str">
        <f ca="1">TRIM(Sales_fact[[#This Row],[Store_ID]])</f>
        <v>STORE18</v>
      </c>
      <c r="F1227">
        <v>2</v>
      </c>
      <c r="G1227">
        <f>IF(ISBLANK(F1227),MODE($F$2:$F$2001),F1227)</f>
        <v>2</v>
      </c>
      <c r="H1227">
        <v>682.7</v>
      </c>
      <c r="I1227">
        <f>IF(ISBLANK(H1227),AVERAGE($H$2:$H$2001),H1227)</f>
        <v>682.7</v>
      </c>
      <c r="J1227">
        <v>0.13</v>
      </c>
      <c r="K1227">
        <f>IF(ISBLANK(J1227),MODE($J$2:$J$2001),J1227)</f>
        <v>0.13</v>
      </c>
      <c r="L1227" t="s">
        <v>1824</v>
      </c>
      <c r="M1227">
        <v>1187.8979999999999</v>
      </c>
      <c r="N1227">
        <f t="shared" si="19"/>
        <v>1187.8980000000001</v>
      </c>
      <c r="O1227" t="str">
        <f>_xlfn.XLOOKUP(Sales_fact[[#This Row],[Customer_ID]],'Customer_Dim'!A:A,'Customer_Dim'!K:K,"Not Found")</f>
        <v>Platinum</v>
      </c>
      <c r="P1227">
        <f>_xlfn.XLOOKUP(Sales_fact[[#This Row],[Customer_ID]],'Customer_Dim'!A:A, 'Customer_Dim'!E:E, "Not Found")</f>
        <v>46</v>
      </c>
      <c r="Q1227" t="str">
        <f>VLOOKUP(Sales_fact[[#This Row],[Customer_ID]], 'Customer_Dim'!A:F, 6, FALSE)</f>
        <v>Male</v>
      </c>
      <c r="R1227" s="13" t="str">
        <f>_xlfn.XLOOKUP(Sales_fact[[#This Row],[Product_ID]],Product_Dim!A:A,Product_Dim!C:C,"OTHERS")</f>
        <v>Home</v>
      </c>
    </row>
    <row r="1228" spans="1:18" x14ac:dyDescent="0.3">
      <c r="A1228" t="s">
        <v>3052</v>
      </c>
      <c r="B1228" s="2">
        <v>45345</v>
      </c>
      <c r="C1228" t="s">
        <v>1017</v>
      </c>
      <c r="D1228" t="s">
        <v>1586</v>
      </c>
      <c r="E1228" t="str">
        <f ca="1">TRIM(Sales_fact[[#This Row],[Store_ID]])</f>
        <v>STORE18</v>
      </c>
      <c r="F1228">
        <v>3</v>
      </c>
      <c r="G1228">
        <f>IF(ISBLANK(F1228),MODE($F$2:$F$2001),F1228)</f>
        <v>3</v>
      </c>
      <c r="H1228">
        <v>726.97</v>
      </c>
      <c r="I1228">
        <f>IF(ISBLANK(H1228),AVERAGE($H$2:$H$2001),H1228)</f>
        <v>726.97</v>
      </c>
      <c r="J1228">
        <v>0.04</v>
      </c>
      <c r="K1228">
        <f>IF(ISBLANK(J1228),MODE($J$2:$J$2001),J1228)</f>
        <v>0.04</v>
      </c>
      <c r="L1228" t="s">
        <v>1826</v>
      </c>
      <c r="M1228">
        <v>2093.6736000000001</v>
      </c>
      <c r="N1228">
        <f t="shared" si="19"/>
        <v>2093.6735999999996</v>
      </c>
      <c r="O1228" t="str">
        <f>_xlfn.XLOOKUP(Sales_fact[[#This Row],[Customer_ID]],'Customer_Dim'!A:A,'Customer_Dim'!K:K,"Not Found")</f>
        <v>Platinum</v>
      </c>
      <c r="P1228">
        <f>_xlfn.XLOOKUP(Sales_fact[[#This Row],[Customer_ID]],'Customer_Dim'!A:A, 'Customer_Dim'!E:E, "Not Found")</f>
        <v>64</v>
      </c>
      <c r="Q1228" t="str">
        <f>VLOOKUP(Sales_fact[[#This Row],[Customer_ID]], 'Customer_Dim'!A:F, 6, FALSE)</f>
        <v>Female</v>
      </c>
      <c r="R1228" s="13" t="str">
        <f>_xlfn.XLOOKUP(Sales_fact[[#This Row],[Product_ID]],Product_Dim!A:A,Product_Dim!C:C,"OTHERS")</f>
        <v>Sports</v>
      </c>
    </row>
    <row r="1229" spans="1:18" x14ac:dyDescent="0.3">
      <c r="A1229" t="s">
        <v>3053</v>
      </c>
      <c r="B1229" s="2">
        <v>45681</v>
      </c>
      <c r="C1229" t="s">
        <v>1269</v>
      </c>
      <c r="D1229" t="s">
        <v>1666</v>
      </c>
      <c r="E1229" t="str">
        <f ca="1">TRIM(Sales_fact[[#This Row],[Store_ID]])</f>
        <v>STORE9</v>
      </c>
      <c r="F1229">
        <v>2</v>
      </c>
      <c r="G1229">
        <f>IF(ISBLANK(F1229),MODE($F$2:$F$2001),F1229)</f>
        <v>2</v>
      </c>
      <c r="H1229">
        <v>107.97</v>
      </c>
      <c r="I1229">
        <f>IF(ISBLANK(H1229),AVERAGE($H$2:$H$2001),H1229)</f>
        <v>107.97</v>
      </c>
      <c r="J1229">
        <v>0.06</v>
      </c>
      <c r="K1229">
        <f>IF(ISBLANK(J1229),MODE($J$2:$J$2001),J1229)</f>
        <v>0.06</v>
      </c>
      <c r="L1229" t="s">
        <v>1824</v>
      </c>
      <c r="M1229">
        <v>202.9836</v>
      </c>
      <c r="N1229">
        <f t="shared" si="19"/>
        <v>202.9836</v>
      </c>
      <c r="O1229" t="str">
        <f>_xlfn.XLOOKUP(Sales_fact[[#This Row],[Customer_ID]],'Customer_Dim'!A:A,'Customer_Dim'!K:K,"Not Found")</f>
        <v>Gold</v>
      </c>
      <c r="P1229">
        <f>_xlfn.XLOOKUP(Sales_fact[[#This Row],[Customer_ID]],'Customer_Dim'!A:A, 'Customer_Dim'!E:E, "Not Found")</f>
        <v>36</v>
      </c>
      <c r="Q1229" t="str">
        <f>VLOOKUP(Sales_fact[[#This Row],[Customer_ID]], 'Customer_Dim'!A:F, 6, FALSE)</f>
        <v>Male</v>
      </c>
      <c r="R1229" s="13" t="str">
        <f>_xlfn.XLOOKUP(Sales_fact[[#This Row],[Product_ID]],Product_Dim!A:A,Product_Dim!C:C,"OTHERS")</f>
        <v>Beauty</v>
      </c>
    </row>
    <row r="1230" spans="1:18" x14ac:dyDescent="0.3">
      <c r="A1230" t="s">
        <v>3054</v>
      </c>
      <c r="B1230" s="2">
        <v>45785</v>
      </c>
      <c r="C1230" t="s">
        <v>40</v>
      </c>
      <c r="D1230" t="s">
        <v>1555</v>
      </c>
      <c r="E1230" t="str">
        <f ca="1">TRIM(Sales_fact[[#This Row],[Store_ID]])</f>
        <v>STORE14</v>
      </c>
      <c r="F1230">
        <v>1</v>
      </c>
      <c r="G1230">
        <f>IF(ISBLANK(F1230),MODE($F$2:$F$2001),F1230)</f>
        <v>1</v>
      </c>
      <c r="H1230">
        <v>38.880000000000003</v>
      </c>
      <c r="I1230">
        <f>IF(ISBLANK(H1230),AVERAGE($H$2:$H$2001),H1230)</f>
        <v>38.880000000000003</v>
      </c>
      <c r="J1230">
        <v>0.16</v>
      </c>
      <c r="K1230">
        <f>IF(ISBLANK(J1230),MODE($J$2:$J$2001),J1230)</f>
        <v>0.16</v>
      </c>
      <c r="L1230" t="s">
        <v>1829</v>
      </c>
      <c r="M1230">
        <v>32.659199999999998</v>
      </c>
      <c r="N1230">
        <f t="shared" si="19"/>
        <v>32.659199999999998</v>
      </c>
      <c r="O1230" t="str">
        <f>_xlfn.XLOOKUP(Sales_fact[[#This Row],[Customer_ID]],'Customer_Dim'!A:A,'Customer_Dim'!K:K,"Not Found")</f>
        <v>Bronze</v>
      </c>
      <c r="P1230">
        <f>_xlfn.XLOOKUP(Sales_fact[[#This Row],[Customer_ID]],'Customer_Dim'!A:A, 'Customer_Dim'!E:E, "Not Found")</f>
        <v>29</v>
      </c>
      <c r="Q1230" t="str">
        <f>VLOOKUP(Sales_fact[[#This Row],[Customer_ID]], 'Customer_Dim'!A:F, 6, FALSE)</f>
        <v>Female</v>
      </c>
      <c r="R1230" s="13" t="str">
        <f>_xlfn.XLOOKUP(Sales_fact[[#This Row],[Product_ID]],Product_Dim!A:A,Product_Dim!C:C,"OTHERS")</f>
        <v>Clothing</v>
      </c>
    </row>
    <row r="1231" spans="1:18" x14ac:dyDescent="0.3">
      <c r="A1231" t="s">
        <v>3055</v>
      </c>
      <c r="B1231" s="2">
        <v>45823</v>
      </c>
      <c r="C1231" t="s">
        <v>284</v>
      </c>
      <c r="D1231" t="s">
        <v>1580</v>
      </c>
      <c r="E1231" t="str">
        <f ca="1">TRIM(Sales_fact[[#This Row],[Store_ID]])</f>
        <v>STORE17</v>
      </c>
      <c r="F1231">
        <v>3</v>
      </c>
      <c r="G1231">
        <f>IF(ISBLANK(F1231),MODE($F$2:$F$2001),F1231)</f>
        <v>3</v>
      </c>
      <c r="H1231">
        <v>484.39</v>
      </c>
      <c r="I1231">
        <f>IF(ISBLANK(H1231),AVERAGE($H$2:$H$2001),H1231)</f>
        <v>484.39</v>
      </c>
      <c r="J1231">
        <v>0.28999999999999998</v>
      </c>
      <c r="K1231">
        <f>IF(ISBLANK(J1231),MODE($J$2:$J$2001),J1231)</f>
        <v>0.28999999999999998</v>
      </c>
      <c r="L1231" t="s">
        <v>1829</v>
      </c>
      <c r="M1231">
        <v>1031.7507000000001</v>
      </c>
      <c r="N1231">
        <f t="shared" si="19"/>
        <v>1031.7507000000001</v>
      </c>
      <c r="O1231" t="str">
        <f>_xlfn.XLOOKUP(Sales_fact[[#This Row],[Customer_ID]],'Customer_Dim'!A:A,'Customer_Dim'!K:K,"Not Found")</f>
        <v>Gold</v>
      </c>
      <c r="P1231">
        <f>_xlfn.XLOOKUP(Sales_fact[[#This Row],[Customer_ID]],'Customer_Dim'!A:A, 'Customer_Dim'!E:E, "Not Found")</f>
        <v>21</v>
      </c>
      <c r="Q1231" t="str">
        <f>VLOOKUP(Sales_fact[[#This Row],[Customer_ID]], 'Customer_Dim'!A:F, 6, FALSE)</f>
        <v>Male</v>
      </c>
      <c r="R1231" s="13" t="str">
        <f>_xlfn.XLOOKUP(Sales_fact[[#This Row],[Product_ID]],Product_Dim!A:A,Product_Dim!C:C,"OTHERS")</f>
        <v>OTHERS</v>
      </c>
    </row>
    <row r="1232" spans="1:18" x14ac:dyDescent="0.3">
      <c r="A1232" t="s">
        <v>3056</v>
      </c>
      <c r="B1232" s="2">
        <v>45572</v>
      </c>
      <c r="C1232" t="s">
        <v>82</v>
      </c>
      <c r="D1232" t="s">
        <v>1708</v>
      </c>
      <c r="E1232" t="str">
        <f ca="1">TRIM(Sales_fact[[#This Row],[Store_ID]])</f>
        <v>STORE15</v>
      </c>
      <c r="F1232">
        <v>2</v>
      </c>
      <c r="G1232">
        <f>IF(ISBLANK(F1232),MODE($F$2:$F$2001),F1232)</f>
        <v>2</v>
      </c>
      <c r="H1232">
        <v>949.3</v>
      </c>
      <c r="I1232">
        <f>IF(ISBLANK(H1232),AVERAGE($H$2:$H$2001),H1232)</f>
        <v>949.3</v>
      </c>
      <c r="J1232">
        <v>0.08</v>
      </c>
      <c r="K1232">
        <f>IF(ISBLANK(J1232),MODE($J$2:$J$2001),J1232)</f>
        <v>0.08</v>
      </c>
      <c r="L1232" t="s">
        <v>1829</v>
      </c>
      <c r="M1232">
        <v>1746.712</v>
      </c>
      <c r="N1232">
        <f t="shared" si="19"/>
        <v>1746.712</v>
      </c>
      <c r="O1232" t="str">
        <f>_xlfn.XLOOKUP(Sales_fact[[#This Row],[Customer_ID]],'Customer_Dim'!A:A,'Customer_Dim'!K:K,"Not Found")</f>
        <v>UNKNOWN</v>
      </c>
      <c r="P1232">
        <f>_xlfn.XLOOKUP(Sales_fact[[#This Row],[Customer_ID]],'Customer_Dim'!A:A, 'Customer_Dim'!E:E, "Not Found")</f>
        <v>43</v>
      </c>
      <c r="Q1232" t="str">
        <f>VLOOKUP(Sales_fact[[#This Row],[Customer_ID]], 'Customer_Dim'!A:F, 6, FALSE)</f>
        <v>Male</v>
      </c>
      <c r="R1232" s="13" t="str">
        <f>_xlfn.XLOOKUP(Sales_fact[[#This Row],[Product_ID]],Product_Dim!A:A,Product_Dim!C:C,"OTHERS")</f>
        <v>Home</v>
      </c>
    </row>
    <row r="1233" spans="1:18" x14ac:dyDescent="0.3">
      <c r="A1233" t="s">
        <v>3057</v>
      </c>
      <c r="B1233" s="2">
        <v>45259</v>
      </c>
      <c r="C1233" t="s">
        <v>1343</v>
      </c>
      <c r="D1233" t="s">
        <v>1690</v>
      </c>
      <c r="E1233" t="str">
        <f ca="1">TRIM(Sales_fact[[#This Row],[Store_ID]])</f>
        <v>STORE6</v>
      </c>
      <c r="F1233">
        <v>3</v>
      </c>
      <c r="G1233">
        <f>IF(ISBLANK(F1233),MODE($F$2:$F$2001),F1233)</f>
        <v>3</v>
      </c>
      <c r="H1233">
        <v>664.75</v>
      </c>
      <c r="I1233">
        <f>IF(ISBLANK(H1233),AVERAGE($H$2:$H$2001),H1233)</f>
        <v>664.75</v>
      </c>
      <c r="J1233">
        <v>0.12</v>
      </c>
      <c r="K1233">
        <f>IF(ISBLANK(J1233),MODE($J$2:$J$2001),J1233)</f>
        <v>0.12</v>
      </c>
      <c r="L1233" t="s">
        <v>1824</v>
      </c>
      <c r="M1233">
        <v>1754.94</v>
      </c>
      <c r="N1233">
        <f t="shared" si="19"/>
        <v>1754.94</v>
      </c>
      <c r="O1233" t="str">
        <f>_xlfn.XLOOKUP(Sales_fact[[#This Row],[Customer_ID]],'Customer_Dim'!A:A,'Customer_Dim'!K:K,"Not Found")</f>
        <v>Silver</v>
      </c>
      <c r="P1233">
        <f>_xlfn.XLOOKUP(Sales_fact[[#This Row],[Customer_ID]],'Customer_Dim'!A:A, 'Customer_Dim'!E:E, "Not Found")</f>
        <v>51</v>
      </c>
      <c r="Q1233" t="str">
        <f>VLOOKUP(Sales_fact[[#This Row],[Customer_ID]], 'Customer_Dim'!A:F, 6, FALSE)</f>
        <v>Female</v>
      </c>
      <c r="R1233" s="13" t="str">
        <f>_xlfn.XLOOKUP(Sales_fact[[#This Row],[Product_ID]],Product_Dim!A:A,Product_Dim!C:C,"OTHERS")</f>
        <v>Beauty</v>
      </c>
    </row>
    <row r="1234" spans="1:18" x14ac:dyDescent="0.3">
      <c r="A1234" t="s">
        <v>3058</v>
      </c>
      <c r="B1234" s="2">
        <v>45740</v>
      </c>
      <c r="C1234" t="s">
        <v>896</v>
      </c>
      <c r="D1234" t="s">
        <v>1688</v>
      </c>
      <c r="E1234" t="str">
        <f ca="1">TRIM(Sales_fact[[#This Row],[Store_ID]])</f>
        <v>STORE17</v>
      </c>
      <c r="F1234">
        <v>3</v>
      </c>
      <c r="G1234">
        <f>IF(ISBLANK(F1234),MODE($F$2:$F$2001),F1234)</f>
        <v>3</v>
      </c>
      <c r="H1234">
        <v>190.04</v>
      </c>
      <c r="I1234">
        <f>IF(ISBLANK(H1234),AVERAGE($H$2:$H$2001),H1234)</f>
        <v>190.04</v>
      </c>
      <c r="J1234">
        <v>7.0000000000000007E-2</v>
      </c>
      <c r="K1234">
        <f>IF(ISBLANK(J1234),MODE($J$2:$J$2001),J1234)</f>
        <v>7.0000000000000007E-2</v>
      </c>
      <c r="L1234" t="s">
        <v>1826</v>
      </c>
      <c r="M1234">
        <v>530.21159999999998</v>
      </c>
      <c r="N1234">
        <f t="shared" si="19"/>
        <v>530.21159999999998</v>
      </c>
      <c r="O1234" t="str">
        <f>_xlfn.XLOOKUP(Sales_fact[[#This Row],[Customer_ID]],'Customer_Dim'!A:A,'Customer_Dim'!K:K,"Not Found")</f>
        <v>Gold</v>
      </c>
      <c r="P1234">
        <f>_xlfn.XLOOKUP(Sales_fact[[#This Row],[Customer_ID]],'Customer_Dim'!A:A, 'Customer_Dim'!E:E, "Not Found")</f>
        <v>46</v>
      </c>
      <c r="Q1234" t="str">
        <f>VLOOKUP(Sales_fact[[#This Row],[Customer_ID]], 'Customer_Dim'!A:F, 6, FALSE)</f>
        <v>Female</v>
      </c>
      <c r="R1234" s="13" t="str">
        <f>_xlfn.XLOOKUP(Sales_fact[[#This Row],[Product_ID]],Product_Dim!A:A,Product_Dim!C:C,"OTHERS")</f>
        <v>Home</v>
      </c>
    </row>
    <row r="1235" spans="1:18" x14ac:dyDescent="0.3">
      <c r="A1235" t="s">
        <v>3059</v>
      </c>
      <c r="B1235" s="2">
        <v>45869</v>
      </c>
      <c r="C1235" t="s">
        <v>881</v>
      </c>
      <c r="D1235" t="s">
        <v>1560</v>
      </c>
      <c r="E1235" t="str">
        <f ca="1">TRIM(Sales_fact[[#This Row],[Store_ID]])</f>
        <v>STORE15</v>
      </c>
      <c r="F1235">
        <v>3</v>
      </c>
      <c r="G1235">
        <f>IF(ISBLANK(F1235),MODE($F$2:$F$2001),F1235)</f>
        <v>3</v>
      </c>
      <c r="H1235">
        <v>754.02</v>
      </c>
      <c r="I1235">
        <f>IF(ISBLANK(H1235),AVERAGE($H$2:$H$2001),H1235)</f>
        <v>754.02</v>
      </c>
      <c r="J1235">
        <v>0.1</v>
      </c>
      <c r="K1235">
        <f>IF(ISBLANK(J1235),MODE($J$2:$J$2001),J1235)</f>
        <v>0.1</v>
      </c>
      <c r="L1235" t="s">
        <v>1829</v>
      </c>
      <c r="M1235">
        <v>2035.854</v>
      </c>
      <c r="N1235">
        <f t="shared" si="19"/>
        <v>2035.854</v>
      </c>
      <c r="O1235" t="str">
        <f>_xlfn.XLOOKUP(Sales_fact[[#This Row],[Customer_ID]],'Customer_Dim'!A:A,'Customer_Dim'!K:K,"Not Found")</f>
        <v>Platinum</v>
      </c>
      <c r="P1235">
        <f>_xlfn.XLOOKUP(Sales_fact[[#This Row],[Customer_ID]],'Customer_Dim'!A:A, 'Customer_Dim'!E:E, "Not Found")</f>
        <v>22</v>
      </c>
      <c r="Q1235" t="str">
        <f>VLOOKUP(Sales_fact[[#This Row],[Customer_ID]], 'Customer_Dim'!A:F, 6, FALSE)</f>
        <v>Female</v>
      </c>
      <c r="R1235" s="13" t="str">
        <f>_xlfn.XLOOKUP(Sales_fact[[#This Row],[Product_ID]],Product_Dim!A:A,Product_Dim!C:C,"OTHERS")</f>
        <v>Home</v>
      </c>
    </row>
    <row r="1236" spans="1:18" x14ac:dyDescent="0.3">
      <c r="A1236" t="s">
        <v>3060</v>
      </c>
      <c r="B1236" s="2">
        <v>45526</v>
      </c>
      <c r="C1236" t="s">
        <v>1199</v>
      </c>
      <c r="D1236" t="s">
        <v>1616</v>
      </c>
      <c r="E1236" t="str">
        <f ca="1">TRIM(Sales_fact[[#This Row],[Store_ID]])</f>
        <v>STORE12</v>
      </c>
      <c r="F1236">
        <v>4</v>
      </c>
      <c r="G1236">
        <f>IF(ISBLANK(F1236),MODE($F$2:$F$2001),F1236)</f>
        <v>4</v>
      </c>
      <c r="H1236">
        <v>94.13</v>
      </c>
      <c r="I1236">
        <f>IF(ISBLANK(H1236),AVERAGE($H$2:$H$2001),H1236)</f>
        <v>94.13</v>
      </c>
      <c r="J1236">
        <v>0.04</v>
      </c>
      <c r="K1236">
        <f>IF(ISBLANK(J1236),MODE($J$2:$J$2001),J1236)</f>
        <v>0.04</v>
      </c>
      <c r="L1236" t="s">
        <v>1829</v>
      </c>
      <c r="M1236">
        <v>361.45920000000001</v>
      </c>
      <c r="N1236">
        <f t="shared" si="19"/>
        <v>361.45919999999995</v>
      </c>
      <c r="O1236" t="str">
        <f>_xlfn.XLOOKUP(Sales_fact[[#This Row],[Customer_ID]],'Customer_Dim'!A:A,'Customer_Dim'!K:K,"Not Found")</f>
        <v>Bronze</v>
      </c>
      <c r="P1236">
        <f>_xlfn.XLOOKUP(Sales_fact[[#This Row],[Customer_ID]],'Customer_Dim'!A:A, 'Customer_Dim'!E:E, "Not Found")</f>
        <v>52</v>
      </c>
      <c r="Q1236" t="str">
        <f>VLOOKUP(Sales_fact[[#This Row],[Customer_ID]], 'Customer_Dim'!A:F, 6, FALSE)</f>
        <v>Female</v>
      </c>
      <c r="R1236" s="13" t="str">
        <f>_xlfn.XLOOKUP(Sales_fact[[#This Row],[Product_ID]],Product_Dim!A:A,Product_Dim!C:C,"OTHERS")</f>
        <v>Electronics</v>
      </c>
    </row>
    <row r="1237" spans="1:18" x14ac:dyDescent="0.3">
      <c r="A1237" t="s">
        <v>3061</v>
      </c>
      <c r="B1237" s="2">
        <v>45489</v>
      </c>
      <c r="C1237" t="s">
        <v>1443</v>
      </c>
      <c r="D1237" t="s">
        <v>1546</v>
      </c>
      <c r="E1237" t="str">
        <f ca="1">TRIM(Sales_fact[[#This Row],[Store_ID]])</f>
        <v>STORE15</v>
      </c>
      <c r="F1237">
        <v>3</v>
      </c>
      <c r="G1237">
        <f>IF(ISBLANK(F1237),MODE($F$2:$F$2001),F1237)</f>
        <v>3</v>
      </c>
      <c r="H1237">
        <v>402.3</v>
      </c>
      <c r="I1237">
        <f>IF(ISBLANK(H1237),AVERAGE($H$2:$H$2001),H1237)</f>
        <v>402.3</v>
      </c>
      <c r="J1237">
        <v>0.21</v>
      </c>
      <c r="K1237">
        <f>IF(ISBLANK(J1237),MODE($J$2:$J$2001),J1237)</f>
        <v>0.21</v>
      </c>
      <c r="L1237" t="s">
        <v>1826</v>
      </c>
      <c r="M1237">
        <v>953.45100000000014</v>
      </c>
      <c r="N1237">
        <f t="shared" si="19"/>
        <v>953.45100000000014</v>
      </c>
      <c r="O1237" t="str">
        <f>_xlfn.XLOOKUP(Sales_fact[[#This Row],[Customer_ID]],'Customer_Dim'!A:A,'Customer_Dim'!K:K,"Not Found")</f>
        <v>Bronze</v>
      </c>
      <c r="P1237">
        <f>_xlfn.XLOOKUP(Sales_fact[[#This Row],[Customer_ID]],'Customer_Dim'!A:A, 'Customer_Dim'!E:E, "Not Found")</f>
        <v>45</v>
      </c>
      <c r="Q1237" t="str">
        <f>VLOOKUP(Sales_fact[[#This Row],[Customer_ID]], 'Customer_Dim'!A:F, 6, FALSE)</f>
        <v>Male</v>
      </c>
      <c r="R1237" s="13" t="str">
        <f>_xlfn.XLOOKUP(Sales_fact[[#This Row],[Product_ID]],Product_Dim!A:A,Product_Dim!C:C,"OTHERS")</f>
        <v>Clothing</v>
      </c>
    </row>
    <row r="1238" spans="1:18" x14ac:dyDescent="0.3">
      <c r="A1238" t="s">
        <v>3062</v>
      </c>
      <c r="B1238" s="2">
        <v>45908</v>
      </c>
      <c r="C1238" t="s">
        <v>767</v>
      </c>
      <c r="D1238" t="s">
        <v>1720</v>
      </c>
      <c r="E1238" t="str">
        <f ca="1">TRIM(Sales_fact[[#This Row],[Store_ID]])</f>
        <v>STORE7</v>
      </c>
      <c r="F1238">
        <v>1</v>
      </c>
      <c r="G1238">
        <f>IF(ISBLANK(F1238),MODE($F$2:$F$2001),F1238)</f>
        <v>1</v>
      </c>
      <c r="H1238">
        <v>729.05</v>
      </c>
      <c r="I1238">
        <f>IF(ISBLANK(H1238),AVERAGE($H$2:$H$2001),H1238)</f>
        <v>729.05</v>
      </c>
      <c r="J1238">
        <v>0.06</v>
      </c>
      <c r="K1238">
        <f>IF(ISBLANK(J1238),MODE($J$2:$J$2001),J1238)</f>
        <v>0.06</v>
      </c>
      <c r="L1238" t="s">
        <v>1829</v>
      </c>
      <c r="M1238">
        <v>685.3069999999999</v>
      </c>
      <c r="N1238">
        <f t="shared" si="19"/>
        <v>685.3069999999999</v>
      </c>
      <c r="O1238" t="str">
        <f>_xlfn.XLOOKUP(Sales_fact[[#This Row],[Customer_ID]],'Customer_Dim'!A:A,'Customer_Dim'!K:K,"Not Found")</f>
        <v>Platinum</v>
      </c>
      <c r="P1238">
        <f>_xlfn.XLOOKUP(Sales_fact[[#This Row],[Customer_ID]],'Customer_Dim'!A:A, 'Customer_Dim'!E:E, "Not Found")</f>
        <v>58</v>
      </c>
      <c r="Q1238" t="str">
        <f>VLOOKUP(Sales_fact[[#This Row],[Customer_ID]], 'Customer_Dim'!A:F, 6, FALSE)</f>
        <v>Female</v>
      </c>
      <c r="R1238" s="13" t="str">
        <f>_xlfn.XLOOKUP(Sales_fact[[#This Row],[Product_ID]],Product_Dim!A:A,Product_Dim!C:C,"OTHERS")</f>
        <v>Home</v>
      </c>
    </row>
    <row r="1239" spans="1:18" x14ac:dyDescent="0.3">
      <c r="A1239" t="s">
        <v>3063</v>
      </c>
      <c r="B1239" s="2">
        <v>45912</v>
      </c>
      <c r="C1239" t="s">
        <v>458</v>
      </c>
      <c r="D1239" t="s">
        <v>1728</v>
      </c>
      <c r="E1239" t="str">
        <f ca="1">TRIM(Sales_fact[[#This Row],[Store_ID]])</f>
        <v>STORE13</v>
      </c>
      <c r="F1239">
        <v>1</v>
      </c>
      <c r="G1239">
        <f>IF(ISBLANK(F1239),MODE($F$2:$F$2001),F1239)</f>
        <v>1</v>
      </c>
      <c r="H1239">
        <v>822.6</v>
      </c>
      <c r="I1239">
        <f>IF(ISBLANK(H1239),AVERAGE($H$2:$H$2001),H1239)</f>
        <v>822.6</v>
      </c>
      <c r="J1239">
        <v>0.28999999999999998</v>
      </c>
      <c r="K1239">
        <f>IF(ISBLANK(J1239),MODE($J$2:$J$2001),J1239)</f>
        <v>0.28999999999999998</v>
      </c>
      <c r="L1239" t="s">
        <v>1826</v>
      </c>
      <c r="M1239">
        <v>584.04599999999994</v>
      </c>
      <c r="N1239">
        <f t="shared" si="19"/>
        <v>584.04599999999994</v>
      </c>
      <c r="O1239" t="str">
        <f>_xlfn.XLOOKUP(Sales_fact[[#This Row],[Customer_ID]],'Customer_Dim'!A:A,'Customer_Dim'!K:K,"Not Found")</f>
        <v>Gold</v>
      </c>
      <c r="P1239">
        <f>_xlfn.XLOOKUP(Sales_fact[[#This Row],[Customer_ID]],'Customer_Dim'!A:A, 'Customer_Dim'!E:E, "Not Found")</f>
        <v>54</v>
      </c>
      <c r="Q1239" t="str">
        <f>VLOOKUP(Sales_fact[[#This Row],[Customer_ID]], 'Customer_Dim'!A:F, 6, FALSE)</f>
        <v>Male</v>
      </c>
      <c r="R1239" s="13" t="str">
        <f>_xlfn.XLOOKUP(Sales_fact[[#This Row],[Product_ID]],Product_Dim!A:A,Product_Dim!C:C,"OTHERS")</f>
        <v>Electronics</v>
      </c>
    </row>
    <row r="1240" spans="1:18" x14ac:dyDescent="0.3">
      <c r="A1240" t="s">
        <v>3064</v>
      </c>
      <c r="B1240" s="2">
        <v>45771</v>
      </c>
      <c r="C1240" t="s">
        <v>634</v>
      </c>
      <c r="D1240" t="s">
        <v>1714</v>
      </c>
      <c r="E1240" t="str">
        <f ca="1">TRIM(Sales_fact[[#This Row],[Store_ID]])</f>
        <v>STORE8</v>
      </c>
      <c r="F1240">
        <v>2</v>
      </c>
      <c r="G1240">
        <f>IF(ISBLANK(F1240),MODE($F$2:$F$2001),F1240)</f>
        <v>2</v>
      </c>
      <c r="H1240">
        <v>327.25</v>
      </c>
      <c r="I1240">
        <f>IF(ISBLANK(H1240),AVERAGE($H$2:$H$2001),H1240)</f>
        <v>327.25</v>
      </c>
      <c r="J1240">
        <v>0.19</v>
      </c>
      <c r="K1240">
        <f>IF(ISBLANK(J1240),MODE($J$2:$J$2001),J1240)</f>
        <v>0.19</v>
      </c>
      <c r="L1240" t="s">
        <v>1826</v>
      </c>
      <c r="M1240">
        <v>530.14499999999998</v>
      </c>
      <c r="N1240">
        <f t="shared" si="19"/>
        <v>530.14499999999998</v>
      </c>
      <c r="O1240" t="str">
        <f>_xlfn.XLOOKUP(Sales_fact[[#This Row],[Customer_ID]],'Customer_Dim'!A:A,'Customer_Dim'!K:K,"Not Found")</f>
        <v>Gold</v>
      </c>
      <c r="P1240">
        <f>_xlfn.XLOOKUP(Sales_fact[[#This Row],[Customer_ID]],'Customer_Dim'!A:A, 'Customer_Dim'!E:E, "Not Found")</f>
        <v>38</v>
      </c>
      <c r="Q1240" t="str">
        <f>VLOOKUP(Sales_fact[[#This Row],[Customer_ID]], 'Customer_Dim'!A:F, 6, FALSE)</f>
        <v>Male</v>
      </c>
      <c r="R1240" s="13" t="str">
        <f>_xlfn.XLOOKUP(Sales_fact[[#This Row],[Product_ID]],Product_Dim!A:A,Product_Dim!C:C,"OTHERS")</f>
        <v>Beauty</v>
      </c>
    </row>
    <row r="1241" spans="1:18" x14ac:dyDescent="0.3">
      <c r="A1241" t="s">
        <v>3065</v>
      </c>
      <c r="B1241" s="2">
        <v>45619</v>
      </c>
      <c r="C1241" t="s">
        <v>304</v>
      </c>
      <c r="D1241" t="s">
        <v>1688</v>
      </c>
      <c r="E1241" t="str">
        <f ca="1">TRIM(Sales_fact[[#This Row],[Store_ID]])</f>
        <v>STORE9</v>
      </c>
      <c r="F1241">
        <v>4</v>
      </c>
      <c r="G1241">
        <f>IF(ISBLANK(F1241),MODE($F$2:$F$2001),F1241)</f>
        <v>4</v>
      </c>
      <c r="H1241">
        <v>930.38</v>
      </c>
      <c r="I1241">
        <f>IF(ISBLANK(H1241),AVERAGE($H$2:$H$2001),H1241)</f>
        <v>930.38</v>
      </c>
      <c r="J1241">
        <v>0</v>
      </c>
      <c r="K1241">
        <f>IF(ISBLANK(J1241),MODE($J$2:$J$2001),J1241)</f>
        <v>0</v>
      </c>
      <c r="L1241" t="s">
        <v>1829</v>
      </c>
      <c r="M1241">
        <v>3721.52</v>
      </c>
      <c r="N1241">
        <f t="shared" si="19"/>
        <v>3721.52</v>
      </c>
      <c r="O1241" t="str">
        <f>_xlfn.XLOOKUP(Sales_fact[[#This Row],[Customer_ID]],'Customer_Dim'!A:A,'Customer_Dim'!K:K,"Not Found")</f>
        <v>Platinum</v>
      </c>
      <c r="P1241">
        <f>_xlfn.XLOOKUP(Sales_fact[[#This Row],[Customer_ID]],'Customer_Dim'!A:A, 'Customer_Dim'!E:E, "Not Found")</f>
        <v>26</v>
      </c>
      <c r="Q1241" t="str">
        <f>VLOOKUP(Sales_fact[[#This Row],[Customer_ID]], 'Customer_Dim'!A:F, 6, FALSE)</f>
        <v>Female</v>
      </c>
      <c r="R1241" s="13" t="str">
        <f>_xlfn.XLOOKUP(Sales_fact[[#This Row],[Product_ID]],Product_Dim!A:A,Product_Dim!C:C,"OTHERS")</f>
        <v>Home</v>
      </c>
    </row>
    <row r="1242" spans="1:18" x14ac:dyDescent="0.3">
      <c r="A1242" t="s">
        <v>3066</v>
      </c>
      <c r="B1242" s="2">
        <v>45394</v>
      </c>
      <c r="C1242" t="s">
        <v>487</v>
      </c>
      <c r="D1242" t="s">
        <v>1602</v>
      </c>
      <c r="E1242" t="str">
        <f ca="1">TRIM(Sales_fact[[#This Row],[Store_ID]])</f>
        <v>STORE5</v>
      </c>
      <c r="F1242">
        <v>2</v>
      </c>
      <c r="G1242">
        <f>IF(ISBLANK(F1242),MODE($F$2:$F$2001),F1242)</f>
        <v>2</v>
      </c>
      <c r="H1242">
        <v>437.84</v>
      </c>
      <c r="I1242">
        <f>IF(ISBLANK(H1242),AVERAGE($H$2:$H$2001),H1242)</f>
        <v>437.84</v>
      </c>
      <c r="J1242">
        <v>0.24</v>
      </c>
      <c r="K1242">
        <f>IF(ISBLANK(J1242),MODE($J$2:$J$2001),J1242)</f>
        <v>0.24</v>
      </c>
      <c r="L1242" t="s">
        <v>1824</v>
      </c>
      <c r="M1242">
        <v>665.51679999999999</v>
      </c>
      <c r="N1242">
        <f t="shared" si="19"/>
        <v>665.51679999999999</v>
      </c>
      <c r="O1242" t="str">
        <f>_xlfn.XLOOKUP(Sales_fact[[#This Row],[Customer_ID]],'Customer_Dim'!A:A,'Customer_Dim'!K:K,"Not Found")</f>
        <v>Bronze</v>
      </c>
      <c r="P1242">
        <f>_xlfn.XLOOKUP(Sales_fact[[#This Row],[Customer_ID]],'Customer_Dim'!A:A, 'Customer_Dim'!E:E, "Not Found")</f>
        <v>62</v>
      </c>
      <c r="Q1242" t="str">
        <f>VLOOKUP(Sales_fact[[#This Row],[Customer_ID]], 'Customer_Dim'!A:F, 6, FALSE)</f>
        <v>Female</v>
      </c>
      <c r="R1242" s="13" t="str">
        <f>_xlfn.XLOOKUP(Sales_fact[[#This Row],[Product_ID]],Product_Dim!A:A,Product_Dim!C:C,"OTHERS")</f>
        <v>Home</v>
      </c>
    </row>
    <row r="1243" spans="1:18" x14ac:dyDescent="0.3">
      <c r="A1243" t="s">
        <v>3067</v>
      </c>
      <c r="B1243" s="2">
        <v>45786</v>
      </c>
      <c r="C1243" t="s">
        <v>258</v>
      </c>
      <c r="D1243" t="s">
        <v>1580</v>
      </c>
      <c r="E1243" t="str">
        <f ca="1">TRIM(Sales_fact[[#This Row],[Store_ID]])</f>
        <v>STORE16</v>
      </c>
      <c r="F1243">
        <v>2</v>
      </c>
      <c r="G1243">
        <f>IF(ISBLANK(F1243),MODE($F$2:$F$2001),F1243)</f>
        <v>2</v>
      </c>
      <c r="H1243">
        <v>126.02</v>
      </c>
      <c r="I1243">
        <f>IF(ISBLANK(H1243),AVERAGE($H$2:$H$2001),H1243)</f>
        <v>126.02</v>
      </c>
      <c r="J1243">
        <v>0.09</v>
      </c>
      <c r="K1243">
        <f>IF(ISBLANK(J1243),MODE($J$2:$J$2001),J1243)</f>
        <v>0.09</v>
      </c>
      <c r="L1243" t="s">
        <v>1829</v>
      </c>
      <c r="M1243">
        <v>229.35640000000001</v>
      </c>
      <c r="N1243">
        <f t="shared" si="19"/>
        <v>229.35640000000001</v>
      </c>
      <c r="O1243" t="str">
        <f>_xlfn.XLOOKUP(Sales_fact[[#This Row],[Customer_ID]],'Customer_Dim'!A:A,'Customer_Dim'!K:K,"Not Found")</f>
        <v>Gold</v>
      </c>
      <c r="P1243">
        <f>_xlfn.XLOOKUP(Sales_fact[[#This Row],[Customer_ID]],'Customer_Dim'!A:A, 'Customer_Dim'!E:E, "Not Found")</f>
        <v>29</v>
      </c>
      <c r="Q1243" t="str">
        <f>VLOOKUP(Sales_fact[[#This Row],[Customer_ID]], 'Customer_Dim'!A:F, 6, FALSE)</f>
        <v>Female</v>
      </c>
      <c r="R1243" s="13" t="str">
        <f>_xlfn.XLOOKUP(Sales_fact[[#This Row],[Product_ID]],Product_Dim!A:A,Product_Dim!C:C,"OTHERS")</f>
        <v>OTHERS</v>
      </c>
    </row>
    <row r="1244" spans="1:18" x14ac:dyDescent="0.3">
      <c r="A1244" t="s">
        <v>3068</v>
      </c>
      <c r="B1244" s="2">
        <v>45692</v>
      </c>
      <c r="C1244" t="s">
        <v>1355</v>
      </c>
      <c r="D1244" t="s">
        <v>1714</v>
      </c>
      <c r="E1244" t="str">
        <f ca="1">TRIM(Sales_fact[[#This Row],[Store_ID]])</f>
        <v>STORE15</v>
      </c>
      <c r="F1244">
        <v>1</v>
      </c>
      <c r="G1244">
        <f>IF(ISBLANK(F1244),MODE($F$2:$F$2001),F1244)</f>
        <v>1</v>
      </c>
      <c r="H1244">
        <v>860.84</v>
      </c>
      <c r="I1244">
        <f>IF(ISBLANK(H1244),AVERAGE($H$2:$H$2001),H1244)</f>
        <v>860.84</v>
      </c>
      <c r="J1244">
        <v>7.0000000000000007E-2</v>
      </c>
      <c r="K1244">
        <f>IF(ISBLANK(J1244),MODE($J$2:$J$2001),J1244)</f>
        <v>7.0000000000000007E-2</v>
      </c>
      <c r="L1244" t="s">
        <v>1826</v>
      </c>
      <c r="M1244">
        <v>800.58119999999997</v>
      </c>
      <c r="N1244">
        <f t="shared" si="19"/>
        <v>800.58119999999997</v>
      </c>
      <c r="O1244" t="str">
        <f>_xlfn.XLOOKUP(Sales_fact[[#This Row],[Customer_ID]],'Customer_Dim'!A:A,'Customer_Dim'!K:K,"Not Found")</f>
        <v>Platinum</v>
      </c>
      <c r="P1244">
        <f>_xlfn.XLOOKUP(Sales_fact[[#This Row],[Customer_ID]],'Customer_Dim'!A:A, 'Customer_Dim'!E:E, "Not Found")</f>
        <v>47</v>
      </c>
      <c r="Q1244" t="str">
        <f>VLOOKUP(Sales_fact[[#This Row],[Customer_ID]], 'Customer_Dim'!A:F, 6, FALSE)</f>
        <v>Female</v>
      </c>
      <c r="R1244" s="13" t="str">
        <f>_xlfn.XLOOKUP(Sales_fact[[#This Row],[Product_ID]],Product_Dim!A:A,Product_Dim!C:C,"OTHERS")</f>
        <v>Beauty</v>
      </c>
    </row>
    <row r="1245" spans="1:18" x14ac:dyDescent="0.3">
      <c r="A1245" t="s">
        <v>3069</v>
      </c>
      <c r="B1245" s="2">
        <v>45677</v>
      </c>
      <c r="C1245" t="s">
        <v>335</v>
      </c>
      <c r="D1245" t="s">
        <v>1644</v>
      </c>
      <c r="E1245" t="str">
        <f ca="1">TRIM(Sales_fact[[#This Row],[Store_ID]])</f>
        <v>STORE13</v>
      </c>
      <c r="F1245">
        <v>1</v>
      </c>
      <c r="G1245">
        <f>IF(ISBLANK(F1245),MODE($F$2:$F$2001),F1245)</f>
        <v>1</v>
      </c>
      <c r="H1245">
        <v>161.80000000000001</v>
      </c>
      <c r="I1245">
        <f>IF(ISBLANK(H1245),AVERAGE($H$2:$H$2001),H1245)</f>
        <v>161.80000000000001</v>
      </c>
      <c r="J1245">
        <v>0.24</v>
      </c>
      <c r="K1245">
        <f>IF(ISBLANK(J1245),MODE($J$2:$J$2001),J1245)</f>
        <v>0.24</v>
      </c>
      <c r="L1245" t="s">
        <v>1826</v>
      </c>
      <c r="M1245">
        <v>122.968</v>
      </c>
      <c r="N1245">
        <f t="shared" si="19"/>
        <v>122.968</v>
      </c>
      <c r="O1245" t="str">
        <f>_xlfn.XLOOKUP(Sales_fact[[#This Row],[Customer_ID]],'Customer_Dim'!A:A,'Customer_Dim'!K:K,"Not Found")</f>
        <v>Gold</v>
      </c>
      <c r="P1245">
        <f>_xlfn.XLOOKUP(Sales_fact[[#This Row],[Customer_ID]],'Customer_Dim'!A:A, 'Customer_Dim'!E:E, "Not Found")</f>
        <v>28</v>
      </c>
      <c r="Q1245" t="str">
        <f>VLOOKUP(Sales_fact[[#This Row],[Customer_ID]], 'Customer_Dim'!A:F, 6, FALSE)</f>
        <v>Female</v>
      </c>
      <c r="R1245" s="13" t="str">
        <f>_xlfn.XLOOKUP(Sales_fact[[#This Row],[Product_ID]],Product_Dim!A:A,Product_Dim!C:C,"OTHERS")</f>
        <v>Electronics</v>
      </c>
    </row>
    <row r="1246" spans="1:18" x14ac:dyDescent="0.3">
      <c r="A1246" t="s">
        <v>3070</v>
      </c>
      <c r="B1246" s="2">
        <v>45669</v>
      </c>
      <c r="C1246" t="s">
        <v>1202</v>
      </c>
      <c r="D1246" t="s">
        <v>1624</v>
      </c>
      <c r="E1246" t="str">
        <f ca="1">TRIM(Sales_fact[[#This Row],[Store_ID]])</f>
        <v>STORE17</v>
      </c>
      <c r="F1246">
        <v>4</v>
      </c>
      <c r="G1246">
        <f>IF(ISBLANK(F1246),MODE($F$2:$F$2001),F1246)</f>
        <v>4</v>
      </c>
      <c r="H1246">
        <v>347.82</v>
      </c>
      <c r="I1246">
        <f>IF(ISBLANK(H1246),AVERAGE($H$2:$H$2001),H1246)</f>
        <v>347.82</v>
      </c>
      <c r="J1246">
        <v>0.02</v>
      </c>
      <c r="K1246">
        <f>IF(ISBLANK(J1246),MODE($J$2:$J$2001),J1246)</f>
        <v>0.02</v>
      </c>
      <c r="L1246" t="s">
        <v>1829</v>
      </c>
      <c r="M1246">
        <v>1363.4544000000001</v>
      </c>
      <c r="N1246">
        <f t="shared" si="19"/>
        <v>1363.4543999999999</v>
      </c>
      <c r="O1246" t="str">
        <f>_xlfn.XLOOKUP(Sales_fact[[#This Row],[Customer_ID]],'Customer_Dim'!A:A,'Customer_Dim'!K:K,"Not Found")</f>
        <v>Gold</v>
      </c>
      <c r="P1246">
        <f>_xlfn.XLOOKUP(Sales_fact[[#This Row],[Customer_ID]],'Customer_Dim'!A:A, 'Customer_Dim'!E:E, "Not Found")</f>
        <v>60</v>
      </c>
      <c r="Q1246" t="str">
        <f>VLOOKUP(Sales_fact[[#This Row],[Customer_ID]], 'Customer_Dim'!A:F, 6, FALSE)</f>
        <v>Male</v>
      </c>
      <c r="R1246" s="13" t="str">
        <f>_xlfn.XLOOKUP(Sales_fact[[#This Row],[Product_ID]],Product_Dim!A:A,Product_Dim!C:C,"OTHERS")</f>
        <v>Sports</v>
      </c>
    </row>
    <row r="1247" spans="1:18" x14ac:dyDescent="0.3">
      <c r="A1247" t="s">
        <v>3071</v>
      </c>
      <c r="B1247" s="2">
        <v>45299</v>
      </c>
      <c r="C1247" t="s">
        <v>1400</v>
      </c>
      <c r="D1247" t="s">
        <v>1718</v>
      </c>
      <c r="E1247" t="str">
        <f ca="1">TRIM(Sales_fact[[#This Row],[Store_ID]])</f>
        <v>STORE16</v>
      </c>
      <c r="F1247">
        <v>3</v>
      </c>
      <c r="G1247">
        <f>IF(ISBLANK(F1247),MODE($F$2:$F$2001),F1247)</f>
        <v>3</v>
      </c>
      <c r="H1247">
        <v>416.44</v>
      </c>
      <c r="I1247">
        <f>IF(ISBLANK(H1247),AVERAGE($H$2:$H$2001),H1247)</f>
        <v>416.44</v>
      </c>
      <c r="J1247">
        <v>0.27</v>
      </c>
      <c r="K1247">
        <f>IF(ISBLANK(J1247),MODE($J$2:$J$2001),J1247)</f>
        <v>0.27</v>
      </c>
      <c r="L1247" t="s">
        <v>1824</v>
      </c>
      <c r="M1247">
        <v>912.00359999999989</v>
      </c>
      <c r="N1247">
        <f t="shared" si="19"/>
        <v>912.00359999999989</v>
      </c>
      <c r="O1247" t="str">
        <f>_xlfn.XLOOKUP(Sales_fact[[#This Row],[Customer_ID]],'Customer_Dim'!A:A,'Customer_Dim'!K:K,"Not Found")</f>
        <v>Platinum</v>
      </c>
      <c r="P1247">
        <f>_xlfn.XLOOKUP(Sales_fact[[#This Row],[Customer_ID]],'Customer_Dim'!A:A, 'Customer_Dim'!E:E, "Not Found")</f>
        <v>62</v>
      </c>
      <c r="Q1247" t="str">
        <f>VLOOKUP(Sales_fact[[#This Row],[Customer_ID]], 'Customer_Dim'!A:F, 6, FALSE)</f>
        <v>Female</v>
      </c>
      <c r="R1247" s="13" t="str">
        <f>_xlfn.XLOOKUP(Sales_fact[[#This Row],[Product_ID]],Product_Dim!A:A,Product_Dim!C:C,"OTHERS")</f>
        <v>Clothing</v>
      </c>
    </row>
    <row r="1248" spans="1:18" x14ac:dyDescent="0.3">
      <c r="A1248" t="s">
        <v>3072</v>
      </c>
      <c r="B1248" s="2">
        <v>45893</v>
      </c>
      <c r="C1248" t="s">
        <v>32</v>
      </c>
      <c r="D1248" t="s">
        <v>1672</v>
      </c>
      <c r="E1248" t="str">
        <f ca="1">TRIM(Sales_fact[[#This Row],[Store_ID]])</f>
        <v>STORE0</v>
      </c>
      <c r="F1248">
        <v>1</v>
      </c>
      <c r="G1248">
        <f>IF(ISBLANK(F1248),MODE($F$2:$F$2001),F1248)</f>
        <v>1</v>
      </c>
      <c r="H1248">
        <v>147.96</v>
      </c>
      <c r="I1248">
        <f>IF(ISBLANK(H1248),AVERAGE($H$2:$H$2001),H1248)</f>
        <v>147.96</v>
      </c>
      <c r="J1248">
        <v>0.24</v>
      </c>
      <c r="K1248">
        <f>IF(ISBLANK(J1248),MODE($J$2:$J$2001),J1248)</f>
        <v>0.24</v>
      </c>
      <c r="L1248" t="s">
        <v>1829</v>
      </c>
      <c r="M1248">
        <v>112.4496</v>
      </c>
      <c r="N1248">
        <f t="shared" si="19"/>
        <v>112.4496</v>
      </c>
      <c r="O1248" t="str">
        <f>_xlfn.XLOOKUP(Sales_fact[[#This Row],[Customer_ID]],'Customer_Dim'!A:A,'Customer_Dim'!K:K,"Not Found")</f>
        <v>Bronze</v>
      </c>
      <c r="P1248">
        <f>_xlfn.XLOOKUP(Sales_fact[[#This Row],[Customer_ID]],'Customer_Dim'!A:A, 'Customer_Dim'!E:E, "Not Found")</f>
        <v>24</v>
      </c>
      <c r="Q1248" t="str">
        <f>VLOOKUP(Sales_fact[[#This Row],[Customer_ID]], 'Customer_Dim'!A:F, 6, FALSE)</f>
        <v>Male</v>
      </c>
      <c r="R1248" s="13" t="str">
        <f>_xlfn.XLOOKUP(Sales_fact[[#This Row],[Product_ID]],Product_Dim!A:A,Product_Dim!C:C,"OTHERS")</f>
        <v>Electronics</v>
      </c>
    </row>
    <row r="1249" spans="1:18" x14ac:dyDescent="0.3">
      <c r="A1249" t="s">
        <v>3073</v>
      </c>
      <c r="B1249" s="2">
        <v>45560</v>
      </c>
      <c r="C1249" t="s">
        <v>1377</v>
      </c>
      <c r="D1249" t="s">
        <v>1584</v>
      </c>
      <c r="E1249" t="str">
        <f ca="1">TRIM(Sales_fact[[#This Row],[Store_ID]])</f>
        <v>STORE8</v>
      </c>
      <c r="F1249">
        <v>3</v>
      </c>
      <c r="G1249">
        <f>IF(ISBLANK(F1249),MODE($F$2:$F$2001),F1249)</f>
        <v>3</v>
      </c>
      <c r="H1249">
        <v>550.26</v>
      </c>
      <c r="I1249">
        <f>IF(ISBLANK(H1249),AVERAGE($H$2:$H$2001),H1249)</f>
        <v>550.26</v>
      </c>
      <c r="J1249">
        <v>0.22</v>
      </c>
      <c r="K1249">
        <f>IF(ISBLANK(J1249),MODE($J$2:$J$2001),J1249)</f>
        <v>0.22</v>
      </c>
      <c r="L1249" t="s">
        <v>1824</v>
      </c>
      <c r="M1249">
        <v>1287.6084000000001</v>
      </c>
      <c r="N1249">
        <f t="shared" si="19"/>
        <v>1287.6084000000001</v>
      </c>
      <c r="O1249" t="str">
        <f>_xlfn.XLOOKUP(Sales_fact[[#This Row],[Customer_ID]],'Customer_Dim'!A:A,'Customer_Dim'!K:K,"Not Found")</f>
        <v>Platinum</v>
      </c>
      <c r="P1249">
        <f>_xlfn.XLOOKUP(Sales_fact[[#This Row],[Customer_ID]],'Customer_Dim'!A:A, 'Customer_Dim'!E:E, "Not Found")</f>
        <v>41</v>
      </c>
      <c r="Q1249" t="str">
        <f>VLOOKUP(Sales_fact[[#This Row],[Customer_ID]], 'Customer_Dim'!A:F, 6, FALSE)</f>
        <v>Female</v>
      </c>
      <c r="R1249" s="13" t="str">
        <f>_xlfn.XLOOKUP(Sales_fact[[#This Row],[Product_ID]],Product_Dim!A:A,Product_Dim!C:C,"OTHERS")</f>
        <v>Clothing</v>
      </c>
    </row>
    <row r="1250" spans="1:18" x14ac:dyDescent="0.3">
      <c r="A1250" t="s">
        <v>3074</v>
      </c>
      <c r="B1250" s="2">
        <v>45267</v>
      </c>
      <c r="C1250" t="s">
        <v>1160</v>
      </c>
      <c r="D1250" t="s">
        <v>1742</v>
      </c>
      <c r="E1250" t="str">
        <f ca="1">TRIM(Sales_fact[[#This Row],[Store_ID]])</f>
        <v>STORE7</v>
      </c>
      <c r="F1250">
        <v>4</v>
      </c>
      <c r="G1250">
        <f>IF(ISBLANK(F1250),MODE($F$2:$F$2001),F1250)</f>
        <v>4</v>
      </c>
      <c r="H1250">
        <v>938.21</v>
      </c>
      <c r="I1250">
        <f>IF(ISBLANK(H1250),AVERAGE($H$2:$H$2001),H1250)</f>
        <v>938.21</v>
      </c>
      <c r="J1250">
        <v>0.04</v>
      </c>
      <c r="K1250">
        <f>IF(ISBLANK(J1250),MODE($J$2:$J$2001),J1250)</f>
        <v>0.04</v>
      </c>
      <c r="L1250" t="s">
        <v>1826</v>
      </c>
      <c r="M1250">
        <v>3602.7264</v>
      </c>
      <c r="N1250">
        <f t="shared" si="19"/>
        <v>3602.7264</v>
      </c>
      <c r="O1250" t="str">
        <f>_xlfn.XLOOKUP(Sales_fact[[#This Row],[Customer_ID]],'Customer_Dim'!A:A,'Customer_Dim'!K:K,"Not Found")</f>
        <v>Platinum</v>
      </c>
      <c r="P1250">
        <f>_xlfn.XLOOKUP(Sales_fact[[#This Row],[Customer_ID]],'Customer_Dim'!A:A, 'Customer_Dim'!E:E, "Not Found")</f>
        <v>21</v>
      </c>
      <c r="Q1250" t="str">
        <f>VLOOKUP(Sales_fact[[#This Row],[Customer_ID]], 'Customer_Dim'!A:F, 6, FALSE)</f>
        <v>Female</v>
      </c>
      <c r="R1250" s="13" t="str">
        <f>_xlfn.XLOOKUP(Sales_fact[[#This Row],[Product_ID]],Product_Dim!A:A,Product_Dim!C:C,"OTHERS")</f>
        <v>Sports</v>
      </c>
    </row>
    <row r="1251" spans="1:18" x14ac:dyDescent="0.3">
      <c r="A1251" t="s">
        <v>3075</v>
      </c>
      <c r="B1251" s="2">
        <v>45467</v>
      </c>
      <c r="C1251" t="s">
        <v>458</v>
      </c>
      <c r="D1251" t="s">
        <v>1736</v>
      </c>
      <c r="E1251" t="str">
        <f ca="1">TRIM(Sales_fact[[#This Row],[Store_ID]])</f>
        <v>STORE16</v>
      </c>
      <c r="F1251">
        <v>3</v>
      </c>
      <c r="G1251">
        <f>IF(ISBLANK(F1251),MODE($F$2:$F$2001),F1251)</f>
        <v>3</v>
      </c>
      <c r="H1251">
        <v>517.98</v>
      </c>
      <c r="I1251">
        <f>IF(ISBLANK(H1251),AVERAGE($H$2:$H$2001),H1251)</f>
        <v>517.98</v>
      </c>
      <c r="J1251">
        <v>0.01</v>
      </c>
      <c r="K1251">
        <f>IF(ISBLANK(J1251),MODE($J$2:$J$2001),J1251)</f>
        <v>0.01</v>
      </c>
      <c r="L1251" t="s">
        <v>1826</v>
      </c>
      <c r="M1251">
        <v>1538.4005999999999</v>
      </c>
      <c r="N1251">
        <f t="shared" si="19"/>
        <v>1538.4005999999999</v>
      </c>
      <c r="O1251" t="str">
        <f>_xlfn.XLOOKUP(Sales_fact[[#This Row],[Customer_ID]],'Customer_Dim'!A:A,'Customer_Dim'!K:K,"Not Found")</f>
        <v>Gold</v>
      </c>
      <c r="P1251">
        <f>_xlfn.XLOOKUP(Sales_fact[[#This Row],[Customer_ID]],'Customer_Dim'!A:A, 'Customer_Dim'!E:E, "Not Found")</f>
        <v>54</v>
      </c>
      <c r="Q1251" t="str">
        <f>VLOOKUP(Sales_fact[[#This Row],[Customer_ID]], 'Customer_Dim'!A:F, 6, FALSE)</f>
        <v>Male</v>
      </c>
      <c r="R1251" s="13" t="str">
        <f>_xlfn.XLOOKUP(Sales_fact[[#This Row],[Product_ID]],Product_Dim!A:A,Product_Dim!C:C,"OTHERS")</f>
        <v>Beauty</v>
      </c>
    </row>
    <row r="1252" spans="1:18" x14ac:dyDescent="0.3">
      <c r="A1252" t="s">
        <v>3076</v>
      </c>
      <c r="B1252" s="2">
        <v>45847</v>
      </c>
      <c r="C1252" t="s">
        <v>144</v>
      </c>
      <c r="D1252" t="s">
        <v>1557</v>
      </c>
      <c r="E1252" t="str">
        <f ca="1">TRIM(Sales_fact[[#This Row],[Store_ID]])</f>
        <v>STORE8</v>
      </c>
      <c r="F1252">
        <v>1</v>
      </c>
      <c r="G1252">
        <f>IF(ISBLANK(F1252),MODE($F$2:$F$2001),F1252)</f>
        <v>1</v>
      </c>
      <c r="H1252">
        <v>98.27</v>
      </c>
      <c r="I1252">
        <f>IF(ISBLANK(H1252),AVERAGE($H$2:$H$2001),H1252)</f>
        <v>98.27</v>
      </c>
      <c r="J1252">
        <v>0.16</v>
      </c>
      <c r="K1252">
        <f>IF(ISBLANK(J1252),MODE($J$2:$J$2001),J1252)</f>
        <v>0.16</v>
      </c>
      <c r="L1252" t="s">
        <v>1826</v>
      </c>
      <c r="M1252">
        <v>82.54679999999999</v>
      </c>
      <c r="N1252">
        <f t="shared" si="19"/>
        <v>82.54679999999999</v>
      </c>
      <c r="O1252" t="str">
        <f>_xlfn.XLOOKUP(Sales_fact[[#This Row],[Customer_ID]],'Customer_Dim'!A:A,'Customer_Dim'!K:K,"Not Found")</f>
        <v>Gold</v>
      </c>
      <c r="P1252">
        <f>_xlfn.XLOOKUP(Sales_fact[[#This Row],[Customer_ID]],'Customer_Dim'!A:A, 'Customer_Dim'!E:E, "Not Found")</f>
        <v>20</v>
      </c>
      <c r="Q1252" t="str">
        <f>VLOOKUP(Sales_fact[[#This Row],[Customer_ID]], 'Customer_Dim'!A:F, 6, FALSE)</f>
        <v>Female</v>
      </c>
      <c r="R1252" s="13" t="str">
        <f>_xlfn.XLOOKUP(Sales_fact[[#This Row],[Product_ID]],Product_Dim!A:A,Product_Dim!C:C,"OTHERS")</f>
        <v>Beauty</v>
      </c>
    </row>
    <row r="1253" spans="1:18" x14ac:dyDescent="0.3">
      <c r="A1253" t="s">
        <v>3077</v>
      </c>
      <c r="B1253" s="2">
        <v>45480</v>
      </c>
      <c r="C1253" t="s">
        <v>803</v>
      </c>
      <c r="D1253" t="s">
        <v>1644</v>
      </c>
      <c r="E1253" t="str">
        <f ca="1">TRIM(Sales_fact[[#This Row],[Store_ID]])</f>
        <v>STORE11</v>
      </c>
      <c r="F1253">
        <v>2</v>
      </c>
      <c r="G1253">
        <f>IF(ISBLANK(F1253),MODE($F$2:$F$2001),F1253)</f>
        <v>2</v>
      </c>
      <c r="H1253">
        <v>875.2</v>
      </c>
      <c r="I1253">
        <f>IF(ISBLANK(H1253),AVERAGE($H$2:$H$2001),H1253)</f>
        <v>875.2</v>
      </c>
      <c r="J1253">
        <v>0.19</v>
      </c>
      <c r="K1253">
        <f>IF(ISBLANK(J1253),MODE($J$2:$J$2001),J1253)</f>
        <v>0.19</v>
      </c>
      <c r="L1253" t="s">
        <v>1824</v>
      </c>
      <c r="M1253">
        <v>1417.8240000000001</v>
      </c>
      <c r="N1253">
        <f t="shared" si="19"/>
        <v>1417.8240000000001</v>
      </c>
      <c r="O1253" t="str">
        <f>_xlfn.XLOOKUP(Sales_fact[[#This Row],[Customer_ID]],'Customer_Dim'!A:A,'Customer_Dim'!K:K,"Not Found")</f>
        <v>Silver</v>
      </c>
      <c r="P1253">
        <f>_xlfn.XLOOKUP(Sales_fact[[#This Row],[Customer_ID]],'Customer_Dim'!A:A, 'Customer_Dim'!E:E, "Not Found")</f>
        <v>64</v>
      </c>
      <c r="Q1253" t="str">
        <f>VLOOKUP(Sales_fact[[#This Row],[Customer_ID]], 'Customer_Dim'!A:F, 6, FALSE)</f>
        <v>Male</v>
      </c>
      <c r="R1253" s="13" t="str">
        <f>_xlfn.XLOOKUP(Sales_fact[[#This Row],[Product_ID]],Product_Dim!A:A,Product_Dim!C:C,"OTHERS")</f>
        <v>Electronics</v>
      </c>
    </row>
    <row r="1254" spans="1:18" x14ac:dyDescent="0.3">
      <c r="A1254" t="s">
        <v>3078</v>
      </c>
      <c r="B1254" s="2">
        <v>45345</v>
      </c>
      <c r="C1254" t="s">
        <v>963</v>
      </c>
      <c r="D1254" t="s">
        <v>1720</v>
      </c>
      <c r="E1254" t="str">
        <f ca="1">TRIM(Sales_fact[[#This Row],[Store_ID]])</f>
        <v>STORE0</v>
      </c>
      <c r="F1254">
        <v>1</v>
      </c>
      <c r="G1254">
        <f>IF(ISBLANK(F1254),MODE($F$2:$F$2001),F1254)</f>
        <v>1</v>
      </c>
      <c r="H1254">
        <v>227.35</v>
      </c>
      <c r="I1254">
        <f>IF(ISBLANK(H1254),AVERAGE($H$2:$H$2001),H1254)</f>
        <v>227.35</v>
      </c>
      <c r="J1254">
        <v>0.06</v>
      </c>
      <c r="K1254">
        <f>IF(ISBLANK(J1254),MODE($J$2:$J$2001),J1254)</f>
        <v>0.06</v>
      </c>
      <c r="L1254" t="s">
        <v>1829</v>
      </c>
      <c r="M1254">
        <v>213.709</v>
      </c>
      <c r="N1254">
        <f t="shared" si="19"/>
        <v>213.70899999999997</v>
      </c>
      <c r="O1254" t="str">
        <f>_xlfn.XLOOKUP(Sales_fact[[#This Row],[Customer_ID]],'Customer_Dim'!A:A,'Customer_Dim'!K:K,"Not Found")</f>
        <v>Platinum</v>
      </c>
      <c r="P1254">
        <f>_xlfn.XLOOKUP(Sales_fact[[#This Row],[Customer_ID]],'Customer_Dim'!A:A, 'Customer_Dim'!E:E, "Not Found")</f>
        <v>64</v>
      </c>
      <c r="Q1254" t="str">
        <f>VLOOKUP(Sales_fact[[#This Row],[Customer_ID]], 'Customer_Dim'!A:F, 6, FALSE)</f>
        <v>Male</v>
      </c>
      <c r="R1254" s="13" t="str">
        <f>_xlfn.XLOOKUP(Sales_fact[[#This Row],[Product_ID]],Product_Dim!A:A,Product_Dim!C:C,"OTHERS")</f>
        <v>Home</v>
      </c>
    </row>
    <row r="1255" spans="1:18" x14ac:dyDescent="0.3">
      <c r="A1255" t="s">
        <v>3079</v>
      </c>
      <c r="B1255" s="2">
        <v>45235</v>
      </c>
      <c r="C1255" t="s">
        <v>684</v>
      </c>
      <c r="D1255" t="s">
        <v>1696</v>
      </c>
      <c r="E1255" t="str">
        <f ca="1">TRIM(Sales_fact[[#This Row],[Store_ID]])</f>
        <v>STORE1</v>
      </c>
      <c r="F1255">
        <v>1</v>
      </c>
      <c r="G1255">
        <f>IF(ISBLANK(F1255),MODE($F$2:$F$2001),F1255)</f>
        <v>1</v>
      </c>
      <c r="H1255">
        <v>842.46</v>
      </c>
      <c r="I1255">
        <f>IF(ISBLANK(H1255),AVERAGE($H$2:$H$2001),H1255)</f>
        <v>842.46</v>
      </c>
      <c r="J1255">
        <v>0.05</v>
      </c>
      <c r="K1255">
        <f>IF(ISBLANK(J1255),MODE($J$2:$J$2001),J1255)</f>
        <v>0.05</v>
      </c>
      <c r="L1255" t="s">
        <v>1829</v>
      </c>
      <c r="M1255">
        <v>800.33699999999999</v>
      </c>
      <c r="N1255">
        <f t="shared" si="19"/>
        <v>800.33699999999999</v>
      </c>
      <c r="O1255" t="str">
        <f>_xlfn.XLOOKUP(Sales_fact[[#This Row],[Customer_ID]],'Customer_Dim'!A:A,'Customer_Dim'!K:K,"Not Found")</f>
        <v>Silver</v>
      </c>
      <c r="P1255">
        <f>_xlfn.XLOOKUP(Sales_fact[[#This Row],[Customer_ID]],'Customer_Dim'!A:A, 'Customer_Dim'!E:E, "Not Found")</f>
        <v>48</v>
      </c>
      <c r="Q1255" t="str">
        <f>VLOOKUP(Sales_fact[[#This Row],[Customer_ID]], 'Customer_Dim'!A:F, 6, FALSE)</f>
        <v>Male</v>
      </c>
      <c r="R1255" s="13" t="str">
        <f>_xlfn.XLOOKUP(Sales_fact[[#This Row],[Product_ID]],Product_Dim!A:A,Product_Dim!C:C,"OTHERS")</f>
        <v>Electronics</v>
      </c>
    </row>
    <row r="1256" spans="1:18" x14ac:dyDescent="0.3">
      <c r="A1256" t="s">
        <v>3080</v>
      </c>
      <c r="B1256" s="2">
        <v>45543</v>
      </c>
      <c r="C1256" t="s">
        <v>690</v>
      </c>
      <c r="D1256" t="s">
        <v>1620</v>
      </c>
      <c r="E1256" t="str">
        <f ca="1">TRIM(Sales_fact[[#This Row],[Store_ID]])</f>
        <v>STORE11</v>
      </c>
      <c r="F1256">
        <v>3</v>
      </c>
      <c r="G1256">
        <f>IF(ISBLANK(F1256),MODE($F$2:$F$2001),F1256)</f>
        <v>3</v>
      </c>
      <c r="H1256">
        <v>120.67</v>
      </c>
      <c r="I1256">
        <f>IF(ISBLANK(H1256),AVERAGE($H$2:$H$2001),H1256)</f>
        <v>120.67</v>
      </c>
      <c r="J1256">
        <v>0.08</v>
      </c>
      <c r="K1256">
        <f>IF(ISBLANK(J1256),MODE($J$2:$J$2001),J1256)</f>
        <v>0.08</v>
      </c>
      <c r="L1256" t="s">
        <v>1829</v>
      </c>
      <c r="M1256">
        <v>333.04919999999998</v>
      </c>
      <c r="N1256">
        <f t="shared" si="19"/>
        <v>333.04919999999998</v>
      </c>
      <c r="O1256" t="str">
        <f>_xlfn.XLOOKUP(Sales_fact[[#This Row],[Customer_ID]],'Customer_Dim'!A:A,'Customer_Dim'!K:K,"Not Found")</f>
        <v>Platinum</v>
      </c>
      <c r="P1256">
        <f>_xlfn.XLOOKUP(Sales_fact[[#This Row],[Customer_ID]],'Customer_Dim'!A:A, 'Customer_Dim'!E:E, "Not Found")</f>
        <v>63</v>
      </c>
      <c r="Q1256" t="str">
        <f>VLOOKUP(Sales_fact[[#This Row],[Customer_ID]], 'Customer_Dim'!A:F, 6, FALSE)</f>
        <v>Female</v>
      </c>
      <c r="R1256" s="13" t="str">
        <f>_xlfn.XLOOKUP(Sales_fact[[#This Row],[Product_ID]],Product_Dim!A:A,Product_Dim!C:C,"OTHERS")</f>
        <v>Clothing</v>
      </c>
    </row>
    <row r="1257" spans="1:18" x14ac:dyDescent="0.3">
      <c r="A1257" t="s">
        <v>3081</v>
      </c>
      <c r="B1257" s="2">
        <v>45402</v>
      </c>
      <c r="C1257" t="s">
        <v>1527</v>
      </c>
      <c r="D1257" t="s">
        <v>1588</v>
      </c>
      <c r="E1257" t="str">
        <f ca="1">TRIM(Sales_fact[[#This Row],[Store_ID]])</f>
        <v>STORE3</v>
      </c>
      <c r="F1257">
        <v>4</v>
      </c>
      <c r="G1257">
        <f>IF(ISBLANK(F1257),MODE($F$2:$F$2001),F1257)</f>
        <v>4</v>
      </c>
      <c r="H1257">
        <v>176.13</v>
      </c>
      <c r="I1257">
        <f>IF(ISBLANK(H1257),AVERAGE($H$2:$H$2001),H1257)</f>
        <v>176.13</v>
      </c>
      <c r="J1257">
        <v>0.27</v>
      </c>
      <c r="K1257">
        <f>IF(ISBLANK(J1257),MODE($J$2:$J$2001),J1257)</f>
        <v>0.27</v>
      </c>
      <c r="L1257" t="s">
        <v>1826</v>
      </c>
      <c r="M1257">
        <v>514.29959999999994</v>
      </c>
      <c r="N1257">
        <f t="shared" si="19"/>
        <v>514.29959999999994</v>
      </c>
      <c r="O1257" t="str">
        <f>_xlfn.XLOOKUP(Sales_fact[[#This Row],[Customer_ID]],'Customer_Dim'!A:A,'Customer_Dim'!K:K,"Not Found")</f>
        <v>Gold</v>
      </c>
      <c r="P1257">
        <f>_xlfn.XLOOKUP(Sales_fact[[#This Row],[Customer_ID]],'Customer_Dim'!A:A, 'Customer_Dim'!E:E, "Not Found")</f>
        <v>47</v>
      </c>
      <c r="Q1257" t="str">
        <f>VLOOKUP(Sales_fact[[#This Row],[Customer_ID]], 'Customer_Dim'!A:F, 6, FALSE)</f>
        <v>Female</v>
      </c>
      <c r="R1257" s="13" t="str">
        <f>_xlfn.XLOOKUP(Sales_fact[[#This Row],[Product_ID]],Product_Dim!A:A,Product_Dim!C:C,"OTHERS")</f>
        <v>Sports</v>
      </c>
    </row>
    <row r="1258" spans="1:18" x14ac:dyDescent="0.3">
      <c r="A1258" t="s">
        <v>3082</v>
      </c>
      <c r="B1258" s="2">
        <v>45671</v>
      </c>
      <c r="C1258" t="s">
        <v>1392</v>
      </c>
      <c r="D1258" t="s">
        <v>1674</v>
      </c>
      <c r="E1258" t="str">
        <f ca="1">TRIM(Sales_fact[[#This Row],[Store_ID]])</f>
        <v>STORE11</v>
      </c>
      <c r="F1258">
        <v>4</v>
      </c>
      <c r="G1258">
        <f>IF(ISBLANK(F1258),MODE($F$2:$F$2001),F1258)</f>
        <v>4</v>
      </c>
      <c r="H1258">
        <v>592.67999999999995</v>
      </c>
      <c r="I1258">
        <f>IF(ISBLANK(H1258),AVERAGE($H$2:$H$2001),H1258)</f>
        <v>592.67999999999995</v>
      </c>
      <c r="J1258">
        <v>0.03</v>
      </c>
      <c r="K1258">
        <f>IF(ISBLANK(J1258),MODE($J$2:$J$2001),J1258)</f>
        <v>0.03</v>
      </c>
      <c r="L1258" t="s">
        <v>1824</v>
      </c>
      <c r="M1258">
        <v>2299.5983999999999</v>
      </c>
      <c r="N1258">
        <f t="shared" si="19"/>
        <v>2299.5983999999999</v>
      </c>
      <c r="O1258" t="str">
        <f>_xlfn.XLOOKUP(Sales_fact[[#This Row],[Customer_ID]],'Customer_Dim'!A:A,'Customer_Dim'!K:K,"Not Found")</f>
        <v>Bronze</v>
      </c>
      <c r="P1258">
        <f>_xlfn.XLOOKUP(Sales_fact[[#This Row],[Customer_ID]],'Customer_Dim'!A:A, 'Customer_Dim'!E:E, "Not Found")</f>
        <v>59</v>
      </c>
      <c r="Q1258" t="str">
        <f>VLOOKUP(Sales_fact[[#This Row],[Customer_ID]], 'Customer_Dim'!A:F, 6, FALSE)</f>
        <v>Male</v>
      </c>
      <c r="R1258" s="13" t="str">
        <f>_xlfn.XLOOKUP(Sales_fact[[#This Row],[Product_ID]],Product_Dim!A:A,Product_Dim!C:C,"OTHERS")</f>
        <v>Beauty</v>
      </c>
    </row>
    <row r="1259" spans="1:18" x14ac:dyDescent="0.3">
      <c r="A1259" t="s">
        <v>3083</v>
      </c>
      <c r="B1259" s="2">
        <v>45367</v>
      </c>
      <c r="C1259" t="s">
        <v>582</v>
      </c>
      <c r="D1259" t="s">
        <v>1688</v>
      </c>
      <c r="E1259" t="str">
        <f ca="1">TRIM(Sales_fact[[#This Row],[Store_ID]])</f>
        <v>STORE4</v>
      </c>
      <c r="F1259">
        <v>4</v>
      </c>
      <c r="G1259">
        <f>IF(ISBLANK(F1259),MODE($F$2:$F$2001),F1259)</f>
        <v>4</v>
      </c>
      <c r="H1259">
        <v>662.43</v>
      </c>
      <c r="I1259">
        <f>IF(ISBLANK(H1259),AVERAGE($H$2:$H$2001),H1259)</f>
        <v>662.43</v>
      </c>
      <c r="J1259">
        <v>0.24</v>
      </c>
      <c r="K1259">
        <f>IF(ISBLANK(J1259),MODE($J$2:$J$2001),J1259)</f>
        <v>0.24</v>
      </c>
      <c r="L1259" t="s">
        <v>1826</v>
      </c>
      <c r="M1259">
        <v>2013.7872</v>
      </c>
      <c r="N1259">
        <f t="shared" si="19"/>
        <v>2013.7872</v>
      </c>
      <c r="O1259" t="str">
        <f>_xlfn.XLOOKUP(Sales_fact[[#This Row],[Customer_ID]],'Customer_Dim'!A:A,'Customer_Dim'!K:K,"Not Found")</f>
        <v>Silver</v>
      </c>
      <c r="P1259">
        <f>_xlfn.XLOOKUP(Sales_fact[[#This Row],[Customer_ID]],'Customer_Dim'!A:A, 'Customer_Dim'!E:E, "Not Found")</f>
        <v>48</v>
      </c>
      <c r="Q1259" t="str">
        <f>VLOOKUP(Sales_fact[[#This Row],[Customer_ID]], 'Customer_Dim'!A:F, 6, FALSE)</f>
        <v>Male</v>
      </c>
      <c r="R1259" s="13" t="str">
        <f>_xlfn.XLOOKUP(Sales_fact[[#This Row],[Product_ID]],Product_Dim!A:A,Product_Dim!C:C,"OTHERS")</f>
        <v>Home</v>
      </c>
    </row>
    <row r="1260" spans="1:18" x14ac:dyDescent="0.3">
      <c r="A1260" t="s">
        <v>3084</v>
      </c>
      <c r="B1260" s="2">
        <v>45488</v>
      </c>
      <c r="C1260" t="s">
        <v>441</v>
      </c>
      <c r="D1260" t="s">
        <v>1634</v>
      </c>
      <c r="E1260" t="str">
        <f ca="1">TRIM(Sales_fact[[#This Row],[Store_ID]])</f>
        <v>STORE8</v>
      </c>
      <c r="F1260">
        <v>3</v>
      </c>
      <c r="G1260">
        <f>IF(ISBLANK(F1260),MODE($F$2:$F$2001),F1260)</f>
        <v>3</v>
      </c>
      <c r="H1260">
        <v>518.35</v>
      </c>
      <c r="I1260">
        <f>IF(ISBLANK(H1260),AVERAGE($H$2:$H$2001),H1260)</f>
        <v>518.35</v>
      </c>
      <c r="J1260">
        <v>0.21</v>
      </c>
      <c r="K1260">
        <f>IF(ISBLANK(J1260),MODE($J$2:$J$2001),J1260)</f>
        <v>0.21</v>
      </c>
      <c r="L1260" t="s">
        <v>1829</v>
      </c>
      <c r="M1260">
        <v>1228.4894999999999</v>
      </c>
      <c r="N1260">
        <f t="shared" si="19"/>
        <v>1228.4895000000001</v>
      </c>
      <c r="O1260" t="str">
        <f>_xlfn.XLOOKUP(Sales_fact[[#This Row],[Customer_ID]],'Customer_Dim'!A:A,'Customer_Dim'!K:K,"Not Found")</f>
        <v>Silver</v>
      </c>
      <c r="P1260">
        <f>_xlfn.XLOOKUP(Sales_fact[[#This Row],[Customer_ID]],'Customer_Dim'!A:A, 'Customer_Dim'!E:E, "Not Found")</f>
        <v>45</v>
      </c>
      <c r="Q1260" t="str">
        <f>VLOOKUP(Sales_fact[[#This Row],[Customer_ID]], 'Customer_Dim'!A:F, 6, FALSE)</f>
        <v>Male</v>
      </c>
      <c r="R1260" s="13" t="str">
        <f>_xlfn.XLOOKUP(Sales_fact[[#This Row],[Product_ID]],Product_Dim!A:A,Product_Dim!C:C,"OTHERS")</f>
        <v>Electronics</v>
      </c>
    </row>
    <row r="1261" spans="1:18" x14ac:dyDescent="0.3">
      <c r="A1261" t="s">
        <v>3085</v>
      </c>
      <c r="B1261" s="2">
        <v>45509</v>
      </c>
      <c r="C1261" t="s">
        <v>978</v>
      </c>
      <c r="D1261" t="s">
        <v>1670</v>
      </c>
      <c r="E1261" t="str">
        <f ca="1">TRIM(Sales_fact[[#This Row],[Store_ID]])</f>
        <v>STORE5</v>
      </c>
      <c r="F1261">
        <v>1</v>
      </c>
      <c r="G1261">
        <f>IF(ISBLANK(F1261),MODE($F$2:$F$2001),F1261)</f>
        <v>1</v>
      </c>
      <c r="H1261">
        <v>85.58</v>
      </c>
      <c r="I1261">
        <f>IF(ISBLANK(H1261),AVERAGE($H$2:$H$2001),H1261)</f>
        <v>85.58</v>
      </c>
      <c r="J1261">
        <v>0.1</v>
      </c>
      <c r="K1261">
        <f>IF(ISBLANK(J1261),MODE($J$2:$J$2001),J1261)</f>
        <v>0.1</v>
      </c>
      <c r="L1261" t="s">
        <v>1829</v>
      </c>
      <c r="M1261">
        <v>77.022000000000006</v>
      </c>
      <c r="N1261">
        <f t="shared" si="19"/>
        <v>77.022000000000006</v>
      </c>
      <c r="O1261" t="str">
        <f>_xlfn.XLOOKUP(Sales_fact[[#This Row],[Customer_ID]],'Customer_Dim'!A:A,'Customer_Dim'!K:K,"Not Found")</f>
        <v>Silver</v>
      </c>
      <c r="P1261">
        <f>_xlfn.XLOOKUP(Sales_fact[[#This Row],[Customer_ID]],'Customer_Dim'!A:A, 'Customer_Dim'!E:E, "Not Found")</f>
        <v>20</v>
      </c>
      <c r="Q1261" t="str">
        <f>VLOOKUP(Sales_fact[[#This Row],[Customer_ID]], 'Customer_Dim'!A:F, 6, FALSE)</f>
        <v>Male</v>
      </c>
      <c r="R1261" s="13" t="str">
        <f>_xlfn.XLOOKUP(Sales_fact[[#This Row],[Product_ID]],Product_Dim!A:A,Product_Dim!C:C,"OTHERS")</f>
        <v>Sports</v>
      </c>
    </row>
    <row r="1262" spans="1:18" x14ac:dyDescent="0.3">
      <c r="A1262" t="s">
        <v>3086</v>
      </c>
      <c r="B1262" s="2">
        <v>45323</v>
      </c>
      <c r="C1262" t="s">
        <v>1136</v>
      </c>
      <c r="D1262" t="s">
        <v>1722</v>
      </c>
      <c r="E1262" t="str">
        <f ca="1">TRIM(Sales_fact[[#This Row],[Store_ID]])</f>
        <v>STORE1</v>
      </c>
      <c r="F1262">
        <v>4</v>
      </c>
      <c r="G1262">
        <f>IF(ISBLANK(F1262),MODE($F$2:$F$2001),F1262)</f>
        <v>4</v>
      </c>
      <c r="H1262">
        <v>800</v>
      </c>
      <c r="I1262">
        <f>IF(ISBLANK(H1262),AVERAGE($H$2:$H$2001),H1262)</f>
        <v>800</v>
      </c>
      <c r="J1262">
        <v>0.2</v>
      </c>
      <c r="K1262">
        <f>IF(ISBLANK(J1262),MODE($J$2:$J$2001),J1262)</f>
        <v>0.2</v>
      </c>
      <c r="L1262" t="s">
        <v>1824</v>
      </c>
      <c r="M1262">
        <v>2560</v>
      </c>
      <c r="N1262">
        <f t="shared" si="19"/>
        <v>2560</v>
      </c>
      <c r="O1262" t="str">
        <f>_xlfn.XLOOKUP(Sales_fact[[#This Row],[Customer_ID]],'Customer_Dim'!A:A,'Customer_Dim'!K:K,"Not Found")</f>
        <v>Bronze</v>
      </c>
      <c r="P1262">
        <f>_xlfn.XLOOKUP(Sales_fact[[#This Row],[Customer_ID]],'Customer_Dim'!A:A, 'Customer_Dim'!E:E, "Not Found")</f>
        <v>23</v>
      </c>
      <c r="Q1262" t="str">
        <f>VLOOKUP(Sales_fact[[#This Row],[Customer_ID]], 'Customer_Dim'!A:F, 6, FALSE)</f>
        <v>Male</v>
      </c>
      <c r="R1262" s="13" t="str">
        <f>_xlfn.XLOOKUP(Sales_fact[[#This Row],[Product_ID]],Product_Dim!A:A,Product_Dim!C:C,"OTHERS")</f>
        <v>Home</v>
      </c>
    </row>
    <row r="1263" spans="1:18" x14ac:dyDescent="0.3">
      <c r="A1263" t="s">
        <v>3087</v>
      </c>
      <c r="B1263" s="2">
        <v>45889</v>
      </c>
      <c r="C1263" t="s">
        <v>520</v>
      </c>
      <c r="D1263" t="s">
        <v>1668</v>
      </c>
      <c r="E1263" t="str">
        <f ca="1">TRIM(Sales_fact[[#This Row],[Store_ID]])</f>
        <v>STORE10</v>
      </c>
      <c r="F1263">
        <v>3</v>
      </c>
      <c r="G1263">
        <f>IF(ISBLANK(F1263),MODE($F$2:$F$2001),F1263)</f>
        <v>3</v>
      </c>
      <c r="H1263">
        <v>118.25</v>
      </c>
      <c r="I1263">
        <f>IF(ISBLANK(H1263),AVERAGE($H$2:$H$2001),H1263)</f>
        <v>118.25</v>
      </c>
      <c r="J1263">
        <v>0.26</v>
      </c>
      <c r="K1263">
        <f>IF(ISBLANK(J1263),MODE($J$2:$J$2001),J1263)</f>
        <v>0.26</v>
      </c>
      <c r="L1263" t="s">
        <v>1826</v>
      </c>
      <c r="M1263">
        <v>262.51499999999999</v>
      </c>
      <c r="N1263">
        <f t="shared" si="19"/>
        <v>262.51499999999999</v>
      </c>
      <c r="O1263" t="str">
        <f>_xlfn.XLOOKUP(Sales_fact[[#This Row],[Customer_ID]],'Customer_Dim'!A:A,'Customer_Dim'!K:K,"Not Found")</f>
        <v>Gold</v>
      </c>
      <c r="P1263">
        <f>_xlfn.XLOOKUP(Sales_fact[[#This Row],[Customer_ID]],'Customer_Dim'!A:A, 'Customer_Dim'!E:E, "Not Found")</f>
        <v>60</v>
      </c>
      <c r="Q1263" t="str">
        <f>VLOOKUP(Sales_fact[[#This Row],[Customer_ID]], 'Customer_Dim'!A:F, 6, FALSE)</f>
        <v>Female</v>
      </c>
      <c r="R1263" s="13" t="str">
        <f>_xlfn.XLOOKUP(Sales_fact[[#This Row],[Product_ID]],Product_Dim!A:A,Product_Dim!C:C,"OTHERS")</f>
        <v>Beauty</v>
      </c>
    </row>
    <row r="1264" spans="1:18" x14ac:dyDescent="0.3">
      <c r="A1264" t="s">
        <v>3088</v>
      </c>
      <c r="B1264" s="2">
        <v>45253</v>
      </c>
      <c r="C1264" t="s">
        <v>1307</v>
      </c>
      <c r="D1264" t="s">
        <v>1612</v>
      </c>
      <c r="E1264" t="str">
        <f ca="1">TRIM(Sales_fact[[#This Row],[Store_ID]])</f>
        <v>STORE15</v>
      </c>
      <c r="F1264">
        <v>1</v>
      </c>
      <c r="G1264">
        <f>IF(ISBLANK(F1264),MODE($F$2:$F$2001),F1264)</f>
        <v>1</v>
      </c>
      <c r="H1264">
        <v>223.25</v>
      </c>
      <c r="I1264">
        <f>IF(ISBLANK(H1264),AVERAGE($H$2:$H$2001),H1264)</f>
        <v>223.25</v>
      </c>
      <c r="J1264">
        <v>0.28999999999999998</v>
      </c>
      <c r="K1264">
        <f>IF(ISBLANK(J1264),MODE($J$2:$J$2001),J1264)</f>
        <v>0.28999999999999998</v>
      </c>
      <c r="L1264" t="s">
        <v>1824</v>
      </c>
      <c r="M1264">
        <v>158.50749999999999</v>
      </c>
      <c r="N1264">
        <f t="shared" si="19"/>
        <v>158.50749999999999</v>
      </c>
      <c r="O1264" t="str">
        <f>_xlfn.XLOOKUP(Sales_fact[[#This Row],[Customer_ID]],'Customer_Dim'!A:A,'Customer_Dim'!K:K,"Not Found")</f>
        <v>Platinum</v>
      </c>
      <c r="P1264">
        <f>_xlfn.XLOOKUP(Sales_fact[[#This Row],[Customer_ID]],'Customer_Dim'!A:A, 'Customer_Dim'!E:E, "Not Found")</f>
        <v>45</v>
      </c>
      <c r="Q1264" t="str">
        <f>VLOOKUP(Sales_fact[[#This Row],[Customer_ID]], 'Customer_Dim'!A:F, 6, FALSE)</f>
        <v>Female</v>
      </c>
      <c r="R1264" s="13" t="str">
        <f>_xlfn.XLOOKUP(Sales_fact[[#This Row],[Product_ID]],Product_Dim!A:A,Product_Dim!C:C,"OTHERS")</f>
        <v>Beauty</v>
      </c>
    </row>
    <row r="1265" spans="1:18" x14ac:dyDescent="0.3">
      <c r="A1265" t="s">
        <v>3089</v>
      </c>
      <c r="B1265" s="2">
        <v>45530</v>
      </c>
      <c r="C1265" t="s">
        <v>1325</v>
      </c>
      <c r="D1265" t="s">
        <v>1612</v>
      </c>
      <c r="E1265" t="str">
        <f ca="1">TRIM(Sales_fact[[#This Row],[Store_ID]])</f>
        <v>STORE4</v>
      </c>
      <c r="F1265">
        <v>3</v>
      </c>
      <c r="G1265">
        <f>IF(ISBLANK(F1265),MODE($F$2:$F$2001),F1265)</f>
        <v>3</v>
      </c>
      <c r="H1265">
        <v>918.76</v>
      </c>
      <c r="I1265">
        <f>IF(ISBLANK(H1265),AVERAGE($H$2:$H$2001),H1265)</f>
        <v>918.76</v>
      </c>
      <c r="J1265">
        <v>0.2</v>
      </c>
      <c r="K1265">
        <f>IF(ISBLANK(J1265),MODE($J$2:$J$2001),J1265)</f>
        <v>0.2</v>
      </c>
      <c r="L1265" t="s">
        <v>1826</v>
      </c>
      <c r="M1265">
        <v>2205.0239999999999</v>
      </c>
      <c r="N1265">
        <f t="shared" si="19"/>
        <v>2205.0239999999999</v>
      </c>
      <c r="O1265" t="str">
        <f>_xlfn.XLOOKUP(Sales_fact[[#This Row],[Customer_ID]],'Customer_Dim'!A:A,'Customer_Dim'!K:K,"Not Found")</f>
        <v>Gold</v>
      </c>
      <c r="P1265">
        <f>_xlfn.XLOOKUP(Sales_fact[[#This Row],[Customer_ID]],'Customer_Dim'!A:A, 'Customer_Dim'!E:E, "Not Found")</f>
        <v>18</v>
      </c>
      <c r="Q1265" t="str">
        <f>VLOOKUP(Sales_fact[[#This Row],[Customer_ID]], 'Customer_Dim'!A:F, 6, FALSE)</f>
        <v>Female</v>
      </c>
      <c r="R1265" s="13" t="str">
        <f>_xlfn.XLOOKUP(Sales_fact[[#This Row],[Product_ID]],Product_Dim!A:A,Product_Dim!C:C,"OTHERS")</f>
        <v>Beauty</v>
      </c>
    </row>
    <row r="1266" spans="1:18" x14ac:dyDescent="0.3">
      <c r="A1266" t="s">
        <v>3090</v>
      </c>
      <c r="B1266" s="2">
        <v>45491</v>
      </c>
      <c r="C1266" t="s">
        <v>890</v>
      </c>
      <c r="D1266" t="s">
        <v>1716</v>
      </c>
      <c r="E1266" t="str">
        <f ca="1">TRIM(Sales_fact[[#This Row],[Store_ID]])</f>
        <v>STORE13</v>
      </c>
      <c r="F1266">
        <v>2</v>
      </c>
      <c r="G1266">
        <f>IF(ISBLANK(F1266),MODE($F$2:$F$2001),F1266)</f>
        <v>2</v>
      </c>
      <c r="H1266">
        <v>905.26</v>
      </c>
      <c r="I1266">
        <f>IF(ISBLANK(H1266),AVERAGE($H$2:$H$2001),H1266)</f>
        <v>905.26</v>
      </c>
      <c r="J1266">
        <v>0.15</v>
      </c>
      <c r="K1266">
        <f>IF(ISBLANK(J1266),MODE($J$2:$J$2001),J1266)</f>
        <v>0.15</v>
      </c>
      <c r="L1266" t="s">
        <v>1829</v>
      </c>
      <c r="M1266">
        <v>1538.942</v>
      </c>
      <c r="N1266">
        <f t="shared" si="19"/>
        <v>1538.942</v>
      </c>
      <c r="O1266" t="str">
        <f>_xlfn.XLOOKUP(Sales_fact[[#This Row],[Customer_ID]],'Customer_Dim'!A:A,'Customer_Dim'!K:K,"Not Found")</f>
        <v>Bronze</v>
      </c>
      <c r="P1266">
        <f>_xlfn.XLOOKUP(Sales_fact[[#This Row],[Customer_ID]],'Customer_Dim'!A:A, 'Customer_Dim'!E:E, "Not Found")</f>
        <v>48</v>
      </c>
      <c r="Q1266" t="str">
        <f>VLOOKUP(Sales_fact[[#This Row],[Customer_ID]], 'Customer_Dim'!A:F, 6, FALSE)</f>
        <v>Male</v>
      </c>
      <c r="R1266" s="13" t="str">
        <f>_xlfn.XLOOKUP(Sales_fact[[#This Row],[Product_ID]],Product_Dim!A:A,Product_Dim!C:C,"OTHERS")</f>
        <v>Home</v>
      </c>
    </row>
    <row r="1267" spans="1:18" x14ac:dyDescent="0.3">
      <c r="A1267" t="s">
        <v>3091</v>
      </c>
      <c r="B1267" s="2">
        <v>45628</v>
      </c>
      <c r="C1267" t="s">
        <v>984</v>
      </c>
      <c r="D1267" t="s">
        <v>1580</v>
      </c>
      <c r="E1267" t="str">
        <f ca="1">TRIM(Sales_fact[[#This Row],[Store_ID]])</f>
        <v>STORE19</v>
      </c>
      <c r="F1267">
        <v>4</v>
      </c>
      <c r="G1267">
        <f>IF(ISBLANK(F1267),MODE($F$2:$F$2001),F1267)</f>
        <v>4</v>
      </c>
      <c r="H1267">
        <v>295.39999999999998</v>
      </c>
      <c r="I1267">
        <f>IF(ISBLANK(H1267),AVERAGE($H$2:$H$2001),H1267)</f>
        <v>295.39999999999998</v>
      </c>
      <c r="J1267">
        <v>0.23</v>
      </c>
      <c r="K1267">
        <f>IF(ISBLANK(J1267),MODE($J$2:$J$2001),J1267)</f>
        <v>0.23</v>
      </c>
      <c r="L1267" t="s">
        <v>1826</v>
      </c>
      <c r="M1267">
        <v>909.83199999999999</v>
      </c>
      <c r="N1267">
        <f t="shared" si="19"/>
        <v>909.83199999999999</v>
      </c>
      <c r="O1267" t="str">
        <f>_xlfn.XLOOKUP(Sales_fact[[#This Row],[Customer_ID]],'Customer_Dim'!A:A,'Customer_Dim'!K:K,"Not Found")</f>
        <v>Silver</v>
      </c>
      <c r="P1267">
        <f>_xlfn.XLOOKUP(Sales_fact[[#This Row],[Customer_ID]],'Customer_Dim'!A:A, 'Customer_Dim'!E:E, "Not Found")</f>
        <v>47</v>
      </c>
      <c r="Q1267" t="str">
        <f>VLOOKUP(Sales_fact[[#This Row],[Customer_ID]], 'Customer_Dim'!A:F, 6, FALSE)</f>
        <v>Female</v>
      </c>
      <c r="R1267" s="13" t="str">
        <f>_xlfn.XLOOKUP(Sales_fact[[#This Row],[Product_ID]],Product_Dim!A:A,Product_Dim!C:C,"OTHERS")</f>
        <v>OTHERS</v>
      </c>
    </row>
    <row r="1268" spans="1:18" x14ac:dyDescent="0.3">
      <c r="A1268" t="s">
        <v>3092</v>
      </c>
      <c r="B1268" s="2">
        <v>45861</v>
      </c>
      <c r="C1268" t="s">
        <v>314</v>
      </c>
      <c r="D1268" t="s">
        <v>1736</v>
      </c>
      <c r="E1268" t="str">
        <f ca="1">TRIM(Sales_fact[[#This Row],[Store_ID]])</f>
        <v>STORE5</v>
      </c>
      <c r="F1268">
        <v>1</v>
      </c>
      <c r="G1268">
        <f>IF(ISBLANK(F1268),MODE($F$2:$F$2001),F1268)</f>
        <v>1</v>
      </c>
      <c r="H1268">
        <v>252.18</v>
      </c>
      <c r="I1268">
        <f>IF(ISBLANK(H1268),AVERAGE($H$2:$H$2001),H1268)</f>
        <v>252.18</v>
      </c>
      <c r="J1268">
        <v>0.23</v>
      </c>
      <c r="K1268">
        <f>IF(ISBLANK(J1268),MODE($J$2:$J$2001),J1268)</f>
        <v>0.23</v>
      </c>
      <c r="L1268" t="s">
        <v>1826</v>
      </c>
      <c r="M1268">
        <v>194.17859999999999</v>
      </c>
      <c r="N1268">
        <f t="shared" si="19"/>
        <v>194.17860000000002</v>
      </c>
      <c r="O1268" t="str">
        <f>_xlfn.XLOOKUP(Sales_fact[[#This Row],[Customer_ID]],'Customer_Dim'!A:A,'Customer_Dim'!K:K,"Not Found")</f>
        <v>Bronze</v>
      </c>
      <c r="P1268">
        <f>_xlfn.XLOOKUP(Sales_fact[[#This Row],[Customer_ID]],'Customer_Dim'!A:A, 'Customer_Dim'!E:E, "Not Found")</f>
        <v>58</v>
      </c>
      <c r="Q1268" t="str">
        <f>VLOOKUP(Sales_fact[[#This Row],[Customer_ID]], 'Customer_Dim'!A:F, 6, FALSE)</f>
        <v>Female</v>
      </c>
      <c r="R1268" s="13" t="str">
        <f>_xlfn.XLOOKUP(Sales_fact[[#This Row],[Product_ID]],Product_Dim!A:A,Product_Dim!C:C,"OTHERS")</f>
        <v>Beauty</v>
      </c>
    </row>
    <row r="1269" spans="1:18" x14ac:dyDescent="0.3">
      <c r="A1269" t="s">
        <v>3093</v>
      </c>
      <c r="B1269" s="2">
        <v>45878</v>
      </c>
      <c r="C1269" t="s">
        <v>511</v>
      </c>
      <c r="D1269" t="s">
        <v>1742</v>
      </c>
      <c r="E1269" t="str">
        <f ca="1">TRIM(Sales_fact[[#This Row],[Store_ID]])</f>
        <v>STORE12</v>
      </c>
      <c r="F1269">
        <v>4</v>
      </c>
      <c r="G1269">
        <f>IF(ISBLANK(F1269),MODE($F$2:$F$2001),F1269)</f>
        <v>4</v>
      </c>
      <c r="H1269">
        <v>792.1</v>
      </c>
      <c r="I1269">
        <f>IF(ISBLANK(H1269),AVERAGE($H$2:$H$2001),H1269)</f>
        <v>792.1</v>
      </c>
      <c r="J1269">
        <v>0.19</v>
      </c>
      <c r="K1269">
        <f>IF(ISBLANK(J1269),MODE($J$2:$J$2001),J1269)</f>
        <v>0.19</v>
      </c>
      <c r="L1269" t="s">
        <v>1829</v>
      </c>
      <c r="M1269">
        <v>2566.404</v>
      </c>
      <c r="N1269">
        <f t="shared" si="19"/>
        <v>2566.4040000000005</v>
      </c>
      <c r="O1269" t="str">
        <f>_xlfn.XLOOKUP(Sales_fact[[#This Row],[Customer_ID]],'Customer_Dim'!A:A,'Customer_Dim'!K:K,"Not Found")</f>
        <v>Platinum</v>
      </c>
      <c r="P1269">
        <f>_xlfn.XLOOKUP(Sales_fact[[#This Row],[Customer_ID]],'Customer_Dim'!A:A, 'Customer_Dim'!E:E, "Not Found")</f>
        <v>41</v>
      </c>
      <c r="Q1269" t="str">
        <f>VLOOKUP(Sales_fact[[#This Row],[Customer_ID]], 'Customer_Dim'!A:F, 6, FALSE)</f>
        <v>Female</v>
      </c>
      <c r="R1269" s="13" t="str">
        <f>_xlfn.XLOOKUP(Sales_fact[[#This Row],[Product_ID]],Product_Dim!A:A,Product_Dim!C:C,"OTHERS")</f>
        <v>Sports</v>
      </c>
    </row>
    <row r="1270" spans="1:18" x14ac:dyDescent="0.3">
      <c r="A1270" t="s">
        <v>3094</v>
      </c>
      <c r="B1270" s="2">
        <v>45426</v>
      </c>
      <c r="C1270" t="s">
        <v>278</v>
      </c>
      <c r="D1270" t="s">
        <v>1724</v>
      </c>
      <c r="E1270" t="str">
        <f ca="1">TRIM(Sales_fact[[#This Row],[Store_ID]])</f>
        <v>STORE14</v>
      </c>
      <c r="F1270">
        <v>1</v>
      </c>
      <c r="G1270">
        <f>IF(ISBLANK(F1270),MODE($F$2:$F$2001),F1270)</f>
        <v>1</v>
      </c>
      <c r="H1270">
        <v>883.36</v>
      </c>
      <c r="I1270">
        <f>IF(ISBLANK(H1270),AVERAGE($H$2:$H$2001),H1270)</f>
        <v>883.36</v>
      </c>
      <c r="J1270">
        <v>0.11</v>
      </c>
      <c r="K1270">
        <f>IF(ISBLANK(J1270),MODE($J$2:$J$2001),J1270)</f>
        <v>0.11</v>
      </c>
      <c r="L1270" t="s">
        <v>1826</v>
      </c>
      <c r="M1270">
        <v>786.19040000000007</v>
      </c>
      <c r="N1270">
        <f t="shared" si="19"/>
        <v>786.19040000000007</v>
      </c>
      <c r="O1270" t="str">
        <f>_xlfn.XLOOKUP(Sales_fact[[#This Row],[Customer_ID]],'Customer_Dim'!A:A,'Customer_Dim'!K:K,"Not Found")</f>
        <v>Gold</v>
      </c>
      <c r="P1270">
        <f>_xlfn.XLOOKUP(Sales_fact[[#This Row],[Customer_ID]],'Customer_Dim'!A:A, 'Customer_Dim'!E:E, "Not Found")</f>
        <v>37</v>
      </c>
      <c r="Q1270" t="str">
        <f>VLOOKUP(Sales_fact[[#This Row],[Customer_ID]], 'Customer_Dim'!A:F, 6, FALSE)</f>
        <v>Male</v>
      </c>
      <c r="R1270" s="13" t="str">
        <f>_xlfn.XLOOKUP(Sales_fact[[#This Row],[Product_ID]],Product_Dim!A:A,Product_Dim!C:C,"OTHERS")</f>
        <v>Sports</v>
      </c>
    </row>
    <row r="1271" spans="1:18" x14ac:dyDescent="0.3">
      <c r="A1271" t="s">
        <v>3095</v>
      </c>
      <c r="B1271" s="2">
        <v>45231</v>
      </c>
      <c r="C1271" t="s">
        <v>878</v>
      </c>
      <c r="D1271" t="s">
        <v>1686</v>
      </c>
      <c r="E1271" t="str">
        <f ca="1">TRIM(Sales_fact[[#This Row],[Store_ID]])</f>
        <v>STORE0</v>
      </c>
      <c r="F1271">
        <v>4</v>
      </c>
      <c r="G1271">
        <f>IF(ISBLANK(F1271),MODE($F$2:$F$2001),F1271)</f>
        <v>4</v>
      </c>
      <c r="H1271">
        <v>305.95</v>
      </c>
      <c r="I1271">
        <f>IF(ISBLANK(H1271),AVERAGE($H$2:$H$2001),H1271)</f>
        <v>305.95</v>
      </c>
      <c r="J1271">
        <v>0.08</v>
      </c>
      <c r="K1271">
        <f>IF(ISBLANK(J1271),MODE($J$2:$J$2001),J1271)</f>
        <v>0.08</v>
      </c>
      <c r="L1271" t="s">
        <v>1826</v>
      </c>
      <c r="M1271">
        <v>1125.896</v>
      </c>
      <c r="N1271">
        <f t="shared" si="19"/>
        <v>1125.896</v>
      </c>
      <c r="O1271" t="str">
        <f>_xlfn.XLOOKUP(Sales_fact[[#This Row],[Customer_ID]],'Customer_Dim'!A:A,'Customer_Dim'!K:K,"Not Found")</f>
        <v>Gold</v>
      </c>
      <c r="P1271">
        <f>_xlfn.XLOOKUP(Sales_fact[[#This Row],[Customer_ID]],'Customer_Dim'!A:A, 'Customer_Dim'!E:E, "Not Found")</f>
        <v>38</v>
      </c>
      <c r="Q1271" t="str">
        <f>VLOOKUP(Sales_fact[[#This Row],[Customer_ID]], 'Customer_Dim'!A:F, 6, FALSE)</f>
        <v>Male</v>
      </c>
      <c r="R1271" s="13" t="str">
        <f>_xlfn.XLOOKUP(Sales_fact[[#This Row],[Product_ID]],Product_Dim!A:A,Product_Dim!C:C,"OTHERS")</f>
        <v>Clothing</v>
      </c>
    </row>
    <row r="1272" spans="1:18" x14ac:dyDescent="0.3">
      <c r="A1272" t="s">
        <v>3096</v>
      </c>
      <c r="B1272" s="2">
        <v>45609</v>
      </c>
      <c r="C1272" t="s">
        <v>1249</v>
      </c>
      <c r="D1272" t="s">
        <v>1664</v>
      </c>
      <c r="E1272" t="str">
        <f ca="1">TRIM(Sales_fact[[#This Row],[Store_ID]])</f>
        <v>STORE7</v>
      </c>
      <c r="F1272">
        <v>3</v>
      </c>
      <c r="G1272">
        <f>IF(ISBLANK(F1272),MODE($F$2:$F$2001),F1272)</f>
        <v>3</v>
      </c>
      <c r="H1272">
        <v>742.45</v>
      </c>
      <c r="I1272">
        <f>IF(ISBLANK(H1272),AVERAGE($H$2:$H$2001),H1272)</f>
        <v>742.45</v>
      </c>
      <c r="J1272">
        <v>0.23</v>
      </c>
      <c r="K1272">
        <f>IF(ISBLANK(J1272),MODE($J$2:$J$2001),J1272)</f>
        <v>0.23</v>
      </c>
      <c r="L1272" t="s">
        <v>1829</v>
      </c>
      <c r="M1272">
        <v>1715.0595000000001</v>
      </c>
      <c r="N1272">
        <f t="shared" si="19"/>
        <v>1715.0595000000003</v>
      </c>
      <c r="O1272" t="str">
        <f>_xlfn.XLOOKUP(Sales_fact[[#This Row],[Customer_ID]],'Customer_Dim'!A:A,'Customer_Dim'!K:K,"Not Found")</f>
        <v>Platinum</v>
      </c>
      <c r="P1272">
        <f>_xlfn.XLOOKUP(Sales_fact[[#This Row],[Customer_ID]],'Customer_Dim'!A:A, 'Customer_Dim'!E:E, "Not Found")</f>
        <v>51</v>
      </c>
      <c r="Q1272" t="str">
        <f>VLOOKUP(Sales_fact[[#This Row],[Customer_ID]], 'Customer_Dim'!A:F, 6, FALSE)</f>
        <v>Female</v>
      </c>
      <c r="R1272" s="13" t="str">
        <f>_xlfn.XLOOKUP(Sales_fact[[#This Row],[Product_ID]],Product_Dim!A:A,Product_Dim!C:C,"OTHERS")</f>
        <v>Clothing</v>
      </c>
    </row>
    <row r="1273" spans="1:18" x14ac:dyDescent="0.3">
      <c r="A1273" t="s">
        <v>3097</v>
      </c>
      <c r="B1273" s="2">
        <v>45392</v>
      </c>
      <c r="C1273" t="s">
        <v>1112</v>
      </c>
      <c r="D1273" t="s">
        <v>1598</v>
      </c>
      <c r="E1273" t="str">
        <f ca="1">TRIM(Sales_fact[[#This Row],[Store_ID]])</f>
        <v>STORE18</v>
      </c>
      <c r="F1273">
        <v>3</v>
      </c>
      <c r="G1273">
        <f>IF(ISBLANK(F1273),MODE($F$2:$F$2001),F1273)</f>
        <v>3</v>
      </c>
      <c r="H1273">
        <v>336.1</v>
      </c>
      <c r="I1273">
        <f>IF(ISBLANK(H1273),AVERAGE($H$2:$H$2001),H1273)</f>
        <v>336.1</v>
      </c>
      <c r="J1273">
        <v>0.12</v>
      </c>
      <c r="K1273">
        <f>IF(ISBLANK(J1273),MODE($J$2:$J$2001),J1273)</f>
        <v>0.12</v>
      </c>
      <c r="L1273" t="s">
        <v>1829</v>
      </c>
      <c r="M1273">
        <v>887.30400000000009</v>
      </c>
      <c r="N1273">
        <f t="shared" si="19"/>
        <v>887.30400000000009</v>
      </c>
      <c r="O1273" t="str">
        <f>_xlfn.XLOOKUP(Sales_fact[[#This Row],[Customer_ID]],'Customer_Dim'!A:A,'Customer_Dim'!K:K,"Not Found")</f>
        <v>Gold</v>
      </c>
      <c r="P1273">
        <f>_xlfn.XLOOKUP(Sales_fact[[#This Row],[Customer_ID]],'Customer_Dim'!A:A, 'Customer_Dim'!E:E, "Not Found")</f>
        <v>20</v>
      </c>
      <c r="Q1273" t="str">
        <f>VLOOKUP(Sales_fact[[#This Row],[Customer_ID]], 'Customer_Dim'!A:F, 6, FALSE)</f>
        <v>Male</v>
      </c>
      <c r="R1273" s="13" t="str">
        <f>_xlfn.XLOOKUP(Sales_fact[[#This Row],[Product_ID]],Product_Dim!A:A,Product_Dim!C:C,"OTHERS")</f>
        <v>Clothing</v>
      </c>
    </row>
    <row r="1274" spans="1:18" x14ac:dyDescent="0.3">
      <c r="A1274" t="s">
        <v>3098</v>
      </c>
      <c r="B1274" s="2">
        <v>45876</v>
      </c>
      <c r="C1274" t="s">
        <v>1281</v>
      </c>
      <c r="D1274" t="s">
        <v>1606</v>
      </c>
      <c r="E1274" t="str">
        <f ca="1">TRIM(Sales_fact[[#This Row],[Store_ID]])</f>
        <v>STORE7</v>
      </c>
      <c r="F1274">
        <v>3</v>
      </c>
      <c r="G1274">
        <f>IF(ISBLANK(F1274),MODE($F$2:$F$2001),F1274)</f>
        <v>3</v>
      </c>
      <c r="H1274">
        <v>310.36</v>
      </c>
      <c r="I1274">
        <f>IF(ISBLANK(H1274),AVERAGE($H$2:$H$2001),H1274)</f>
        <v>310.36</v>
      </c>
      <c r="J1274">
        <v>0.14000000000000001</v>
      </c>
      <c r="K1274">
        <f>IF(ISBLANK(J1274),MODE($J$2:$J$2001),J1274)</f>
        <v>0.14000000000000001</v>
      </c>
      <c r="L1274" t="s">
        <v>1829</v>
      </c>
      <c r="M1274">
        <v>800.72879999999998</v>
      </c>
      <c r="N1274">
        <f t="shared" si="19"/>
        <v>800.72879999999998</v>
      </c>
      <c r="O1274" t="str">
        <f>_xlfn.XLOOKUP(Sales_fact[[#This Row],[Customer_ID]],'Customer_Dim'!A:A,'Customer_Dim'!K:K,"Not Found")</f>
        <v>Gold</v>
      </c>
      <c r="P1274">
        <f>_xlfn.XLOOKUP(Sales_fact[[#This Row],[Customer_ID]],'Customer_Dim'!A:A, 'Customer_Dim'!E:E, "Not Found")</f>
        <v>23</v>
      </c>
      <c r="Q1274" t="str">
        <f>VLOOKUP(Sales_fact[[#This Row],[Customer_ID]], 'Customer_Dim'!A:F, 6, FALSE)</f>
        <v>Female</v>
      </c>
      <c r="R1274" s="13" t="str">
        <f>_xlfn.XLOOKUP(Sales_fact[[#This Row],[Product_ID]],Product_Dim!A:A,Product_Dim!C:C,"OTHERS")</f>
        <v>Home</v>
      </c>
    </row>
    <row r="1275" spans="1:18" x14ac:dyDescent="0.3">
      <c r="A1275" t="s">
        <v>3099</v>
      </c>
      <c r="B1275" s="2">
        <v>45772</v>
      </c>
      <c r="C1275" t="s">
        <v>887</v>
      </c>
      <c r="D1275" t="s">
        <v>1744</v>
      </c>
      <c r="E1275" t="str">
        <f ca="1">TRIM(Sales_fact[[#This Row],[Store_ID]])</f>
        <v>STORE8</v>
      </c>
      <c r="F1275">
        <v>3</v>
      </c>
      <c r="G1275">
        <f>IF(ISBLANK(F1275),MODE($F$2:$F$2001),F1275)</f>
        <v>3</v>
      </c>
      <c r="H1275">
        <v>992.81</v>
      </c>
      <c r="I1275">
        <f>IF(ISBLANK(H1275),AVERAGE($H$2:$H$2001),H1275)</f>
        <v>992.81</v>
      </c>
      <c r="J1275">
        <v>0.04</v>
      </c>
      <c r="K1275">
        <f>IF(ISBLANK(J1275),MODE($J$2:$J$2001),J1275)</f>
        <v>0.04</v>
      </c>
      <c r="L1275" t="s">
        <v>1826</v>
      </c>
      <c r="M1275">
        <v>2859.2928000000002</v>
      </c>
      <c r="N1275">
        <f t="shared" si="19"/>
        <v>2859.2927999999997</v>
      </c>
      <c r="O1275" t="str">
        <f>_xlfn.XLOOKUP(Sales_fact[[#This Row],[Customer_ID]],'Customer_Dim'!A:A,'Customer_Dim'!K:K,"Not Found")</f>
        <v>Bronze</v>
      </c>
      <c r="P1275">
        <f>_xlfn.XLOOKUP(Sales_fact[[#This Row],[Customer_ID]],'Customer_Dim'!A:A, 'Customer_Dim'!E:E, "Not Found")</f>
        <v>21</v>
      </c>
      <c r="Q1275" t="str">
        <f>VLOOKUP(Sales_fact[[#This Row],[Customer_ID]], 'Customer_Dim'!A:F, 6, FALSE)</f>
        <v>Female</v>
      </c>
      <c r="R1275" s="13" t="str">
        <f>_xlfn.XLOOKUP(Sales_fact[[#This Row],[Product_ID]],Product_Dim!A:A,Product_Dim!C:C,"OTHERS")</f>
        <v>Electronics</v>
      </c>
    </row>
    <row r="1276" spans="1:18" x14ac:dyDescent="0.3">
      <c r="A1276" t="s">
        <v>3100</v>
      </c>
      <c r="B1276" s="2">
        <v>45217</v>
      </c>
      <c r="C1276" t="s">
        <v>648</v>
      </c>
      <c r="D1276" t="s">
        <v>1668</v>
      </c>
      <c r="E1276" t="str">
        <f ca="1">TRIM(Sales_fact[[#This Row],[Store_ID]])</f>
        <v>STORE11</v>
      </c>
      <c r="F1276">
        <v>3</v>
      </c>
      <c r="G1276">
        <f>IF(ISBLANK(F1276),MODE($F$2:$F$2001),F1276)</f>
        <v>3</v>
      </c>
      <c r="H1276">
        <v>257.11</v>
      </c>
      <c r="I1276">
        <f>IF(ISBLANK(H1276),AVERAGE($H$2:$H$2001),H1276)</f>
        <v>257.11</v>
      </c>
      <c r="J1276">
        <v>0.26</v>
      </c>
      <c r="K1276">
        <f>IF(ISBLANK(J1276),MODE($J$2:$J$2001),J1276)</f>
        <v>0.26</v>
      </c>
      <c r="L1276" t="s">
        <v>1829</v>
      </c>
      <c r="M1276">
        <v>570.78420000000006</v>
      </c>
      <c r="N1276">
        <f t="shared" si="19"/>
        <v>570.78420000000006</v>
      </c>
      <c r="O1276" t="str">
        <f>_xlfn.XLOOKUP(Sales_fact[[#This Row],[Customer_ID]],'Customer_Dim'!A:A,'Customer_Dim'!K:K,"Not Found")</f>
        <v>Bronze</v>
      </c>
      <c r="P1276">
        <f>_xlfn.XLOOKUP(Sales_fact[[#This Row],[Customer_ID]],'Customer_Dim'!A:A, 'Customer_Dim'!E:E, "Not Found")</f>
        <v>54</v>
      </c>
      <c r="Q1276" t="str">
        <f>VLOOKUP(Sales_fact[[#This Row],[Customer_ID]], 'Customer_Dim'!A:F, 6, FALSE)</f>
        <v>Male</v>
      </c>
      <c r="R1276" s="13" t="str">
        <f>_xlfn.XLOOKUP(Sales_fact[[#This Row],[Product_ID]],Product_Dim!A:A,Product_Dim!C:C,"OTHERS")</f>
        <v>Beauty</v>
      </c>
    </row>
    <row r="1277" spans="1:18" x14ac:dyDescent="0.3">
      <c r="A1277" t="s">
        <v>3101</v>
      </c>
      <c r="B1277" s="2">
        <v>45739</v>
      </c>
      <c r="C1277" t="s">
        <v>713</v>
      </c>
      <c r="D1277" t="s">
        <v>1738</v>
      </c>
      <c r="E1277" t="str">
        <f ca="1">TRIM(Sales_fact[[#This Row],[Store_ID]])</f>
        <v>STORE12</v>
      </c>
      <c r="F1277">
        <v>4</v>
      </c>
      <c r="G1277">
        <f>IF(ISBLANK(F1277),MODE($F$2:$F$2001),F1277)</f>
        <v>4</v>
      </c>
      <c r="H1277">
        <v>816.29</v>
      </c>
      <c r="I1277">
        <f>IF(ISBLANK(H1277),AVERAGE($H$2:$H$2001),H1277)</f>
        <v>816.29</v>
      </c>
      <c r="J1277">
        <v>0.24</v>
      </c>
      <c r="K1277">
        <f>IF(ISBLANK(J1277),MODE($J$2:$J$2001),J1277)</f>
        <v>0.24</v>
      </c>
      <c r="L1277" t="s">
        <v>1826</v>
      </c>
      <c r="M1277">
        <v>2481.5216</v>
      </c>
      <c r="N1277">
        <f t="shared" si="19"/>
        <v>2481.5216</v>
      </c>
      <c r="O1277" t="str">
        <f>_xlfn.XLOOKUP(Sales_fact[[#This Row],[Customer_ID]],'Customer_Dim'!A:A,'Customer_Dim'!K:K,"Not Found")</f>
        <v>Bronze</v>
      </c>
      <c r="P1277">
        <f>_xlfn.XLOOKUP(Sales_fact[[#This Row],[Customer_ID]],'Customer_Dim'!A:A, 'Customer_Dim'!E:E, "Not Found")</f>
        <v>50</v>
      </c>
      <c r="Q1277" t="str">
        <f>VLOOKUP(Sales_fact[[#This Row],[Customer_ID]], 'Customer_Dim'!A:F, 6, FALSE)</f>
        <v>Female</v>
      </c>
      <c r="R1277" s="13" t="str">
        <f>_xlfn.XLOOKUP(Sales_fact[[#This Row],[Product_ID]],Product_Dim!A:A,Product_Dim!C:C,"OTHERS")</f>
        <v>Sports</v>
      </c>
    </row>
    <row r="1278" spans="1:18" x14ac:dyDescent="0.3">
      <c r="A1278" t="s">
        <v>3102</v>
      </c>
      <c r="B1278" s="2">
        <v>45272</v>
      </c>
      <c r="C1278" t="s">
        <v>422</v>
      </c>
      <c r="D1278" t="s">
        <v>1668</v>
      </c>
      <c r="E1278" t="str">
        <f ca="1">TRIM(Sales_fact[[#This Row],[Store_ID]])</f>
        <v>STORE12</v>
      </c>
      <c r="F1278">
        <v>4</v>
      </c>
      <c r="G1278">
        <f>IF(ISBLANK(F1278),MODE($F$2:$F$2001),F1278)</f>
        <v>4</v>
      </c>
      <c r="H1278">
        <v>755.82</v>
      </c>
      <c r="I1278">
        <f>IF(ISBLANK(H1278),AVERAGE($H$2:$H$2001),H1278)</f>
        <v>755.82</v>
      </c>
      <c r="J1278">
        <v>0.22</v>
      </c>
      <c r="K1278">
        <f>IF(ISBLANK(J1278),MODE($J$2:$J$2001),J1278)</f>
        <v>0.22</v>
      </c>
      <c r="L1278" t="s">
        <v>1829</v>
      </c>
      <c r="M1278">
        <v>2358.1583999999998</v>
      </c>
      <c r="N1278">
        <f t="shared" si="19"/>
        <v>2358.1584000000003</v>
      </c>
      <c r="O1278" t="str">
        <f>_xlfn.XLOOKUP(Sales_fact[[#This Row],[Customer_ID]],'Customer_Dim'!A:A,'Customer_Dim'!K:K,"Not Found")</f>
        <v>Platinum</v>
      </c>
      <c r="P1278">
        <f>_xlfn.XLOOKUP(Sales_fact[[#This Row],[Customer_ID]],'Customer_Dim'!A:A, 'Customer_Dim'!E:E, "Not Found")</f>
        <v>50</v>
      </c>
      <c r="Q1278" t="str">
        <f>VLOOKUP(Sales_fact[[#This Row],[Customer_ID]], 'Customer_Dim'!A:F, 6, FALSE)</f>
        <v>Male</v>
      </c>
      <c r="R1278" s="13" t="str">
        <f>_xlfn.XLOOKUP(Sales_fact[[#This Row],[Product_ID]],Product_Dim!A:A,Product_Dim!C:C,"OTHERS")</f>
        <v>Beauty</v>
      </c>
    </row>
    <row r="1279" spans="1:18" x14ac:dyDescent="0.3">
      <c r="A1279" t="s">
        <v>3103</v>
      </c>
      <c r="B1279" s="2">
        <v>45524</v>
      </c>
      <c r="C1279" t="s">
        <v>23</v>
      </c>
      <c r="D1279" t="s">
        <v>1543</v>
      </c>
      <c r="E1279" t="str">
        <f ca="1">TRIM(Sales_fact[[#This Row],[Store_ID]])</f>
        <v>STORE14</v>
      </c>
      <c r="F1279">
        <v>1</v>
      </c>
      <c r="G1279">
        <f>IF(ISBLANK(F1279),MODE($F$2:$F$2001),F1279)</f>
        <v>1</v>
      </c>
      <c r="H1279">
        <v>449.6</v>
      </c>
      <c r="I1279">
        <f>IF(ISBLANK(H1279),AVERAGE($H$2:$H$2001),H1279)</f>
        <v>449.6</v>
      </c>
      <c r="J1279">
        <v>0.01</v>
      </c>
      <c r="K1279">
        <f>IF(ISBLANK(J1279),MODE($J$2:$J$2001),J1279)</f>
        <v>0.01</v>
      </c>
      <c r="L1279" t="s">
        <v>1826</v>
      </c>
      <c r="M1279">
        <v>445.10399999999998</v>
      </c>
      <c r="N1279">
        <f t="shared" si="19"/>
        <v>445.10400000000004</v>
      </c>
      <c r="O1279" t="str">
        <f>_xlfn.XLOOKUP(Sales_fact[[#This Row],[Customer_ID]],'Customer_Dim'!A:A,'Customer_Dim'!K:K,"Not Found")</f>
        <v>Bronze</v>
      </c>
      <c r="P1279">
        <f>_xlfn.XLOOKUP(Sales_fact[[#This Row],[Customer_ID]],'Customer_Dim'!A:A, 'Customer_Dim'!E:E, "Not Found")</f>
        <v>59</v>
      </c>
      <c r="Q1279" t="str">
        <f>VLOOKUP(Sales_fact[[#This Row],[Customer_ID]], 'Customer_Dim'!A:F, 6, FALSE)</f>
        <v>Female</v>
      </c>
      <c r="R1279" s="13" t="str">
        <f>_xlfn.XLOOKUP(Sales_fact[[#This Row],[Product_ID]],Product_Dim!A:A,Product_Dim!C:C,"OTHERS")</f>
        <v>Electronics</v>
      </c>
    </row>
    <row r="1280" spans="1:18" x14ac:dyDescent="0.3">
      <c r="A1280" t="s">
        <v>3104</v>
      </c>
      <c r="B1280" s="2">
        <v>45481</v>
      </c>
      <c r="C1280" t="s">
        <v>1101</v>
      </c>
      <c r="D1280" t="s">
        <v>1576</v>
      </c>
      <c r="E1280" t="str">
        <f ca="1">TRIM(Sales_fact[[#This Row],[Store_ID]])</f>
        <v>STORE0</v>
      </c>
      <c r="F1280">
        <v>2</v>
      </c>
      <c r="G1280">
        <f>IF(ISBLANK(F1280),MODE($F$2:$F$2001),F1280)</f>
        <v>2</v>
      </c>
      <c r="H1280">
        <v>779.29</v>
      </c>
      <c r="I1280">
        <f>IF(ISBLANK(H1280),AVERAGE($H$2:$H$2001),H1280)</f>
        <v>779.29</v>
      </c>
      <c r="J1280">
        <v>0.12</v>
      </c>
      <c r="K1280">
        <f>IF(ISBLANK(J1280),MODE($J$2:$J$2001),J1280)</f>
        <v>0.12</v>
      </c>
      <c r="L1280" t="s">
        <v>1829</v>
      </c>
      <c r="M1280">
        <v>1371.5504000000001</v>
      </c>
      <c r="N1280">
        <f t="shared" si="19"/>
        <v>1371.5503999999999</v>
      </c>
      <c r="O1280" t="str">
        <f>_xlfn.XLOOKUP(Sales_fact[[#This Row],[Customer_ID]],'Customer_Dim'!A:A,'Customer_Dim'!K:K,"Not Found")</f>
        <v>Bronze</v>
      </c>
      <c r="P1280">
        <f>_xlfn.XLOOKUP(Sales_fact[[#This Row],[Customer_ID]],'Customer_Dim'!A:A, 'Customer_Dim'!E:E, "Not Found")</f>
        <v>25</v>
      </c>
      <c r="Q1280" t="str">
        <f>VLOOKUP(Sales_fact[[#This Row],[Customer_ID]], 'Customer_Dim'!A:F, 6, FALSE)</f>
        <v>Female</v>
      </c>
      <c r="R1280" s="13" t="str">
        <f>_xlfn.XLOOKUP(Sales_fact[[#This Row],[Product_ID]],Product_Dim!A:A,Product_Dim!C:C,"OTHERS")</f>
        <v>Home</v>
      </c>
    </row>
    <row r="1281" spans="1:18" x14ac:dyDescent="0.3">
      <c r="A1281" t="s">
        <v>3105</v>
      </c>
      <c r="B1281" s="2">
        <v>45267</v>
      </c>
      <c r="C1281" t="s">
        <v>1431</v>
      </c>
      <c r="D1281" t="s">
        <v>1702</v>
      </c>
      <c r="E1281" t="str">
        <f ca="1">TRIM(Sales_fact[[#This Row],[Store_ID]])</f>
        <v>STORE17</v>
      </c>
      <c r="F1281">
        <v>1</v>
      </c>
      <c r="G1281">
        <f>IF(ISBLANK(F1281),MODE($F$2:$F$2001),F1281)</f>
        <v>1</v>
      </c>
      <c r="H1281">
        <v>748.75</v>
      </c>
      <c r="I1281">
        <f>IF(ISBLANK(H1281),AVERAGE($H$2:$H$2001),H1281)</f>
        <v>748.75</v>
      </c>
      <c r="J1281">
        <v>0.1</v>
      </c>
      <c r="K1281">
        <f>IF(ISBLANK(J1281),MODE($J$2:$J$2001),J1281)</f>
        <v>0.1</v>
      </c>
      <c r="L1281" t="s">
        <v>1829</v>
      </c>
      <c r="M1281">
        <v>673.875</v>
      </c>
      <c r="N1281">
        <f t="shared" si="19"/>
        <v>673.875</v>
      </c>
      <c r="O1281" t="str">
        <f>_xlfn.XLOOKUP(Sales_fact[[#This Row],[Customer_ID]],'Customer_Dim'!A:A,'Customer_Dim'!K:K,"Not Found")</f>
        <v>Not Found</v>
      </c>
      <c r="P1281" t="str">
        <f>_xlfn.XLOOKUP(Sales_fact[[#This Row],[Customer_ID]],'Customer_Dim'!A:A, 'Customer_Dim'!E:E, "Not Found")</f>
        <v>Not Found</v>
      </c>
      <c r="Q1281" t="e">
        <f>VLOOKUP(Sales_fact[[#This Row],[Customer_ID]], 'Customer_Dim'!A:F, 6, FALSE)</f>
        <v>#N/A</v>
      </c>
      <c r="R1281" s="13" t="str">
        <f>_xlfn.XLOOKUP(Sales_fact[[#This Row],[Product_ID]],Product_Dim!A:A,Product_Dim!C:C,"OTHERS")</f>
        <v>Electronics</v>
      </c>
    </row>
    <row r="1282" spans="1:18" x14ac:dyDescent="0.3">
      <c r="A1282" t="s">
        <v>3106</v>
      </c>
      <c r="B1282" s="2">
        <v>45328</v>
      </c>
      <c r="C1282" t="s">
        <v>598</v>
      </c>
      <c r="D1282" t="s">
        <v>1726</v>
      </c>
      <c r="E1282" t="str">
        <f ca="1">TRIM(Sales_fact[[#This Row],[Store_ID]])</f>
        <v>STORE0</v>
      </c>
      <c r="F1282">
        <v>2</v>
      </c>
      <c r="G1282">
        <f>IF(ISBLANK(F1282),MODE($F$2:$F$2001),F1282)</f>
        <v>2</v>
      </c>
      <c r="H1282">
        <v>121.67</v>
      </c>
      <c r="I1282">
        <f>IF(ISBLANK(H1282),AVERAGE($H$2:$H$2001),H1282)</f>
        <v>121.67</v>
      </c>
      <c r="J1282">
        <v>0.08</v>
      </c>
      <c r="K1282">
        <f>IF(ISBLANK(J1282),MODE($J$2:$J$2001),J1282)</f>
        <v>0.08</v>
      </c>
      <c r="L1282" t="s">
        <v>1829</v>
      </c>
      <c r="M1282">
        <v>223.87280000000001</v>
      </c>
      <c r="N1282">
        <f t="shared" si="19"/>
        <v>223.87280000000001</v>
      </c>
      <c r="O1282" t="str">
        <f>_xlfn.XLOOKUP(Sales_fact[[#This Row],[Customer_ID]],'Customer_Dim'!A:A,'Customer_Dim'!K:K,"Not Found")</f>
        <v>Bronze</v>
      </c>
      <c r="P1282">
        <f>_xlfn.XLOOKUP(Sales_fact[[#This Row],[Customer_ID]],'Customer_Dim'!A:A, 'Customer_Dim'!E:E, "Not Found")</f>
        <v>60</v>
      </c>
      <c r="Q1282" t="str">
        <f>VLOOKUP(Sales_fact[[#This Row],[Customer_ID]], 'Customer_Dim'!A:F, 6, FALSE)</f>
        <v>Male</v>
      </c>
      <c r="R1282" s="13" t="str">
        <f>_xlfn.XLOOKUP(Sales_fact[[#This Row],[Product_ID]],Product_Dim!A:A,Product_Dim!C:C,"OTHERS")</f>
        <v>Beauty</v>
      </c>
    </row>
    <row r="1283" spans="1:18" x14ac:dyDescent="0.3">
      <c r="A1283" t="s">
        <v>3107</v>
      </c>
      <c r="B1283" s="2">
        <v>45787</v>
      </c>
      <c r="C1283" t="s">
        <v>1513</v>
      </c>
      <c r="D1283" t="s">
        <v>1646</v>
      </c>
      <c r="E1283" t="str">
        <f ca="1">TRIM(Sales_fact[[#This Row],[Store_ID]])</f>
        <v>STORE15</v>
      </c>
      <c r="F1283">
        <v>3</v>
      </c>
      <c r="G1283">
        <f>IF(ISBLANK(F1283),MODE($F$2:$F$2001),F1283)</f>
        <v>3</v>
      </c>
      <c r="H1283">
        <v>225.14</v>
      </c>
      <c r="I1283">
        <f>IF(ISBLANK(H1283),AVERAGE($H$2:$H$2001),H1283)</f>
        <v>225.14</v>
      </c>
      <c r="J1283">
        <v>0.15</v>
      </c>
      <c r="K1283">
        <f>IF(ISBLANK(J1283),MODE($J$2:$J$2001),J1283)</f>
        <v>0.15</v>
      </c>
      <c r="L1283" t="s">
        <v>1829</v>
      </c>
      <c r="M1283">
        <v>574.10699999999997</v>
      </c>
      <c r="N1283">
        <f t="shared" ref="N1283:N1346" si="20">G1283*I1283*(1-K1283)</f>
        <v>574.10699999999997</v>
      </c>
      <c r="O1283" t="str">
        <f>_xlfn.XLOOKUP(Sales_fact[[#This Row],[Customer_ID]],'Customer_Dim'!A:A,'Customer_Dim'!K:K,"Not Found")</f>
        <v>Platinum</v>
      </c>
      <c r="P1283">
        <f>_xlfn.XLOOKUP(Sales_fact[[#This Row],[Customer_ID]],'Customer_Dim'!A:A, 'Customer_Dim'!E:E, "Not Found")</f>
        <v>59</v>
      </c>
      <c r="Q1283" t="str">
        <f>VLOOKUP(Sales_fact[[#This Row],[Customer_ID]], 'Customer_Dim'!A:F, 6, FALSE)</f>
        <v>Female</v>
      </c>
      <c r="R1283" s="13" t="str">
        <f>_xlfn.XLOOKUP(Sales_fact[[#This Row],[Product_ID]],Product_Dim!A:A,Product_Dim!C:C,"OTHERS")</f>
        <v>Beauty</v>
      </c>
    </row>
    <row r="1284" spans="1:18" x14ac:dyDescent="0.3">
      <c r="A1284" t="s">
        <v>3108</v>
      </c>
      <c r="B1284" s="2">
        <v>45876</v>
      </c>
      <c r="C1284" t="s">
        <v>1011</v>
      </c>
      <c r="D1284" t="s">
        <v>1606</v>
      </c>
      <c r="E1284" t="str">
        <f ca="1">TRIM(Sales_fact[[#This Row],[Store_ID]])</f>
        <v>STORE19</v>
      </c>
      <c r="F1284">
        <v>1</v>
      </c>
      <c r="G1284">
        <f>IF(ISBLANK(F1284),MODE($F$2:$F$2001),F1284)</f>
        <v>1</v>
      </c>
      <c r="H1284">
        <v>654.17999999999995</v>
      </c>
      <c r="I1284">
        <f>IF(ISBLANK(H1284),AVERAGE($H$2:$H$2001),H1284)</f>
        <v>654.17999999999995</v>
      </c>
      <c r="J1284">
        <v>0.19</v>
      </c>
      <c r="K1284">
        <f>IF(ISBLANK(J1284),MODE($J$2:$J$2001),J1284)</f>
        <v>0.19</v>
      </c>
      <c r="L1284" t="s">
        <v>1826</v>
      </c>
      <c r="M1284">
        <v>529.88580000000002</v>
      </c>
      <c r="N1284">
        <f t="shared" si="20"/>
        <v>529.88580000000002</v>
      </c>
      <c r="O1284" t="str">
        <f>_xlfn.XLOOKUP(Sales_fact[[#This Row],[Customer_ID]],'Customer_Dim'!A:A,'Customer_Dim'!K:K,"Not Found")</f>
        <v>Bronze</v>
      </c>
      <c r="P1284">
        <f>_xlfn.XLOOKUP(Sales_fact[[#This Row],[Customer_ID]],'Customer_Dim'!A:A, 'Customer_Dim'!E:E, "Not Found")</f>
        <v>21</v>
      </c>
      <c r="Q1284" t="str">
        <f>VLOOKUP(Sales_fact[[#This Row],[Customer_ID]], 'Customer_Dim'!A:F, 6, FALSE)</f>
        <v>Female</v>
      </c>
      <c r="R1284" s="13" t="str">
        <f>_xlfn.XLOOKUP(Sales_fact[[#This Row],[Product_ID]],Product_Dim!A:A,Product_Dim!C:C,"OTHERS")</f>
        <v>Home</v>
      </c>
    </row>
    <row r="1285" spans="1:18" x14ac:dyDescent="0.3">
      <c r="A1285" t="s">
        <v>3109</v>
      </c>
      <c r="B1285" s="2">
        <v>45552</v>
      </c>
      <c r="C1285" t="s">
        <v>218</v>
      </c>
      <c r="D1285" t="s">
        <v>1690</v>
      </c>
      <c r="E1285" t="str">
        <f ca="1">TRIM(Sales_fact[[#This Row],[Store_ID]])</f>
        <v>STORE5</v>
      </c>
      <c r="F1285">
        <v>2</v>
      </c>
      <c r="G1285">
        <f>IF(ISBLANK(F1285),MODE($F$2:$F$2001),F1285)</f>
        <v>2</v>
      </c>
      <c r="H1285">
        <v>504.98</v>
      </c>
      <c r="I1285">
        <f>IF(ISBLANK(H1285),AVERAGE($H$2:$H$2001),H1285)</f>
        <v>504.98</v>
      </c>
      <c r="J1285">
        <v>0.08</v>
      </c>
      <c r="K1285">
        <f>IF(ISBLANK(J1285),MODE($J$2:$J$2001),J1285)</f>
        <v>0.08</v>
      </c>
      <c r="L1285" t="s">
        <v>1829</v>
      </c>
      <c r="M1285">
        <v>929.16320000000007</v>
      </c>
      <c r="N1285">
        <f t="shared" si="20"/>
        <v>929.16320000000007</v>
      </c>
      <c r="O1285" t="str">
        <f>_xlfn.XLOOKUP(Sales_fact[[#This Row],[Customer_ID]],'Customer_Dim'!A:A,'Customer_Dim'!K:K,"Not Found")</f>
        <v>Platinum</v>
      </c>
      <c r="P1285">
        <f>_xlfn.XLOOKUP(Sales_fact[[#This Row],[Customer_ID]],'Customer_Dim'!A:A, 'Customer_Dim'!E:E, "Not Found")</f>
        <v>51</v>
      </c>
      <c r="Q1285" t="str">
        <f>VLOOKUP(Sales_fact[[#This Row],[Customer_ID]], 'Customer_Dim'!A:F, 6, FALSE)</f>
        <v>Male</v>
      </c>
      <c r="R1285" s="13" t="str">
        <f>_xlfn.XLOOKUP(Sales_fact[[#This Row],[Product_ID]],Product_Dim!A:A,Product_Dim!C:C,"OTHERS")</f>
        <v>Beauty</v>
      </c>
    </row>
    <row r="1286" spans="1:18" x14ac:dyDescent="0.3">
      <c r="A1286" t="s">
        <v>3110</v>
      </c>
      <c r="B1286" s="2">
        <v>45823</v>
      </c>
      <c r="C1286" t="s">
        <v>1181</v>
      </c>
      <c r="D1286" t="s">
        <v>1656</v>
      </c>
      <c r="E1286" t="str">
        <f ca="1">TRIM(Sales_fact[[#This Row],[Store_ID]])</f>
        <v>STORE8</v>
      </c>
      <c r="F1286">
        <v>2</v>
      </c>
      <c r="G1286">
        <f>IF(ISBLANK(F1286),MODE($F$2:$F$2001),F1286)</f>
        <v>2</v>
      </c>
      <c r="H1286">
        <v>623.20000000000005</v>
      </c>
      <c r="I1286">
        <f>IF(ISBLANK(H1286),AVERAGE($H$2:$H$2001),H1286)</f>
        <v>623.20000000000005</v>
      </c>
      <c r="J1286">
        <v>0.14000000000000001</v>
      </c>
      <c r="K1286">
        <f>IF(ISBLANK(J1286),MODE($J$2:$J$2001),J1286)</f>
        <v>0.14000000000000001</v>
      </c>
      <c r="L1286" t="s">
        <v>1829</v>
      </c>
      <c r="M1286">
        <v>1071.904</v>
      </c>
      <c r="N1286">
        <f t="shared" si="20"/>
        <v>1071.904</v>
      </c>
      <c r="O1286" t="str">
        <f>_xlfn.XLOOKUP(Sales_fact[[#This Row],[Customer_ID]],'Customer_Dim'!A:A,'Customer_Dim'!K:K,"Not Found")</f>
        <v>Bronze</v>
      </c>
      <c r="P1286">
        <f>_xlfn.XLOOKUP(Sales_fact[[#This Row],[Customer_ID]],'Customer_Dim'!A:A, 'Customer_Dim'!E:E, "Not Found")</f>
        <v>44</v>
      </c>
      <c r="Q1286" t="str">
        <f>VLOOKUP(Sales_fact[[#This Row],[Customer_ID]], 'Customer_Dim'!A:F, 6, FALSE)</f>
        <v>Female</v>
      </c>
      <c r="R1286" s="13" t="str">
        <f>_xlfn.XLOOKUP(Sales_fact[[#This Row],[Product_ID]],Product_Dim!A:A,Product_Dim!C:C,"OTHERS")</f>
        <v>Sports</v>
      </c>
    </row>
    <row r="1287" spans="1:18" x14ac:dyDescent="0.3">
      <c r="A1287" t="s">
        <v>3111</v>
      </c>
      <c r="B1287" s="2">
        <v>45622</v>
      </c>
      <c r="C1287" t="s">
        <v>1023</v>
      </c>
      <c r="D1287" t="s">
        <v>1555</v>
      </c>
      <c r="E1287" t="str">
        <f ca="1">TRIM(Sales_fact[[#This Row],[Store_ID]])</f>
        <v>STORE16</v>
      </c>
      <c r="F1287">
        <v>2</v>
      </c>
      <c r="G1287">
        <f>IF(ISBLANK(F1287),MODE($F$2:$F$2001),F1287)</f>
        <v>2</v>
      </c>
      <c r="H1287">
        <v>530.54</v>
      </c>
      <c r="I1287">
        <f>IF(ISBLANK(H1287),AVERAGE($H$2:$H$2001),H1287)</f>
        <v>530.54</v>
      </c>
      <c r="J1287">
        <v>0.28000000000000003</v>
      </c>
      <c r="K1287">
        <f>IF(ISBLANK(J1287),MODE($J$2:$J$2001),J1287)</f>
        <v>0.28000000000000003</v>
      </c>
      <c r="L1287" t="s">
        <v>1829</v>
      </c>
      <c r="M1287">
        <v>763.97759999999994</v>
      </c>
      <c r="N1287">
        <f t="shared" si="20"/>
        <v>763.97759999999994</v>
      </c>
      <c r="O1287" t="str">
        <f>_xlfn.XLOOKUP(Sales_fact[[#This Row],[Customer_ID]],'Customer_Dim'!A:A,'Customer_Dim'!K:K,"Not Found")</f>
        <v>Bronze</v>
      </c>
      <c r="P1287">
        <f>_xlfn.XLOOKUP(Sales_fact[[#This Row],[Customer_ID]],'Customer_Dim'!A:A, 'Customer_Dim'!E:E, "Not Found")</f>
        <v>60</v>
      </c>
      <c r="Q1287" t="str">
        <f>VLOOKUP(Sales_fact[[#This Row],[Customer_ID]], 'Customer_Dim'!A:F, 6, FALSE)</f>
        <v>Male</v>
      </c>
      <c r="R1287" s="13" t="str">
        <f>_xlfn.XLOOKUP(Sales_fact[[#This Row],[Product_ID]],Product_Dim!A:A,Product_Dim!C:C,"OTHERS")</f>
        <v>Clothing</v>
      </c>
    </row>
    <row r="1288" spans="1:18" x14ac:dyDescent="0.3">
      <c r="A1288" t="s">
        <v>3112</v>
      </c>
      <c r="B1288" s="2">
        <v>45810</v>
      </c>
      <c r="C1288" t="s">
        <v>1142</v>
      </c>
      <c r="D1288" t="s">
        <v>1543</v>
      </c>
      <c r="E1288" t="str">
        <f ca="1">TRIM(Sales_fact[[#This Row],[Store_ID]])</f>
        <v>STORE16</v>
      </c>
      <c r="F1288">
        <v>3</v>
      </c>
      <c r="G1288">
        <f>IF(ISBLANK(F1288),MODE($F$2:$F$2001),F1288)</f>
        <v>3</v>
      </c>
      <c r="H1288">
        <v>279.45</v>
      </c>
      <c r="I1288">
        <f>IF(ISBLANK(H1288),AVERAGE($H$2:$H$2001),H1288)</f>
        <v>279.45</v>
      </c>
      <c r="J1288">
        <v>0.15</v>
      </c>
      <c r="K1288">
        <f>IF(ISBLANK(J1288),MODE($J$2:$J$2001),J1288)</f>
        <v>0.15</v>
      </c>
      <c r="L1288" t="s">
        <v>1829</v>
      </c>
      <c r="M1288">
        <v>712.59749999999985</v>
      </c>
      <c r="N1288">
        <f t="shared" si="20"/>
        <v>712.59749999999985</v>
      </c>
      <c r="O1288" t="str">
        <f>_xlfn.XLOOKUP(Sales_fact[[#This Row],[Customer_ID]],'Customer_Dim'!A:A,'Customer_Dim'!K:K,"Not Found")</f>
        <v>Platinum</v>
      </c>
      <c r="P1288">
        <f>_xlfn.XLOOKUP(Sales_fact[[#This Row],[Customer_ID]],'Customer_Dim'!A:A, 'Customer_Dim'!E:E, "Not Found")</f>
        <v>63</v>
      </c>
      <c r="Q1288" t="str">
        <f>VLOOKUP(Sales_fact[[#This Row],[Customer_ID]], 'Customer_Dim'!A:F, 6, FALSE)</f>
        <v>Female</v>
      </c>
      <c r="R1288" s="13" t="str">
        <f>_xlfn.XLOOKUP(Sales_fact[[#This Row],[Product_ID]],Product_Dim!A:A,Product_Dim!C:C,"OTHERS")</f>
        <v>Electronics</v>
      </c>
    </row>
    <row r="1289" spans="1:18" x14ac:dyDescent="0.3">
      <c r="A1289" t="s">
        <v>3113</v>
      </c>
      <c r="B1289" s="2">
        <v>45645</v>
      </c>
      <c r="C1289" t="s">
        <v>849</v>
      </c>
      <c r="D1289" t="s">
        <v>1572</v>
      </c>
      <c r="E1289" t="str">
        <f ca="1">TRIM(Sales_fact[[#This Row],[Store_ID]])</f>
        <v>STORE8</v>
      </c>
      <c r="F1289">
        <v>3</v>
      </c>
      <c r="G1289">
        <f>IF(ISBLANK(F1289),MODE($F$2:$F$2001),F1289)</f>
        <v>3</v>
      </c>
      <c r="H1289">
        <v>906.99</v>
      </c>
      <c r="I1289">
        <f>IF(ISBLANK(H1289),AVERAGE($H$2:$H$2001),H1289)</f>
        <v>906.99</v>
      </c>
      <c r="J1289">
        <v>0.26</v>
      </c>
      <c r="K1289">
        <f>IF(ISBLANK(J1289),MODE($J$2:$J$2001),J1289)</f>
        <v>0.26</v>
      </c>
      <c r="L1289" t="s">
        <v>1829</v>
      </c>
      <c r="M1289">
        <v>2013.5178000000001</v>
      </c>
      <c r="N1289">
        <f t="shared" si="20"/>
        <v>2013.5178000000001</v>
      </c>
      <c r="O1289" t="str">
        <f>_xlfn.XLOOKUP(Sales_fact[[#This Row],[Customer_ID]],'Customer_Dim'!A:A,'Customer_Dim'!K:K,"Not Found")</f>
        <v>Bronze</v>
      </c>
      <c r="P1289">
        <f>_xlfn.XLOOKUP(Sales_fact[[#This Row],[Customer_ID]],'Customer_Dim'!A:A, 'Customer_Dim'!E:E, "Not Found")</f>
        <v>32</v>
      </c>
      <c r="Q1289" t="str">
        <f>VLOOKUP(Sales_fact[[#This Row],[Customer_ID]], 'Customer_Dim'!A:F, 6, FALSE)</f>
        <v>Female</v>
      </c>
      <c r="R1289" s="13" t="str">
        <f>_xlfn.XLOOKUP(Sales_fact[[#This Row],[Product_ID]],Product_Dim!A:A,Product_Dim!C:C,"OTHERS")</f>
        <v>Beauty</v>
      </c>
    </row>
    <row r="1290" spans="1:18" x14ac:dyDescent="0.3">
      <c r="A1290" t="s">
        <v>3114</v>
      </c>
      <c r="B1290" s="2">
        <v>45749</v>
      </c>
      <c r="C1290" t="s">
        <v>258</v>
      </c>
      <c r="D1290" t="s">
        <v>1708</v>
      </c>
      <c r="E1290" t="str">
        <f ca="1">TRIM(Sales_fact[[#This Row],[Store_ID]])</f>
        <v>STORE17</v>
      </c>
      <c r="F1290">
        <v>4</v>
      </c>
      <c r="G1290">
        <f>IF(ISBLANK(F1290),MODE($F$2:$F$2001),F1290)</f>
        <v>4</v>
      </c>
      <c r="H1290">
        <v>408.76</v>
      </c>
      <c r="I1290">
        <f>IF(ISBLANK(H1290),AVERAGE($H$2:$H$2001),H1290)</f>
        <v>408.76</v>
      </c>
      <c r="J1290">
        <v>0.12</v>
      </c>
      <c r="K1290">
        <f>IF(ISBLANK(J1290),MODE($J$2:$J$2001),J1290)</f>
        <v>0.12</v>
      </c>
      <c r="L1290" t="s">
        <v>1829</v>
      </c>
      <c r="M1290">
        <v>1438.8352</v>
      </c>
      <c r="N1290">
        <f t="shared" si="20"/>
        <v>1438.8352</v>
      </c>
      <c r="O1290" t="str">
        <f>_xlfn.XLOOKUP(Sales_fact[[#This Row],[Customer_ID]],'Customer_Dim'!A:A,'Customer_Dim'!K:K,"Not Found")</f>
        <v>Gold</v>
      </c>
      <c r="P1290">
        <f>_xlfn.XLOOKUP(Sales_fact[[#This Row],[Customer_ID]],'Customer_Dim'!A:A, 'Customer_Dim'!E:E, "Not Found")</f>
        <v>29</v>
      </c>
      <c r="Q1290" t="str">
        <f>VLOOKUP(Sales_fact[[#This Row],[Customer_ID]], 'Customer_Dim'!A:F, 6, FALSE)</f>
        <v>Female</v>
      </c>
      <c r="R1290" s="13" t="str">
        <f>_xlfn.XLOOKUP(Sales_fact[[#This Row],[Product_ID]],Product_Dim!A:A,Product_Dim!C:C,"OTHERS")</f>
        <v>Home</v>
      </c>
    </row>
    <row r="1291" spans="1:18" x14ac:dyDescent="0.3">
      <c r="A1291" t="s">
        <v>3115</v>
      </c>
      <c r="B1291" s="2">
        <v>45537</v>
      </c>
      <c r="C1291" t="s">
        <v>585</v>
      </c>
      <c r="D1291" t="s">
        <v>1620</v>
      </c>
      <c r="E1291" t="str">
        <f ca="1">TRIM(Sales_fact[[#This Row],[Store_ID]])</f>
        <v>STORE9</v>
      </c>
      <c r="F1291">
        <v>2</v>
      </c>
      <c r="G1291">
        <f>IF(ISBLANK(F1291),MODE($F$2:$F$2001),F1291)</f>
        <v>2</v>
      </c>
      <c r="H1291">
        <v>117.34</v>
      </c>
      <c r="I1291">
        <f>IF(ISBLANK(H1291),AVERAGE($H$2:$H$2001),H1291)</f>
        <v>117.34</v>
      </c>
      <c r="J1291">
        <v>0.09</v>
      </c>
      <c r="K1291">
        <f>IF(ISBLANK(J1291),MODE($J$2:$J$2001),J1291)</f>
        <v>0.09</v>
      </c>
      <c r="L1291" t="s">
        <v>1826</v>
      </c>
      <c r="M1291">
        <v>213.55879999999999</v>
      </c>
      <c r="N1291">
        <f t="shared" si="20"/>
        <v>213.55880000000002</v>
      </c>
      <c r="O1291" t="str">
        <f>_xlfn.XLOOKUP(Sales_fact[[#This Row],[Customer_ID]],'Customer_Dim'!A:A,'Customer_Dim'!K:K,"Not Found")</f>
        <v>Platinum</v>
      </c>
      <c r="P1291">
        <f>_xlfn.XLOOKUP(Sales_fact[[#This Row],[Customer_ID]],'Customer_Dim'!A:A, 'Customer_Dim'!E:E, "Not Found")</f>
        <v>55</v>
      </c>
      <c r="Q1291" t="str">
        <f>VLOOKUP(Sales_fact[[#This Row],[Customer_ID]], 'Customer_Dim'!A:F, 6, FALSE)</f>
        <v>Male</v>
      </c>
      <c r="R1291" s="13" t="str">
        <f>_xlfn.XLOOKUP(Sales_fact[[#This Row],[Product_ID]],Product_Dim!A:A,Product_Dim!C:C,"OTHERS")</f>
        <v>Clothing</v>
      </c>
    </row>
    <row r="1292" spans="1:18" x14ac:dyDescent="0.3">
      <c r="A1292" t="s">
        <v>3116</v>
      </c>
      <c r="B1292" s="2">
        <v>45376</v>
      </c>
      <c r="C1292" t="s">
        <v>559</v>
      </c>
      <c r="D1292" t="s">
        <v>1730</v>
      </c>
      <c r="E1292" t="str">
        <f ca="1">TRIM(Sales_fact[[#This Row],[Store_ID]])</f>
        <v>STORE14</v>
      </c>
      <c r="F1292">
        <v>3</v>
      </c>
      <c r="G1292">
        <f>IF(ISBLANK(F1292),MODE($F$2:$F$2001),F1292)</f>
        <v>3</v>
      </c>
      <c r="H1292">
        <v>690.27</v>
      </c>
      <c r="I1292">
        <f>IF(ISBLANK(H1292),AVERAGE($H$2:$H$2001),H1292)</f>
        <v>690.27</v>
      </c>
      <c r="J1292">
        <v>7.0000000000000007E-2</v>
      </c>
      <c r="K1292">
        <f>IF(ISBLANK(J1292),MODE($J$2:$J$2001),J1292)</f>
        <v>7.0000000000000007E-2</v>
      </c>
      <c r="L1292" t="s">
        <v>1826</v>
      </c>
      <c r="M1292">
        <v>1925.8533</v>
      </c>
      <c r="N1292">
        <f t="shared" si="20"/>
        <v>1925.8532999999998</v>
      </c>
      <c r="O1292" t="str">
        <f>_xlfn.XLOOKUP(Sales_fact[[#This Row],[Customer_ID]],'Customer_Dim'!A:A,'Customer_Dim'!K:K,"Not Found")</f>
        <v>Platinum</v>
      </c>
      <c r="P1292">
        <f>_xlfn.XLOOKUP(Sales_fact[[#This Row],[Customer_ID]],'Customer_Dim'!A:A, 'Customer_Dim'!E:E, "Not Found")</f>
        <v>36</v>
      </c>
      <c r="Q1292" t="str">
        <f>VLOOKUP(Sales_fact[[#This Row],[Customer_ID]], 'Customer_Dim'!A:F, 6, FALSE)</f>
        <v>Female</v>
      </c>
      <c r="R1292" s="13" t="str">
        <f>_xlfn.XLOOKUP(Sales_fact[[#This Row],[Product_ID]],Product_Dim!A:A,Product_Dim!C:C,"OTHERS")</f>
        <v>Clothing</v>
      </c>
    </row>
    <row r="1293" spans="1:18" x14ac:dyDescent="0.3">
      <c r="A1293" t="s">
        <v>3117</v>
      </c>
      <c r="B1293" s="2">
        <v>45709</v>
      </c>
      <c r="C1293" t="s">
        <v>381</v>
      </c>
      <c r="D1293" t="s">
        <v>1604</v>
      </c>
      <c r="E1293" t="str">
        <f ca="1">TRIM(Sales_fact[[#This Row],[Store_ID]])</f>
        <v>STORE17</v>
      </c>
      <c r="F1293">
        <v>4</v>
      </c>
      <c r="G1293">
        <f>IF(ISBLANK(F1293),MODE($F$2:$F$2001),F1293)</f>
        <v>4</v>
      </c>
      <c r="H1293">
        <v>377.18</v>
      </c>
      <c r="I1293">
        <f>IF(ISBLANK(H1293),AVERAGE($H$2:$H$2001),H1293)</f>
        <v>377.18</v>
      </c>
      <c r="J1293">
        <v>0.24</v>
      </c>
      <c r="K1293">
        <f>IF(ISBLANK(J1293),MODE($J$2:$J$2001),J1293)</f>
        <v>0.24</v>
      </c>
      <c r="L1293" t="s">
        <v>1826</v>
      </c>
      <c r="M1293">
        <v>1146.6271999999999</v>
      </c>
      <c r="N1293">
        <f t="shared" si="20"/>
        <v>1146.6272000000001</v>
      </c>
      <c r="O1293" t="str">
        <f>_xlfn.XLOOKUP(Sales_fact[[#This Row],[Customer_ID]],'Customer_Dim'!A:A,'Customer_Dim'!K:K,"Not Found")</f>
        <v>Bronze</v>
      </c>
      <c r="P1293">
        <f>_xlfn.XLOOKUP(Sales_fact[[#This Row],[Customer_ID]],'Customer_Dim'!A:A, 'Customer_Dim'!E:E, "Not Found")</f>
        <v>38</v>
      </c>
      <c r="Q1293" t="str">
        <f>VLOOKUP(Sales_fact[[#This Row],[Customer_ID]], 'Customer_Dim'!A:F, 6, FALSE)</f>
        <v>Male</v>
      </c>
      <c r="R1293" s="13" t="str">
        <f>_xlfn.XLOOKUP(Sales_fact[[#This Row],[Product_ID]],Product_Dim!A:A,Product_Dim!C:C,"OTHERS")</f>
        <v>Sports</v>
      </c>
    </row>
    <row r="1294" spans="1:18" x14ac:dyDescent="0.3">
      <c r="A1294" t="s">
        <v>3118</v>
      </c>
      <c r="B1294" s="2">
        <v>45446</v>
      </c>
      <c r="C1294" t="s">
        <v>393</v>
      </c>
      <c r="D1294" t="s">
        <v>1628</v>
      </c>
      <c r="E1294" t="str">
        <f ca="1">TRIM(Sales_fact[[#This Row],[Store_ID]])</f>
        <v>STORE0</v>
      </c>
      <c r="F1294">
        <v>1</v>
      </c>
      <c r="G1294">
        <f>IF(ISBLANK(F1294),MODE($F$2:$F$2001),F1294)</f>
        <v>1</v>
      </c>
      <c r="H1294">
        <v>70.52</v>
      </c>
      <c r="I1294">
        <f>IF(ISBLANK(H1294),AVERAGE($H$2:$H$2001),H1294)</f>
        <v>70.52</v>
      </c>
      <c r="J1294">
        <v>0.08</v>
      </c>
      <c r="K1294">
        <f>IF(ISBLANK(J1294),MODE($J$2:$J$2001),J1294)</f>
        <v>0.08</v>
      </c>
      <c r="L1294" t="s">
        <v>1829</v>
      </c>
      <c r="M1294">
        <v>64.878399999999999</v>
      </c>
      <c r="N1294">
        <f t="shared" si="20"/>
        <v>64.878399999999999</v>
      </c>
      <c r="O1294" t="str">
        <f>_xlfn.XLOOKUP(Sales_fact[[#This Row],[Customer_ID]],'Customer_Dim'!A:A,'Customer_Dim'!K:K,"Not Found")</f>
        <v>Silver</v>
      </c>
      <c r="P1294">
        <f>_xlfn.XLOOKUP(Sales_fact[[#This Row],[Customer_ID]],'Customer_Dim'!A:A, 'Customer_Dim'!E:E, "Not Found")</f>
        <v>27</v>
      </c>
      <c r="Q1294" t="str">
        <f>VLOOKUP(Sales_fact[[#This Row],[Customer_ID]], 'Customer_Dim'!A:F, 6, FALSE)</f>
        <v>Female</v>
      </c>
      <c r="R1294" s="13" t="str">
        <f>_xlfn.XLOOKUP(Sales_fact[[#This Row],[Product_ID]],Product_Dim!A:A,Product_Dim!C:C,"OTHERS")</f>
        <v>Electronics</v>
      </c>
    </row>
    <row r="1295" spans="1:18" x14ac:dyDescent="0.3">
      <c r="A1295" t="s">
        <v>3119</v>
      </c>
      <c r="B1295" s="2">
        <v>45330</v>
      </c>
      <c r="C1295" t="s">
        <v>875</v>
      </c>
      <c r="D1295" t="s">
        <v>1624</v>
      </c>
      <c r="E1295" t="str">
        <f ca="1">TRIM(Sales_fact[[#This Row],[Store_ID]])</f>
        <v>STORE9</v>
      </c>
      <c r="F1295">
        <v>1</v>
      </c>
      <c r="G1295">
        <f>IF(ISBLANK(F1295),MODE($F$2:$F$2001),F1295)</f>
        <v>1</v>
      </c>
      <c r="H1295">
        <v>40.25</v>
      </c>
      <c r="I1295">
        <f>IF(ISBLANK(H1295),AVERAGE($H$2:$H$2001),H1295)</f>
        <v>40.25</v>
      </c>
      <c r="J1295">
        <v>0.1</v>
      </c>
      <c r="K1295">
        <f>IF(ISBLANK(J1295),MODE($J$2:$J$2001),J1295)</f>
        <v>0.1</v>
      </c>
      <c r="L1295" t="s">
        <v>1826</v>
      </c>
      <c r="M1295">
        <v>36.225000000000001</v>
      </c>
      <c r="N1295">
        <f t="shared" si="20"/>
        <v>36.225000000000001</v>
      </c>
      <c r="O1295" t="str">
        <f>_xlfn.XLOOKUP(Sales_fact[[#This Row],[Customer_ID]],'Customer_Dim'!A:A,'Customer_Dim'!K:K,"Not Found")</f>
        <v>Gold</v>
      </c>
      <c r="P1295">
        <f>_xlfn.XLOOKUP(Sales_fact[[#This Row],[Customer_ID]],'Customer_Dim'!A:A, 'Customer_Dim'!E:E, "Not Found")</f>
        <v>22</v>
      </c>
      <c r="Q1295" t="str">
        <f>VLOOKUP(Sales_fact[[#This Row],[Customer_ID]], 'Customer_Dim'!A:F, 6, FALSE)</f>
        <v>Male</v>
      </c>
      <c r="R1295" s="13" t="str">
        <f>_xlfn.XLOOKUP(Sales_fact[[#This Row],[Product_ID]],Product_Dim!A:A,Product_Dim!C:C,"OTHERS")</f>
        <v>Sports</v>
      </c>
    </row>
    <row r="1296" spans="1:18" x14ac:dyDescent="0.3">
      <c r="A1296" t="s">
        <v>3120</v>
      </c>
      <c r="B1296" s="2">
        <v>45388</v>
      </c>
      <c r="C1296" t="s">
        <v>746</v>
      </c>
      <c r="D1296" t="s">
        <v>1726</v>
      </c>
      <c r="E1296" t="str">
        <f ca="1">TRIM(Sales_fact[[#This Row],[Store_ID]])</f>
        <v>STORE11</v>
      </c>
      <c r="F1296">
        <v>3</v>
      </c>
      <c r="G1296">
        <f>IF(ISBLANK(F1296),MODE($F$2:$F$2001),F1296)</f>
        <v>3</v>
      </c>
      <c r="H1296">
        <v>539.44000000000005</v>
      </c>
      <c r="I1296">
        <f>IF(ISBLANK(H1296),AVERAGE($H$2:$H$2001),H1296)</f>
        <v>539.44000000000005</v>
      </c>
      <c r="J1296">
        <v>0.05</v>
      </c>
      <c r="K1296">
        <f>IF(ISBLANK(J1296),MODE($J$2:$J$2001),J1296)</f>
        <v>0.05</v>
      </c>
      <c r="L1296" t="s">
        <v>1829</v>
      </c>
      <c r="M1296">
        <v>1537.404</v>
      </c>
      <c r="N1296">
        <f t="shared" si="20"/>
        <v>1537.404</v>
      </c>
      <c r="O1296" t="str">
        <f>_xlfn.XLOOKUP(Sales_fact[[#This Row],[Customer_ID]],'Customer_Dim'!A:A,'Customer_Dim'!K:K,"Not Found")</f>
        <v>Platinum</v>
      </c>
      <c r="P1296">
        <f>_xlfn.XLOOKUP(Sales_fact[[#This Row],[Customer_ID]],'Customer_Dim'!A:A, 'Customer_Dim'!E:E, "Not Found")</f>
        <v>27</v>
      </c>
      <c r="Q1296" t="str">
        <f>VLOOKUP(Sales_fact[[#This Row],[Customer_ID]], 'Customer_Dim'!A:F, 6, FALSE)</f>
        <v>Female</v>
      </c>
      <c r="R1296" s="13" t="str">
        <f>_xlfn.XLOOKUP(Sales_fact[[#This Row],[Product_ID]],Product_Dim!A:A,Product_Dim!C:C,"OTHERS")</f>
        <v>Beauty</v>
      </c>
    </row>
    <row r="1297" spans="1:18" x14ac:dyDescent="0.3">
      <c r="A1297" t="s">
        <v>3121</v>
      </c>
      <c r="B1297" s="2">
        <v>45313</v>
      </c>
      <c r="C1297" t="s">
        <v>791</v>
      </c>
      <c r="D1297" t="s">
        <v>1668</v>
      </c>
      <c r="E1297" t="str">
        <f ca="1">TRIM(Sales_fact[[#This Row],[Store_ID]])</f>
        <v>STORE4</v>
      </c>
      <c r="F1297">
        <v>3</v>
      </c>
      <c r="G1297">
        <f>IF(ISBLANK(F1297),MODE($F$2:$F$2001),F1297)</f>
        <v>3</v>
      </c>
      <c r="H1297">
        <v>543.49</v>
      </c>
      <c r="I1297">
        <f>IF(ISBLANK(H1297),AVERAGE($H$2:$H$2001),H1297)</f>
        <v>543.49</v>
      </c>
      <c r="J1297">
        <v>0.05</v>
      </c>
      <c r="K1297">
        <f>IF(ISBLANK(J1297),MODE($J$2:$J$2001),J1297)</f>
        <v>0.05</v>
      </c>
      <c r="L1297" t="s">
        <v>1826</v>
      </c>
      <c r="M1297">
        <v>1548.9465</v>
      </c>
      <c r="N1297">
        <f t="shared" si="20"/>
        <v>1548.9465</v>
      </c>
      <c r="O1297" t="str">
        <f>_xlfn.XLOOKUP(Sales_fact[[#This Row],[Customer_ID]],'Customer_Dim'!A:A,'Customer_Dim'!K:K,"Not Found")</f>
        <v>Platinum</v>
      </c>
      <c r="P1297">
        <f>_xlfn.XLOOKUP(Sales_fact[[#This Row],[Customer_ID]],'Customer_Dim'!A:A, 'Customer_Dim'!E:E, "Not Found")</f>
        <v>32</v>
      </c>
      <c r="Q1297" t="str">
        <f>VLOOKUP(Sales_fact[[#This Row],[Customer_ID]], 'Customer_Dim'!A:F, 6, FALSE)</f>
        <v>Male</v>
      </c>
      <c r="R1297" s="13" t="str">
        <f>_xlfn.XLOOKUP(Sales_fact[[#This Row],[Product_ID]],Product_Dim!A:A,Product_Dim!C:C,"OTHERS")</f>
        <v>Beauty</v>
      </c>
    </row>
    <row r="1298" spans="1:18" x14ac:dyDescent="0.3">
      <c r="A1298" t="s">
        <v>3122</v>
      </c>
      <c r="B1298" s="2">
        <v>45221</v>
      </c>
      <c r="C1298" t="s">
        <v>1020</v>
      </c>
      <c r="D1298" t="s">
        <v>1560</v>
      </c>
      <c r="E1298" t="str">
        <f ca="1">TRIM(Sales_fact[[#This Row],[Store_ID]])</f>
        <v>STORE6</v>
      </c>
      <c r="F1298">
        <v>4</v>
      </c>
      <c r="G1298">
        <f>IF(ISBLANK(F1298),MODE($F$2:$F$2001),F1298)</f>
        <v>4</v>
      </c>
      <c r="H1298">
        <v>547.21</v>
      </c>
      <c r="I1298">
        <f>IF(ISBLANK(H1298),AVERAGE($H$2:$H$2001),H1298)</f>
        <v>547.21</v>
      </c>
      <c r="J1298">
        <v>0.1</v>
      </c>
      <c r="K1298">
        <f>IF(ISBLANK(J1298),MODE($J$2:$J$2001),J1298)</f>
        <v>0.1</v>
      </c>
      <c r="L1298" t="s">
        <v>1829</v>
      </c>
      <c r="M1298">
        <v>1969.9559999999999</v>
      </c>
      <c r="N1298">
        <f t="shared" si="20"/>
        <v>1969.9560000000001</v>
      </c>
      <c r="O1298" t="str">
        <f>_xlfn.XLOOKUP(Sales_fact[[#This Row],[Customer_ID]],'Customer_Dim'!A:A,'Customer_Dim'!K:K,"Not Found")</f>
        <v>Bronze</v>
      </c>
      <c r="P1298">
        <f>_xlfn.XLOOKUP(Sales_fact[[#This Row],[Customer_ID]],'Customer_Dim'!A:A, 'Customer_Dim'!E:E, "Not Found")</f>
        <v>58</v>
      </c>
      <c r="Q1298" t="str">
        <f>VLOOKUP(Sales_fact[[#This Row],[Customer_ID]], 'Customer_Dim'!A:F, 6, FALSE)</f>
        <v>Male</v>
      </c>
      <c r="R1298" s="13" t="str">
        <f>_xlfn.XLOOKUP(Sales_fact[[#This Row],[Product_ID]],Product_Dim!A:A,Product_Dim!C:C,"OTHERS")</f>
        <v>Home</v>
      </c>
    </row>
    <row r="1299" spans="1:18" x14ac:dyDescent="0.3">
      <c r="A1299" t="s">
        <v>3123</v>
      </c>
      <c r="B1299" s="2">
        <v>45619</v>
      </c>
      <c r="C1299" t="s">
        <v>773</v>
      </c>
      <c r="D1299" t="s">
        <v>1678</v>
      </c>
      <c r="E1299" t="str">
        <f ca="1">TRIM(Sales_fact[[#This Row],[Store_ID]])</f>
        <v>STORE1</v>
      </c>
      <c r="F1299">
        <v>2</v>
      </c>
      <c r="G1299">
        <f>IF(ISBLANK(F1299),MODE($F$2:$F$2001),F1299)</f>
        <v>2</v>
      </c>
      <c r="H1299">
        <v>892.46</v>
      </c>
      <c r="I1299">
        <f>IF(ISBLANK(H1299),AVERAGE($H$2:$H$2001),H1299)</f>
        <v>892.46</v>
      </c>
      <c r="J1299">
        <v>7.0000000000000007E-2</v>
      </c>
      <c r="K1299">
        <f>IF(ISBLANK(J1299),MODE($J$2:$J$2001),J1299)</f>
        <v>7.0000000000000007E-2</v>
      </c>
      <c r="L1299" t="s">
        <v>1826</v>
      </c>
      <c r="M1299">
        <v>1659.9756</v>
      </c>
      <c r="N1299">
        <f t="shared" si="20"/>
        <v>1659.9756</v>
      </c>
      <c r="O1299" t="str">
        <f>_xlfn.XLOOKUP(Sales_fact[[#This Row],[Customer_ID]],'Customer_Dim'!A:A,'Customer_Dim'!K:K,"Not Found")</f>
        <v>Platinum</v>
      </c>
      <c r="P1299">
        <f>_xlfn.XLOOKUP(Sales_fact[[#This Row],[Customer_ID]],'Customer_Dim'!A:A, 'Customer_Dim'!E:E, "Not Found")</f>
        <v>31</v>
      </c>
      <c r="Q1299" t="str">
        <f>VLOOKUP(Sales_fact[[#This Row],[Customer_ID]], 'Customer_Dim'!A:F, 6, FALSE)</f>
        <v>Male</v>
      </c>
      <c r="R1299" s="13" t="str">
        <f>_xlfn.XLOOKUP(Sales_fact[[#This Row],[Product_ID]],Product_Dim!A:A,Product_Dim!C:C,"OTHERS")</f>
        <v>Sports</v>
      </c>
    </row>
    <row r="1300" spans="1:18" x14ac:dyDescent="0.3">
      <c r="A1300" t="s">
        <v>3124</v>
      </c>
      <c r="B1300" s="2">
        <v>45286</v>
      </c>
      <c r="C1300" t="s">
        <v>1208</v>
      </c>
      <c r="D1300" t="s">
        <v>1600</v>
      </c>
      <c r="E1300" t="str">
        <f ca="1">TRIM(Sales_fact[[#This Row],[Store_ID]])</f>
        <v>STORE8</v>
      </c>
      <c r="F1300">
        <v>2</v>
      </c>
      <c r="G1300">
        <f>IF(ISBLANK(F1300),MODE($F$2:$F$2001),F1300)</f>
        <v>2</v>
      </c>
      <c r="H1300">
        <v>853.41</v>
      </c>
      <c r="I1300">
        <f>IF(ISBLANK(H1300),AVERAGE($H$2:$H$2001),H1300)</f>
        <v>853.41</v>
      </c>
      <c r="J1300">
        <v>0.25</v>
      </c>
      <c r="K1300">
        <f>IF(ISBLANK(J1300),MODE($J$2:$J$2001),J1300)</f>
        <v>0.25</v>
      </c>
      <c r="L1300" t="s">
        <v>1824</v>
      </c>
      <c r="M1300">
        <v>1280.115</v>
      </c>
      <c r="N1300">
        <f t="shared" si="20"/>
        <v>1280.115</v>
      </c>
      <c r="O1300" t="str">
        <f>_xlfn.XLOOKUP(Sales_fact[[#This Row],[Customer_ID]],'Customer_Dim'!A:A,'Customer_Dim'!K:K,"Not Found")</f>
        <v>Silver</v>
      </c>
      <c r="P1300">
        <f>_xlfn.XLOOKUP(Sales_fact[[#This Row],[Customer_ID]],'Customer_Dim'!A:A, 'Customer_Dim'!E:E, "Not Found")</f>
        <v>28</v>
      </c>
      <c r="Q1300" t="str">
        <f>VLOOKUP(Sales_fact[[#This Row],[Customer_ID]], 'Customer_Dim'!A:F, 6, FALSE)</f>
        <v>Female</v>
      </c>
      <c r="R1300" s="13" t="str">
        <f>_xlfn.XLOOKUP(Sales_fact[[#This Row],[Product_ID]],Product_Dim!A:A,Product_Dim!C:C,"OTHERS")</f>
        <v>Electronics</v>
      </c>
    </row>
    <row r="1301" spans="1:18" x14ac:dyDescent="0.3">
      <c r="A1301" t="s">
        <v>3125</v>
      </c>
      <c r="B1301" s="2">
        <v>45451</v>
      </c>
      <c r="C1301" t="s">
        <v>387</v>
      </c>
      <c r="D1301" t="s">
        <v>1712</v>
      </c>
      <c r="E1301" t="str">
        <f ca="1">TRIM(Sales_fact[[#This Row],[Store_ID]])</f>
        <v>STORE7</v>
      </c>
      <c r="F1301">
        <v>1</v>
      </c>
      <c r="G1301">
        <f>IF(ISBLANK(F1301),MODE($F$2:$F$2001),F1301)</f>
        <v>1</v>
      </c>
      <c r="H1301">
        <v>162.13999999999999</v>
      </c>
      <c r="I1301">
        <f>IF(ISBLANK(H1301),AVERAGE($H$2:$H$2001),H1301)</f>
        <v>162.13999999999999</v>
      </c>
      <c r="J1301">
        <v>7.0000000000000007E-2</v>
      </c>
      <c r="K1301">
        <f>IF(ISBLANK(J1301),MODE($J$2:$J$2001),J1301)</f>
        <v>7.0000000000000007E-2</v>
      </c>
      <c r="L1301" t="s">
        <v>1826</v>
      </c>
      <c r="M1301">
        <v>150.7902</v>
      </c>
      <c r="N1301">
        <f t="shared" si="20"/>
        <v>150.79019999999997</v>
      </c>
      <c r="O1301" t="str">
        <f>_xlfn.XLOOKUP(Sales_fact[[#This Row],[Customer_ID]],'Customer_Dim'!A:A,'Customer_Dim'!K:K,"Not Found")</f>
        <v>Gold</v>
      </c>
      <c r="P1301">
        <f>_xlfn.XLOOKUP(Sales_fact[[#This Row],[Customer_ID]],'Customer_Dim'!A:A, 'Customer_Dim'!E:E, "Not Found")</f>
        <v>40</v>
      </c>
      <c r="Q1301" t="str">
        <f>VLOOKUP(Sales_fact[[#This Row],[Customer_ID]], 'Customer_Dim'!A:F, 6, FALSE)</f>
        <v>Female</v>
      </c>
      <c r="R1301" s="13" t="str">
        <f>_xlfn.XLOOKUP(Sales_fact[[#This Row],[Product_ID]],Product_Dim!A:A,Product_Dim!C:C,"OTHERS")</f>
        <v>Sports</v>
      </c>
    </row>
    <row r="1302" spans="1:18" x14ac:dyDescent="0.3">
      <c r="A1302" t="s">
        <v>3126</v>
      </c>
      <c r="B1302" s="2">
        <v>45478</v>
      </c>
      <c r="C1302" t="s">
        <v>496</v>
      </c>
      <c r="D1302" t="s">
        <v>1740</v>
      </c>
      <c r="E1302" t="str">
        <f ca="1">TRIM(Sales_fact[[#This Row],[Store_ID]])</f>
        <v>STORE16</v>
      </c>
      <c r="F1302">
        <v>1</v>
      </c>
      <c r="G1302">
        <f>IF(ISBLANK(F1302),MODE($F$2:$F$2001),F1302)</f>
        <v>1</v>
      </c>
      <c r="H1302">
        <v>893.14</v>
      </c>
      <c r="I1302">
        <f>IF(ISBLANK(H1302),AVERAGE($H$2:$H$2001),H1302)</f>
        <v>893.14</v>
      </c>
      <c r="J1302">
        <v>0.09</v>
      </c>
      <c r="K1302">
        <f>IF(ISBLANK(J1302),MODE($J$2:$J$2001),J1302)</f>
        <v>0.09</v>
      </c>
      <c r="L1302" t="s">
        <v>1824</v>
      </c>
      <c r="M1302">
        <v>812.75739999999996</v>
      </c>
      <c r="N1302">
        <f t="shared" si="20"/>
        <v>812.75739999999996</v>
      </c>
      <c r="O1302" t="str">
        <f>_xlfn.XLOOKUP(Sales_fact[[#This Row],[Customer_ID]],'Customer_Dim'!A:A,'Customer_Dim'!K:K,"Not Found")</f>
        <v>Platinum</v>
      </c>
      <c r="P1302">
        <f>_xlfn.XLOOKUP(Sales_fact[[#This Row],[Customer_ID]],'Customer_Dim'!A:A, 'Customer_Dim'!E:E, "Not Found")</f>
        <v>49</v>
      </c>
      <c r="Q1302" t="str">
        <f>VLOOKUP(Sales_fact[[#This Row],[Customer_ID]], 'Customer_Dim'!A:F, 6, FALSE)</f>
        <v>Female</v>
      </c>
      <c r="R1302" s="13" t="str">
        <f>_xlfn.XLOOKUP(Sales_fact[[#This Row],[Product_ID]],Product_Dim!A:A,Product_Dim!C:C,"OTHERS")</f>
        <v>Clothing</v>
      </c>
    </row>
    <row r="1303" spans="1:18" x14ac:dyDescent="0.3">
      <c r="A1303" t="s">
        <v>3127</v>
      </c>
      <c r="B1303" s="2">
        <v>45528</v>
      </c>
      <c r="C1303" t="s">
        <v>366</v>
      </c>
      <c r="D1303" t="s">
        <v>1616</v>
      </c>
      <c r="E1303" t="str">
        <f ca="1">TRIM(Sales_fact[[#This Row],[Store_ID]])</f>
        <v>STORE8</v>
      </c>
      <c r="F1303">
        <v>4</v>
      </c>
      <c r="G1303">
        <f>IF(ISBLANK(F1303),MODE($F$2:$F$2001),F1303)</f>
        <v>4</v>
      </c>
      <c r="H1303">
        <v>349.07</v>
      </c>
      <c r="I1303">
        <f>IF(ISBLANK(H1303),AVERAGE($H$2:$H$2001),H1303)</f>
        <v>349.07</v>
      </c>
      <c r="J1303">
        <v>0.28000000000000003</v>
      </c>
      <c r="K1303">
        <f>IF(ISBLANK(J1303),MODE($J$2:$J$2001),J1303)</f>
        <v>0.28000000000000003</v>
      </c>
      <c r="L1303" t="s">
        <v>1824</v>
      </c>
      <c r="M1303">
        <v>1005.3216</v>
      </c>
      <c r="N1303">
        <f t="shared" si="20"/>
        <v>1005.3216</v>
      </c>
      <c r="O1303" t="str">
        <f>_xlfn.XLOOKUP(Sales_fact[[#This Row],[Customer_ID]],'Customer_Dim'!A:A,'Customer_Dim'!K:K,"Not Found")</f>
        <v>Bronze</v>
      </c>
      <c r="P1303">
        <f>_xlfn.XLOOKUP(Sales_fact[[#This Row],[Customer_ID]],'Customer_Dim'!A:A, 'Customer_Dim'!E:E, "Not Found")</f>
        <v>21</v>
      </c>
      <c r="Q1303" t="str">
        <f>VLOOKUP(Sales_fact[[#This Row],[Customer_ID]], 'Customer_Dim'!A:F, 6, FALSE)</f>
        <v>Male</v>
      </c>
      <c r="R1303" s="13" t="str">
        <f>_xlfn.XLOOKUP(Sales_fact[[#This Row],[Product_ID]],Product_Dim!A:A,Product_Dim!C:C,"OTHERS")</f>
        <v>Electronics</v>
      </c>
    </row>
    <row r="1304" spans="1:18" x14ac:dyDescent="0.3">
      <c r="A1304" t="s">
        <v>3128</v>
      </c>
      <c r="B1304" s="2">
        <v>45418</v>
      </c>
      <c r="C1304" t="s">
        <v>899</v>
      </c>
      <c r="D1304" t="s">
        <v>1710</v>
      </c>
      <c r="E1304" t="str">
        <f ca="1">TRIM(Sales_fact[[#This Row],[Store_ID]])</f>
        <v>STORE13</v>
      </c>
      <c r="F1304">
        <v>1</v>
      </c>
      <c r="G1304">
        <f>IF(ISBLANK(F1304),MODE($F$2:$F$2001),F1304)</f>
        <v>1</v>
      </c>
      <c r="H1304">
        <v>747.9</v>
      </c>
      <c r="I1304">
        <f>IF(ISBLANK(H1304),AVERAGE($H$2:$H$2001),H1304)</f>
        <v>747.9</v>
      </c>
      <c r="J1304">
        <v>0.21</v>
      </c>
      <c r="K1304">
        <f>IF(ISBLANK(J1304),MODE($J$2:$J$2001),J1304)</f>
        <v>0.21</v>
      </c>
      <c r="L1304" t="s">
        <v>1829</v>
      </c>
      <c r="M1304">
        <v>590.84100000000001</v>
      </c>
      <c r="N1304">
        <f t="shared" si="20"/>
        <v>590.84100000000001</v>
      </c>
      <c r="O1304" t="str">
        <f>_xlfn.XLOOKUP(Sales_fact[[#This Row],[Customer_ID]],'Customer_Dim'!A:A,'Customer_Dim'!K:K,"Not Found")</f>
        <v>Silver</v>
      </c>
      <c r="P1304">
        <f>_xlfn.XLOOKUP(Sales_fact[[#This Row],[Customer_ID]],'Customer_Dim'!A:A, 'Customer_Dim'!E:E, "Not Found")</f>
        <v>54</v>
      </c>
      <c r="Q1304" t="str">
        <f>VLOOKUP(Sales_fact[[#This Row],[Customer_ID]], 'Customer_Dim'!A:F, 6, FALSE)</f>
        <v>Female</v>
      </c>
      <c r="R1304" s="13" t="str">
        <f>_xlfn.XLOOKUP(Sales_fact[[#This Row],[Product_ID]],Product_Dim!A:A,Product_Dim!C:C,"OTHERS")</f>
        <v>Sports</v>
      </c>
    </row>
    <row r="1305" spans="1:18" x14ac:dyDescent="0.3">
      <c r="A1305" t="s">
        <v>3129</v>
      </c>
      <c r="B1305" s="2">
        <v>45478</v>
      </c>
      <c r="C1305" t="s">
        <v>127</v>
      </c>
      <c r="D1305" t="s">
        <v>1710</v>
      </c>
      <c r="E1305" t="str">
        <f ca="1">TRIM(Sales_fact[[#This Row],[Store_ID]])</f>
        <v>STORE6</v>
      </c>
      <c r="F1305">
        <v>3</v>
      </c>
      <c r="G1305">
        <f>IF(ISBLANK(F1305),MODE($F$2:$F$2001),F1305)</f>
        <v>3</v>
      </c>
      <c r="H1305">
        <v>438.92</v>
      </c>
      <c r="I1305">
        <f>IF(ISBLANK(H1305),AVERAGE($H$2:$H$2001),H1305)</f>
        <v>438.92</v>
      </c>
      <c r="J1305">
        <v>0.21</v>
      </c>
      <c r="K1305">
        <f>IF(ISBLANK(J1305),MODE($J$2:$J$2001),J1305)</f>
        <v>0.21</v>
      </c>
      <c r="L1305" t="s">
        <v>1824</v>
      </c>
      <c r="M1305">
        <v>1040.2403999999999</v>
      </c>
      <c r="N1305">
        <f t="shared" si="20"/>
        <v>1040.2404000000001</v>
      </c>
      <c r="O1305" t="str">
        <f>_xlfn.XLOOKUP(Sales_fact[[#This Row],[Customer_ID]],'Customer_Dim'!A:A,'Customer_Dim'!K:K,"Not Found")</f>
        <v>Silver</v>
      </c>
      <c r="P1305">
        <f>_xlfn.XLOOKUP(Sales_fact[[#This Row],[Customer_ID]],'Customer_Dim'!A:A, 'Customer_Dim'!E:E, "Not Found")</f>
        <v>41</v>
      </c>
      <c r="Q1305" t="str">
        <f>VLOOKUP(Sales_fact[[#This Row],[Customer_ID]], 'Customer_Dim'!A:F, 6, FALSE)</f>
        <v>Male</v>
      </c>
      <c r="R1305" s="13" t="str">
        <f>_xlfn.XLOOKUP(Sales_fact[[#This Row],[Product_ID]],Product_Dim!A:A,Product_Dim!C:C,"OTHERS")</f>
        <v>Sports</v>
      </c>
    </row>
    <row r="1306" spans="1:18" x14ac:dyDescent="0.3">
      <c r="A1306" t="s">
        <v>3130</v>
      </c>
      <c r="B1306" s="2">
        <v>45232</v>
      </c>
      <c r="C1306" t="s">
        <v>425</v>
      </c>
      <c r="D1306" t="s">
        <v>1702</v>
      </c>
      <c r="E1306" t="str">
        <f ca="1">TRIM(Sales_fact[[#This Row],[Store_ID]])</f>
        <v>STORE4</v>
      </c>
      <c r="F1306">
        <v>4</v>
      </c>
      <c r="G1306">
        <f>IF(ISBLANK(F1306),MODE($F$2:$F$2001),F1306)</f>
        <v>4</v>
      </c>
      <c r="H1306">
        <v>665.38</v>
      </c>
      <c r="I1306">
        <f>IF(ISBLANK(H1306),AVERAGE($H$2:$H$2001),H1306)</f>
        <v>665.38</v>
      </c>
      <c r="J1306">
        <v>0.18</v>
      </c>
      <c r="K1306">
        <f>IF(ISBLANK(J1306),MODE($J$2:$J$2001),J1306)</f>
        <v>0.18</v>
      </c>
      <c r="L1306" t="s">
        <v>1824</v>
      </c>
      <c r="M1306">
        <v>2182.4463999999998</v>
      </c>
      <c r="N1306">
        <f t="shared" si="20"/>
        <v>2182.4464000000003</v>
      </c>
      <c r="O1306" t="str">
        <f>_xlfn.XLOOKUP(Sales_fact[[#This Row],[Customer_ID]],'Customer_Dim'!A:A,'Customer_Dim'!K:K,"Not Found")</f>
        <v>Silver</v>
      </c>
      <c r="P1306">
        <f>_xlfn.XLOOKUP(Sales_fact[[#This Row],[Customer_ID]],'Customer_Dim'!A:A, 'Customer_Dim'!E:E, "Not Found")</f>
        <v>40</v>
      </c>
      <c r="Q1306" t="str">
        <f>VLOOKUP(Sales_fact[[#This Row],[Customer_ID]], 'Customer_Dim'!A:F, 6, FALSE)</f>
        <v>Male</v>
      </c>
      <c r="R1306" s="13" t="str">
        <f>_xlfn.XLOOKUP(Sales_fact[[#This Row],[Product_ID]],Product_Dim!A:A,Product_Dim!C:C,"OTHERS")</f>
        <v>Electronics</v>
      </c>
    </row>
    <row r="1307" spans="1:18" x14ac:dyDescent="0.3">
      <c r="A1307" t="s">
        <v>3131</v>
      </c>
      <c r="B1307" s="2">
        <v>45616</v>
      </c>
      <c r="C1307" t="s">
        <v>23</v>
      </c>
      <c r="D1307" t="s">
        <v>1668</v>
      </c>
      <c r="E1307" t="str">
        <f ca="1">TRIM(Sales_fact[[#This Row],[Store_ID]])</f>
        <v>STORE18</v>
      </c>
      <c r="F1307">
        <v>1</v>
      </c>
      <c r="G1307">
        <f>IF(ISBLANK(F1307),MODE($F$2:$F$2001),F1307)</f>
        <v>1</v>
      </c>
      <c r="H1307">
        <v>146.49</v>
      </c>
      <c r="I1307">
        <f>IF(ISBLANK(H1307),AVERAGE($H$2:$H$2001),H1307)</f>
        <v>146.49</v>
      </c>
      <c r="J1307">
        <v>0.28000000000000003</v>
      </c>
      <c r="K1307">
        <f>IF(ISBLANK(J1307),MODE($J$2:$J$2001),J1307)</f>
        <v>0.28000000000000003</v>
      </c>
      <c r="L1307" t="s">
        <v>1824</v>
      </c>
      <c r="M1307">
        <v>105.47280000000001</v>
      </c>
      <c r="N1307">
        <f t="shared" si="20"/>
        <v>105.47280000000001</v>
      </c>
      <c r="O1307" t="str">
        <f>_xlfn.XLOOKUP(Sales_fact[[#This Row],[Customer_ID]],'Customer_Dim'!A:A,'Customer_Dim'!K:K,"Not Found")</f>
        <v>Bronze</v>
      </c>
      <c r="P1307">
        <f>_xlfn.XLOOKUP(Sales_fact[[#This Row],[Customer_ID]],'Customer_Dim'!A:A, 'Customer_Dim'!E:E, "Not Found")</f>
        <v>59</v>
      </c>
      <c r="Q1307" t="str">
        <f>VLOOKUP(Sales_fact[[#This Row],[Customer_ID]], 'Customer_Dim'!A:F, 6, FALSE)</f>
        <v>Female</v>
      </c>
      <c r="R1307" s="13" t="str">
        <f>_xlfn.XLOOKUP(Sales_fact[[#This Row],[Product_ID]],Product_Dim!A:A,Product_Dim!C:C,"OTHERS")</f>
        <v>Beauty</v>
      </c>
    </row>
    <row r="1308" spans="1:18" x14ac:dyDescent="0.3">
      <c r="A1308" t="s">
        <v>3132</v>
      </c>
      <c r="B1308" s="2">
        <v>45774</v>
      </c>
      <c r="C1308" t="s">
        <v>472</v>
      </c>
      <c r="D1308" t="s">
        <v>1624</v>
      </c>
      <c r="E1308" t="str">
        <f ca="1">TRIM(Sales_fact[[#This Row],[Store_ID]])</f>
        <v>STORE15</v>
      </c>
      <c r="F1308">
        <v>2</v>
      </c>
      <c r="G1308">
        <f>IF(ISBLANK(F1308),MODE($F$2:$F$2001),F1308)</f>
        <v>2</v>
      </c>
      <c r="H1308">
        <v>235.39</v>
      </c>
      <c r="I1308">
        <f>IF(ISBLANK(H1308),AVERAGE($H$2:$H$2001),H1308)</f>
        <v>235.39</v>
      </c>
      <c r="J1308">
        <v>0.27</v>
      </c>
      <c r="K1308">
        <f>IF(ISBLANK(J1308),MODE($J$2:$J$2001),J1308)</f>
        <v>0.27</v>
      </c>
      <c r="L1308" t="s">
        <v>1829</v>
      </c>
      <c r="M1308">
        <v>343.6694</v>
      </c>
      <c r="N1308">
        <f t="shared" si="20"/>
        <v>343.6694</v>
      </c>
      <c r="O1308" t="str">
        <f>_xlfn.XLOOKUP(Sales_fact[[#This Row],[Customer_ID]],'Customer_Dim'!A:A,'Customer_Dim'!K:K,"Not Found")</f>
        <v>Bronze</v>
      </c>
      <c r="P1308">
        <f>_xlfn.XLOOKUP(Sales_fact[[#This Row],[Customer_ID]],'Customer_Dim'!A:A, 'Customer_Dim'!E:E, "Not Found")</f>
        <v>32</v>
      </c>
      <c r="Q1308" t="str">
        <f>VLOOKUP(Sales_fact[[#This Row],[Customer_ID]], 'Customer_Dim'!A:F, 6, FALSE)</f>
        <v>Male</v>
      </c>
      <c r="R1308" s="13" t="str">
        <f>_xlfn.XLOOKUP(Sales_fact[[#This Row],[Product_ID]],Product_Dim!A:A,Product_Dim!C:C,"OTHERS")</f>
        <v>Sports</v>
      </c>
    </row>
    <row r="1309" spans="1:18" x14ac:dyDescent="0.3">
      <c r="A1309" t="s">
        <v>3133</v>
      </c>
      <c r="B1309" s="2">
        <v>45651</v>
      </c>
      <c r="C1309" t="s">
        <v>118</v>
      </c>
      <c r="D1309" t="s">
        <v>1670</v>
      </c>
      <c r="E1309" t="str">
        <f ca="1">TRIM(Sales_fact[[#This Row],[Store_ID]])</f>
        <v>STORE5</v>
      </c>
      <c r="F1309">
        <v>3</v>
      </c>
      <c r="G1309">
        <f>IF(ISBLANK(F1309),MODE($F$2:$F$2001),F1309)</f>
        <v>3</v>
      </c>
      <c r="H1309">
        <v>38.07</v>
      </c>
      <c r="I1309">
        <f>IF(ISBLANK(H1309),AVERAGE($H$2:$H$2001),H1309)</f>
        <v>38.07</v>
      </c>
      <c r="J1309">
        <v>0.09</v>
      </c>
      <c r="K1309">
        <f>IF(ISBLANK(J1309),MODE($J$2:$J$2001),J1309)</f>
        <v>0.09</v>
      </c>
      <c r="L1309" t="s">
        <v>1826</v>
      </c>
      <c r="M1309">
        <v>103.9311</v>
      </c>
      <c r="N1309">
        <f t="shared" si="20"/>
        <v>103.93110000000001</v>
      </c>
      <c r="O1309" t="str">
        <f>_xlfn.XLOOKUP(Sales_fact[[#This Row],[Customer_ID]],'Customer_Dim'!A:A,'Customer_Dim'!K:K,"Not Found")</f>
        <v>Platinum</v>
      </c>
      <c r="P1309">
        <f>_xlfn.XLOOKUP(Sales_fact[[#This Row],[Customer_ID]],'Customer_Dim'!A:A, 'Customer_Dim'!E:E, "Not Found")</f>
        <v>27</v>
      </c>
      <c r="Q1309" t="str">
        <f>VLOOKUP(Sales_fact[[#This Row],[Customer_ID]], 'Customer_Dim'!A:F, 6, FALSE)</f>
        <v>Female</v>
      </c>
      <c r="R1309" s="13" t="str">
        <f>_xlfn.XLOOKUP(Sales_fact[[#This Row],[Product_ID]],Product_Dim!A:A,Product_Dim!C:C,"OTHERS")</f>
        <v>Sports</v>
      </c>
    </row>
    <row r="1310" spans="1:18" x14ac:dyDescent="0.3">
      <c r="A1310" t="s">
        <v>3134</v>
      </c>
      <c r="B1310" s="2">
        <v>45902</v>
      </c>
      <c r="C1310" t="s">
        <v>1254</v>
      </c>
      <c r="D1310" t="s">
        <v>1616</v>
      </c>
      <c r="E1310" t="str">
        <f ca="1">TRIM(Sales_fact[[#This Row],[Store_ID]])</f>
        <v>STORE4</v>
      </c>
      <c r="F1310">
        <v>2</v>
      </c>
      <c r="G1310">
        <f>IF(ISBLANK(F1310),MODE($F$2:$F$2001),F1310)</f>
        <v>2</v>
      </c>
      <c r="H1310">
        <v>511.7</v>
      </c>
      <c r="I1310">
        <f>IF(ISBLANK(H1310),AVERAGE($H$2:$H$2001),H1310)</f>
        <v>511.7</v>
      </c>
      <c r="J1310">
        <v>0.12</v>
      </c>
      <c r="K1310">
        <f>IF(ISBLANK(J1310),MODE($J$2:$J$2001),J1310)</f>
        <v>0.12</v>
      </c>
      <c r="L1310" t="s">
        <v>1829</v>
      </c>
      <c r="M1310">
        <v>900.59199999999998</v>
      </c>
      <c r="N1310">
        <f t="shared" si="20"/>
        <v>900.59199999999998</v>
      </c>
      <c r="O1310" t="str">
        <f>_xlfn.XLOOKUP(Sales_fact[[#This Row],[Customer_ID]],'Customer_Dim'!A:A,'Customer_Dim'!K:K,"Not Found")</f>
        <v>Bronze</v>
      </c>
      <c r="P1310">
        <f>_xlfn.XLOOKUP(Sales_fact[[#This Row],[Customer_ID]],'Customer_Dim'!A:A, 'Customer_Dim'!E:E, "Not Found")</f>
        <v>34</v>
      </c>
      <c r="Q1310" t="str">
        <f>VLOOKUP(Sales_fact[[#This Row],[Customer_ID]], 'Customer_Dim'!A:F, 6, FALSE)</f>
        <v>Male</v>
      </c>
      <c r="R1310" s="13" t="str">
        <f>_xlfn.XLOOKUP(Sales_fact[[#This Row],[Product_ID]],Product_Dim!A:A,Product_Dim!C:C,"OTHERS")</f>
        <v>Electronics</v>
      </c>
    </row>
    <row r="1311" spans="1:18" x14ac:dyDescent="0.3">
      <c r="A1311" t="s">
        <v>3135</v>
      </c>
      <c r="B1311" s="2">
        <v>45401</v>
      </c>
      <c r="C1311" t="s">
        <v>332</v>
      </c>
      <c r="D1311" t="s">
        <v>1698</v>
      </c>
      <c r="E1311" t="str">
        <f ca="1">TRIM(Sales_fact[[#This Row],[Store_ID]])</f>
        <v>STORE8</v>
      </c>
      <c r="F1311">
        <v>4</v>
      </c>
      <c r="G1311">
        <f>IF(ISBLANK(F1311),MODE($F$2:$F$2001),F1311)</f>
        <v>4</v>
      </c>
      <c r="H1311">
        <v>488.72</v>
      </c>
      <c r="I1311">
        <f>IF(ISBLANK(H1311),AVERAGE($H$2:$H$2001),H1311)</f>
        <v>488.72</v>
      </c>
      <c r="J1311">
        <v>0.23</v>
      </c>
      <c r="K1311">
        <f>IF(ISBLANK(J1311),MODE($J$2:$J$2001),J1311)</f>
        <v>0.23</v>
      </c>
      <c r="L1311" t="s">
        <v>1826</v>
      </c>
      <c r="M1311">
        <v>1505.2575999999999</v>
      </c>
      <c r="N1311">
        <f t="shared" si="20"/>
        <v>1505.2576000000001</v>
      </c>
      <c r="O1311" t="str">
        <f>_xlfn.XLOOKUP(Sales_fact[[#This Row],[Customer_ID]],'Customer_Dim'!A:A,'Customer_Dim'!K:K,"Not Found")</f>
        <v>Platinum</v>
      </c>
      <c r="P1311">
        <f>_xlfn.XLOOKUP(Sales_fact[[#This Row],[Customer_ID]],'Customer_Dim'!A:A, 'Customer_Dim'!E:E, "Not Found")</f>
        <v>44</v>
      </c>
      <c r="Q1311" t="str">
        <f>VLOOKUP(Sales_fact[[#This Row],[Customer_ID]], 'Customer_Dim'!A:F, 6, FALSE)</f>
        <v>Female</v>
      </c>
      <c r="R1311" s="13" t="str">
        <f>_xlfn.XLOOKUP(Sales_fact[[#This Row],[Product_ID]],Product_Dim!A:A,Product_Dim!C:C,"OTHERS")</f>
        <v>Clothing</v>
      </c>
    </row>
    <row r="1312" spans="1:18" x14ac:dyDescent="0.3">
      <c r="A1312" t="s">
        <v>3136</v>
      </c>
      <c r="B1312" s="2">
        <v>45717</v>
      </c>
      <c r="C1312" t="s">
        <v>1220</v>
      </c>
      <c r="D1312" t="s">
        <v>1648</v>
      </c>
      <c r="E1312" t="str">
        <f ca="1">TRIM(Sales_fact[[#This Row],[Store_ID]])</f>
        <v>STORE12</v>
      </c>
      <c r="F1312">
        <v>2</v>
      </c>
      <c r="G1312">
        <f>IF(ISBLANK(F1312),MODE($F$2:$F$2001),F1312)</f>
        <v>2</v>
      </c>
      <c r="H1312">
        <v>520.45000000000005</v>
      </c>
      <c r="I1312">
        <f>IF(ISBLANK(H1312),AVERAGE($H$2:$H$2001),H1312)</f>
        <v>520.45000000000005</v>
      </c>
      <c r="J1312">
        <v>0.11</v>
      </c>
      <c r="K1312">
        <f>IF(ISBLANK(J1312),MODE($J$2:$J$2001),J1312)</f>
        <v>0.11</v>
      </c>
      <c r="L1312" t="s">
        <v>1829</v>
      </c>
      <c r="M1312">
        <v>926.40100000000007</v>
      </c>
      <c r="N1312">
        <f t="shared" si="20"/>
        <v>926.40100000000007</v>
      </c>
      <c r="O1312" t="str">
        <f>_xlfn.XLOOKUP(Sales_fact[[#This Row],[Customer_ID]],'Customer_Dim'!A:A,'Customer_Dim'!K:K,"Not Found")</f>
        <v>Bronze</v>
      </c>
      <c r="P1312">
        <f>_xlfn.XLOOKUP(Sales_fact[[#This Row],[Customer_ID]],'Customer_Dim'!A:A, 'Customer_Dim'!E:E, "Not Found")</f>
        <v>40</v>
      </c>
      <c r="Q1312" t="str">
        <f>VLOOKUP(Sales_fact[[#This Row],[Customer_ID]], 'Customer_Dim'!A:F, 6, FALSE)</f>
        <v>Female</v>
      </c>
      <c r="R1312" s="13" t="str">
        <f>_xlfn.XLOOKUP(Sales_fact[[#This Row],[Product_ID]],Product_Dim!A:A,Product_Dim!C:C,"OTHERS")</f>
        <v>Sports</v>
      </c>
    </row>
    <row r="1313" spans="1:18" x14ac:dyDescent="0.3">
      <c r="A1313" t="s">
        <v>3137</v>
      </c>
      <c r="B1313" s="2">
        <v>45376</v>
      </c>
      <c r="C1313" t="s">
        <v>1340</v>
      </c>
      <c r="D1313" t="s">
        <v>1644</v>
      </c>
      <c r="E1313" t="str">
        <f ca="1">TRIM(Sales_fact[[#This Row],[Store_ID]])</f>
        <v>STORE5</v>
      </c>
      <c r="F1313">
        <v>1</v>
      </c>
      <c r="G1313">
        <f>IF(ISBLANK(F1313),MODE($F$2:$F$2001),F1313)</f>
        <v>1</v>
      </c>
      <c r="H1313">
        <v>340.9</v>
      </c>
      <c r="I1313">
        <f>IF(ISBLANK(H1313),AVERAGE($H$2:$H$2001),H1313)</f>
        <v>340.9</v>
      </c>
      <c r="J1313">
        <v>0.28999999999999998</v>
      </c>
      <c r="K1313">
        <f>IF(ISBLANK(J1313),MODE($J$2:$J$2001),J1313)</f>
        <v>0.28999999999999998</v>
      </c>
      <c r="L1313" t="s">
        <v>1824</v>
      </c>
      <c r="M1313">
        <v>242.03899999999999</v>
      </c>
      <c r="N1313">
        <f t="shared" si="20"/>
        <v>242.03899999999996</v>
      </c>
      <c r="O1313" t="str">
        <f>_xlfn.XLOOKUP(Sales_fact[[#This Row],[Customer_ID]],'Customer_Dim'!A:A,'Customer_Dim'!K:K,"Not Found")</f>
        <v>Bronze</v>
      </c>
      <c r="P1313">
        <f>_xlfn.XLOOKUP(Sales_fact[[#This Row],[Customer_ID]],'Customer_Dim'!A:A, 'Customer_Dim'!E:E, "Not Found")</f>
        <v>37</v>
      </c>
      <c r="Q1313" t="str">
        <f>VLOOKUP(Sales_fact[[#This Row],[Customer_ID]], 'Customer_Dim'!A:F, 6, FALSE)</f>
        <v>Male</v>
      </c>
      <c r="R1313" s="13" t="str">
        <f>_xlfn.XLOOKUP(Sales_fact[[#This Row],[Product_ID]],Product_Dim!A:A,Product_Dim!C:C,"OTHERS")</f>
        <v>Electronics</v>
      </c>
    </row>
    <row r="1314" spans="1:18" x14ac:dyDescent="0.3">
      <c r="A1314" t="s">
        <v>3138</v>
      </c>
      <c r="B1314" s="2">
        <v>45576</v>
      </c>
      <c r="C1314" t="s">
        <v>1086</v>
      </c>
      <c r="D1314" t="s">
        <v>1610</v>
      </c>
      <c r="E1314" t="str">
        <f ca="1">TRIM(Sales_fact[[#This Row],[Store_ID]])</f>
        <v>STORE8</v>
      </c>
      <c r="F1314">
        <v>3</v>
      </c>
      <c r="G1314">
        <f>IF(ISBLANK(F1314),MODE($F$2:$F$2001),F1314)</f>
        <v>3</v>
      </c>
      <c r="H1314">
        <v>653.59</v>
      </c>
      <c r="I1314">
        <f>IF(ISBLANK(H1314),AVERAGE($H$2:$H$2001),H1314)</f>
        <v>653.59</v>
      </c>
      <c r="J1314">
        <v>0.17</v>
      </c>
      <c r="K1314">
        <f>IF(ISBLANK(J1314),MODE($J$2:$J$2001),J1314)</f>
        <v>0.17</v>
      </c>
      <c r="L1314" t="s">
        <v>1829</v>
      </c>
      <c r="M1314">
        <v>1627.4391000000001</v>
      </c>
      <c r="N1314">
        <f t="shared" si="20"/>
        <v>1627.4390999999998</v>
      </c>
      <c r="O1314" t="str">
        <f>_xlfn.XLOOKUP(Sales_fact[[#This Row],[Customer_ID]],'Customer_Dim'!A:A,'Customer_Dim'!K:K,"Not Found")</f>
        <v>Platinum</v>
      </c>
      <c r="P1314">
        <f>_xlfn.XLOOKUP(Sales_fact[[#This Row],[Customer_ID]],'Customer_Dim'!A:A, 'Customer_Dim'!E:E, "Not Found")</f>
        <v>58</v>
      </c>
      <c r="Q1314" t="str">
        <f>VLOOKUP(Sales_fact[[#This Row],[Customer_ID]], 'Customer_Dim'!A:F, 6, FALSE)</f>
        <v>Female</v>
      </c>
      <c r="R1314" s="13" t="str">
        <f>_xlfn.XLOOKUP(Sales_fact[[#This Row],[Product_ID]],Product_Dim!A:A,Product_Dim!C:C,"OTHERS")</f>
        <v>Sports</v>
      </c>
    </row>
    <row r="1315" spans="1:18" x14ac:dyDescent="0.3">
      <c r="A1315" t="s">
        <v>3139</v>
      </c>
      <c r="B1315" s="2">
        <v>45906</v>
      </c>
      <c r="C1315" t="s">
        <v>93</v>
      </c>
      <c r="D1315" t="s">
        <v>1600</v>
      </c>
      <c r="E1315" t="str">
        <f ca="1">TRIM(Sales_fact[[#This Row],[Store_ID]])</f>
        <v>STORE18</v>
      </c>
      <c r="F1315">
        <v>1</v>
      </c>
      <c r="G1315">
        <f>IF(ISBLANK(F1315),MODE($F$2:$F$2001),F1315)</f>
        <v>1</v>
      </c>
      <c r="H1315">
        <v>179.77</v>
      </c>
      <c r="I1315">
        <f>IF(ISBLANK(H1315),AVERAGE($H$2:$H$2001),H1315)</f>
        <v>179.77</v>
      </c>
      <c r="J1315">
        <v>0.23</v>
      </c>
      <c r="K1315">
        <f>IF(ISBLANK(J1315),MODE($J$2:$J$2001),J1315)</f>
        <v>0.23</v>
      </c>
      <c r="L1315" t="s">
        <v>1829</v>
      </c>
      <c r="M1315">
        <v>138.4229</v>
      </c>
      <c r="N1315">
        <f t="shared" si="20"/>
        <v>138.4229</v>
      </c>
      <c r="O1315" t="str">
        <f>_xlfn.XLOOKUP(Sales_fact[[#This Row],[Customer_ID]],'Customer_Dim'!A:A,'Customer_Dim'!K:K,"Not Found")</f>
        <v>Gold</v>
      </c>
      <c r="P1315">
        <f>_xlfn.XLOOKUP(Sales_fact[[#This Row],[Customer_ID]],'Customer_Dim'!A:A, 'Customer_Dim'!E:E, "Not Found")</f>
        <v>36</v>
      </c>
      <c r="Q1315" t="str">
        <f>VLOOKUP(Sales_fact[[#This Row],[Customer_ID]], 'Customer_Dim'!A:F, 6, FALSE)</f>
        <v>Female</v>
      </c>
      <c r="R1315" s="13" t="str">
        <f>_xlfn.XLOOKUP(Sales_fact[[#This Row],[Product_ID]],Product_Dim!A:A,Product_Dim!C:C,"OTHERS")</f>
        <v>Electronics</v>
      </c>
    </row>
    <row r="1316" spans="1:18" x14ac:dyDescent="0.3">
      <c r="A1316" t="s">
        <v>3140</v>
      </c>
      <c r="B1316" s="2">
        <v>45523</v>
      </c>
      <c r="C1316" t="s">
        <v>44</v>
      </c>
      <c r="D1316" t="s">
        <v>1543</v>
      </c>
      <c r="E1316" t="str">
        <f ca="1">TRIM(Sales_fact[[#This Row],[Store_ID]])</f>
        <v>STORE9</v>
      </c>
      <c r="F1316">
        <v>2</v>
      </c>
      <c r="G1316">
        <f>IF(ISBLANK(F1316),MODE($F$2:$F$2001),F1316)</f>
        <v>2</v>
      </c>
      <c r="H1316">
        <v>943.8</v>
      </c>
      <c r="I1316">
        <f>IF(ISBLANK(H1316),AVERAGE($H$2:$H$2001),H1316)</f>
        <v>943.8</v>
      </c>
      <c r="J1316">
        <v>0.06</v>
      </c>
      <c r="K1316">
        <f>IF(ISBLANK(J1316),MODE($J$2:$J$2001),J1316)</f>
        <v>0.06</v>
      </c>
      <c r="L1316" t="s">
        <v>1824</v>
      </c>
      <c r="M1316">
        <v>1774.3440000000001</v>
      </c>
      <c r="N1316">
        <f t="shared" si="20"/>
        <v>1774.3439999999998</v>
      </c>
      <c r="O1316" t="str">
        <f>_xlfn.XLOOKUP(Sales_fact[[#This Row],[Customer_ID]],'Customer_Dim'!A:A,'Customer_Dim'!K:K,"Not Found")</f>
        <v>Gold</v>
      </c>
      <c r="P1316">
        <f>_xlfn.XLOOKUP(Sales_fact[[#This Row],[Customer_ID]],'Customer_Dim'!A:A, 'Customer_Dim'!E:E, "Not Found")</f>
        <v>53</v>
      </c>
      <c r="Q1316" t="str">
        <f>VLOOKUP(Sales_fact[[#This Row],[Customer_ID]], 'Customer_Dim'!A:F, 6, FALSE)</f>
        <v>Female</v>
      </c>
      <c r="R1316" s="13" t="str">
        <f>_xlfn.XLOOKUP(Sales_fact[[#This Row],[Product_ID]],Product_Dim!A:A,Product_Dim!C:C,"OTHERS")</f>
        <v>Electronics</v>
      </c>
    </row>
    <row r="1317" spans="1:18" x14ac:dyDescent="0.3">
      <c r="A1317" t="s">
        <v>3141</v>
      </c>
      <c r="B1317" s="2">
        <v>45234</v>
      </c>
      <c r="C1317" t="s">
        <v>1272</v>
      </c>
      <c r="D1317" t="s">
        <v>1690</v>
      </c>
      <c r="E1317" t="str">
        <f ca="1">TRIM(Sales_fact[[#This Row],[Store_ID]])</f>
        <v>STORE15</v>
      </c>
      <c r="F1317">
        <v>2</v>
      </c>
      <c r="G1317">
        <f>IF(ISBLANK(F1317),MODE($F$2:$F$2001),F1317)</f>
        <v>2</v>
      </c>
      <c r="H1317">
        <v>985</v>
      </c>
      <c r="I1317">
        <f>IF(ISBLANK(H1317),AVERAGE($H$2:$H$2001),H1317)</f>
        <v>985</v>
      </c>
      <c r="J1317">
        <v>0.25</v>
      </c>
      <c r="K1317">
        <f>IF(ISBLANK(J1317),MODE($J$2:$J$2001),J1317)</f>
        <v>0.25</v>
      </c>
      <c r="L1317" t="s">
        <v>1824</v>
      </c>
      <c r="M1317">
        <v>1477.5</v>
      </c>
      <c r="N1317">
        <f t="shared" si="20"/>
        <v>1477.5</v>
      </c>
      <c r="O1317" t="str">
        <f>_xlfn.XLOOKUP(Sales_fact[[#This Row],[Customer_ID]],'Customer_Dim'!A:A,'Customer_Dim'!K:K,"Not Found")</f>
        <v>Gold</v>
      </c>
      <c r="P1317">
        <f>_xlfn.XLOOKUP(Sales_fact[[#This Row],[Customer_ID]],'Customer_Dim'!A:A, 'Customer_Dim'!E:E, "Not Found")</f>
        <v>55</v>
      </c>
      <c r="Q1317" t="str">
        <f>VLOOKUP(Sales_fact[[#This Row],[Customer_ID]], 'Customer_Dim'!A:F, 6, FALSE)</f>
        <v>Male</v>
      </c>
      <c r="R1317" s="13" t="str">
        <f>_xlfn.XLOOKUP(Sales_fact[[#This Row],[Product_ID]],Product_Dim!A:A,Product_Dim!C:C,"OTHERS")</f>
        <v>Beauty</v>
      </c>
    </row>
    <row r="1318" spans="1:18" x14ac:dyDescent="0.3">
      <c r="A1318" t="s">
        <v>3142</v>
      </c>
      <c r="B1318" s="2">
        <v>45405</v>
      </c>
      <c r="C1318" t="s">
        <v>1492</v>
      </c>
      <c r="D1318" t="s">
        <v>1724</v>
      </c>
      <c r="E1318" t="str">
        <f ca="1">TRIM(Sales_fact[[#This Row],[Store_ID]])</f>
        <v>STORE10</v>
      </c>
      <c r="F1318">
        <v>4</v>
      </c>
      <c r="G1318">
        <f>IF(ISBLANK(F1318),MODE($F$2:$F$2001),F1318)</f>
        <v>4</v>
      </c>
      <c r="H1318">
        <v>216.81</v>
      </c>
      <c r="I1318">
        <f>IF(ISBLANK(H1318),AVERAGE($H$2:$H$2001),H1318)</f>
        <v>216.81</v>
      </c>
      <c r="J1318">
        <v>0.28999999999999998</v>
      </c>
      <c r="K1318">
        <f>IF(ISBLANK(J1318),MODE($J$2:$J$2001),J1318)</f>
        <v>0.28999999999999998</v>
      </c>
      <c r="L1318" t="s">
        <v>1824</v>
      </c>
      <c r="M1318">
        <v>615.74040000000002</v>
      </c>
      <c r="N1318">
        <f t="shared" si="20"/>
        <v>615.74040000000002</v>
      </c>
      <c r="O1318" t="str">
        <f>_xlfn.XLOOKUP(Sales_fact[[#This Row],[Customer_ID]],'Customer_Dim'!A:A,'Customer_Dim'!K:K,"Not Found")</f>
        <v>Bronze</v>
      </c>
      <c r="P1318">
        <f>_xlfn.XLOOKUP(Sales_fact[[#This Row],[Customer_ID]],'Customer_Dim'!A:A, 'Customer_Dim'!E:E, "Not Found")</f>
        <v>46</v>
      </c>
      <c r="Q1318" t="str">
        <f>VLOOKUP(Sales_fact[[#This Row],[Customer_ID]], 'Customer_Dim'!A:F, 6, FALSE)</f>
        <v>Female</v>
      </c>
      <c r="R1318" s="13" t="str">
        <f>_xlfn.XLOOKUP(Sales_fact[[#This Row],[Product_ID]],Product_Dim!A:A,Product_Dim!C:C,"OTHERS")</f>
        <v>Sports</v>
      </c>
    </row>
    <row r="1319" spans="1:18" x14ac:dyDescent="0.3">
      <c r="A1319" t="s">
        <v>3143</v>
      </c>
      <c r="B1319" s="2">
        <v>45223</v>
      </c>
      <c r="C1319" t="s">
        <v>408</v>
      </c>
      <c r="D1319" t="s">
        <v>1676</v>
      </c>
      <c r="E1319" t="str">
        <f ca="1">TRIM(Sales_fact[[#This Row],[Store_ID]])</f>
        <v>STORE2</v>
      </c>
      <c r="F1319">
        <v>4</v>
      </c>
      <c r="G1319">
        <f>IF(ISBLANK(F1319),MODE($F$2:$F$2001),F1319)</f>
        <v>4</v>
      </c>
      <c r="H1319">
        <v>950.21</v>
      </c>
      <c r="I1319">
        <f>IF(ISBLANK(H1319),AVERAGE($H$2:$H$2001),H1319)</f>
        <v>950.21</v>
      </c>
      <c r="J1319">
        <v>0.27</v>
      </c>
      <c r="K1319">
        <f>IF(ISBLANK(J1319),MODE($J$2:$J$2001),J1319)</f>
        <v>0.27</v>
      </c>
      <c r="L1319" t="s">
        <v>1829</v>
      </c>
      <c r="M1319">
        <v>2774.6131999999998</v>
      </c>
      <c r="N1319">
        <f t="shared" si="20"/>
        <v>2774.6132000000002</v>
      </c>
      <c r="O1319" t="str">
        <f>_xlfn.XLOOKUP(Sales_fact[[#This Row],[Customer_ID]],'Customer_Dim'!A:A,'Customer_Dim'!K:K,"Not Found")</f>
        <v>Platinum</v>
      </c>
      <c r="P1319">
        <f>_xlfn.XLOOKUP(Sales_fact[[#This Row],[Customer_ID]],'Customer_Dim'!A:A, 'Customer_Dim'!E:E, "Not Found")</f>
        <v>21</v>
      </c>
      <c r="Q1319" t="str">
        <f>VLOOKUP(Sales_fact[[#This Row],[Customer_ID]], 'Customer_Dim'!A:F, 6, FALSE)</f>
        <v>Female</v>
      </c>
      <c r="R1319" s="13" t="str">
        <f>_xlfn.XLOOKUP(Sales_fact[[#This Row],[Product_ID]],Product_Dim!A:A,Product_Dim!C:C,"OTHERS")</f>
        <v>Beauty</v>
      </c>
    </row>
    <row r="1320" spans="1:18" x14ac:dyDescent="0.3">
      <c r="A1320" t="s">
        <v>3144</v>
      </c>
      <c r="B1320" s="2">
        <v>45838</v>
      </c>
      <c r="C1320" t="s">
        <v>818</v>
      </c>
      <c r="D1320" t="s">
        <v>1644</v>
      </c>
      <c r="E1320" t="str">
        <f ca="1">TRIM(Sales_fact[[#This Row],[Store_ID]])</f>
        <v>STORE7</v>
      </c>
      <c r="F1320">
        <v>2</v>
      </c>
      <c r="G1320">
        <f>IF(ISBLANK(F1320),MODE($F$2:$F$2001),F1320)</f>
        <v>2</v>
      </c>
      <c r="H1320">
        <v>271.39999999999998</v>
      </c>
      <c r="I1320">
        <f>IF(ISBLANK(H1320),AVERAGE($H$2:$H$2001),H1320)</f>
        <v>271.39999999999998</v>
      </c>
      <c r="J1320">
        <v>0.17</v>
      </c>
      <c r="K1320">
        <f>IF(ISBLANK(J1320),MODE($J$2:$J$2001),J1320)</f>
        <v>0.17</v>
      </c>
      <c r="L1320" t="s">
        <v>1826</v>
      </c>
      <c r="M1320">
        <v>450.52399999999989</v>
      </c>
      <c r="N1320">
        <f t="shared" si="20"/>
        <v>450.52399999999994</v>
      </c>
      <c r="O1320" t="str">
        <f>_xlfn.XLOOKUP(Sales_fact[[#This Row],[Customer_ID]],'Customer_Dim'!A:A,'Customer_Dim'!K:K,"Not Found")</f>
        <v>Platinum</v>
      </c>
      <c r="P1320">
        <f>_xlfn.XLOOKUP(Sales_fact[[#This Row],[Customer_ID]],'Customer_Dim'!A:A, 'Customer_Dim'!E:E, "Not Found")</f>
        <v>57</v>
      </c>
      <c r="Q1320" t="str">
        <f>VLOOKUP(Sales_fact[[#This Row],[Customer_ID]], 'Customer_Dim'!A:F, 6, FALSE)</f>
        <v>Male</v>
      </c>
      <c r="R1320" s="13" t="str">
        <f>_xlfn.XLOOKUP(Sales_fact[[#This Row],[Product_ID]],Product_Dim!A:A,Product_Dim!C:C,"OTHERS")</f>
        <v>Electronics</v>
      </c>
    </row>
    <row r="1321" spans="1:18" x14ac:dyDescent="0.3">
      <c r="A1321" t="s">
        <v>3145</v>
      </c>
      <c r="B1321" s="2">
        <v>45883</v>
      </c>
      <c r="C1321" t="s">
        <v>559</v>
      </c>
      <c r="D1321" t="s">
        <v>1626</v>
      </c>
      <c r="E1321" t="str">
        <f ca="1">TRIM(Sales_fact[[#This Row],[Store_ID]])</f>
        <v>STORE8</v>
      </c>
      <c r="F1321">
        <v>4</v>
      </c>
      <c r="G1321">
        <f>IF(ISBLANK(F1321),MODE($F$2:$F$2001),F1321)</f>
        <v>4</v>
      </c>
      <c r="H1321">
        <v>708.19</v>
      </c>
      <c r="I1321">
        <f>IF(ISBLANK(H1321),AVERAGE($H$2:$H$2001),H1321)</f>
        <v>708.19</v>
      </c>
      <c r="J1321">
        <v>0.1</v>
      </c>
      <c r="K1321">
        <f>IF(ISBLANK(J1321),MODE($J$2:$J$2001),J1321)</f>
        <v>0.1</v>
      </c>
      <c r="L1321" t="s">
        <v>1826</v>
      </c>
      <c r="M1321">
        <v>2549.4839999999999</v>
      </c>
      <c r="N1321">
        <f t="shared" si="20"/>
        <v>2549.4840000000004</v>
      </c>
      <c r="O1321" t="str">
        <f>_xlfn.XLOOKUP(Sales_fact[[#This Row],[Customer_ID]],'Customer_Dim'!A:A,'Customer_Dim'!K:K,"Not Found")</f>
        <v>Platinum</v>
      </c>
      <c r="P1321">
        <f>_xlfn.XLOOKUP(Sales_fact[[#This Row],[Customer_ID]],'Customer_Dim'!A:A, 'Customer_Dim'!E:E, "Not Found")</f>
        <v>36</v>
      </c>
      <c r="Q1321" t="str">
        <f>VLOOKUP(Sales_fact[[#This Row],[Customer_ID]], 'Customer_Dim'!A:F, 6, FALSE)</f>
        <v>Female</v>
      </c>
      <c r="R1321" s="13" t="str">
        <f>_xlfn.XLOOKUP(Sales_fact[[#This Row],[Product_ID]],Product_Dim!A:A,Product_Dim!C:C,"OTHERS")</f>
        <v>Electronics</v>
      </c>
    </row>
    <row r="1322" spans="1:18" x14ac:dyDescent="0.3">
      <c r="A1322" t="s">
        <v>3146</v>
      </c>
      <c r="B1322" s="2">
        <v>45788</v>
      </c>
      <c r="C1322" t="s">
        <v>1374</v>
      </c>
      <c r="D1322" t="s">
        <v>1656</v>
      </c>
      <c r="E1322" t="str">
        <f ca="1">TRIM(Sales_fact[[#This Row],[Store_ID]])</f>
        <v>STORE3</v>
      </c>
      <c r="F1322">
        <v>3</v>
      </c>
      <c r="G1322">
        <f>IF(ISBLANK(F1322),MODE($F$2:$F$2001),F1322)</f>
        <v>3</v>
      </c>
      <c r="H1322">
        <v>477.05</v>
      </c>
      <c r="I1322">
        <f>IF(ISBLANK(H1322),AVERAGE($H$2:$H$2001),H1322)</f>
        <v>477.05</v>
      </c>
      <c r="J1322">
        <v>0.05</v>
      </c>
      <c r="K1322">
        <f>IF(ISBLANK(J1322),MODE($J$2:$J$2001),J1322)</f>
        <v>0.05</v>
      </c>
      <c r="L1322" t="s">
        <v>1826</v>
      </c>
      <c r="M1322">
        <v>1359.5925</v>
      </c>
      <c r="N1322">
        <f t="shared" si="20"/>
        <v>1359.5925</v>
      </c>
      <c r="O1322" t="str">
        <f>_xlfn.XLOOKUP(Sales_fact[[#This Row],[Customer_ID]],'Customer_Dim'!A:A,'Customer_Dim'!K:K,"Not Found")</f>
        <v>Gold</v>
      </c>
      <c r="P1322">
        <f>_xlfn.XLOOKUP(Sales_fact[[#This Row],[Customer_ID]],'Customer_Dim'!A:A, 'Customer_Dim'!E:E, "Not Found")</f>
        <v>19</v>
      </c>
      <c r="Q1322" t="str">
        <f>VLOOKUP(Sales_fact[[#This Row],[Customer_ID]], 'Customer_Dim'!A:F, 6, FALSE)</f>
        <v>Male</v>
      </c>
      <c r="R1322" s="13" t="str">
        <f>_xlfn.XLOOKUP(Sales_fact[[#This Row],[Product_ID]],Product_Dim!A:A,Product_Dim!C:C,"OTHERS")</f>
        <v>Sports</v>
      </c>
    </row>
    <row r="1323" spans="1:18" x14ac:dyDescent="0.3">
      <c r="A1323" t="s">
        <v>3147</v>
      </c>
      <c r="B1323" s="2">
        <v>45383</v>
      </c>
      <c r="C1323" t="s">
        <v>969</v>
      </c>
      <c r="D1323" t="s">
        <v>1696</v>
      </c>
      <c r="E1323" t="str">
        <f ca="1">TRIM(Sales_fact[[#This Row],[Store_ID]])</f>
        <v>STORE9</v>
      </c>
      <c r="F1323">
        <v>3</v>
      </c>
      <c r="G1323">
        <f>IF(ISBLANK(F1323),MODE($F$2:$F$2001),F1323)</f>
        <v>3</v>
      </c>
      <c r="H1323">
        <v>627.29</v>
      </c>
      <c r="I1323">
        <f>IF(ISBLANK(H1323),AVERAGE($H$2:$H$2001),H1323)</f>
        <v>627.29</v>
      </c>
      <c r="J1323">
        <v>0.27</v>
      </c>
      <c r="K1323">
        <f>IF(ISBLANK(J1323),MODE($J$2:$J$2001),J1323)</f>
        <v>0.27</v>
      </c>
      <c r="L1323" t="s">
        <v>1829</v>
      </c>
      <c r="M1323">
        <v>1373.7651000000001</v>
      </c>
      <c r="N1323">
        <f t="shared" si="20"/>
        <v>1373.7650999999998</v>
      </c>
      <c r="O1323" t="str">
        <f>_xlfn.XLOOKUP(Sales_fact[[#This Row],[Customer_ID]],'Customer_Dim'!A:A,'Customer_Dim'!K:K,"Not Found")</f>
        <v>Bronze</v>
      </c>
      <c r="P1323">
        <f>_xlfn.XLOOKUP(Sales_fact[[#This Row],[Customer_ID]],'Customer_Dim'!A:A, 'Customer_Dim'!E:E, "Not Found")</f>
        <v>56</v>
      </c>
      <c r="Q1323" t="str">
        <f>VLOOKUP(Sales_fact[[#This Row],[Customer_ID]], 'Customer_Dim'!A:F, 6, FALSE)</f>
        <v>Female</v>
      </c>
      <c r="R1323" s="13" t="str">
        <f>_xlfn.XLOOKUP(Sales_fact[[#This Row],[Product_ID]],Product_Dim!A:A,Product_Dim!C:C,"OTHERS")</f>
        <v>Electronics</v>
      </c>
    </row>
    <row r="1324" spans="1:18" x14ac:dyDescent="0.3">
      <c r="A1324" t="s">
        <v>3148</v>
      </c>
      <c r="B1324" s="2">
        <v>45335</v>
      </c>
      <c r="C1324" t="s">
        <v>960</v>
      </c>
      <c r="D1324" t="s">
        <v>1736</v>
      </c>
      <c r="E1324" t="str">
        <f ca="1">TRIM(Sales_fact[[#This Row],[Store_ID]])</f>
        <v>STORE11</v>
      </c>
      <c r="F1324">
        <v>3</v>
      </c>
      <c r="G1324">
        <f>IF(ISBLANK(F1324),MODE($F$2:$F$2001),F1324)</f>
        <v>3</v>
      </c>
      <c r="H1324">
        <v>206.84</v>
      </c>
      <c r="I1324">
        <f>IF(ISBLANK(H1324),AVERAGE($H$2:$H$2001),H1324)</f>
        <v>206.84</v>
      </c>
      <c r="J1324">
        <v>0.19</v>
      </c>
      <c r="K1324">
        <f>IF(ISBLANK(J1324),MODE($J$2:$J$2001),J1324)</f>
        <v>0.19</v>
      </c>
      <c r="L1324" t="s">
        <v>1826</v>
      </c>
      <c r="M1324">
        <v>502.62119999999999</v>
      </c>
      <c r="N1324">
        <f t="shared" si="20"/>
        <v>502.62120000000004</v>
      </c>
      <c r="O1324" t="str">
        <f>_xlfn.XLOOKUP(Sales_fact[[#This Row],[Customer_ID]],'Customer_Dim'!A:A,'Customer_Dim'!K:K,"Not Found")</f>
        <v>Silver</v>
      </c>
      <c r="P1324">
        <f>_xlfn.XLOOKUP(Sales_fact[[#This Row],[Customer_ID]],'Customer_Dim'!A:A, 'Customer_Dim'!E:E, "Not Found")</f>
        <v>41</v>
      </c>
      <c r="Q1324" t="str">
        <f>VLOOKUP(Sales_fact[[#This Row],[Customer_ID]], 'Customer_Dim'!A:F, 6, FALSE)</f>
        <v>Male</v>
      </c>
      <c r="R1324" s="13" t="str">
        <f>_xlfn.XLOOKUP(Sales_fact[[#This Row],[Product_ID]],Product_Dim!A:A,Product_Dim!C:C,"OTHERS")</f>
        <v>Beauty</v>
      </c>
    </row>
    <row r="1325" spans="1:18" x14ac:dyDescent="0.3">
      <c r="A1325" t="s">
        <v>3149</v>
      </c>
      <c r="B1325" s="2">
        <v>45304</v>
      </c>
      <c r="C1325" t="s">
        <v>803</v>
      </c>
      <c r="D1325" t="s">
        <v>1608</v>
      </c>
      <c r="E1325" t="str">
        <f ca="1">TRIM(Sales_fact[[#This Row],[Store_ID]])</f>
        <v>STORE1</v>
      </c>
      <c r="F1325">
        <v>4</v>
      </c>
      <c r="G1325">
        <f>IF(ISBLANK(F1325),MODE($F$2:$F$2001),F1325)</f>
        <v>4</v>
      </c>
      <c r="H1325">
        <v>629.04999999999995</v>
      </c>
      <c r="I1325">
        <f>IF(ISBLANK(H1325),AVERAGE($H$2:$H$2001),H1325)</f>
        <v>629.04999999999995</v>
      </c>
      <c r="J1325">
        <v>0.26</v>
      </c>
      <c r="K1325">
        <f>IF(ISBLANK(J1325),MODE($J$2:$J$2001),J1325)</f>
        <v>0.26</v>
      </c>
      <c r="L1325" t="s">
        <v>1824</v>
      </c>
      <c r="M1325">
        <v>1861.9880000000001</v>
      </c>
      <c r="N1325">
        <f t="shared" si="20"/>
        <v>1861.9879999999998</v>
      </c>
      <c r="O1325" t="str">
        <f>_xlfn.XLOOKUP(Sales_fact[[#This Row],[Customer_ID]],'Customer_Dim'!A:A,'Customer_Dim'!K:K,"Not Found")</f>
        <v>Silver</v>
      </c>
      <c r="P1325">
        <f>_xlfn.XLOOKUP(Sales_fact[[#This Row],[Customer_ID]],'Customer_Dim'!A:A, 'Customer_Dim'!E:E, "Not Found")</f>
        <v>64</v>
      </c>
      <c r="Q1325" t="str">
        <f>VLOOKUP(Sales_fact[[#This Row],[Customer_ID]], 'Customer_Dim'!A:F, 6, FALSE)</f>
        <v>Male</v>
      </c>
      <c r="R1325" s="13" t="str">
        <f>_xlfn.XLOOKUP(Sales_fact[[#This Row],[Product_ID]],Product_Dim!A:A,Product_Dim!C:C,"OTHERS")</f>
        <v>Home</v>
      </c>
    </row>
    <row r="1326" spans="1:18" x14ac:dyDescent="0.3">
      <c r="A1326" t="s">
        <v>3150</v>
      </c>
      <c r="B1326" s="2">
        <v>45543</v>
      </c>
      <c r="C1326" t="s">
        <v>1357</v>
      </c>
      <c r="D1326" t="s">
        <v>1696</v>
      </c>
      <c r="E1326" t="str">
        <f ca="1">TRIM(Sales_fact[[#This Row],[Store_ID]])</f>
        <v>STORE17</v>
      </c>
      <c r="F1326">
        <v>4</v>
      </c>
      <c r="G1326">
        <f>IF(ISBLANK(F1326),MODE($F$2:$F$2001),F1326)</f>
        <v>4</v>
      </c>
      <c r="H1326">
        <v>529.04</v>
      </c>
      <c r="I1326">
        <f>IF(ISBLANK(H1326),AVERAGE($H$2:$H$2001),H1326)</f>
        <v>529.04</v>
      </c>
      <c r="J1326">
        <v>0.1</v>
      </c>
      <c r="K1326">
        <f>IF(ISBLANK(J1326),MODE($J$2:$J$2001),J1326)</f>
        <v>0.1</v>
      </c>
      <c r="L1326" t="s">
        <v>1826</v>
      </c>
      <c r="M1326">
        <v>1904.5440000000001</v>
      </c>
      <c r="N1326">
        <f t="shared" si="20"/>
        <v>1904.5439999999999</v>
      </c>
      <c r="O1326" t="str">
        <f>_xlfn.XLOOKUP(Sales_fact[[#This Row],[Customer_ID]],'Customer_Dim'!A:A,'Customer_Dim'!K:K,"Not Found")</f>
        <v>Platinum</v>
      </c>
      <c r="P1326">
        <f>_xlfn.XLOOKUP(Sales_fact[[#This Row],[Customer_ID]],'Customer_Dim'!A:A, 'Customer_Dim'!E:E, "Not Found")</f>
        <v>59</v>
      </c>
      <c r="Q1326" t="str">
        <f>VLOOKUP(Sales_fact[[#This Row],[Customer_ID]], 'Customer_Dim'!A:F, 6, FALSE)</f>
        <v>Female</v>
      </c>
      <c r="R1326" s="13" t="str">
        <f>_xlfn.XLOOKUP(Sales_fact[[#This Row],[Product_ID]],Product_Dim!A:A,Product_Dim!C:C,"OTHERS")</f>
        <v>Electronics</v>
      </c>
    </row>
    <row r="1327" spans="1:18" x14ac:dyDescent="0.3">
      <c r="A1327" t="s">
        <v>3151</v>
      </c>
      <c r="B1327" s="2">
        <v>45326</v>
      </c>
      <c r="C1327" t="s">
        <v>1095</v>
      </c>
      <c r="D1327" t="s">
        <v>1608</v>
      </c>
      <c r="E1327" t="str">
        <f ca="1">TRIM(Sales_fact[[#This Row],[Store_ID]])</f>
        <v>STORE17</v>
      </c>
      <c r="F1327">
        <v>1</v>
      </c>
      <c r="G1327">
        <f>IF(ISBLANK(F1327),MODE($F$2:$F$2001),F1327)</f>
        <v>1</v>
      </c>
      <c r="H1327">
        <v>350.67</v>
      </c>
      <c r="I1327">
        <f>IF(ISBLANK(H1327),AVERAGE($H$2:$H$2001),H1327)</f>
        <v>350.67</v>
      </c>
      <c r="J1327">
        <v>0.22</v>
      </c>
      <c r="K1327">
        <f>IF(ISBLANK(J1327),MODE($J$2:$J$2001),J1327)</f>
        <v>0.22</v>
      </c>
      <c r="L1327" t="s">
        <v>1826</v>
      </c>
      <c r="M1327">
        <v>273.52260000000001</v>
      </c>
      <c r="N1327">
        <f t="shared" si="20"/>
        <v>273.52260000000001</v>
      </c>
      <c r="O1327" t="str">
        <f>_xlfn.XLOOKUP(Sales_fact[[#This Row],[Customer_ID]],'Customer_Dim'!A:A,'Customer_Dim'!K:K,"Not Found")</f>
        <v>Bronze</v>
      </c>
      <c r="P1327">
        <f>_xlfn.XLOOKUP(Sales_fact[[#This Row],[Customer_ID]],'Customer_Dim'!A:A, 'Customer_Dim'!E:E, "Not Found")</f>
        <v>31</v>
      </c>
      <c r="Q1327" t="str">
        <f>VLOOKUP(Sales_fact[[#This Row],[Customer_ID]], 'Customer_Dim'!A:F, 6, FALSE)</f>
        <v>Male</v>
      </c>
      <c r="R1327" s="13" t="str">
        <f>_xlfn.XLOOKUP(Sales_fact[[#This Row],[Product_ID]],Product_Dim!A:A,Product_Dim!C:C,"OTHERS")</f>
        <v>Home</v>
      </c>
    </row>
    <row r="1328" spans="1:18" x14ac:dyDescent="0.3">
      <c r="A1328" t="s">
        <v>3152</v>
      </c>
      <c r="B1328" s="2">
        <v>45498</v>
      </c>
      <c r="C1328" t="s">
        <v>1160</v>
      </c>
      <c r="D1328" t="s">
        <v>1738</v>
      </c>
      <c r="E1328" t="str">
        <f ca="1">TRIM(Sales_fact[[#This Row],[Store_ID]])</f>
        <v>STORE1</v>
      </c>
      <c r="F1328">
        <v>1</v>
      </c>
      <c r="G1328">
        <f>IF(ISBLANK(F1328),MODE($F$2:$F$2001),F1328)</f>
        <v>1</v>
      </c>
      <c r="H1328">
        <v>128.93</v>
      </c>
      <c r="I1328">
        <f>IF(ISBLANK(H1328),AVERAGE($H$2:$H$2001),H1328)</f>
        <v>128.93</v>
      </c>
      <c r="J1328">
        <v>0.26</v>
      </c>
      <c r="K1328">
        <f>IF(ISBLANK(J1328),MODE($J$2:$J$2001),J1328)</f>
        <v>0.26</v>
      </c>
      <c r="L1328" t="s">
        <v>1824</v>
      </c>
      <c r="M1328">
        <v>95.408200000000008</v>
      </c>
      <c r="N1328">
        <f t="shared" si="20"/>
        <v>95.408200000000008</v>
      </c>
      <c r="O1328" t="str">
        <f>_xlfn.XLOOKUP(Sales_fact[[#This Row],[Customer_ID]],'Customer_Dim'!A:A,'Customer_Dim'!K:K,"Not Found")</f>
        <v>Platinum</v>
      </c>
      <c r="P1328">
        <f>_xlfn.XLOOKUP(Sales_fact[[#This Row],[Customer_ID]],'Customer_Dim'!A:A, 'Customer_Dim'!E:E, "Not Found")</f>
        <v>21</v>
      </c>
      <c r="Q1328" t="str">
        <f>VLOOKUP(Sales_fact[[#This Row],[Customer_ID]], 'Customer_Dim'!A:F, 6, FALSE)</f>
        <v>Female</v>
      </c>
      <c r="R1328" s="13" t="str">
        <f>_xlfn.XLOOKUP(Sales_fact[[#This Row],[Product_ID]],Product_Dim!A:A,Product_Dim!C:C,"OTHERS")</f>
        <v>Sports</v>
      </c>
    </row>
    <row r="1329" spans="1:18" x14ac:dyDescent="0.3">
      <c r="A1329" t="s">
        <v>3153</v>
      </c>
      <c r="B1329" s="2">
        <v>45544</v>
      </c>
      <c r="C1329" t="s">
        <v>490</v>
      </c>
      <c r="D1329" t="s">
        <v>1720</v>
      </c>
      <c r="E1329" t="str">
        <f ca="1">TRIM(Sales_fact[[#This Row],[Store_ID]])</f>
        <v>STORE15</v>
      </c>
      <c r="F1329">
        <v>2</v>
      </c>
      <c r="G1329">
        <f>IF(ISBLANK(F1329),MODE($F$2:$F$2001),F1329)</f>
        <v>2</v>
      </c>
      <c r="H1329">
        <v>384.92</v>
      </c>
      <c r="I1329">
        <f>IF(ISBLANK(H1329),AVERAGE($H$2:$H$2001),H1329)</f>
        <v>384.92</v>
      </c>
      <c r="J1329">
        <v>0.09</v>
      </c>
      <c r="K1329">
        <f>IF(ISBLANK(J1329),MODE($J$2:$J$2001),J1329)</f>
        <v>0.09</v>
      </c>
      <c r="L1329" t="s">
        <v>1824</v>
      </c>
      <c r="M1329">
        <v>700.5544000000001</v>
      </c>
      <c r="N1329">
        <f t="shared" si="20"/>
        <v>700.5544000000001</v>
      </c>
      <c r="O1329" t="str">
        <f>_xlfn.XLOOKUP(Sales_fact[[#This Row],[Customer_ID]],'Customer_Dim'!A:A,'Customer_Dim'!K:K,"Not Found")</f>
        <v>Platinum</v>
      </c>
      <c r="P1329">
        <f>_xlfn.XLOOKUP(Sales_fact[[#This Row],[Customer_ID]],'Customer_Dim'!A:A, 'Customer_Dim'!E:E, "Not Found")</f>
        <v>46</v>
      </c>
      <c r="Q1329" t="str">
        <f>VLOOKUP(Sales_fact[[#This Row],[Customer_ID]], 'Customer_Dim'!A:F, 6, FALSE)</f>
        <v>Male</v>
      </c>
      <c r="R1329" s="13" t="str">
        <f>_xlfn.XLOOKUP(Sales_fact[[#This Row],[Product_ID]],Product_Dim!A:A,Product_Dim!C:C,"OTHERS")</f>
        <v>Home</v>
      </c>
    </row>
    <row r="1330" spans="1:18" x14ac:dyDescent="0.3">
      <c r="A1330" t="s">
        <v>3154</v>
      </c>
      <c r="B1330" s="2">
        <v>45268</v>
      </c>
      <c r="C1330" t="s">
        <v>1050</v>
      </c>
      <c r="D1330" t="s">
        <v>1555</v>
      </c>
      <c r="E1330" t="str">
        <f ca="1">TRIM(Sales_fact[[#This Row],[Store_ID]])</f>
        <v>STORE8</v>
      </c>
      <c r="F1330">
        <v>3</v>
      </c>
      <c r="G1330">
        <f>IF(ISBLANK(F1330),MODE($F$2:$F$2001),F1330)</f>
        <v>3</v>
      </c>
      <c r="H1330">
        <v>120.77</v>
      </c>
      <c r="I1330">
        <f>IF(ISBLANK(H1330),AVERAGE($H$2:$H$2001),H1330)</f>
        <v>120.77</v>
      </c>
      <c r="J1330">
        <v>0.28999999999999998</v>
      </c>
      <c r="K1330">
        <f>IF(ISBLANK(J1330),MODE($J$2:$J$2001),J1330)</f>
        <v>0.28999999999999998</v>
      </c>
      <c r="L1330" t="s">
        <v>1826</v>
      </c>
      <c r="M1330">
        <v>257.24009999999998</v>
      </c>
      <c r="N1330">
        <f t="shared" si="20"/>
        <v>257.24009999999998</v>
      </c>
      <c r="O1330" t="str">
        <f>_xlfn.XLOOKUP(Sales_fact[[#This Row],[Customer_ID]],'Customer_Dim'!A:A,'Customer_Dim'!K:K,"Not Found")</f>
        <v>Silver</v>
      </c>
      <c r="P1330">
        <f>_xlfn.XLOOKUP(Sales_fact[[#This Row],[Customer_ID]],'Customer_Dim'!A:A, 'Customer_Dim'!E:E, "Not Found")</f>
        <v>50</v>
      </c>
      <c r="Q1330" t="str">
        <f>VLOOKUP(Sales_fact[[#This Row],[Customer_ID]], 'Customer_Dim'!A:F, 6, FALSE)</f>
        <v>Female</v>
      </c>
      <c r="R1330" s="13" t="str">
        <f>_xlfn.XLOOKUP(Sales_fact[[#This Row],[Product_ID]],Product_Dim!A:A,Product_Dim!C:C,"OTHERS")</f>
        <v>Clothing</v>
      </c>
    </row>
    <row r="1331" spans="1:18" x14ac:dyDescent="0.3">
      <c r="A1331" t="s">
        <v>3155</v>
      </c>
      <c r="B1331" s="2">
        <v>45824</v>
      </c>
      <c r="C1331" t="s">
        <v>719</v>
      </c>
      <c r="D1331" t="s">
        <v>1700</v>
      </c>
      <c r="E1331" t="str">
        <f ca="1">TRIM(Sales_fact[[#This Row],[Store_ID]])</f>
        <v>STORE17</v>
      </c>
      <c r="F1331">
        <v>4</v>
      </c>
      <c r="G1331">
        <f>IF(ISBLANK(F1331),MODE($F$2:$F$2001),F1331)</f>
        <v>4</v>
      </c>
      <c r="H1331">
        <v>661.39</v>
      </c>
      <c r="I1331">
        <f>IF(ISBLANK(H1331),AVERAGE($H$2:$H$2001),H1331)</f>
        <v>661.39</v>
      </c>
      <c r="J1331">
        <v>7.0000000000000007E-2</v>
      </c>
      <c r="K1331">
        <f>IF(ISBLANK(J1331),MODE($J$2:$J$2001),J1331)</f>
        <v>7.0000000000000007E-2</v>
      </c>
      <c r="L1331" t="s">
        <v>1824</v>
      </c>
      <c r="M1331">
        <v>2460.3708000000001</v>
      </c>
      <c r="N1331">
        <f t="shared" si="20"/>
        <v>2460.3707999999997</v>
      </c>
      <c r="O1331" t="str">
        <f>_xlfn.XLOOKUP(Sales_fact[[#This Row],[Customer_ID]],'Customer_Dim'!A:A,'Customer_Dim'!K:K,"Not Found")</f>
        <v>Platinum</v>
      </c>
      <c r="P1331">
        <f>_xlfn.XLOOKUP(Sales_fact[[#This Row],[Customer_ID]],'Customer_Dim'!A:A, 'Customer_Dim'!E:E, "Not Found")</f>
        <v>35</v>
      </c>
      <c r="Q1331" t="str">
        <f>VLOOKUP(Sales_fact[[#This Row],[Customer_ID]], 'Customer_Dim'!A:F, 6, FALSE)</f>
        <v>Male</v>
      </c>
      <c r="R1331" s="13" t="str">
        <f>_xlfn.XLOOKUP(Sales_fact[[#This Row],[Product_ID]],Product_Dim!A:A,Product_Dim!C:C,"OTHERS")</f>
        <v>Electronics</v>
      </c>
    </row>
    <row r="1332" spans="1:18" x14ac:dyDescent="0.3">
      <c r="A1332" t="s">
        <v>3156</v>
      </c>
      <c r="B1332" s="2">
        <v>45261</v>
      </c>
      <c r="C1332" t="s">
        <v>1389</v>
      </c>
      <c r="D1332" t="s">
        <v>1672</v>
      </c>
      <c r="E1332" t="str">
        <f ca="1">TRIM(Sales_fact[[#This Row],[Store_ID]])</f>
        <v>STORE2</v>
      </c>
      <c r="F1332">
        <v>1</v>
      </c>
      <c r="G1332">
        <f>IF(ISBLANK(F1332),MODE($F$2:$F$2001),F1332)</f>
        <v>1</v>
      </c>
      <c r="H1332">
        <v>195.24</v>
      </c>
      <c r="I1332">
        <f>IF(ISBLANK(H1332),AVERAGE($H$2:$H$2001),H1332)</f>
        <v>195.24</v>
      </c>
      <c r="J1332">
        <v>0.27</v>
      </c>
      <c r="K1332">
        <f>IF(ISBLANK(J1332),MODE($J$2:$J$2001),J1332)</f>
        <v>0.27</v>
      </c>
      <c r="L1332" t="s">
        <v>1826</v>
      </c>
      <c r="M1332">
        <v>142.52520000000001</v>
      </c>
      <c r="N1332">
        <f t="shared" si="20"/>
        <v>142.52520000000001</v>
      </c>
      <c r="O1332" t="str">
        <f>_xlfn.XLOOKUP(Sales_fact[[#This Row],[Customer_ID]],'Customer_Dim'!A:A,'Customer_Dim'!K:K,"Not Found")</f>
        <v>Bronze</v>
      </c>
      <c r="P1332">
        <f>_xlfn.XLOOKUP(Sales_fact[[#This Row],[Customer_ID]],'Customer_Dim'!A:A, 'Customer_Dim'!E:E, "Not Found")</f>
        <v>29</v>
      </c>
      <c r="Q1332" t="str">
        <f>VLOOKUP(Sales_fact[[#This Row],[Customer_ID]], 'Customer_Dim'!A:F, 6, FALSE)</f>
        <v>Male</v>
      </c>
      <c r="R1332" s="13" t="str">
        <f>_xlfn.XLOOKUP(Sales_fact[[#This Row],[Product_ID]],Product_Dim!A:A,Product_Dim!C:C,"OTHERS")</f>
        <v>Electronics</v>
      </c>
    </row>
    <row r="1333" spans="1:18" x14ac:dyDescent="0.3">
      <c r="A1333" t="s">
        <v>3157</v>
      </c>
      <c r="B1333" s="2">
        <v>45233</v>
      </c>
      <c r="C1333" t="s">
        <v>27</v>
      </c>
      <c r="D1333" t="s">
        <v>1732</v>
      </c>
      <c r="E1333" t="str">
        <f ca="1">TRIM(Sales_fact[[#This Row],[Store_ID]])</f>
        <v>STORE18</v>
      </c>
      <c r="F1333">
        <v>2</v>
      </c>
      <c r="G1333">
        <f>IF(ISBLANK(F1333),MODE($F$2:$F$2001),F1333)</f>
        <v>2</v>
      </c>
      <c r="H1333">
        <v>177.4</v>
      </c>
      <c r="I1333">
        <f>IF(ISBLANK(H1333),AVERAGE($H$2:$H$2001),H1333)</f>
        <v>177.4</v>
      </c>
      <c r="J1333">
        <v>0.19</v>
      </c>
      <c r="K1333">
        <f>IF(ISBLANK(J1333),MODE($J$2:$J$2001),J1333)</f>
        <v>0.19</v>
      </c>
      <c r="L1333" t="s">
        <v>1826</v>
      </c>
      <c r="M1333">
        <v>287.38799999999998</v>
      </c>
      <c r="N1333">
        <f t="shared" si="20"/>
        <v>287.38800000000003</v>
      </c>
      <c r="O1333" t="str">
        <f>_xlfn.XLOOKUP(Sales_fact[[#This Row],[Customer_ID]],'Customer_Dim'!A:A,'Customer_Dim'!K:K,"Not Found")</f>
        <v>Silver</v>
      </c>
      <c r="P1333">
        <f>_xlfn.XLOOKUP(Sales_fact[[#This Row],[Customer_ID]],'Customer_Dim'!A:A, 'Customer_Dim'!E:E, "Not Found")</f>
        <v>64</v>
      </c>
      <c r="Q1333" t="str">
        <f>VLOOKUP(Sales_fact[[#This Row],[Customer_ID]], 'Customer_Dim'!A:F, 6, FALSE)</f>
        <v>Female</v>
      </c>
      <c r="R1333" s="13" t="str">
        <f>_xlfn.XLOOKUP(Sales_fact[[#This Row],[Product_ID]],Product_Dim!A:A,Product_Dim!C:C,"OTHERS")</f>
        <v>Home</v>
      </c>
    </row>
    <row r="1334" spans="1:18" x14ac:dyDescent="0.3">
      <c r="A1334" t="s">
        <v>3158</v>
      </c>
      <c r="B1334" s="2">
        <v>45673</v>
      </c>
      <c r="C1334" t="s">
        <v>214</v>
      </c>
      <c r="D1334" t="s">
        <v>1744</v>
      </c>
      <c r="E1334" t="str">
        <f ca="1">TRIM(Sales_fact[[#This Row],[Store_ID]])</f>
        <v>STORE11</v>
      </c>
      <c r="F1334">
        <v>4</v>
      </c>
      <c r="G1334">
        <f>IF(ISBLANK(F1334),MODE($F$2:$F$2001),F1334)</f>
        <v>4</v>
      </c>
      <c r="H1334">
        <v>862.67</v>
      </c>
      <c r="I1334">
        <f>IF(ISBLANK(H1334),AVERAGE($H$2:$H$2001),H1334)</f>
        <v>862.67</v>
      </c>
      <c r="J1334">
        <v>0.2</v>
      </c>
      <c r="K1334">
        <f>IF(ISBLANK(J1334),MODE($J$2:$J$2001),J1334)</f>
        <v>0.2</v>
      </c>
      <c r="L1334" t="s">
        <v>1826</v>
      </c>
      <c r="M1334">
        <v>2760.5439999999999</v>
      </c>
      <c r="N1334">
        <f t="shared" si="20"/>
        <v>2760.5439999999999</v>
      </c>
      <c r="O1334" t="str">
        <f>_xlfn.XLOOKUP(Sales_fact[[#This Row],[Customer_ID]],'Customer_Dim'!A:A,'Customer_Dim'!K:K,"Not Found")</f>
        <v>Platinum</v>
      </c>
      <c r="P1334">
        <f>_xlfn.XLOOKUP(Sales_fact[[#This Row],[Customer_ID]],'Customer_Dim'!A:A, 'Customer_Dim'!E:E, "Not Found")</f>
        <v>43</v>
      </c>
      <c r="Q1334" t="str">
        <f>VLOOKUP(Sales_fact[[#This Row],[Customer_ID]], 'Customer_Dim'!A:F, 6, FALSE)</f>
        <v>Female</v>
      </c>
      <c r="R1334" s="13" t="str">
        <f>_xlfn.XLOOKUP(Sales_fact[[#This Row],[Product_ID]],Product_Dim!A:A,Product_Dim!C:C,"OTHERS")</f>
        <v>Electronics</v>
      </c>
    </row>
    <row r="1335" spans="1:18" x14ac:dyDescent="0.3">
      <c r="A1335" t="s">
        <v>3159</v>
      </c>
      <c r="B1335" s="2">
        <v>45565</v>
      </c>
      <c r="C1335" t="s">
        <v>1374</v>
      </c>
      <c r="D1335" t="s">
        <v>1582</v>
      </c>
      <c r="E1335" t="str">
        <f ca="1">TRIM(Sales_fact[[#This Row],[Store_ID]])</f>
        <v>STORE6</v>
      </c>
      <c r="F1335">
        <v>1</v>
      </c>
      <c r="G1335">
        <f>IF(ISBLANK(F1335),MODE($F$2:$F$2001),F1335)</f>
        <v>1</v>
      </c>
      <c r="H1335">
        <v>55.04</v>
      </c>
      <c r="I1335">
        <f>IF(ISBLANK(H1335),AVERAGE($H$2:$H$2001),H1335)</f>
        <v>55.04</v>
      </c>
      <c r="J1335">
        <v>0.01</v>
      </c>
      <c r="K1335">
        <f>IF(ISBLANK(J1335),MODE($J$2:$J$2001),J1335)</f>
        <v>0.01</v>
      </c>
      <c r="L1335" t="s">
        <v>1829</v>
      </c>
      <c r="M1335">
        <v>54.489600000000003</v>
      </c>
      <c r="N1335">
        <f t="shared" si="20"/>
        <v>54.489599999999996</v>
      </c>
      <c r="O1335" t="str">
        <f>_xlfn.XLOOKUP(Sales_fact[[#This Row],[Customer_ID]],'Customer_Dim'!A:A,'Customer_Dim'!K:K,"Not Found")</f>
        <v>Gold</v>
      </c>
      <c r="P1335">
        <f>_xlfn.XLOOKUP(Sales_fact[[#This Row],[Customer_ID]],'Customer_Dim'!A:A, 'Customer_Dim'!E:E, "Not Found")</f>
        <v>19</v>
      </c>
      <c r="Q1335" t="str">
        <f>VLOOKUP(Sales_fact[[#This Row],[Customer_ID]], 'Customer_Dim'!A:F, 6, FALSE)</f>
        <v>Male</v>
      </c>
      <c r="R1335" s="13" t="str">
        <f>_xlfn.XLOOKUP(Sales_fact[[#This Row],[Product_ID]],Product_Dim!A:A,Product_Dim!C:C,"OTHERS")</f>
        <v>Sports</v>
      </c>
    </row>
    <row r="1336" spans="1:18" x14ac:dyDescent="0.3">
      <c r="A1336" t="s">
        <v>3160</v>
      </c>
      <c r="B1336" s="2">
        <v>45646</v>
      </c>
      <c r="C1336" t="s">
        <v>188</v>
      </c>
      <c r="D1336" t="s">
        <v>1638</v>
      </c>
      <c r="E1336" t="str">
        <f ca="1">TRIM(Sales_fact[[#This Row],[Store_ID]])</f>
        <v>STORE0</v>
      </c>
      <c r="F1336">
        <v>2</v>
      </c>
      <c r="G1336">
        <f>IF(ISBLANK(F1336),MODE($F$2:$F$2001),F1336)</f>
        <v>2</v>
      </c>
      <c r="H1336">
        <v>905.47</v>
      </c>
      <c r="I1336">
        <f>IF(ISBLANK(H1336),AVERAGE($H$2:$H$2001),H1336)</f>
        <v>905.47</v>
      </c>
      <c r="J1336">
        <v>0.2</v>
      </c>
      <c r="K1336">
        <f>IF(ISBLANK(J1336),MODE($J$2:$J$2001),J1336)</f>
        <v>0.2</v>
      </c>
      <c r="L1336" t="s">
        <v>1829</v>
      </c>
      <c r="M1336">
        <v>1448.752</v>
      </c>
      <c r="N1336">
        <f t="shared" si="20"/>
        <v>1448.7520000000002</v>
      </c>
      <c r="O1336" t="str">
        <f>_xlfn.XLOOKUP(Sales_fact[[#This Row],[Customer_ID]],'Customer_Dim'!A:A,'Customer_Dim'!K:K,"Not Found")</f>
        <v>Gold</v>
      </c>
      <c r="P1336">
        <f>_xlfn.XLOOKUP(Sales_fact[[#This Row],[Customer_ID]],'Customer_Dim'!A:A, 'Customer_Dim'!E:E, "Not Found")</f>
        <v>45</v>
      </c>
      <c r="Q1336" t="str">
        <f>VLOOKUP(Sales_fact[[#This Row],[Customer_ID]], 'Customer_Dim'!A:F, 6, FALSE)</f>
        <v>Female</v>
      </c>
      <c r="R1336" s="13" t="str">
        <f>_xlfn.XLOOKUP(Sales_fact[[#This Row],[Product_ID]],Product_Dim!A:A,Product_Dim!C:C,"OTHERS")</f>
        <v>Sports</v>
      </c>
    </row>
    <row r="1337" spans="1:18" x14ac:dyDescent="0.3">
      <c r="A1337" t="s">
        <v>3161</v>
      </c>
      <c r="B1337" s="2">
        <v>45539</v>
      </c>
      <c r="C1337" t="s">
        <v>1422</v>
      </c>
      <c r="D1337" t="s">
        <v>1674</v>
      </c>
      <c r="E1337" t="str">
        <f ca="1">TRIM(Sales_fact[[#This Row],[Store_ID]])</f>
        <v>STORE13</v>
      </c>
      <c r="F1337">
        <v>3</v>
      </c>
      <c r="G1337">
        <f>IF(ISBLANK(F1337),MODE($F$2:$F$2001),F1337)</f>
        <v>3</v>
      </c>
      <c r="H1337">
        <v>217.13</v>
      </c>
      <c r="I1337">
        <f>IF(ISBLANK(H1337),AVERAGE($H$2:$H$2001),H1337)</f>
        <v>217.13</v>
      </c>
      <c r="J1337">
        <v>0.28000000000000003</v>
      </c>
      <c r="K1337">
        <f>IF(ISBLANK(J1337),MODE($J$2:$J$2001),J1337)</f>
        <v>0.28000000000000003</v>
      </c>
      <c r="L1337" t="s">
        <v>1824</v>
      </c>
      <c r="M1337">
        <v>469.00080000000003</v>
      </c>
      <c r="N1337">
        <f t="shared" si="20"/>
        <v>469.00079999999997</v>
      </c>
      <c r="O1337" t="str">
        <f>_xlfn.XLOOKUP(Sales_fact[[#This Row],[Customer_ID]],'Customer_Dim'!A:A,'Customer_Dim'!K:K,"Not Found")</f>
        <v>Silver</v>
      </c>
      <c r="P1337">
        <f>_xlfn.XLOOKUP(Sales_fact[[#This Row],[Customer_ID]],'Customer_Dim'!A:A, 'Customer_Dim'!E:E, "Not Found")</f>
        <v>60</v>
      </c>
      <c r="Q1337" t="str">
        <f>VLOOKUP(Sales_fact[[#This Row],[Customer_ID]], 'Customer_Dim'!A:F, 6, FALSE)</f>
        <v>Female</v>
      </c>
      <c r="R1337" s="13" t="str">
        <f>_xlfn.XLOOKUP(Sales_fact[[#This Row],[Product_ID]],Product_Dim!A:A,Product_Dim!C:C,"OTHERS")</f>
        <v>Beauty</v>
      </c>
    </row>
    <row r="1338" spans="1:18" x14ac:dyDescent="0.3">
      <c r="A1338" t="s">
        <v>3162</v>
      </c>
      <c r="B1338" s="2">
        <v>45936</v>
      </c>
      <c r="C1338" t="s">
        <v>1214</v>
      </c>
      <c r="D1338" t="s">
        <v>1698</v>
      </c>
      <c r="E1338" t="str">
        <f ca="1">TRIM(Sales_fact[[#This Row],[Store_ID]])</f>
        <v>STORE0</v>
      </c>
      <c r="F1338">
        <v>3</v>
      </c>
      <c r="G1338">
        <f>IF(ISBLANK(F1338),MODE($F$2:$F$2001),F1338)</f>
        <v>3</v>
      </c>
      <c r="H1338">
        <v>580.45000000000005</v>
      </c>
      <c r="I1338">
        <f>IF(ISBLANK(H1338),AVERAGE($H$2:$H$2001),H1338)</f>
        <v>580.45000000000005</v>
      </c>
      <c r="J1338">
        <v>0</v>
      </c>
      <c r="K1338">
        <f>IF(ISBLANK(J1338),MODE($J$2:$J$2001),J1338)</f>
        <v>0</v>
      </c>
      <c r="L1338" t="s">
        <v>1826</v>
      </c>
      <c r="M1338">
        <v>1741.35</v>
      </c>
      <c r="N1338">
        <f t="shared" si="20"/>
        <v>1741.3500000000001</v>
      </c>
      <c r="O1338" t="str">
        <f>_xlfn.XLOOKUP(Sales_fact[[#This Row],[Customer_ID]],'Customer_Dim'!A:A,'Customer_Dim'!K:K,"Not Found")</f>
        <v>Platinum</v>
      </c>
      <c r="P1338">
        <f>_xlfn.XLOOKUP(Sales_fact[[#This Row],[Customer_ID]],'Customer_Dim'!A:A, 'Customer_Dim'!E:E, "Not Found")</f>
        <v>50</v>
      </c>
      <c r="Q1338" t="str">
        <f>VLOOKUP(Sales_fact[[#This Row],[Customer_ID]], 'Customer_Dim'!A:F, 6, FALSE)</f>
        <v>Male</v>
      </c>
      <c r="R1338" s="13" t="str">
        <f>_xlfn.XLOOKUP(Sales_fact[[#This Row],[Product_ID]],Product_Dim!A:A,Product_Dim!C:C,"OTHERS")</f>
        <v>Clothing</v>
      </c>
    </row>
    <row r="1339" spans="1:18" x14ac:dyDescent="0.3">
      <c r="A1339" t="s">
        <v>3163</v>
      </c>
      <c r="B1339" s="2">
        <v>45854</v>
      </c>
      <c r="C1339" t="s">
        <v>366</v>
      </c>
      <c r="D1339" t="s">
        <v>1553</v>
      </c>
      <c r="E1339" t="str">
        <f ca="1">TRIM(Sales_fact[[#This Row],[Store_ID]])</f>
        <v>STORE17</v>
      </c>
      <c r="F1339">
        <v>2</v>
      </c>
      <c r="G1339">
        <f>IF(ISBLANK(F1339),MODE($F$2:$F$2001),F1339)</f>
        <v>2</v>
      </c>
      <c r="H1339">
        <v>892.88</v>
      </c>
      <c r="I1339">
        <f>IF(ISBLANK(H1339),AVERAGE($H$2:$H$2001),H1339)</f>
        <v>892.88</v>
      </c>
      <c r="J1339">
        <v>0.17</v>
      </c>
      <c r="K1339">
        <f>IF(ISBLANK(J1339),MODE($J$2:$J$2001),J1339)</f>
        <v>0.17</v>
      </c>
      <c r="L1339" t="s">
        <v>1826</v>
      </c>
      <c r="M1339">
        <v>1482.1808000000001</v>
      </c>
      <c r="N1339">
        <f t="shared" si="20"/>
        <v>1482.1807999999999</v>
      </c>
      <c r="O1339" t="str">
        <f>_xlfn.XLOOKUP(Sales_fact[[#This Row],[Customer_ID]],'Customer_Dim'!A:A,'Customer_Dim'!K:K,"Not Found")</f>
        <v>Bronze</v>
      </c>
      <c r="P1339">
        <f>_xlfn.XLOOKUP(Sales_fact[[#This Row],[Customer_ID]],'Customer_Dim'!A:A, 'Customer_Dim'!E:E, "Not Found")</f>
        <v>21</v>
      </c>
      <c r="Q1339" t="str">
        <f>VLOOKUP(Sales_fact[[#This Row],[Customer_ID]], 'Customer_Dim'!A:F, 6, FALSE)</f>
        <v>Male</v>
      </c>
      <c r="R1339" s="13" t="str">
        <f>_xlfn.XLOOKUP(Sales_fact[[#This Row],[Product_ID]],Product_Dim!A:A,Product_Dim!C:C,"OTHERS")</f>
        <v>Clothing</v>
      </c>
    </row>
    <row r="1340" spans="1:18" x14ac:dyDescent="0.3">
      <c r="A1340" t="s">
        <v>3164</v>
      </c>
      <c r="B1340" s="2">
        <v>45936</v>
      </c>
      <c r="C1340" t="s">
        <v>329</v>
      </c>
      <c r="D1340" t="s">
        <v>1628</v>
      </c>
      <c r="E1340" t="str">
        <f ca="1">TRIM(Sales_fact[[#This Row],[Store_ID]])</f>
        <v>STORE18</v>
      </c>
      <c r="F1340">
        <v>2</v>
      </c>
      <c r="G1340">
        <f>IF(ISBLANK(F1340),MODE($F$2:$F$2001),F1340)</f>
        <v>2</v>
      </c>
      <c r="H1340">
        <v>356.28</v>
      </c>
      <c r="I1340">
        <f>IF(ISBLANK(H1340),AVERAGE($H$2:$H$2001),H1340)</f>
        <v>356.28</v>
      </c>
      <c r="J1340">
        <v>0.11</v>
      </c>
      <c r="K1340">
        <f>IF(ISBLANK(J1340),MODE($J$2:$J$2001),J1340)</f>
        <v>0.11</v>
      </c>
      <c r="L1340" t="s">
        <v>1829</v>
      </c>
      <c r="M1340">
        <v>634.17840000000001</v>
      </c>
      <c r="N1340">
        <f t="shared" si="20"/>
        <v>634.17840000000001</v>
      </c>
      <c r="O1340" t="str">
        <f>_xlfn.XLOOKUP(Sales_fact[[#This Row],[Customer_ID]],'Customer_Dim'!A:A,'Customer_Dim'!K:K,"Not Found")</f>
        <v>Silver</v>
      </c>
      <c r="P1340">
        <f>_xlfn.XLOOKUP(Sales_fact[[#This Row],[Customer_ID]],'Customer_Dim'!A:A, 'Customer_Dim'!E:E, "Not Found")</f>
        <v>29</v>
      </c>
      <c r="Q1340" t="str">
        <f>VLOOKUP(Sales_fact[[#This Row],[Customer_ID]], 'Customer_Dim'!A:F, 6, FALSE)</f>
        <v>Female</v>
      </c>
      <c r="R1340" s="13" t="str">
        <f>_xlfn.XLOOKUP(Sales_fact[[#This Row],[Product_ID]],Product_Dim!A:A,Product_Dim!C:C,"OTHERS")</f>
        <v>Electronics</v>
      </c>
    </row>
    <row r="1341" spans="1:18" x14ac:dyDescent="0.3">
      <c r="A1341" t="s">
        <v>3165</v>
      </c>
      <c r="B1341" s="2">
        <v>45921</v>
      </c>
      <c r="C1341" t="s">
        <v>1199</v>
      </c>
      <c r="D1341" t="s">
        <v>1708</v>
      </c>
      <c r="E1341" t="str">
        <f ca="1">TRIM(Sales_fact[[#This Row],[Store_ID]])</f>
        <v>STORE2</v>
      </c>
      <c r="F1341">
        <v>4</v>
      </c>
      <c r="G1341">
        <f>IF(ISBLANK(F1341),MODE($F$2:$F$2001),F1341)</f>
        <v>4</v>
      </c>
      <c r="H1341">
        <v>806.99</v>
      </c>
      <c r="I1341">
        <f>IF(ISBLANK(H1341),AVERAGE($H$2:$H$2001),H1341)</f>
        <v>806.99</v>
      </c>
      <c r="J1341">
        <v>0.06</v>
      </c>
      <c r="K1341">
        <f>IF(ISBLANK(J1341),MODE($J$2:$J$2001),J1341)</f>
        <v>0.06</v>
      </c>
      <c r="L1341" t="s">
        <v>1824</v>
      </c>
      <c r="M1341">
        <v>3034.2824000000001</v>
      </c>
      <c r="N1341">
        <f t="shared" si="20"/>
        <v>3034.2824000000001</v>
      </c>
      <c r="O1341" t="str">
        <f>_xlfn.XLOOKUP(Sales_fact[[#This Row],[Customer_ID]],'Customer_Dim'!A:A,'Customer_Dim'!K:K,"Not Found")</f>
        <v>Bronze</v>
      </c>
      <c r="P1341">
        <f>_xlfn.XLOOKUP(Sales_fact[[#This Row],[Customer_ID]],'Customer_Dim'!A:A, 'Customer_Dim'!E:E, "Not Found")</f>
        <v>52</v>
      </c>
      <c r="Q1341" t="str">
        <f>VLOOKUP(Sales_fact[[#This Row],[Customer_ID]], 'Customer_Dim'!A:F, 6, FALSE)</f>
        <v>Female</v>
      </c>
      <c r="R1341" s="13" t="str">
        <f>_xlfn.XLOOKUP(Sales_fact[[#This Row],[Product_ID]],Product_Dim!A:A,Product_Dim!C:C,"OTHERS")</f>
        <v>Home</v>
      </c>
    </row>
    <row r="1342" spans="1:18" x14ac:dyDescent="0.3">
      <c r="A1342" t="s">
        <v>3166</v>
      </c>
      <c r="B1342" s="2">
        <v>45855</v>
      </c>
      <c r="C1342" t="s">
        <v>1360</v>
      </c>
      <c r="D1342" t="s">
        <v>1588</v>
      </c>
      <c r="E1342" t="str">
        <f ca="1">TRIM(Sales_fact[[#This Row],[Store_ID]])</f>
        <v>STORE1</v>
      </c>
      <c r="F1342">
        <v>3</v>
      </c>
      <c r="G1342">
        <f>IF(ISBLANK(F1342),MODE($F$2:$F$2001),F1342)</f>
        <v>3</v>
      </c>
      <c r="H1342">
        <v>684.22</v>
      </c>
      <c r="I1342">
        <f>IF(ISBLANK(H1342),AVERAGE($H$2:$H$2001),H1342)</f>
        <v>684.22</v>
      </c>
      <c r="J1342">
        <v>0.09</v>
      </c>
      <c r="K1342">
        <f>IF(ISBLANK(J1342),MODE($J$2:$J$2001),J1342)</f>
        <v>0.09</v>
      </c>
      <c r="L1342" t="s">
        <v>1824</v>
      </c>
      <c r="M1342">
        <v>1867.9205999999999</v>
      </c>
      <c r="N1342">
        <f t="shared" si="20"/>
        <v>1867.9205999999999</v>
      </c>
      <c r="O1342" t="str">
        <f>_xlfn.XLOOKUP(Sales_fact[[#This Row],[Customer_ID]],'Customer_Dim'!A:A,'Customer_Dim'!K:K,"Not Found")</f>
        <v>Silver</v>
      </c>
      <c r="P1342">
        <f>_xlfn.XLOOKUP(Sales_fact[[#This Row],[Customer_ID]],'Customer_Dim'!A:A, 'Customer_Dim'!E:E, "Not Found")</f>
        <v>53</v>
      </c>
      <c r="Q1342" t="str">
        <f>VLOOKUP(Sales_fact[[#This Row],[Customer_ID]], 'Customer_Dim'!A:F, 6, FALSE)</f>
        <v>Male</v>
      </c>
      <c r="R1342" s="13" t="str">
        <f>_xlfn.XLOOKUP(Sales_fact[[#This Row],[Product_ID]],Product_Dim!A:A,Product_Dim!C:C,"OTHERS")</f>
        <v>Sports</v>
      </c>
    </row>
    <row r="1343" spans="1:18" x14ac:dyDescent="0.3">
      <c r="A1343" t="s">
        <v>3167</v>
      </c>
      <c r="B1343" s="2">
        <v>45837</v>
      </c>
      <c r="C1343" t="s">
        <v>1371</v>
      </c>
      <c r="D1343" t="s">
        <v>1734</v>
      </c>
      <c r="E1343" t="str">
        <f ca="1">TRIM(Sales_fact[[#This Row],[Store_ID]])</f>
        <v>STORE7</v>
      </c>
      <c r="F1343">
        <v>4</v>
      </c>
      <c r="G1343">
        <f>IF(ISBLANK(F1343),MODE($F$2:$F$2001),F1343)</f>
        <v>4</v>
      </c>
      <c r="H1343">
        <v>763.34</v>
      </c>
      <c r="I1343">
        <f>IF(ISBLANK(H1343),AVERAGE($H$2:$H$2001),H1343)</f>
        <v>763.34</v>
      </c>
      <c r="J1343">
        <v>7.0000000000000007E-2</v>
      </c>
      <c r="K1343">
        <f>IF(ISBLANK(J1343),MODE($J$2:$J$2001),J1343)</f>
        <v>7.0000000000000007E-2</v>
      </c>
      <c r="L1343" t="s">
        <v>1826</v>
      </c>
      <c r="M1343">
        <v>2839.6248000000001</v>
      </c>
      <c r="N1343">
        <f t="shared" si="20"/>
        <v>2839.6248000000001</v>
      </c>
      <c r="O1343" t="str">
        <f>_xlfn.XLOOKUP(Sales_fact[[#This Row],[Customer_ID]],'Customer_Dim'!A:A,'Customer_Dim'!K:K,"Not Found")</f>
        <v>Silver</v>
      </c>
      <c r="P1343">
        <f>_xlfn.XLOOKUP(Sales_fact[[#This Row],[Customer_ID]],'Customer_Dim'!A:A, 'Customer_Dim'!E:E, "Not Found")</f>
        <v>51</v>
      </c>
      <c r="Q1343" t="str">
        <f>VLOOKUP(Sales_fact[[#This Row],[Customer_ID]], 'Customer_Dim'!A:F, 6, FALSE)</f>
        <v>Male</v>
      </c>
      <c r="R1343" s="13" t="str">
        <f>_xlfn.XLOOKUP(Sales_fact[[#This Row],[Product_ID]],Product_Dim!A:A,Product_Dim!C:C,"OTHERS")</f>
        <v>Electronics</v>
      </c>
    </row>
    <row r="1344" spans="1:18" x14ac:dyDescent="0.3">
      <c r="A1344" t="s">
        <v>3168</v>
      </c>
      <c r="B1344" s="2">
        <v>45738</v>
      </c>
      <c r="C1344" t="s">
        <v>1130</v>
      </c>
      <c r="D1344" t="s">
        <v>1648</v>
      </c>
      <c r="E1344" t="str">
        <f ca="1">TRIM(Sales_fact[[#This Row],[Store_ID]])</f>
        <v>STORE3</v>
      </c>
      <c r="F1344">
        <v>3</v>
      </c>
      <c r="G1344">
        <f>IF(ISBLANK(F1344),MODE($F$2:$F$2001),F1344)</f>
        <v>3</v>
      </c>
      <c r="H1344">
        <v>721.94</v>
      </c>
      <c r="I1344">
        <f>IF(ISBLANK(H1344),AVERAGE($H$2:$H$2001),H1344)</f>
        <v>721.94</v>
      </c>
      <c r="J1344">
        <v>0.26</v>
      </c>
      <c r="K1344">
        <f>IF(ISBLANK(J1344),MODE($J$2:$J$2001),J1344)</f>
        <v>0.26</v>
      </c>
      <c r="L1344" t="s">
        <v>1824</v>
      </c>
      <c r="M1344">
        <v>1602.7067999999999</v>
      </c>
      <c r="N1344">
        <f t="shared" si="20"/>
        <v>1602.7068000000002</v>
      </c>
      <c r="O1344" t="str">
        <f>_xlfn.XLOOKUP(Sales_fact[[#This Row],[Customer_ID]],'Customer_Dim'!A:A,'Customer_Dim'!K:K,"Not Found")</f>
        <v>Platinum</v>
      </c>
      <c r="P1344">
        <f>_xlfn.XLOOKUP(Sales_fact[[#This Row],[Customer_ID]],'Customer_Dim'!A:A, 'Customer_Dim'!E:E, "Not Found")</f>
        <v>64</v>
      </c>
      <c r="Q1344" t="str">
        <f>VLOOKUP(Sales_fact[[#This Row],[Customer_ID]], 'Customer_Dim'!A:F, 6, FALSE)</f>
        <v>Male</v>
      </c>
      <c r="R1344" s="13" t="str">
        <f>_xlfn.XLOOKUP(Sales_fact[[#This Row],[Product_ID]],Product_Dim!A:A,Product_Dim!C:C,"OTHERS")</f>
        <v>Sports</v>
      </c>
    </row>
    <row r="1345" spans="1:18" x14ac:dyDescent="0.3">
      <c r="A1345" t="s">
        <v>3169</v>
      </c>
      <c r="B1345" s="2">
        <v>45323</v>
      </c>
      <c r="C1345" t="s">
        <v>1263</v>
      </c>
      <c r="D1345" t="s">
        <v>1742</v>
      </c>
      <c r="E1345" t="str">
        <f ca="1">TRIM(Sales_fact[[#This Row],[Store_ID]])</f>
        <v>STORE1</v>
      </c>
      <c r="F1345">
        <v>3</v>
      </c>
      <c r="G1345">
        <f>IF(ISBLANK(F1345),MODE($F$2:$F$2001),F1345)</f>
        <v>3</v>
      </c>
      <c r="H1345">
        <v>760.38</v>
      </c>
      <c r="I1345">
        <f>IF(ISBLANK(H1345),AVERAGE($H$2:$H$2001),H1345)</f>
        <v>760.38</v>
      </c>
      <c r="J1345">
        <v>0</v>
      </c>
      <c r="K1345">
        <f>IF(ISBLANK(J1345),MODE($J$2:$J$2001),J1345)</f>
        <v>0</v>
      </c>
      <c r="L1345" t="s">
        <v>1829</v>
      </c>
      <c r="M1345">
        <v>2281.14</v>
      </c>
      <c r="N1345">
        <f t="shared" si="20"/>
        <v>2281.14</v>
      </c>
      <c r="O1345" t="str">
        <f>_xlfn.XLOOKUP(Sales_fact[[#This Row],[Customer_ID]],'Customer_Dim'!A:A,'Customer_Dim'!K:K,"Not Found")</f>
        <v>Gold</v>
      </c>
      <c r="P1345">
        <f>_xlfn.XLOOKUP(Sales_fact[[#This Row],[Customer_ID]],'Customer_Dim'!A:A, 'Customer_Dim'!E:E, "Not Found")</f>
        <v>23</v>
      </c>
      <c r="Q1345" t="str">
        <f>VLOOKUP(Sales_fact[[#This Row],[Customer_ID]], 'Customer_Dim'!A:F, 6, FALSE)</f>
        <v>Female</v>
      </c>
      <c r="R1345" s="13" t="str">
        <f>_xlfn.XLOOKUP(Sales_fact[[#This Row],[Product_ID]],Product_Dim!A:A,Product_Dim!C:C,"OTHERS")</f>
        <v>Sports</v>
      </c>
    </row>
    <row r="1346" spans="1:18" x14ac:dyDescent="0.3">
      <c r="A1346" t="s">
        <v>3170</v>
      </c>
      <c r="B1346" s="2">
        <v>45362</v>
      </c>
      <c r="C1346" t="s">
        <v>942</v>
      </c>
      <c r="D1346" t="s">
        <v>1742</v>
      </c>
      <c r="E1346" t="str">
        <f ca="1">TRIM(Sales_fact[[#This Row],[Store_ID]])</f>
        <v>STORE6</v>
      </c>
      <c r="F1346">
        <v>3</v>
      </c>
      <c r="G1346">
        <f>IF(ISBLANK(F1346),MODE($F$2:$F$2001),F1346)</f>
        <v>3</v>
      </c>
      <c r="H1346">
        <v>612.53</v>
      </c>
      <c r="I1346">
        <f>IF(ISBLANK(H1346),AVERAGE($H$2:$H$2001),H1346)</f>
        <v>612.53</v>
      </c>
      <c r="J1346">
        <v>0.21</v>
      </c>
      <c r="K1346">
        <f>IF(ISBLANK(J1346),MODE($J$2:$J$2001),J1346)</f>
        <v>0.21</v>
      </c>
      <c r="L1346" t="s">
        <v>1829</v>
      </c>
      <c r="M1346">
        <v>1451.6960999999999</v>
      </c>
      <c r="N1346">
        <f t="shared" si="20"/>
        <v>1451.6960999999999</v>
      </c>
      <c r="O1346" t="str">
        <f>_xlfn.XLOOKUP(Sales_fact[[#This Row],[Customer_ID]],'Customer_Dim'!A:A,'Customer_Dim'!K:K,"Not Found")</f>
        <v>Platinum</v>
      </c>
      <c r="P1346">
        <f>_xlfn.XLOOKUP(Sales_fact[[#This Row],[Customer_ID]],'Customer_Dim'!A:A, 'Customer_Dim'!E:E, "Not Found")</f>
        <v>64</v>
      </c>
      <c r="Q1346" t="str">
        <f>VLOOKUP(Sales_fact[[#This Row],[Customer_ID]], 'Customer_Dim'!A:F, 6, FALSE)</f>
        <v>Male</v>
      </c>
      <c r="R1346" s="13" t="str">
        <f>_xlfn.XLOOKUP(Sales_fact[[#This Row],[Product_ID]],Product_Dim!A:A,Product_Dim!C:C,"OTHERS")</f>
        <v>Sports</v>
      </c>
    </row>
    <row r="1347" spans="1:18" x14ac:dyDescent="0.3">
      <c r="A1347" t="s">
        <v>3171</v>
      </c>
      <c r="B1347" s="2">
        <v>45544</v>
      </c>
      <c r="C1347" t="s">
        <v>160</v>
      </c>
      <c r="D1347" t="s">
        <v>1674</v>
      </c>
      <c r="E1347" t="str">
        <f ca="1">TRIM(Sales_fact[[#This Row],[Store_ID]])</f>
        <v>STORE16</v>
      </c>
      <c r="F1347">
        <v>3</v>
      </c>
      <c r="G1347">
        <f>IF(ISBLANK(F1347),MODE($F$2:$F$2001),F1347)</f>
        <v>3</v>
      </c>
      <c r="H1347">
        <v>841.37</v>
      </c>
      <c r="I1347">
        <f>IF(ISBLANK(H1347),AVERAGE($H$2:$H$2001),H1347)</f>
        <v>841.37</v>
      </c>
      <c r="J1347">
        <v>0.28999999999999998</v>
      </c>
      <c r="K1347">
        <f>IF(ISBLANK(J1347),MODE($J$2:$J$2001),J1347)</f>
        <v>0.28999999999999998</v>
      </c>
      <c r="L1347" t="s">
        <v>1826</v>
      </c>
      <c r="M1347">
        <v>1792.1180999999999</v>
      </c>
      <c r="N1347">
        <f t="shared" ref="N1347:N1410" si="21">G1347*I1347*(1-K1347)</f>
        <v>1792.1180999999999</v>
      </c>
      <c r="O1347" t="str">
        <f>_xlfn.XLOOKUP(Sales_fact[[#This Row],[Customer_ID]],'Customer_Dim'!A:A,'Customer_Dim'!K:K,"Not Found")</f>
        <v>Platinum</v>
      </c>
      <c r="P1347">
        <f>_xlfn.XLOOKUP(Sales_fact[[#This Row],[Customer_ID]],'Customer_Dim'!A:A, 'Customer_Dim'!E:E, "Not Found")</f>
        <v>21</v>
      </c>
      <c r="Q1347" t="str">
        <f>VLOOKUP(Sales_fact[[#This Row],[Customer_ID]], 'Customer_Dim'!A:F, 6, FALSE)</f>
        <v>Male</v>
      </c>
      <c r="R1347" s="13" t="str">
        <f>_xlfn.XLOOKUP(Sales_fact[[#This Row],[Product_ID]],Product_Dim!A:A,Product_Dim!C:C,"OTHERS")</f>
        <v>Beauty</v>
      </c>
    </row>
    <row r="1348" spans="1:18" x14ac:dyDescent="0.3">
      <c r="A1348" t="s">
        <v>3172</v>
      </c>
      <c r="B1348" s="2">
        <v>45249</v>
      </c>
      <c r="C1348" t="s">
        <v>833</v>
      </c>
      <c r="D1348" t="s">
        <v>1644</v>
      </c>
      <c r="E1348" t="str">
        <f ca="1">TRIM(Sales_fact[[#This Row],[Store_ID]])</f>
        <v>STORE9</v>
      </c>
      <c r="F1348">
        <v>2</v>
      </c>
      <c r="G1348">
        <f>IF(ISBLANK(F1348),MODE($F$2:$F$2001),F1348)</f>
        <v>2</v>
      </c>
      <c r="H1348">
        <v>636.51</v>
      </c>
      <c r="I1348">
        <f>IF(ISBLANK(H1348),AVERAGE($H$2:$H$2001),H1348)</f>
        <v>636.51</v>
      </c>
      <c r="J1348">
        <v>0.25</v>
      </c>
      <c r="K1348">
        <f>IF(ISBLANK(J1348),MODE($J$2:$J$2001),J1348)</f>
        <v>0.25</v>
      </c>
      <c r="L1348" t="s">
        <v>1824</v>
      </c>
      <c r="M1348">
        <v>954.76499999999999</v>
      </c>
      <c r="N1348">
        <f t="shared" si="21"/>
        <v>954.76499999999999</v>
      </c>
      <c r="O1348" t="str">
        <f>_xlfn.XLOOKUP(Sales_fact[[#This Row],[Customer_ID]],'Customer_Dim'!A:A,'Customer_Dim'!K:K,"Not Found")</f>
        <v>Silver</v>
      </c>
      <c r="P1348">
        <f>_xlfn.XLOOKUP(Sales_fact[[#This Row],[Customer_ID]],'Customer_Dim'!A:A, 'Customer_Dim'!E:E, "Not Found")</f>
        <v>27</v>
      </c>
      <c r="Q1348" t="str">
        <f>VLOOKUP(Sales_fact[[#This Row],[Customer_ID]], 'Customer_Dim'!A:F, 6, FALSE)</f>
        <v>Female</v>
      </c>
      <c r="R1348" s="13" t="str">
        <f>_xlfn.XLOOKUP(Sales_fact[[#This Row],[Product_ID]],Product_Dim!A:A,Product_Dim!C:C,"OTHERS")</f>
        <v>Electronics</v>
      </c>
    </row>
    <row r="1349" spans="1:18" x14ac:dyDescent="0.3">
      <c r="A1349" t="s">
        <v>3173</v>
      </c>
      <c r="B1349" s="2">
        <v>45659</v>
      </c>
      <c r="C1349" t="s">
        <v>329</v>
      </c>
      <c r="D1349" t="s">
        <v>1638</v>
      </c>
      <c r="E1349" t="str">
        <f ca="1">TRIM(Sales_fact[[#This Row],[Store_ID]])</f>
        <v>STORE8</v>
      </c>
      <c r="F1349">
        <v>2</v>
      </c>
      <c r="G1349">
        <f>IF(ISBLANK(F1349),MODE($F$2:$F$2001),F1349)</f>
        <v>2</v>
      </c>
      <c r="H1349">
        <v>732.37</v>
      </c>
      <c r="I1349">
        <f>IF(ISBLANK(H1349),AVERAGE($H$2:$H$2001),H1349)</f>
        <v>732.37</v>
      </c>
      <c r="J1349">
        <v>0.22</v>
      </c>
      <c r="K1349">
        <f>IF(ISBLANK(J1349),MODE($J$2:$J$2001),J1349)</f>
        <v>0.22</v>
      </c>
      <c r="L1349" t="s">
        <v>1829</v>
      </c>
      <c r="M1349">
        <v>1142.4972</v>
      </c>
      <c r="N1349">
        <f t="shared" si="21"/>
        <v>1142.4972</v>
      </c>
      <c r="O1349" t="str">
        <f>_xlfn.XLOOKUP(Sales_fact[[#This Row],[Customer_ID]],'Customer_Dim'!A:A,'Customer_Dim'!K:K,"Not Found")</f>
        <v>Silver</v>
      </c>
      <c r="P1349">
        <f>_xlfn.XLOOKUP(Sales_fact[[#This Row],[Customer_ID]],'Customer_Dim'!A:A, 'Customer_Dim'!E:E, "Not Found")</f>
        <v>29</v>
      </c>
      <c r="Q1349" t="str">
        <f>VLOOKUP(Sales_fact[[#This Row],[Customer_ID]], 'Customer_Dim'!A:F, 6, FALSE)</f>
        <v>Female</v>
      </c>
      <c r="R1349" s="13" t="str">
        <f>_xlfn.XLOOKUP(Sales_fact[[#This Row],[Product_ID]],Product_Dim!A:A,Product_Dim!C:C,"OTHERS")</f>
        <v>Sports</v>
      </c>
    </row>
    <row r="1350" spans="1:18" x14ac:dyDescent="0.3">
      <c r="A1350" t="s">
        <v>3174</v>
      </c>
      <c r="B1350" s="2">
        <v>45927</v>
      </c>
      <c r="C1350" t="s">
        <v>547</v>
      </c>
      <c r="D1350" t="s">
        <v>1656</v>
      </c>
      <c r="E1350" t="str">
        <f ca="1">TRIM(Sales_fact[[#This Row],[Store_ID]])</f>
        <v>STORE16</v>
      </c>
      <c r="F1350">
        <v>3</v>
      </c>
      <c r="G1350">
        <f>IF(ISBLANK(F1350),MODE($F$2:$F$2001),F1350)</f>
        <v>3</v>
      </c>
      <c r="H1350">
        <v>183.44</v>
      </c>
      <c r="I1350">
        <f>IF(ISBLANK(H1350),AVERAGE($H$2:$H$2001),H1350)</f>
        <v>183.44</v>
      </c>
      <c r="J1350">
        <v>0.28000000000000003</v>
      </c>
      <c r="K1350">
        <f>IF(ISBLANK(J1350),MODE($J$2:$J$2001),J1350)</f>
        <v>0.28000000000000003</v>
      </c>
      <c r="L1350" t="s">
        <v>1829</v>
      </c>
      <c r="M1350">
        <v>396.23039999999992</v>
      </c>
      <c r="N1350">
        <f t="shared" si="21"/>
        <v>396.23039999999992</v>
      </c>
      <c r="O1350" t="str">
        <f>_xlfn.XLOOKUP(Sales_fact[[#This Row],[Customer_ID]],'Customer_Dim'!A:A,'Customer_Dim'!K:K,"Not Found")</f>
        <v>Silver</v>
      </c>
      <c r="P1350">
        <f>_xlfn.XLOOKUP(Sales_fact[[#This Row],[Customer_ID]],'Customer_Dim'!A:A, 'Customer_Dim'!E:E, "Not Found")</f>
        <v>39</v>
      </c>
      <c r="Q1350" t="str">
        <f>VLOOKUP(Sales_fact[[#This Row],[Customer_ID]], 'Customer_Dim'!A:F, 6, FALSE)</f>
        <v>Female</v>
      </c>
      <c r="R1350" s="13" t="str">
        <f>_xlfn.XLOOKUP(Sales_fact[[#This Row],[Product_ID]],Product_Dim!A:A,Product_Dim!C:C,"OTHERS")</f>
        <v>Sports</v>
      </c>
    </row>
    <row r="1351" spans="1:18" x14ac:dyDescent="0.3">
      <c r="A1351" t="s">
        <v>3175</v>
      </c>
      <c r="B1351" s="2">
        <v>45373</v>
      </c>
      <c r="C1351" t="s">
        <v>241</v>
      </c>
      <c r="D1351" t="s">
        <v>1570</v>
      </c>
      <c r="E1351" t="str">
        <f ca="1">TRIM(Sales_fact[[#This Row],[Store_ID]])</f>
        <v>STORE13</v>
      </c>
      <c r="F1351">
        <v>4</v>
      </c>
      <c r="G1351">
        <f>IF(ISBLANK(F1351),MODE($F$2:$F$2001),F1351)</f>
        <v>4</v>
      </c>
      <c r="H1351">
        <v>898.58</v>
      </c>
      <c r="I1351">
        <f>IF(ISBLANK(H1351),AVERAGE($H$2:$H$2001),H1351)</f>
        <v>898.58</v>
      </c>
      <c r="J1351">
        <v>0.16</v>
      </c>
      <c r="K1351">
        <f>IF(ISBLANK(J1351),MODE($J$2:$J$2001),J1351)</f>
        <v>0.16</v>
      </c>
      <c r="L1351" t="s">
        <v>1826</v>
      </c>
      <c r="M1351">
        <v>3019.2287999999999</v>
      </c>
      <c r="N1351">
        <f t="shared" si="21"/>
        <v>3019.2287999999999</v>
      </c>
      <c r="O1351" t="str">
        <f>_xlfn.XLOOKUP(Sales_fact[[#This Row],[Customer_ID]],'Customer_Dim'!A:A,'Customer_Dim'!K:K,"Not Found")</f>
        <v>Silver</v>
      </c>
      <c r="P1351">
        <f>_xlfn.XLOOKUP(Sales_fact[[#This Row],[Customer_ID]],'Customer_Dim'!A:A, 'Customer_Dim'!E:E, "Not Found")</f>
        <v>21</v>
      </c>
      <c r="Q1351" t="str">
        <f>VLOOKUP(Sales_fact[[#This Row],[Customer_ID]], 'Customer_Dim'!A:F, 6, FALSE)</f>
        <v>Female</v>
      </c>
      <c r="R1351" s="13" t="str">
        <f>_xlfn.XLOOKUP(Sales_fact[[#This Row],[Product_ID]],Product_Dim!A:A,Product_Dim!C:C,"OTHERS")</f>
        <v>Electronics</v>
      </c>
    </row>
    <row r="1352" spans="1:18" x14ac:dyDescent="0.3">
      <c r="A1352" t="s">
        <v>3176</v>
      </c>
      <c r="B1352" s="2">
        <v>45529</v>
      </c>
      <c r="C1352" t="s">
        <v>1217</v>
      </c>
      <c r="D1352" t="s">
        <v>1594</v>
      </c>
      <c r="E1352" t="str">
        <f ca="1">TRIM(Sales_fact[[#This Row],[Store_ID]])</f>
        <v>STORE2</v>
      </c>
      <c r="F1352">
        <v>3</v>
      </c>
      <c r="G1352">
        <f>IF(ISBLANK(F1352),MODE($F$2:$F$2001),F1352)</f>
        <v>3</v>
      </c>
      <c r="H1352">
        <v>152.41</v>
      </c>
      <c r="I1352">
        <f>IF(ISBLANK(H1352),AVERAGE($H$2:$H$2001),H1352)</f>
        <v>152.41</v>
      </c>
      <c r="J1352">
        <v>0.25</v>
      </c>
      <c r="K1352">
        <f>IF(ISBLANK(J1352),MODE($J$2:$J$2001),J1352)</f>
        <v>0.25</v>
      </c>
      <c r="L1352" t="s">
        <v>1824</v>
      </c>
      <c r="M1352">
        <v>342.92250000000001</v>
      </c>
      <c r="N1352">
        <f t="shared" si="21"/>
        <v>342.92250000000001</v>
      </c>
      <c r="O1352" t="str">
        <f>_xlfn.XLOOKUP(Sales_fact[[#This Row],[Customer_ID]],'Customer_Dim'!A:A,'Customer_Dim'!K:K,"Not Found")</f>
        <v>Silver</v>
      </c>
      <c r="P1352">
        <f>_xlfn.XLOOKUP(Sales_fact[[#This Row],[Customer_ID]],'Customer_Dim'!A:A, 'Customer_Dim'!E:E, "Not Found")</f>
        <v>56</v>
      </c>
      <c r="Q1352" t="str">
        <f>VLOOKUP(Sales_fact[[#This Row],[Customer_ID]], 'Customer_Dim'!A:F, 6, FALSE)</f>
        <v>Male</v>
      </c>
      <c r="R1352" s="13" t="str">
        <f>_xlfn.XLOOKUP(Sales_fact[[#This Row],[Product_ID]],Product_Dim!A:A,Product_Dim!C:C,"OTHERS")</f>
        <v>Clothing</v>
      </c>
    </row>
    <row r="1353" spans="1:18" x14ac:dyDescent="0.3">
      <c r="A1353" t="s">
        <v>3177</v>
      </c>
      <c r="B1353" s="2">
        <v>45872</v>
      </c>
      <c r="C1353" t="s">
        <v>722</v>
      </c>
      <c r="D1353" t="s">
        <v>1732</v>
      </c>
      <c r="E1353" t="str">
        <f ca="1">TRIM(Sales_fact[[#This Row],[Store_ID]])</f>
        <v>STORE14</v>
      </c>
      <c r="F1353">
        <v>3</v>
      </c>
      <c r="G1353">
        <f>IF(ISBLANK(F1353),MODE($F$2:$F$2001),F1353)</f>
        <v>3</v>
      </c>
      <c r="H1353">
        <v>972.58</v>
      </c>
      <c r="I1353">
        <f>IF(ISBLANK(H1353),AVERAGE($H$2:$H$2001),H1353)</f>
        <v>972.58</v>
      </c>
      <c r="J1353">
        <v>0.28000000000000003</v>
      </c>
      <c r="K1353">
        <f>IF(ISBLANK(J1353),MODE($J$2:$J$2001),J1353)</f>
        <v>0.28000000000000003</v>
      </c>
      <c r="L1353" t="s">
        <v>1829</v>
      </c>
      <c r="M1353">
        <v>2100.7728000000002</v>
      </c>
      <c r="N1353">
        <f t="shared" si="21"/>
        <v>2100.7728000000002</v>
      </c>
      <c r="O1353" t="str">
        <f>_xlfn.XLOOKUP(Sales_fact[[#This Row],[Customer_ID]],'Customer_Dim'!A:A,'Customer_Dim'!K:K,"Not Found")</f>
        <v>Platinum</v>
      </c>
      <c r="P1353">
        <f>_xlfn.XLOOKUP(Sales_fact[[#This Row],[Customer_ID]],'Customer_Dim'!A:A, 'Customer_Dim'!E:E, "Not Found")</f>
        <v>50</v>
      </c>
      <c r="Q1353" t="str">
        <f>VLOOKUP(Sales_fact[[#This Row],[Customer_ID]], 'Customer_Dim'!A:F, 6, FALSE)</f>
        <v>Male</v>
      </c>
      <c r="R1353" s="13" t="str">
        <f>_xlfn.XLOOKUP(Sales_fact[[#This Row],[Product_ID]],Product_Dim!A:A,Product_Dim!C:C,"OTHERS")</f>
        <v>Home</v>
      </c>
    </row>
    <row r="1354" spans="1:18" x14ac:dyDescent="0.3">
      <c r="A1354" t="s">
        <v>3178</v>
      </c>
      <c r="B1354" s="2">
        <v>45267</v>
      </c>
      <c r="C1354" t="s">
        <v>1437</v>
      </c>
      <c r="D1354" t="s">
        <v>1686</v>
      </c>
      <c r="E1354" t="str">
        <f ca="1">TRIM(Sales_fact[[#This Row],[Store_ID]])</f>
        <v>STORE11</v>
      </c>
      <c r="F1354">
        <v>4</v>
      </c>
      <c r="G1354">
        <f>IF(ISBLANK(F1354),MODE($F$2:$F$2001),F1354)</f>
        <v>4</v>
      </c>
      <c r="H1354">
        <v>136.4</v>
      </c>
      <c r="I1354">
        <f>IF(ISBLANK(H1354),AVERAGE($H$2:$H$2001),H1354)</f>
        <v>136.4</v>
      </c>
      <c r="J1354">
        <v>0.04</v>
      </c>
      <c r="K1354">
        <f>IF(ISBLANK(J1354),MODE($J$2:$J$2001),J1354)</f>
        <v>0.04</v>
      </c>
      <c r="L1354" t="s">
        <v>1829</v>
      </c>
      <c r="M1354">
        <v>523.77599999999995</v>
      </c>
      <c r="N1354">
        <f t="shared" si="21"/>
        <v>523.77599999999995</v>
      </c>
      <c r="O1354" t="str">
        <f>_xlfn.XLOOKUP(Sales_fact[[#This Row],[Customer_ID]],'Customer_Dim'!A:A,'Customer_Dim'!K:K,"Not Found")</f>
        <v>Silver</v>
      </c>
      <c r="P1354">
        <f>_xlfn.XLOOKUP(Sales_fact[[#This Row],[Customer_ID]],'Customer_Dim'!A:A, 'Customer_Dim'!E:E, "Not Found")</f>
        <v>18</v>
      </c>
      <c r="Q1354" t="str">
        <f>VLOOKUP(Sales_fact[[#This Row],[Customer_ID]], 'Customer_Dim'!A:F, 6, FALSE)</f>
        <v>Male</v>
      </c>
      <c r="R1354" s="13" t="str">
        <f>_xlfn.XLOOKUP(Sales_fact[[#This Row],[Product_ID]],Product_Dim!A:A,Product_Dim!C:C,"OTHERS")</f>
        <v>Clothing</v>
      </c>
    </row>
    <row r="1355" spans="1:18" x14ac:dyDescent="0.3">
      <c r="A1355" t="s">
        <v>3179</v>
      </c>
      <c r="B1355" s="2">
        <v>45894</v>
      </c>
      <c r="C1355" t="s">
        <v>1246</v>
      </c>
      <c r="D1355" t="s">
        <v>1736</v>
      </c>
      <c r="E1355" t="str">
        <f ca="1">TRIM(Sales_fact[[#This Row],[Store_ID]])</f>
        <v>STORE15</v>
      </c>
      <c r="F1355">
        <v>1</v>
      </c>
      <c r="G1355">
        <f>IF(ISBLANK(F1355),MODE($F$2:$F$2001),F1355)</f>
        <v>1</v>
      </c>
      <c r="H1355">
        <v>509.63</v>
      </c>
      <c r="I1355">
        <f>IF(ISBLANK(H1355),AVERAGE($H$2:$H$2001),H1355)</f>
        <v>509.63</v>
      </c>
      <c r="J1355">
        <v>0.27</v>
      </c>
      <c r="K1355">
        <f>IF(ISBLANK(J1355),MODE($J$2:$J$2001),J1355)</f>
        <v>0.27</v>
      </c>
      <c r="L1355" t="s">
        <v>1829</v>
      </c>
      <c r="M1355">
        <v>372.0299</v>
      </c>
      <c r="N1355">
        <f t="shared" si="21"/>
        <v>372.0299</v>
      </c>
      <c r="O1355" t="str">
        <f>_xlfn.XLOOKUP(Sales_fact[[#This Row],[Customer_ID]],'Customer_Dim'!A:A,'Customer_Dim'!K:K,"Not Found")</f>
        <v>Platinum</v>
      </c>
      <c r="P1355">
        <f>_xlfn.XLOOKUP(Sales_fact[[#This Row],[Customer_ID]],'Customer_Dim'!A:A, 'Customer_Dim'!E:E, "Not Found")</f>
        <v>57</v>
      </c>
      <c r="Q1355" t="str">
        <f>VLOOKUP(Sales_fact[[#This Row],[Customer_ID]], 'Customer_Dim'!A:F, 6, FALSE)</f>
        <v>Female</v>
      </c>
      <c r="R1355" s="13" t="str">
        <f>_xlfn.XLOOKUP(Sales_fact[[#This Row],[Product_ID]],Product_Dim!A:A,Product_Dim!C:C,"OTHERS")</f>
        <v>Beauty</v>
      </c>
    </row>
    <row r="1356" spans="1:18" x14ac:dyDescent="0.3">
      <c r="A1356" t="s">
        <v>3180</v>
      </c>
      <c r="B1356" s="2">
        <v>45331</v>
      </c>
      <c r="C1356" t="s">
        <v>23</v>
      </c>
      <c r="D1356" t="s">
        <v>1742</v>
      </c>
      <c r="E1356" t="str">
        <f ca="1">TRIM(Sales_fact[[#This Row],[Store_ID]])</f>
        <v>STORE3</v>
      </c>
      <c r="F1356">
        <v>4</v>
      </c>
      <c r="G1356">
        <f>IF(ISBLANK(F1356),MODE($F$2:$F$2001),F1356)</f>
        <v>4</v>
      </c>
      <c r="H1356">
        <v>360.28</v>
      </c>
      <c r="I1356">
        <f>IF(ISBLANK(H1356),AVERAGE($H$2:$H$2001),H1356)</f>
        <v>360.28</v>
      </c>
      <c r="J1356">
        <v>0.09</v>
      </c>
      <c r="K1356">
        <f>IF(ISBLANK(J1356),MODE($J$2:$J$2001),J1356)</f>
        <v>0.09</v>
      </c>
      <c r="L1356" t="s">
        <v>1829</v>
      </c>
      <c r="M1356">
        <v>1311.4192</v>
      </c>
      <c r="N1356">
        <f t="shared" si="21"/>
        <v>1311.4192</v>
      </c>
      <c r="O1356" t="str">
        <f>_xlfn.XLOOKUP(Sales_fact[[#This Row],[Customer_ID]],'Customer_Dim'!A:A,'Customer_Dim'!K:K,"Not Found")</f>
        <v>Bronze</v>
      </c>
      <c r="P1356">
        <f>_xlfn.XLOOKUP(Sales_fact[[#This Row],[Customer_ID]],'Customer_Dim'!A:A, 'Customer_Dim'!E:E, "Not Found")</f>
        <v>59</v>
      </c>
      <c r="Q1356" t="str">
        <f>VLOOKUP(Sales_fact[[#This Row],[Customer_ID]], 'Customer_Dim'!A:F, 6, FALSE)</f>
        <v>Female</v>
      </c>
      <c r="R1356" s="13" t="str">
        <f>_xlfn.XLOOKUP(Sales_fact[[#This Row],[Product_ID]],Product_Dim!A:A,Product_Dim!C:C,"OTHERS")</f>
        <v>Sports</v>
      </c>
    </row>
    <row r="1357" spans="1:18" x14ac:dyDescent="0.3">
      <c r="A1357" t="s">
        <v>3181</v>
      </c>
      <c r="B1357" s="2">
        <v>45910</v>
      </c>
      <c r="C1357" t="s">
        <v>292</v>
      </c>
      <c r="D1357" t="s">
        <v>1726</v>
      </c>
      <c r="E1357" t="str">
        <f ca="1">TRIM(Sales_fact[[#This Row],[Store_ID]])</f>
        <v>STORE15</v>
      </c>
      <c r="F1357">
        <v>3</v>
      </c>
      <c r="G1357">
        <f>IF(ISBLANK(F1357),MODE($F$2:$F$2001),F1357)</f>
        <v>3</v>
      </c>
      <c r="H1357">
        <v>882.05</v>
      </c>
      <c r="I1357">
        <f>IF(ISBLANK(H1357),AVERAGE($H$2:$H$2001),H1357)</f>
        <v>882.05</v>
      </c>
      <c r="J1357">
        <v>0.06</v>
      </c>
      <c r="K1357">
        <f>IF(ISBLANK(J1357),MODE($J$2:$J$2001),J1357)</f>
        <v>0.06</v>
      </c>
      <c r="L1357" t="s">
        <v>1826</v>
      </c>
      <c r="M1357">
        <v>2487.3809999999989</v>
      </c>
      <c r="N1357">
        <f t="shared" si="21"/>
        <v>2487.3809999999994</v>
      </c>
      <c r="O1357" t="str">
        <f>_xlfn.XLOOKUP(Sales_fact[[#This Row],[Customer_ID]],'Customer_Dim'!A:A,'Customer_Dim'!K:K,"Not Found")</f>
        <v>Bronze</v>
      </c>
      <c r="P1357">
        <f>_xlfn.XLOOKUP(Sales_fact[[#This Row],[Customer_ID]],'Customer_Dim'!A:A, 'Customer_Dim'!E:E, "Not Found")</f>
        <v>61</v>
      </c>
      <c r="Q1357" t="str">
        <f>VLOOKUP(Sales_fact[[#This Row],[Customer_ID]], 'Customer_Dim'!A:F, 6, FALSE)</f>
        <v>Female</v>
      </c>
      <c r="R1357" s="13" t="str">
        <f>_xlfn.XLOOKUP(Sales_fact[[#This Row],[Product_ID]],Product_Dim!A:A,Product_Dim!C:C,"OTHERS")</f>
        <v>Beauty</v>
      </c>
    </row>
    <row r="1358" spans="1:18" x14ac:dyDescent="0.3">
      <c r="A1358" t="s">
        <v>3182</v>
      </c>
      <c r="B1358" s="2">
        <v>45564</v>
      </c>
      <c r="C1358" t="s">
        <v>640</v>
      </c>
      <c r="D1358" t="s">
        <v>1706</v>
      </c>
      <c r="E1358" t="str">
        <f ca="1">TRIM(Sales_fact[[#This Row],[Store_ID]])</f>
        <v>STORE8</v>
      </c>
      <c r="F1358">
        <v>3</v>
      </c>
      <c r="G1358">
        <f>IF(ISBLANK(F1358),MODE($F$2:$F$2001),F1358)</f>
        <v>3</v>
      </c>
      <c r="H1358">
        <v>141.54</v>
      </c>
      <c r="I1358">
        <f>IF(ISBLANK(H1358),AVERAGE($H$2:$H$2001),H1358)</f>
        <v>141.54</v>
      </c>
      <c r="J1358">
        <v>0.12</v>
      </c>
      <c r="K1358">
        <f>IF(ISBLANK(J1358),MODE($J$2:$J$2001),J1358)</f>
        <v>0.12</v>
      </c>
      <c r="L1358" t="s">
        <v>1826</v>
      </c>
      <c r="M1358">
        <v>373.66559999999998</v>
      </c>
      <c r="N1358">
        <f t="shared" si="21"/>
        <v>373.66559999999998</v>
      </c>
      <c r="O1358" t="str">
        <f>_xlfn.XLOOKUP(Sales_fact[[#This Row],[Customer_ID]],'Customer_Dim'!A:A,'Customer_Dim'!K:K,"Not Found")</f>
        <v>Silver</v>
      </c>
      <c r="P1358">
        <f>_xlfn.XLOOKUP(Sales_fact[[#This Row],[Customer_ID]],'Customer_Dim'!A:A, 'Customer_Dim'!E:E, "Not Found")</f>
        <v>60</v>
      </c>
      <c r="Q1358" t="str">
        <f>VLOOKUP(Sales_fact[[#This Row],[Customer_ID]], 'Customer_Dim'!A:F, 6, FALSE)</f>
        <v>Male</v>
      </c>
      <c r="R1358" s="13" t="str">
        <f>_xlfn.XLOOKUP(Sales_fact[[#This Row],[Product_ID]],Product_Dim!A:A,Product_Dim!C:C,"OTHERS")</f>
        <v>Home</v>
      </c>
    </row>
    <row r="1359" spans="1:18" x14ac:dyDescent="0.3">
      <c r="A1359" t="s">
        <v>3183</v>
      </c>
      <c r="B1359" s="2">
        <v>45461</v>
      </c>
      <c r="C1359" t="s">
        <v>168</v>
      </c>
      <c r="D1359" t="s">
        <v>1578</v>
      </c>
      <c r="E1359" t="str">
        <f ca="1">TRIM(Sales_fact[[#This Row],[Store_ID]])</f>
        <v>STORE4</v>
      </c>
      <c r="F1359">
        <v>3</v>
      </c>
      <c r="G1359">
        <f>IF(ISBLANK(F1359),MODE($F$2:$F$2001),F1359)</f>
        <v>3</v>
      </c>
      <c r="H1359">
        <v>83.5</v>
      </c>
      <c r="I1359">
        <f>IF(ISBLANK(H1359),AVERAGE($H$2:$H$2001),H1359)</f>
        <v>83.5</v>
      </c>
      <c r="J1359">
        <v>0.23</v>
      </c>
      <c r="K1359">
        <f>IF(ISBLANK(J1359),MODE($J$2:$J$2001),J1359)</f>
        <v>0.23</v>
      </c>
      <c r="L1359" t="s">
        <v>1829</v>
      </c>
      <c r="M1359">
        <v>192.88499999999999</v>
      </c>
      <c r="N1359">
        <f t="shared" si="21"/>
        <v>192.88499999999999</v>
      </c>
      <c r="O1359" t="str">
        <f>_xlfn.XLOOKUP(Sales_fact[[#This Row],[Customer_ID]],'Customer_Dim'!A:A,'Customer_Dim'!K:K,"Not Found")</f>
        <v>Gold</v>
      </c>
      <c r="P1359">
        <f>_xlfn.XLOOKUP(Sales_fact[[#This Row],[Customer_ID]],'Customer_Dim'!A:A, 'Customer_Dim'!E:E, "Not Found")</f>
        <v>45</v>
      </c>
      <c r="Q1359" t="str">
        <f>VLOOKUP(Sales_fact[[#This Row],[Customer_ID]], 'Customer_Dim'!A:F, 6, FALSE)</f>
        <v>Male</v>
      </c>
      <c r="R1359" s="13" t="str">
        <f>_xlfn.XLOOKUP(Sales_fact[[#This Row],[Product_ID]],Product_Dim!A:A,Product_Dim!C:C,"OTHERS")</f>
        <v>Electronics</v>
      </c>
    </row>
    <row r="1360" spans="1:18" x14ac:dyDescent="0.3">
      <c r="A1360" t="s">
        <v>3184</v>
      </c>
      <c r="B1360" s="2">
        <v>45258</v>
      </c>
      <c r="C1360" t="s">
        <v>425</v>
      </c>
      <c r="D1360" t="s">
        <v>1576</v>
      </c>
      <c r="E1360" t="str">
        <f ca="1">TRIM(Sales_fact[[#This Row],[Store_ID]])</f>
        <v>STORE6</v>
      </c>
      <c r="F1360">
        <v>2</v>
      </c>
      <c r="G1360">
        <f>IF(ISBLANK(F1360),MODE($F$2:$F$2001),F1360)</f>
        <v>2</v>
      </c>
      <c r="H1360">
        <v>629.73</v>
      </c>
      <c r="I1360">
        <f>IF(ISBLANK(H1360),AVERAGE($H$2:$H$2001),H1360)</f>
        <v>629.73</v>
      </c>
      <c r="J1360">
        <v>7.0000000000000007E-2</v>
      </c>
      <c r="K1360">
        <f>IF(ISBLANK(J1360),MODE($J$2:$J$2001),J1360)</f>
        <v>7.0000000000000007E-2</v>
      </c>
      <c r="L1360" t="s">
        <v>1826</v>
      </c>
      <c r="M1360">
        <v>1171.2978000000001</v>
      </c>
      <c r="N1360">
        <f t="shared" si="21"/>
        <v>1171.2978000000001</v>
      </c>
      <c r="O1360" t="str">
        <f>_xlfn.XLOOKUP(Sales_fact[[#This Row],[Customer_ID]],'Customer_Dim'!A:A,'Customer_Dim'!K:K,"Not Found")</f>
        <v>Silver</v>
      </c>
      <c r="P1360">
        <f>_xlfn.XLOOKUP(Sales_fact[[#This Row],[Customer_ID]],'Customer_Dim'!A:A, 'Customer_Dim'!E:E, "Not Found")</f>
        <v>40</v>
      </c>
      <c r="Q1360" t="str">
        <f>VLOOKUP(Sales_fact[[#This Row],[Customer_ID]], 'Customer_Dim'!A:F, 6, FALSE)</f>
        <v>Male</v>
      </c>
      <c r="R1360" s="13" t="str">
        <f>_xlfn.XLOOKUP(Sales_fact[[#This Row],[Product_ID]],Product_Dim!A:A,Product_Dim!C:C,"OTHERS")</f>
        <v>Home</v>
      </c>
    </row>
    <row r="1361" spans="1:18" x14ac:dyDescent="0.3">
      <c r="A1361" t="s">
        <v>3185</v>
      </c>
      <c r="B1361" s="2">
        <v>45228</v>
      </c>
      <c r="C1361" t="s">
        <v>59</v>
      </c>
      <c r="D1361" t="s">
        <v>1614</v>
      </c>
      <c r="E1361" t="str">
        <f ca="1">TRIM(Sales_fact[[#This Row],[Store_ID]])</f>
        <v>STORE6</v>
      </c>
      <c r="F1361">
        <v>2</v>
      </c>
      <c r="G1361">
        <f>IF(ISBLANK(F1361),MODE($F$2:$F$2001),F1361)</f>
        <v>2</v>
      </c>
      <c r="H1361">
        <v>159.93</v>
      </c>
      <c r="I1361">
        <f>IF(ISBLANK(H1361),AVERAGE($H$2:$H$2001),H1361)</f>
        <v>159.93</v>
      </c>
      <c r="J1361">
        <v>0.2</v>
      </c>
      <c r="K1361">
        <f>IF(ISBLANK(J1361),MODE($J$2:$J$2001),J1361)</f>
        <v>0.2</v>
      </c>
      <c r="L1361" t="s">
        <v>1829</v>
      </c>
      <c r="M1361">
        <v>255.88800000000001</v>
      </c>
      <c r="N1361">
        <f t="shared" si="21"/>
        <v>255.88800000000003</v>
      </c>
      <c r="O1361" t="str">
        <f>_xlfn.XLOOKUP(Sales_fact[[#This Row],[Customer_ID]],'Customer_Dim'!A:A,'Customer_Dim'!K:K,"Not Found")</f>
        <v>Platinum</v>
      </c>
      <c r="P1361">
        <f>_xlfn.XLOOKUP(Sales_fact[[#This Row],[Customer_ID]],'Customer_Dim'!A:A, 'Customer_Dim'!E:E, "Not Found")</f>
        <v>55</v>
      </c>
      <c r="Q1361" t="str">
        <f>VLOOKUP(Sales_fact[[#This Row],[Customer_ID]], 'Customer_Dim'!A:F, 6, FALSE)</f>
        <v>Female</v>
      </c>
      <c r="R1361" s="13" t="str">
        <f>_xlfn.XLOOKUP(Sales_fact[[#This Row],[Product_ID]],Product_Dim!A:A,Product_Dim!C:C,"OTHERS")</f>
        <v>Home</v>
      </c>
    </row>
    <row r="1362" spans="1:18" x14ac:dyDescent="0.3">
      <c r="A1362" t="s">
        <v>3186</v>
      </c>
      <c r="B1362" s="2">
        <v>45858</v>
      </c>
      <c r="C1362" t="s">
        <v>59</v>
      </c>
      <c r="D1362" t="s">
        <v>1638</v>
      </c>
      <c r="E1362" t="str">
        <f ca="1">TRIM(Sales_fact[[#This Row],[Store_ID]])</f>
        <v>STORE18</v>
      </c>
      <c r="F1362">
        <v>1</v>
      </c>
      <c r="G1362">
        <f>IF(ISBLANK(F1362),MODE($F$2:$F$2001),F1362)</f>
        <v>1</v>
      </c>
      <c r="H1362">
        <v>459.89</v>
      </c>
      <c r="I1362">
        <f>IF(ISBLANK(H1362),AVERAGE($H$2:$H$2001),H1362)</f>
        <v>459.89</v>
      </c>
      <c r="J1362">
        <v>0.18</v>
      </c>
      <c r="K1362">
        <f>IF(ISBLANK(J1362),MODE($J$2:$J$2001),J1362)</f>
        <v>0.18</v>
      </c>
      <c r="L1362" t="s">
        <v>1829</v>
      </c>
      <c r="M1362">
        <v>377.10980000000001</v>
      </c>
      <c r="N1362">
        <f t="shared" si="21"/>
        <v>377.10980000000001</v>
      </c>
      <c r="O1362" t="str">
        <f>_xlfn.XLOOKUP(Sales_fact[[#This Row],[Customer_ID]],'Customer_Dim'!A:A,'Customer_Dim'!K:K,"Not Found")</f>
        <v>Platinum</v>
      </c>
      <c r="P1362">
        <f>_xlfn.XLOOKUP(Sales_fact[[#This Row],[Customer_ID]],'Customer_Dim'!A:A, 'Customer_Dim'!E:E, "Not Found")</f>
        <v>55</v>
      </c>
      <c r="Q1362" t="str">
        <f>VLOOKUP(Sales_fact[[#This Row],[Customer_ID]], 'Customer_Dim'!A:F, 6, FALSE)</f>
        <v>Female</v>
      </c>
      <c r="R1362" s="13" t="str">
        <f>_xlfn.XLOOKUP(Sales_fact[[#This Row],[Product_ID]],Product_Dim!A:A,Product_Dim!C:C,"OTHERS")</f>
        <v>Sports</v>
      </c>
    </row>
    <row r="1363" spans="1:18" x14ac:dyDescent="0.3">
      <c r="A1363" t="s">
        <v>3187</v>
      </c>
      <c r="B1363" s="2">
        <v>45532</v>
      </c>
      <c r="C1363" t="s">
        <v>619</v>
      </c>
      <c r="D1363" t="s">
        <v>1614</v>
      </c>
      <c r="E1363" t="str">
        <f ca="1">TRIM(Sales_fact[[#This Row],[Store_ID]])</f>
        <v>STORE19</v>
      </c>
      <c r="F1363">
        <v>4</v>
      </c>
      <c r="G1363">
        <f>IF(ISBLANK(F1363),MODE($F$2:$F$2001),F1363)</f>
        <v>4</v>
      </c>
      <c r="H1363">
        <v>885.57</v>
      </c>
      <c r="I1363">
        <f>IF(ISBLANK(H1363),AVERAGE($H$2:$H$2001),H1363)</f>
        <v>885.57</v>
      </c>
      <c r="J1363">
        <v>0.27</v>
      </c>
      <c r="K1363">
        <f>IF(ISBLANK(J1363),MODE($J$2:$J$2001),J1363)</f>
        <v>0.27</v>
      </c>
      <c r="L1363" t="s">
        <v>1824</v>
      </c>
      <c r="M1363">
        <v>2585.8643999999999</v>
      </c>
      <c r="N1363">
        <f t="shared" si="21"/>
        <v>2585.8643999999999</v>
      </c>
      <c r="O1363" t="str">
        <f>_xlfn.XLOOKUP(Sales_fact[[#This Row],[Customer_ID]],'Customer_Dim'!A:A,'Customer_Dim'!K:K,"Not Found")</f>
        <v>Silver</v>
      </c>
      <c r="P1363">
        <f>_xlfn.XLOOKUP(Sales_fact[[#This Row],[Customer_ID]],'Customer_Dim'!A:A, 'Customer_Dim'!E:E, "Not Found")</f>
        <v>42</v>
      </c>
      <c r="Q1363" t="str">
        <f>VLOOKUP(Sales_fact[[#This Row],[Customer_ID]], 'Customer_Dim'!A:F, 6, FALSE)</f>
        <v>Male</v>
      </c>
      <c r="R1363" s="13" t="str">
        <f>_xlfn.XLOOKUP(Sales_fact[[#This Row],[Product_ID]],Product_Dim!A:A,Product_Dim!C:C,"OTHERS")</f>
        <v>Home</v>
      </c>
    </row>
    <row r="1364" spans="1:18" x14ac:dyDescent="0.3">
      <c r="A1364" t="s">
        <v>3188</v>
      </c>
      <c r="B1364" s="2">
        <v>45454</v>
      </c>
      <c r="C1364" t="s">
        <v>1252</v>
      </c>
      <c r="D1364" t="s">
        <v>1656</v>
      </c>
      <c r="E1364" t="str">
        <f ca="1">TRIM(Sales_fact[[#This Row],[Store_ID]])</f>
        <v>STORE15</v>
      </c>
      <c r="F1364">
        <v>3</v>
      </c>
      <c r="G1364">
        <f>IF(ISBLANK(F1364),MODE($F$2:$F$2001),F1364)</f>
        <v>3</v>
      </c>
      <c r="H1364">
        <v>789.05</v>
      </c>
      <c r="I1364">
        <f>IF(ISBLANK(H1364),AVERAGE($H$2:$H$2001),H1364)</f>
        <v>789.05</v>
      </c>
      <c r="J1364">
        <v>0</v>
      </c>
      <c r="K1364">
        <f>IF(ISBLANK(J1364),MODE($J$2:$J$2001),J1364)</f>
        <v>0</v>
      </c>
      <c r="L1364" t="s">
        <v>1826</v>
      </c>
      <c r="M1364">
        <v>2367.15</v>
      </c>
      <c r="N1364">
        <f t="shared" si="21"/>
        <v>2367.1499999999996</v>
      </c>
      <c r="O1364" t="str">
        <f>_xlfn.XLOOKUP(Sales_fact[[#This Row],[Customer_ID]],'Customer_Dim'!A:A,'Customer_Dim'!K:K,"Not Found")</f>
        <v>Bronze</v>
      </c>
      <c r="P1364">
        <f>_xlfn.XLOOKUP(Sales_fact[[#This Row],[Customer_ID]],'Customer_Dim'!A:A, 'Customer_Dim'!E:E, "Not Found")</f>
        <v>31</v>
      </c>
      <c r="Q1364" t="str">
        <f>VLOOKUP(Sales_fact[[#This Row],[Customer_ID]], 'Customer_Dim'!A:F, 6, FALSE)</f>
        <v>Male</v>
      </c>
      <c r="R1364" s="13" t="str">
        <f>_xlfn.XLOOKUP(Sales_fact[[#This Row],[Product_ID]],Product_Dim!A:A,Product_Dim!C:C,"OTHERS")</f>
        <v>Sports</v>
      </c>
    </row>
    <row r="1365" spans="1:18" x14ac:dyDescent="0.3">
      <c r="A1365" t="s">
        <v>3189</v>
      </c>
      <c r="B1365" s="2">
        <v>45244</v>
      </c>
      <c r="C1365" t="s">
        <v>517</v>
      </c>
      <c r="D1365" t="s">
        <v>1680</v>
      </c>
      <c r="E1365" t="str">
        <f ca="1">TRIM(Sales_fact[[#This Row],[Store_ID]])</f>
        <v>STORE0</v>
      </c>
      <c r="F1365">
        <v>1</v>
      </c>
      <c r="G1365">
        <f>IF(ISBLANK(F1365),MODE($F$2:$F$2001),F1365)</f>
        <v>1</v>
      </c>
      <c r="H1365">
        <v>570.52</v>
      </c>
      <c r="I1365">
        <f>IF(ISBLANK(H1365),AVERAGE($H$2:$H$2001),H1365)</f>
        <v>570.52</v>
      </c>
      <c r="J1365">
        <v>0</v>
      </c>
      <c r="K1365">
        <f>IF(ISBLANK(J1365),MODE($J$2:$J$2001),J1365)</f>
        <v>0</v>
      </c>
      <c r="L1365" t="s">
        <v>1826</v>
      </c>
      <c r="M1365">
        <v>570.52</v>
      </c>
      <c r="N1365">
        <f t="shared" si="21"/>
        <v>570.52</v>
      </c>
      <c r="O1365" t="str">
        <f>_xlfn.XLOOKUP(Sales_fact[[#This Row],[Customer_ID]],'Customer_Dim'!A:A,'Customer_Dim'!K:K,"Not Found")</f>
        <v>Gold</v>
      </c>
      <c r="P1365">
        <f>_xlfn.XLOOKUP(Sales_fact[[#This Row],[Customer_ID]],'Customer_Dim'!A:A, 'Customer_Dim'!E:E, "Not Found")</f>
        <v>35</v>
      </c>
      <c r="Q1365" t="str">
        <f>VLOOKUP(Sales_fact[[#This Row],[Customer_ID]], 'Customer_Dim'!A:F, 6, FALSE)</f>
        <v>Female</v>
      </c>
      <c r="R1365" s="13" t="str">
        <f>_xlfn.XLOOKUP(Sales_fact[[#This Row],[Product_ID]],Product_Dim!A:A,Product_Dim!C:C,"OTHERS")</f>
        <v>Beauty</v>
      </c>
    </row>
    <row r="1366" spans="1:18" x14ac:dyDescent="0.3">
      <c r="A1366" t="s">
        <v>3190</v>
      </c>
      <c r="B1366" s="2">
        <v>45322</v>
      </c>
      <c r="C1366" t="s">
        <v>592</v>
      </c>
      <c r="D1366" t="s">
        <v>1602</v>
      </c>
      <c r="E1366" t="str">
        <f ca="1">TRIM(Sales_fact[[#This Row],[Store_ID]])</f>
        <v>STORE16</v>
      </c>
      <c r="F1366">
        <v>4</v>
      </c>
      <c r="G1366">
        <f>IF(ISBLANK(F1366),MODE($F$2:$F$2001),F1366)</f>
        <v>4</v>
      </c>
      <c r="H1366">
        <v>310.79000000000002</v>
      </c>
      <c r="I1366">
        <f>IF(ISBLANK(H1366),AVERAGE($H$2:$H$2001),H1366)</f>
        <v>310.79000000000002</v>
      </c>
      <c r="J1366">
        <v>0.22</v>
      </c>
      <c r="K1366">
        <f>IF(ISBLANK(J1366),MODE($J$2:$J$2001),J1366)</f>
        <v>0.22</v>
      </c>
      <c r="L1366" t="s">
        <v>1829</v>
      </c>
      <c r="M1366">
        <v>969.66480000000013</v>
      </c>
      <c r="N1366">
        <f t="shared" si="21"/>
        <v>969.66480000000013</v>
      </c>
      <c r="O1366" t="str">
        <f>_xlfn.XLOOKUP(Sales_fact[[#This Row],[Customer_ID]],'Customer_Dim'!A:A,'Customer_Dim'!K:K,"Not Found")</f>
        <v>Silver</v>
      </c>
      <c r="P1366">
        <f>_xlfn.XLOOKUP(Sales_fact[[#This Row],[Customer_ID]],'Customer_Dim'!A:A, 'Customer_Dim'!E:E, "Not Found")</f>
        <v>43</v>
      </c>
      <c r="Q1366" t="str">
        <f>VLOOKUP(Sales_fact[[#This Row],[Customer_ID]], 'Customer_Dim'!A:F, 6, FALSE)</f>
        <v>Female</v>
      </c>
      <c r="R1366" s="13" t="str">
        <f>_xlfn.XLOOKUP(Sales_fact[[#This Row],[Product_ID]],Product_Dim!A:A,Product_Dim!C:C,"OTHERS")</f>
        <v>Home</v>
      </c>
    </row>
    <row r="1367" spans="1:18" x14ac:dyDescent="0.3">
      <c r="A1367" t="s">
        <v>3191</v>
      </c>
      <c r="B1367" s="2">
        <v>45757</v>
      </c>
      <c r="C1367" t="s">
        <v>214</v>
      </c>
      <c r="D1367" t="s">
        <v>1684</v>
      </c>
      <c r="E1367" t="str">
        <f ca="1">TRIM(Sales_fact[[#This Row],[Store_ID]])</f>
        <v>STORE17</v>
      </c>
      <c r="F1367">
        <v>4</v>
      </c>
      <c r="G1367">
        <f>IF(ISBLANK(F1367),MODE($F$2:$F$2001),F1367)</f>
        <v>4</v>
      </c>
      <c r="H1367">
        <v>255.67</v>
      </c>
      <c r="I1367">
        <f>IF(ISBLANK(H1367),AVERAGE($H$2:$H$2001),H1367)</f>
        <v>255.67</v>
      </c>
      <c r="J1367">
        <v>0.17</v>
      </c>
      <c r="K1367">
        <f>IF(ISBLANK(J1367),MODE($J$2:$J$2001),J1367)</f>
        <v>0.17</v>
      </c>
      <c r="L1367" t="s">
        <v>1824</v>
      </c>
      <c r="M1367">
        <v>848.82439999999997</v>
      </c>
      <c r="N1367">
        <f t="shared" si="21"/>
        <v>848.82439999999997</v>
      </c>
      <c r="O1367" t="str">
        <f>_xlfn.XLOOKUP(Sales_fact[[#This Row],[Customer_ID]],'Customer_Dim'!A:A,'Customer_Dim'!K:K,"Not Found")</f>
        <v>Platinum</v>
      </c>
      <c r="P1367">
        <f>_xlfn.XLOOKUP(Sales_fact[[#This Row],[Customer_ID]],'Customer_Dim'!A:A, 'Customer_Dim'!E:E, "Not Found")</f>
        <v>43</v>
      </c>
      <c r="Q1367" t="str">
        <f>VLOOKUP(Sales_fact[[#This Row],[Customer_ID]], 'Customer_Dim'!A:F, 6, FALSE)</f>
        <v>Female</v>
      </c>
      <c r="R1367" s="13" t="str">
        <f>_xlfn.XLOOKUP(Sales_fact[[#This Row],[Product_ID]],Product_Dim!A:A,Product_Dim!C:C,"OTHERS")</f>
        <v>Home</v>
      </c>
    </row>
    <row r="1368" spans="1:18" x14ac:dyDescent="0.3">
      <c r="A1368" t="s">
        <v>3192</v>
      </c>
      <c r="B1368" s="2">
        <v>45397</v>
      </c>
      <c r="C1368" t="s">
        <v>444</v>
      </c>
      <c r="D1368" t="s">
        <v>1602</v>
      </c>
      <c r="E1368" t="str">
        <f ca="1">TRIM(Sales_fact[[#This Row],[Store_ID]])</f>
        <v>STORE16</v>
      </c>
      <c r="F1368">
        <v>2</v>
      </c>
      <c r="G1368">
        <f>IF(ISBLANK(F1368),MODE($F$2:$F$2001),F1368)</f>
        <v>2</v>
      </c>
      <c r="H1368">
        <v>270.66000000000003</v>
      </c>
      <c r="I1368">
        <f>IF(ISBLANK(H1368),AVERAGE($H$2:$H$2001),H1368)</f>
        <v>270.66000000000003</v>
      </c>
      <c r="J1368">
        <v>0.1</v>
      </c>
      <c r="K1368">
        <f>IF(ISBLANK(J1368),MODE($J$2:$J$2001),J1368)</f>
        <v>0.1</v>
      </c>
      <c r="L1368" t="s">
        <v>1829</v>
      </c>
      <c r="M1368">
        <v>487.18799999999999</v>
      </c>
      <c r="N1368">
        <f t="shared" si="21"/>
        <v>487.18800000000005</v>
      </c>
      <c r="O1368" t="str">
        <f>_xlfn.XLOOKUP(Sales_fact[[#This Row],[Customer_ID]],'Customer_Dim'!A:A,'Customer_Dim'!K:K,"Not Found")</f>
        <v>Silver</v>
      </c>
      <c r="P1368">
        <f>_xlfn.XLOOKUP(Sales_fact[[#This Row],[Customer_ID]],'Customer_Dim'!A:A, 'Customer_Dim'!E:E, "Not Found")</f>
        <v>43</v>
      </c>
      <c r="Q1368" t="str">
        <f>VLOOKUP(Sales_fact[[#This Row],[Customer_ID]], 'Customer_Dim'!A:F, 6, FALSE)</f>
        <v>Female</v>
      </c>
      <c r="R1368" s="13" t="str">
        <f>_xlfn.XLOOKUP(Sales_fact[[#This Row],[Product_ID]],Product_Dim!A:A,Product_Dim!C:C,"OTHERS")</f>
        <v>Home</v>
      </c>
    </row>
    <row r="1369" spans="1:18" x14ac:dyDescent="0.3">
      <c r="A1369" t="s">
        <v>3193</v>
      </c>
      <c r="B1369" s="2">
        <v>45914</v>
      </c>
      <c r="C1369" t="s">
        <v>945</v>
      </c>
      <c r="D1369" t="s">
        <v>1594</v>
      </c>
      <c r="E1369" t="str">
        <f ca="1">TRIM(Sales_fact[[#This Row],[Store_ID]])</f>
        <v>STORE17</v>
      </c>
      <c r="F1369">
        <v>3</v>
      </c>
      <c r="G1369">
        <f>IF(ISBLANK(F1369),MODE($F$2:$F$2001),F1369)</f>
        <v>3</v>
      </c>
      <c r="H1369">
        <v>373.35</v>
      </c>
      <c r="I1369">
        <f>IF(ISBLANK(H1369),AVERAGE($H$2:$H$2001),H1369)</f>
        <v>373.35</v>
      </c>
      <c r="J1369">
        <v>0.2</v>
      </c>
      <c r="K1369">
        <f>IF(ISBLANK(J1369),MODE($J$2:$J$2001),J1369)</f>
        <v>0.2</v>
      </c>
      <c r="L1369" t="s">
        <v>1829</v>
      </c>
      <c r="M1369">
        <v>896.04000000000019</v>
      </c>
      <c r="N1369">
        <f t="shared" si="21"/>
        <v>896.04000000000019</v>
      </c>
      <c r="O1369" t="str">
        <f>_xlfn.XLOOKUP(Sales_fact[[#This Row],[Customer_ID]],'Customer_Dim'!A:A,'Customer_Dim'!K:K,"Not Found")</f>
        <v>Platinum</v>
      </c>
      <c r="P1369">
        <f>_xlfn.XLOOKUP(Sales_fact[[#This Row],[Customer_ID]],'Customer_Dim'!A:A, 'Customer_Dim'!E:E, "Not Found")</f>
        <v>48</v>
      </c>
      <c r="Q1369" t="str">
        <f>VLOOKUP(Sales_fact[[#This Row],[Customer_ID]], 'Customer_Dim'!A:F, 6, FALSE)</f>
        <v>Female</v>
      </c>
      <c r="R1369" s="13" t="str">
        <f>_xlfn.XLOOKUP(Sales_fact[[#This Row],[Product_ID]],Product_Dim!A:A,Product_Dim!C:C,"OTHERS")</f>
        <v>Clothing</v>
      </c>
    </row>
    <row r="1370" spans="1:18" x14ac:dyDescent="0.3">
      <c r="A1370" t="s">
        <v>3194</v>
      </c>
      <c r="B1370" s="2">
        <v>45432</v>
      </c>
      <c r="C1370" t="s">
        <v>144</v>
      </c>
      <c r="D1370" t="s">
        <v>1666</v>
      </c>
      <c r="E1370" t="str">
        <f ca="1">TRIM(Sales_fact[[#This Row],[Store_ID]])</f>
        <v>STORE11</v>
      </c>
      <c r="F1370">
        <v>2</v>
      </c>
      <c r="G1370">
        <f>IF(ISBLANK(F1370),MODE($F$2:$F$2001),F1370)</f>
        <v>2</v>
      </c>
      <c r="H1370">
        <v>23.58</v>
      </c>
      <c r="I1370">
        <f>IF(ISBLANK(H1370),AVERAGE($H$2:$H$2001),H1370)</f>
        <v>23.58</v>
      </c>
      <c r="J1370">
        <v>0.02</v>
      </c>
      <c r="K1370">
        <f>IF(ISBLANK(J1370),MODE($J$2:$J$2001),J1370)</f>
        <v>0.02</v>
      </c>
      <c r="L1370" t="s">
        <v>1826</v>
      </c>
      <c r="M1370">
        <v>46.216799999999999</v>
      </c>
      <c r="N1370">
        <f t="shared" si="21"/>
        <v>46.216799999999999</v>
      </c>
      <c r="O1370" t="str">
        <f>_xlfn.XLOOKUP(Sales_fact[[#This Row],[Customer_ID]],'Customer_Dim'!A:A,'Customer_Dim'!K:K,"Not Found")</f>
        <v>Gold</v>
      </c>
      <c r="P1370">
        <f>_xlfn.XLOOKUP(Sales_fact[[#This Row],[Customer_ID]],'Customer_Dim'!A:A, 'Customer_Dim'!E:E, "Not Found")</f>
        <v>20</v>
      </c>
      <c r="Q1370" t="str">
        <f>VLOOKUP(Sales_fact[[#This Row],[Customer_ID]], 'Customer_Dim'!A:F, 6, FALSE)</f>
        <v>Female</v>
      </c>
      <c r="R1370" s="13" t="str">
        <f>_xlfn.XLOOKUP(Sales_fact[[#This Row],[Product_ID]],Product_Dim!A:A,Product_Dim!C:C,"OTHERS")</f>
        <v>Beauty</v>
      </c>
    </row>
    <row r="1371" spans="1:18" x14ac:dyDescent="0.3">
      <c r="A1371" t="s">
        <v>3195</v>
      </c>
      <c r="B1371" s="2">
        <v>45798</v>
      </c>
      <c r="C1371" t="s">
        <v>32</v>
      </c>
      <c r="D1371" t="s">
        <v>1618</v>
      </c>
      <c r="E1371" t="str">
        <f ca="1">TRIM(Sales_fact[[#This Row],[Store_ID]])</f>
        <v>STORE7</v>
      </c>
      <c r="F1371">
        <v>4</v>
      </c>
      <c r="G1371">
        <f>IF(ISBLANK(F1371),MODE($F$2:$F$2001),F1371)</f>
        <v>4</v>
      </c>
      <c r="H1371">
        <v>185.67</v>
      </c>
      <c r="I1371">
        <f>IF(ISBLANK(H1371),AVERAGE($H$2:$H$2001),H1371)</f>
        <v>185.67</v>
      </c>
      <c r="J1371">
        <v>0.21</v>
      </c>
      <c r="K1371">
        <f>IF(ISBLANK(J1371),MODE($J$2:$J$2001),J1371)</f>
        <v>0.21</v>
      </c>
      <c r="L1371" t="s">
        <v>1826</v>
      </c>
      <c r="M1371">
        <v>586.71719999999993</v>
      </c>
      <c r="N1371">
        <f t="shared" si="21"/>
        <v>586.71719999999993</v>
      </c>
      <c r="O1371" t="str">
        <f>_xlfn.XLOOKUP(Sales_fact[[#This Row],[Customer_ID]],'Customer_Dim'!A:A,'Customer_Dim'!K:K,"Not Found")</f>
        <v>Bronze</v>
      </c>
      <c r="P1371">
        <f>_xlfn.XLOOKUP(Sales_fact[[#This Row],[Customer_ID]],'Customer_Dim'!A:A, 'Customer_Dim'!E:E, "Not Found")</f>
        <v>24</v>
      </c>
      <c r="Q1371" t="str">
        <f>VLOOKUP(Sales_fact[[#This Row],[Customer_ID]], 'Customer_Dim'!A:F, 6, FALSE)</f>
        <v>Male</v>
      </c>
      <c r="R1371" s="13" t="str">
        <f>_xlfn.XLOOKUP(Sales_fact[[#This Row],[Product_ID]],Product_Dim!A:A,Product_Dim!C:C,"OTHERS")</f>
        <v>Home</v>
      </c>
    </row>
    <row r="1372" spans="1:18" x14ac:dyDescent="0.3">
      <c r="A1372" t="s">
        <v>3196</v>
      </c>
      <c r="B1372" s="2">
        <v>45396</v>
      </c>
      <c r="C1372" t="s">
        <v>417</v>
      </c>
      <c r="D1372" t="s">
        <v>1584</v>
      </c>
      <c r="E1372" t="str">
        <f ca="1">TRIM(Sales_fact[[#This Row],[Store_ID]])</f>
        <v>STORE13</v>
      </c>
      <c r="F1372">
        <v>3</v>
      </c>
      <c r="G1372">
        <f>IF(ISBLANK(F1372),MODE($F$2:$F$2001),F1372)</f>
        <v>3</v>
      </c>
      <c r="H1372">
        <v>928.74</v>
      </c>
      <c r="I1372">
        <f>IF(ISBLANK(H1372),AVERAGE($H$2:$H$2001),H1372)</f>
        <v>928.74</v>
      </c>
      <c r="J1372">
        <v>0.27</v>
      </c>
      <c r="K1372">
        <f>IF(ISBLANK(J1372),MODE($J$2:$J$2001),J1372)</f>
        <v>0.27</v>
      </c>
      <c r="L1372" t="s">
        <v>1826</v>
      </c>
      <c r="M1372">
        <v>2033.9405999999999</v>
      </c>
      <c r="N1372">
        <f t="shared" si="21"/>
        <v>2033.9406000000001</v>
      </c>
      <c r="O1372" t="str">
        <f>_xlfn.XLOOKUP(Sales_fact[[#This Row],[Customer_ID]],'Customer_Dim'!A:A,'Customer_Dim'!K:K,"Not Found")</f>
        <v>Platinum</v>
      </c>
      <c r="P1372">
        <f>_xlfn.XLOOKUP(Sales_fact[[#This Row],[Customer_ID]],'Customer_Dim'!A:A, 'Customer_Dim'!E:E, "Not Found")</f>
        <v>44</v>
      </c>
      <c r="Q1372" t="str">
        <f>VLOOKUP(Sales_fact[[#This Row],[Customer_ID]], 'Customer_Dim'!A:F, 6, FALSE)</f>
        <v>Female</v>
      </c>
      <c r="R1372" s="13" t="str">
        <f>_xlfn.XLOOKUP(Sales_fact[[#This Row],[Product_ID]],Product_Dim!A:A,Product_Dim!C:C,"OTHERS")</f>
        <v>Clothing</v>
      </c>
    </row>
    <row r="1373" spans="1:18" x14ac:dyDescent="0.3">
      <c r="A1373" t="s">
        <v>3197</v>
      </c>
      <c r="B1373" s="2">
        <v>45235</v>
      </c>
      <c r="C1373" t="s">
        <v>121</v>
      </c>
      <c r="D1373" t="s">
        <v>1716</v>
      </c>
      <c r="E1373" t="str">
        <f ca="1">TRIM(Sales_fact[[#This Row],[Store_ID]])</f>
        <v>STORE5</v>
      </c>
      <c r="F1373">
        <v>3</v>
      </c>
      <c r="G1373">
        <f>IF(ISBLANK(F1373),MODE($F$2:$F$2001),F1373)</f>
        <v>3</v>
      </c>
      <c r="H1373">
        <v>923.38</v>
      </c>
      <c r="I1373">
        <f>IF(ISBLANK(H1373),AVERAGE($H$2:$H$2001),H1373)</f>
        <v>923.38</v>
      </c>
      <c r="J1373">
        <v>7.0000000000000007E-2</v>
      </c>
      <c r="K1373">
        <f>IF(ISBLANK(J1373),MODE($J$2:$J$2001),J1373)</f>
        <v>7.0000000000000007E-2</v>
      </c>
      <c r="L1373" t="s">
        <v>1829</v>
      </c>
      <c r="M1373">
        <v>2576.2302</v>
      </c>
      <c r="N1373">
        <f t="shared" si="21"/>
        <v>2576.2301999999995</v>
      </c>
      <c r="O1373" t="str">
        <f>_xlfn.XLOOKUP(Sales_fact[[#This Row],[Customer_ID]],'Customer_Dim'!A:A,'Customer_Dim'!K:K,"Not Found")</f>
        <v>Silver</v>
      </c>
      <c r="P1373">
        <f>_xlfn.XLOOKUP(Sales_fact[[#This Row],[Customer_ID]],'Customer_Dim'!A:A, 'Customer_Dim'!E:E, "Not Found")</f>
        <v>54</v>
      </c>
      <c r="Q1373" t="str">
        <f>VLOOKUP(Sales_fact[[#This Row],[Customer_ID]], 'Customer_Dim'!A:F, 6, FALSE)</f>
        <v>Female</v>
      </c>
      <c r="R1373" s="13" t="str">
        <f>_xlfn.XLOOKUP(Sales_fact[[#This Row],[Product_ID]],Product_Dim!A:A,Product_Dim!C:C,"OTHERS")</f>
        <v>Home</v>
      </c>
    </row>
    <row r="1374" spans="1:18" x14ac:dyDescent="0.3">
      <c r="A1374" t="s">
        <v>3198</v>
      </c>
      <c r="B1374" s="2">
        <v>45499</v>
      </c>
      <c r="C1374" t="s">
        <v>1425</v>
      </c>
      <c r="D1374" t="s">
        <v>1553</v>
      </c>
      <c r="E1374" t="str">
        <f ca="1">TRIM(Sales_fact[[#This Row],[Store_ID]])</f>
        <v>STORE9</v>
      </c>
      <c r="F1374">
        <v>2</v>
      </c>
      <c r="G1374">
        <f>IF(ISBLANK(F1374),MODE($F$2:$F$2001),F1374)</f>
        <v>2</v>
      </c>
      <c r="H1374">
        <v>409.26</v>
      </c>
      <c r="I1374">
        <f>IF(ISBLANK(H1374),AVERAGE($H$2:$H$2001),H1374)</f>
        <v>409.26</v>
      </c>
      <c r="J1374">
        <v>0.1</v>
      </c>
      <c r="K1374">
        <f>IF(ISBLANK(J1374),MODE($J$2:$J$2001),J1374)</f>
        <v>0.1</v>
      </c>
      <c r="L1374" t="s">
        <v>1826</v>
      </c>
      <c r="M1374">
        <v>736.66800000000001</v>
      </c>
      <c r="N1374">
        <f t="shared" si="21"/>
        <v>736.66800000000001</v>
      </c>
      <c r="O1374" t="str">
        <f>_xlfn.XLOOKUP(Sales_fact[[#This Row],[Customer_ID]],'Customer_Dim'!A:A,'Customer_Dim'!K:K,"Not Found")</f>
        <v>Silver</v>
      </c>
      <c r="P1374">
        <f>_xlfn.XLOOKUP(Sales_fact[[#This Row],[Customer_ID]],'Customer_Dim'!A:A, 'Customer_Dim'!E:E, "Not Found")</f>
        <v>34</v>
      </c>
      <c r="Q1374" t="str">
        <f>VLOOKUP(Sales_fact[[#This Row],[Customer_ID]], 'Customer_Dim'!A:F, 6, FALSE)</f>
        <v>Female</v>
      </c>
      <c r="R1374" s="13" t="str">
        <f>_xlfn.XLOOKUP(Sales_fact[[#This Row],[Product_ID]],Product_Dim!A:A,Product_Dim!C:C,"OTHERS")</f>
        <v>Clothing</v>
      </c>
    </row>
    <row r="1375" spans="1:18" x14ac:dyDescent="0.3">
      <c r="A1375" t="s">
        <v>3199</v>
      </c>
      <c r="B1375" s="2">
        <v>45272</v>
      </c>
      <c r="C1375" t="s">
        <v>812</v>
      </c>
      <c r="D1375" t="s">
        <v>1594</v>
      </c>
      <c r="E1375" t="str">
        <f ca="1">TRIM(Sales_fact[[#This Row],[Store_ID]])</f>
        <v>STORE7</v>
      </c>
      <c r="F1375">
        <v>2</v>
      </c>
      <c r="G1375">
        <f>IF(ISBLANK(F1375),MODE($F$2:$F$2001),F1375)</f>
        <v>2</v>
      </c>
      <c r="H1375">
        <v>608.46</v>
      </c>
      <c r="I1375">
        <f>IF(ISBLANK(H1375),AVERAGE($H$2:$H$2001),H1375)</f>
        <v>608.46</v>
      </c>
      <c r="J1375">
        <v>0.16</v>
      </c>
      <c r="K1375">
        <f>IF(ISBLANK(J1375),MODE($J$2:$J$2001),J1375)</f>
        <v>0.16</v>
      </c>
      <c r="L1375" t="s">
        <v>1824</v>
      </c>
      <c r="M1375">
        <v>1022.2128</v>
      </c>
      <c r="N1375">
        <f t="shared" si="21"/>
        <v>1022.2128</v>
      </c>
      <c r="O1375" t="str">
        <f>_xlfn.XLOOKUP(Sales_fact[[#This Row],[Customer_ID]],'Customer_Dim'!A:A,'Customer_Dim'!K:K,"Not Found")</f>
        <v>Silver</v>
      </c>
      <c r="P1375">
        <f>_xlfn.XLOOKUP(Sales_fact[[#This Row],[Customer_ID]],'Customer_Dim'!A:A, 'Customer_Dim'!E:E, "Not Found")</f>
        <v>34</v>
      </c>
      <c r="Q1375" t="str">
        <f>VLOOKUP(Sales_fact[[#This Row],[Customer_ID]], 'Customer_Dim'!A:F, 6, FALSE)</f>
        <v>Male</v>
      </c>
      <c r="R1375" s="13" t="str">
        <f>_xlfn.XLOOKUP(Sales_fact[[#This Row],[Product_ID]],Product_Dim!A:A,Product_Dim!C:C,"OTHERS")</f>
        <v>Clothing</v>
      </c>
    </row>
    <row r="1376" spans="1:18" x14ac:dyDescent="0.3">
      <c r="A1376" t="s">
        <v>3200</v>
      </c>
      <c r="B1376" s="2">
        <v>45785</v>
      </c>
      <c r="C1376" t="s">
        <v>690</v>
      </c>
      <c r="D1376" t="s">
        <v>1632</v>
      </c>
      <c r="E1376" t="str">
        <f ca="1">TRIM(Sales_fact[[#This Row],[Store_ID]])</f>
        <v>STORE19</v>
      </c>
      <c r="F1376">
        <v>4</v>
      </c>
      <c r="G1376">
        <f>IF(ISBLANK(F1376),MODE($F$2:$F$2001),F1376)</f>
        <v>4</v>
      </c>
      <c r="H1376">
        <v>150.47999999999999</v>
      </c>
      <c r="I1376">
        <f>IF(ISBLANK(H1376),AVERAGE($H$2:$H$2001),H1376)</f>
        <v>150.47999999999999</v>
      </c>
      <c r="J1376">
        <v>0.09</v>
      </c>
      <c r="K1376">
        <f>IF(ISBLANK(J1376),MODE($J$2:$J$2001),J1376)</f>
        <v>0.09</v>
      </c>
      <c r="L1376" t="s">
        <v>1824</v>
      </c>
      <c r="M1376">
        <v>547.74720000000002</v>
      </c>
      <c r="N1376">
        <f t="shared" si="21"/>
        <v>547.74720000000002</v>
      </c>
      <c r="O1376" t="str">
        <f>_xlfn.XLOOKUP(Sales_fact[[#This Row],[Customer_ID]],'Customer_Dim'!A:A,'Customer_Dim'!K:K,"Not Found")</f>
        <v>Platinum</v>
      </c>
      <c r="P1376">
        <f>_xlfn.XLOOKUP(Sales_fact[[#This Row],[Customer_ID]],'Customer_Dim'!A:A, 'Customer_Dim'!E:E, "Not Found")</f>
        <v>63</v>
      </c>
      <c r="Q1376" t="str">
        <f>VLOOKUP(Sales_fact[[#This Row],[Customer_ID]], 'Customer_Dim'!A:F, 6, FALSE)</f>
        <v>Female</v>
      </c>
      <c r="R1376" s="13" t="str">
        <f>_xlfn.XLOOKUP(Sales_fact[[#This Row],[Product_ID]],Product_Dim!A:A,Product_Dim!C:C,"OTHERS")</f>
        <v>Electronics</v>
      </c>
    </row>
    <row r="1377" spans="1:18" x14ac:dyDescent="0.3">
      <c r="A1377" t="s">
        <v>3201</v>
      </c>
      <c r="B1377" s="2">
        <v>45534</v>
      </c>
      <c r="C1377" t="s">
        <v>785</v>
      </c>
      <c r="D1377" t="s">
        <v>1684</v>
      </c>
      <c r="E1377" t="str">
        <f ca="1">TRIM(Sales_fact[[#This Row],[Store_ID]])</f>
        <v>STORE14</v>
      </c>
      <c r="F1377">
        <v>4</v>
      </c>
      <c r="G1377">
        <f>IF(ISBLANK(F1377),MODE($F$2:$F$2001),F1377)</f>
        <v>4</v>
      </c>
      <c r="H1377">
        <v>207.41</v>
      </c>
      <c r="I1377">
        <f>IF(ISBLANK(H1377),AVERAGE($H$2:$H$2001),H1377)</f>
        <v>207.41</v>
      </c>
      <c r="J1377">
        <v>0.02</v>
      </c>
      <c r="K1377">
        <f>IF(ISBLANK(J1377),MODE($J$2:$J$2001),J1377)</f>
        <v>0.02</v>
      </c>
      <c r="L1377" t="s">
        <v>1824</v>
      </c>
      <c r="M1377">
        <v>813.04719999999998</v>
      </c>
      <c r="N1377">
        <f t="shared" si="21"/>
        <v>813.04719999999998</v>
      </c>
      <c r="O1377" t="str">
        <f>_xlfn.XLOOKUP(Sales_fact[[#This Row],[Customer_ID]],'Customer_Dim'!A:A,'Customer_Dim'!K:K,"Not Found")</f>
        <v>Platinum</v>
      </c>
      <c r="P1377">
        <f>_xlfn.XLOOKUP(Sales_fact[[#This Row],[Customer_ID]],'Customer_Dim'!A:A, 'Customer_Dim'!E:E, "Not Found")</f>
        <v>57</v>
      </c>
      <c r="Q1377" t="str">
        <f>VLOOKUP(Sales_fact[[#This Row],[Customer_ID]], 'Customer_Dim'!A:F, 6, FALSE)</f>
        <v>Female</v>
      </c>
      <c r="R1377" s="13" t="str">
        <f>_xlfn.XLOOKUP(Sales_fact[[#This Row],[Product_ID]],Product_Dim!A:A,Product_Dim!C:C,"OTHERS")</f>
        <v>Home</v>
      </c>
    </row>
    <row r="1378" spans="1:18" x14ac:dyDescent="0.3">
      <c r="A1378" t="s">
        <v>3202</v>
      </c>
      <c r="B1378" s="2">
        <v>45803</v>
      </c>
      <c r="C1378" t="s">
        <v>571</v>
      </c>
      <c r="D1378" t="s">
        <v>1570</v>
      </c>
      <c r="E1378" t="str">
        <f ca="1">TRIM(Sales_fact[[#This Row],[Store_ID]])</f>
        <v>STORE6</v>
      </c>
      <c r="F1378">
        <v>1</v>
      </c>
      <c r="G1378">
        <f>IF(ISBLANK(F1378),MODE($F$2:$F$2001),F1378)</f>
        <v>1</v>
      </c>
      <c r="H1378">
        <v>56.59</v>
      </c>
      <c r="I1378">
        <f>IF(ISBLANK(H1378),AVERAGE($H$2:$H$2001),H1378)</f>
        <v>56.59</v>
      </c>
      <c r="J1378">
        <v>0.15</v>
      </c>
      <c r="K1378">
        <f>IF(ISBLANK(J1378),MODE($J$2:$J$2001),J1378)</f>
        <v>0.15</v>
      </c>
      <c r="L1378" t="s">
        <v>1826</v>
      </c>
      <c r="M1378">
        <v>48.101500000000001</v>
      </c>
      <c r="N1378">
        <f t="shared" si="21"/>
        <v>48.101500000000001</v>
      </c>
      <c r="O1378" t="str">
        <f>_xlfn.XLOOKUP(Sales_fact[[#This Row],[Customer_ID]],'Customer_Dim'!A:A,'Customer_Dim'!K:K,"Not Found")</f>
        <v>Bronze</v>
      </c>
      <c r="P1378">
        <f>_xlfn.XLOOKUP(Sales_fact[[#This Row],[Customer_ID]],'Customer_Dim'!A:A, 'Customer_Dim'!E:E, "Not Found")</f>
        <v>41</v>
      </c>
      <c r="Q1378" t="str">
        <f>VLOOKUP(Sales_fact[[#This Row],[Customer_ID]], 'Customer_Dim'!A:F, 6, FALSE)</f>
        <v>Female</v>
      </c>
      <c r="R1378" s="13" t="str">
        <f>_xlfn.XLOOKUP(Sales_fact[[#This Row],[Product_ID]],Product_Dim!A:A,Product_Dim!C:C,"OTHERS")</f>
        <v>Electronics</v>
      </c>
    </row>
    <row r="1379" spans="1:18" x14ac:dyDescent="0.3">
      <c r="A1379" t="s">
        <v>3203</v>
      </c>
      <c r="B1379" s="2">
        <v>45667</v>
      </c>
      <c r="C1379" t="s">
        <v>1260</v>
      </c>
      <c r="D1379" t="s">
        <v>1626</v>
      </c>
      <c r="E1379" t="str">
        <f ca="1">TRIM(Sales_fact[[#This Row],[Store_ID]])</f>
        <v>STORE4</v>
      </c>
      <c r="F1379">
        <v>4</v>
      </c>
      <c r="G1379">
        <f>IF(ISBLANK(F1379),MODE($F$2:$F$2001),F1379)</f>
        <v>4</v>
      </c>
      <c r="H1379">
        <v>995.4</v>
      </c>
      <c r="I1379">
        <f>IF(ISBLANK(H1379),AVERAGE($H$2:$H$2001),H1379)</f>
        <v>995.4</v>
      </c>
      <c r="J1379">
        <v>0.27</v>
      </c>
      <c r="K1379">
        <f>IF(ISBLANK(J1379),MODE($J$2:$J$2001),J1379)</f>
        <v>0.27</v>
      </c>
      <c r="L1379" t="s">
        <v>1824</v>
      </c>
      <c r="M1379">
        <v>2906.5680000000002</v>
      </c>
      <c r="N1379">
        <f t="shared" si="21"/>
        <v>2906.5679999999998</v>
      </c>
      <c r="O1379" t="str">
        <f>_xlfn.XLOOKUP(Sales_fact[[#This Row],[Customer_ID]],'Customer_Dim'!A:A,'Customer_Dim'!K:K,"Not Found")</f>
        <v>Gold</v>
      </c>
      <c r="P1379">
        <f>_xlfn.XLOOKUP(Sales_fact[[#This Row],[Customer_ID]],'Customer_Dim'!A:A, 'Customer_Dim'!E:E, "Not Found")</f>
        <v>18</v>
      </c>
      <c r="Q1379" t="str">
        <f>VLOOKUP(Sales_fact[[#This Row],[Customer_ID]], 'Customer_Dim'!A:F, 6, FALSE)</f>
        <v>Female</v>
      </c>
      <c r="R1379" s="13" t="str">
        <f>_xlfn.XLOOKUP(Sales_fact[[#This Row],[Product_ID]],Product_Dim!A:A,Product_Dim!C:C,"OTHERS")</f>
        <v>Electronics</v>
      </c>
    </row>
    <row r="1380" spans="1:18" x14ac:dyDescent="0.3">
      <c r="A1380" t="s">
        <v>3204</v>
      </c>
      <c r="B1380" s="2">
        <v>45656</v>
      </c>
      <c r="C1380" t="s">
        <v>238</v>
      </c>
      <c r="D1380" t="s">
        <v>1642</v>
      </c>
      <c r="E1380" t="str">
        <f ca="1">TRIM(Sales_fact[[#This Row],[Store_ID]])</f>
        <v>STORE12</v>
      </c>
      <c r="F1380">
        <v>2</v>
      </c>
      <c r="G1380">
        <f>IF(ISBLANK(F1380),MODE($F$2:$F$2001),F1380)</f>
        <v>2</v>
      </c>
      <c r="H1380">
        <v>591.33000000000004</v>
      </c>
      <c r="I1380">
        <f>IF(ISBLANK(H1380),AVERAGE($H$2:$H$2001),H1380)</f>
        <v>591.33000000000004</v>
      </c>
      <c r="J1380">
        <v>0.24</v>
      </c>
      <c r="K1380">
        <f>IF(ISBLANK(J1380),MODE($J$2:$J$2001),J1380)</f>
        <v>0.24</v>
      </c>
      <c r="L1380" t="s">
        <v>1824</v>
      </c>
      <c r="M1380">
        <v>898.8216000000001</v>
      </c>
      <c r="N1380">
        <f t="shared" si="21"/>
        <v>898.8216000000001</v>
      </c>
      <c r="O1380" t="str">
        <f>_xlfn.XLOOKUP(Sales_fact[[#This Row],[Customer_ID]],'Customer_Dim'!A:A,'Customer_Dim'!K:K,"Not Found")</f>
        <v>Gold</v>
      </c>
      <c r="P1380">
        <f>_xlfn.XLOOKUP(Sales_fact[[#This Row],[Customer_ID]],'Customer_Dim'!A:A, 'Customer_Dim'!E:E, "Not Found")</f>
        <v>33</v>
      </c>
      <c r="Q1380" t="str">
        <f>VLOOKUP(Sales_fact[[#This Row],[Customer_ID]], 'Customer_Dim'!A:F, 6, FALSE)</f>
        <v>Male</v>
      </c>
      <c r="R1380" s="13" t="str">
        <f>_xlfn.XLOOKUP(Sales_fact[[#This Row],[Product_ID]],Product_Dim!A:A,Product_Dim!C:C,"OTHERS")</f>
        <v>Beauty</v>
      </c>
    </row>
    <row r="1381" spans="1:18" x14ac:dyDescent="0.3">
      <c r="A1381" t="s">
        <v>3205</v>
      </c>
      <c r="B1381" s="2">
        <v>45869</v>
      </c>
      <c r="C1381" t="s">
        <v>1181</v>
      </c>
      <c r="D1381" t="s">
        <v>1644</v>
      </c>
      <c r="E1381" t="str">
        <f ca="1">TRIM(Sales_fact[[#This Row],[Store_ID]])</f>
        <v>STORE17</v>
      </c>
      <c r="F1381">
        <v>2</v>
      </c>
      <c r="G1381">
        <f>IF(ISBLANK(F1381),MODE($F$2:$F$2001),F1381)</f>
        <v>2</v>
      </c>
      <c r="H1381">
        <v>204.89</v>
      </c>
      <c r="I1381">
        <f>IF(ISBLANK(H1381),AVERAGE($H$2:$H$2001),H1381)</f>
        <v>204.89</v>
      </c>
      <c r="J1381">
        <v>0.24</v>
      </c>
      <c r="K1381">
        <f>IF(ISBLANK(J1381),MODE($J$2:$J$2001),J1381)</f>
        <v>0.24</v>
      </c>
      <c r="L1381" t="s">
        <v>1824</v>
      </c>
      <c r="M1381">
        <v>311.43279999999999</v>
      </c>
      <c r="N1381">
        <f t="shared" si="21"/>
        <v>311.43279999999999</v>
      </c>
      <c r="O1381" t="str">
        <f>_xlfn.XLOOKUP(Sales_fact[[#This Row],[Customer_ID]],'Customer_Dim'!A:A,'Customer_Dim'!K:K,"Not Found")</f>
        <v>Bronze</v>
      </c>
      <c r="P1381">
        <f>_xlfn.XLOOKUP(Sales_fact[[#This Row],[Customer_ID]],'Customer_Dim'!A:A, 'Customer_Dim'!E:E, "Not Found")</f>
        <v>44</v>
      </c>
      <c r="Q1381" t="str">
        <f>VLOOKUP(Sales_fact[[#This Row],[Customer_ID]], 'Customer_Dim'!A:F, 6, FALSE)</f>
        <v>Female</v>
      </c>
      <c r="R1381" s="13" t="str">
        <f>_xlfn.XLOOKUP(Sales_fact[[#This Row],[Product_ID]],Product_Dim!A:A,Product_Dim!C:C,"OTHERS")</f>
        <v>Electronics</v>
      </c>
    </row>
    <row r="1382" spans="1:18" x14ac:dyDescent="0.3">
      <c r="A1382" t="s">
        <v>3206</v>
      </c>
      <c r="B1382" s="2">
        <v>45549</v>
      </c>
      <c r="C1382" t="s">
        <v>325</v>
      </c>
      <c r="D1382" t="s">
        <v>1678</v>
      </c>
      <c r="E1382" t="str">
        <f ca="1">TRIM(Sales_fact[[#This Row],[Store_ID]])</f>
        <v>STORE14</v>
      </c>
      <c r="F1382">
        <v>2</v>
      </c>
      <c r="G1382">
        <f>IF(ISBLANK(F1382),MODE($F$2:$F$2001),F1382)</f>
        <v>2</v>
      </c>
      <c r="H1382">
        <v>546.41</v>
      </c>
      <c r="I1382">
        <f>IF(ISBLANK(H1382),AVERAGE($H$2:$H$2001),H1382)</f>
        <v>546.41</v>
      </c>
      <c r="J1382">
        <v>0.08</v>
      </c>
      <c r="K1382">
        <f>IF(ISBLANK(J1382),MODE($J$2:$J$2001),J1382)</f>
        <v>0.08</v>
      </c>
      <c r="L1382" t="s">
        <v>1829</v>
      </c>
      <c r="M1382">
        <v>1005.3944</v>
      </c>
      <c r="N1382">
        <f t="shared" si="21"/>
        <v>1005.3944</v>
      </c>
      <c r="O1382" t="str">
        <f>_xlfn.XLOOKUP(Sales_fact[[#This Row],[Customer_ID]],'Customer_Dim'!A:A,'Customer_Dim'!K:K,"Not Found")</f>
        <v>Platinum</v>
      </c>
      <c r="P1382">
        <f>_xlfn.XLOOKUP(Sales_fact[[#This Row],[Customer_ID]],'Customer_Dim'!A:A, 'Customer_Dim'!E:E, "Not Found")</f>
        <v>58</v>
      </c>
      <c r="Q1382" t="str">
        <f>VLOOKUP(Sales_fact[[#This Row],[Customer_ID]], 'Customer_Dim'!A:F, 6, FALSE)</f>
        <v>Female</v>
      </c>
      <c r="R1382" s="13" t="str">
        <f>_xlfn.XLOOKUP(Sales_fact[[#This Row],[Product_ID]],Product_Dim!A:A,Product_Dim!C:C,"OTHERS")</f>
        <v>Sports</v>
      </c>
    </row>
    <row r="1383" spans="1:18" x14ac:dyDescent="0.3">
      <c r="A1383" t="s">
        <v>3207</v>
      </c>
      <c r="B1383" s="2">
        <v>45409</v>
      </c>
      <c r="C1383" t="s">
        <v>211</v>
      </c>
      <c r="D1383" t="s">
        <v>1584</v>
      </c>
      <c r="E1383" t="str">
        <f ca="1">TRIM(Sales_fact[[#This Row],[Store_ID]])</f>
        <v>STORE12</v>
      </c>
      <c r="F1383">
        <v>4</v>
      </c>
      <c r="G1383">
        <f>IF(ISBLANK(F1383),MODE($F$2:$F$2001),F1383)</f>
        <v>4</v>
      </c>
      <c r="H1383">
        <v>455.49</v>
      </c>
      <c r="I1383">
        <f>IF(ISBLANK(H1383),AVERAGE($H$2:$H$2001),H1383)</f>
        <v>455.49</v>
      </c>
      <c r="J1383">
        <v>0.17</v>
      </c>
      <c r="K1383">
        <f>IF(ISBLANK(J1383),MODE($J$2:$J$2001),J1383)</f>
        <v>0.17</v>
      </c>
      <c r="L1383" t="s">
        <v>1824</v>
      </c>
      <c r="M1383">
        <v>1512.2267999999999</v>
      </c>
      <c r="N1383">
        <f t="shared" si="21"/>
        <v>1512.2267999999999</v>
      </c>
      <c r="O1383" t="str">
        <f>_xlfn.XLOOKUP(Sales_fact[[#This Row],[Customer_ID]],'Customer_Dim'!A:A,'Customer_Dim'!K:K,"Not Found")</f>
        <v>Gold</v>
      </c>
      <c r="P1383">
        <f>_xlfn.XLOOKUP(Sales_fact[[#This Row],[Customer_ID]],'Customer_Dim'!A:A, 'Customer_Dim'!E:E, "Not Found")</f>
        <v>49</v>
      </c>
      <c r="Q1383" t="str">
        <f>VLOOKUP(Sales_fact[[#This Row],[Customer_ID]], 'Customer_Dim'!A:F, 6, FALSE)</f>
        <v>Female</v>
      </c>
      <c r="R1383" s="13" t="str">
        <f>_xlfn.XLOOKUP(Sales_fact[[#This Row],[Product_ID]],Product_Dim!A:A,Product_Dim!C:C,"OTHERS")</f>
        <v>Clothing</v>
      </c>
    </row>
    <row r="1384" spans="1:18" x14ac:dyDescent="0.3">
      <c r="A1384" t="s">
        <v>3208</v>
      </c>
      <c r="B1384" s="2">
        <v>45374</v>
      </c>
      <c r="C1384" t="s">
        <v>1310</v>
      </c>
      <c r="D1384" t="s">
        <v>1568</v>
      </c>
      <c r="E1384" t="str">
        <f ca="1">TRIM(Sales_fact[[#This Row],[Store_ID]])</f>
        <v>STORE16</v>
      </c>
      <c r="F1384">
        <v>2</v>
      </c>
      <c r="G1384">
        <f>IF(ISBLANK(F1384),MODE($F$2:$F$2001),F1384)</f>
        <v>2</v>
      </c>
      <c r="H1384">
        <v>700.27</v>
      </c>
      <c r="I1384">
        <f>IF(ISBLANK(H1384),AVERAGE($H$2:$H$2001),H1384)</f>
        <v>700.27</v>
      </c>
      <c r="J1384">
        <v>0.16</v>
      </c>
      <c r="K1384">
        <f>IF(ISBLANK(J1384),MODE($J$2:$J$2001),J1384)</f>
        <v>0.16</v>
      </c>
      <c r="L1384" t="s">
        <v>1824</v>
      </c>
      <c r="M1384">
        <v>1176.4536000000001</v>
      </c>
      <c r="N1384">
        <f t="shared" si="21"/>
        <v>1176.4535999999998</v>
      </c>
      <c r="O1384" t="str">
        <f>_xlfn.XLOOKUP(Sales_fact[[#This Row],[Customer_ID]],'Customer_Dim'!A:A,'Customer_Dim'!K:K,"Not Found")</f>
        <v>Platinum</v>
      </c>
      <c r="P1384">
        <f>_xlfn.XLOOKUP(Sales_fact[[#This Row],[Customer_ID]],'Customer_Dim'!A:A, 'Customer_Dim'!E:E, "Not Found")</f>
        <v>42</v>
      </c>
      <c r="Q1384" t="str">
        <f>VLOOKUP(Sales_fact[[#This Row],[Customer_ID]], 'Customer_Dim'!A:F, 6, FALSE)</f>
        <v>Female</v>
      </c>
      <c r="R1384" s="13" t="str">
        <f>_xlfn.XLOOKUP(Sales_fact[[#This Row],[Product_ID]],Product_Dim!A:A,Product_Dim!C:C,"OTHERS")</f>
        <v>Home</v>
      </c>
    </row>
    <row r="1385" spans="1:18" x14ac:dyDescent="0.3">
      <c r="A1385" t="s">
        <v>3209</v>
      </c>
      <c r="B1385" s="2">
        <v>45282</v>
      </c>
      <c r="C1385" t="s">
        <v>1083</v>
      </c>
      <c r="D1385" t="s">
        <v>1712</v>
      </c>
      <c r="E1385" t="str">
        <f ca="1">TRIM(Sales_fact[[#This Row],[Store_ID]])</f>
        <v>STORE17</v>
      </c>
      <c r="F1385">
        <v>2</v>
      </c>
      <c r="G1385">
        <f>IF(ISBLANK(F1385),MODE($F$2:$F$2001),F1385)</f>
        <v>2</v>
      </c>
      <c r="H1385">
        <v>160.21</v>
      </c>
      <c r="I1385">
        <f>IF(ISBLANK(H1385),AVERAGE($H$2:$H$2001),H1385)</f>
        <v>160.21</v>
      </c>
      <c r="J1385">
        <v>0.09</v>
      </c>
      <c r="K1385">
        <f>IF(ISBLANK(J1385),MODE($J$2:$J$2001),J1385)</f>
        <v>0.09</v>
      </c>
      <c r="L1385" t="s">
        <v>1824</v>
      </c>
      <c r="M1385">
        <v>291.5822</v>
      </c>
      <c r="N1385">
        <f t="shared" si="21"/>
        <v>291.5822</v>
      </c>
      <c r="O1385" t="str">
        <f>_xlfn.XLOOKUP(Sales_fact[[#This Row],[Customer_ID]],'Customer_Dim'!A:A,'Customer_Dim'!K:K,"Not Found")</f>
        <v>Bronze</v>
      </c>
      <c r="P1385">
        <f>_xlfn.XLOOKUP(Sales_fact[[#This Row],[Customer_ID]],'Customer_Dim'!A:A, 'Customer_Dim'!E:E, "Not Found")</f>
        <v>33</v>
      </c>
      <c r="Q1385" t="str">
        <f>VLOOKUP(Sales_fact[[#This Row],[Customer_ID]], 'Customer_Dim'!A:F, 6, FALSE)</f>
        <v>Male</v>
      </c>
      <c r="R1385" s="13" t="str">
        <f>_xlfn.XLOOKUP(Sales_fact[[#This Row],[Product_ID]],Product_Dim!A:A,Product_Dim!C:C,"OTHERS")</f>
        <v>Sports</v>
      </c>
    </row>
    <row r="1386" spans="1:18" x14ac:dyDescent="0.3">
      <c r="A1386" t="s">
        <v>3210</v>
      </c>
      <c r="B1386" s="2">
        <v>45742</v>
      </c>
      <c r="C1386" t="s">
        <v>127</v>
      </c>
      <c r="D1386" t="s">
        <v>1642</v>
      </c>
      <c r="E1386" t="str">
        <f ca="1">TRIM(Sales_fact[[#This Row],[Store_ID]])</f>
        <v>STORE11</v>
      </c>
      <c r="F1386">
        <v>1</v>
      </c>
      <c r="G1386">
        <f>IF(ISBLANK(F1386),MODE($F$2:$F$2001),F1386)</f>
        <v>1</v>
      </c>
      <c r="H1386">
        <v>713.63</v>
      </c>
      <c r="I1386">
        <f>IF(ISBLANK(H1386),AVERAGE($H$2:$H$2001),H1386)</f>
        <v>713.63</v>
      </c>
      <c r="J1386">
        <v>0.28000000000000003</v>
      </c>
      <c r="K1386">
        <f>IF(ISBLANK(J1386),MODE($J$2:$J$2001),J1386)</f>
        <v>0.28000000000000003</v>
      </c>
      <c r="L1386" t="s">
        <v>1829</v>
      </c>
      <c r="M1386">
        <v>513.81359999999995</v>
      </c>
      <c r="N1386">
        <f t="shared" si="21"/>
        <v>513.81359999999995</v>
      </c>
      <c r="O1386" t="str">
        <f>_xlfn.XLOOKUP(Sales_fact[[#This Row],[Customer_ID]],'Customer_Dim'!A:A,'Customer_Dim'!K:K,"Not Found")</f>
        <v>Silver</v>
      </c>
      <c r="P1386">
        <f>_xlfn.XLOOKUP(Sales_fact[[#This Row],[Customer_ID]],'Customer_Dim'!A:A, 'Customer_Dim'!E:E, "Not Found")</f>
        <v>41</v>
      </c>
      <c r="Q1386" t="str">
        <f>VLOOKUP(Sales_fact[[#This Row],[Customer_ID]], 'Customer_Dim'!A:F, 6, FALSE)</f>
        <v>Male</v>
      </c>
      <c r="R1386" s="13" t="str">
        <f>_xlfn.XLOOKUP(Sales_fact[[#This Row],[Product_ID]],Product_Dim!A:A,Product_Dim!C:C,"OTHERS")</f>
        <v>Beauty</v>
      </c>
    </row>
    <row r="1387" spans="1:18" x14ac:dyDescent="0.3">
      <c r="A1387" t="s">
        <v>3211</v>
      </c>
      <c r="B1387" s="2">
        <v>45447</v>
      </c>
      <c r="C1387" t="s">
        <v>732</v>
      </c>
      <c r="D1387" t="s">
        <v>1734</v>
      </c>
      <c r="E1387" t="str">
        <f ca="1">TRIM(Sales_fact[[#This Row],[Store_ID]])</f>
        <v>STORE7</v>
      </c>
      <c r="F1387">
        <v>2</v>
      </c>
      <c r="G1387">
        <f>IF(ISBLANK(F1387),MODE($F$2:$F$2001),F1387)</f>
        <v>2</v>
      </c>
      <c r="H1387">
        <v>224.69</v>
      </c>
      <c r="I1387">
        <f>IF(ISBLANK(H1387),AVERAGE($H$2:$H$2001),H1387)</f>
        <v>224.69</v>
      </c>
      <c r="J1387">
        <v>0.2</v>
      </c>
      <c r="K1387">
        <f>IF(ISBLANK(J1387),MODE($J$2:$J$2001),J1387)</f>
        <v>0.2</v>
      </c>
      <c r="L1387" t="s">
        <v>1829</v>
      </c>
      <c r="M1387">
        <v>359.50400000000002</v>
      </c>
      <c r="N1387">
        <f t="shared" si="21"/>
        <v>359.50400000000002</v>
      </c>
      <c r="O1387" t="str">
        <f>_xlfn.XLOOKUP(Sales_fact[[#This Row],[Customer_ID]],'Customer_Dim'!A:A,'Customer_Dim'!K:K,"Not Found")</f>
        <v>Gold</v>
      </c>
      <c r="P1387">
        <f>_xlfn.XLOOKUP(Sales_fact[[#This Row],[Customer_ID]],'Customer_Dim'!A:A, 'Customer_Dim'!E:E, "Not Found")</f>
        <v>63</v>
      </c>
      <c r="Q1387" t="str">
        <f>VLOOKUP(Sales_fact[[#This Row],[Customer_ID]], 'Customer_Dim'!A:F, 6, FALSE)</f>
        <v>Female</v>
      </c>
      <c r="R1387" s="13" t="str">
        <f>_xlfn.XLOOKUP(Sales_fact[[#This Row],[Product_ID]],Product_Dim!A:A,Product_Dim!C:C,"OTHERS")</f>
        <v>Electronics</v>
      </c>
    </row>
    <row r="1388" spans="1:18" x14ac:dyDescent="0.3">
      <c r="A1388" t="s">
        <v>3212</v>
      </c>
      <c r="B1388" s="2">
        <v>45733</v>
      </c>
      <c r="C1388" t="s">
        <v>1400</v>
      </c>
      <c r="D1388" t="s">
        <v>1588</v>
      </c>
      <c r="E1388" t="str">
        <f ca="1">TRIM(Sales_fact[[#This Row],[Store_ID]])</f>
        <v>STORE14</v>
      </c>
      <c r="F1388">
        <v>2</v>
      </c>
      <c r="G1388">
        <f>IF(ISBLANK(F1388),MODE($F$2:$F$2001),F1388)</f>
        <v>2</v>
      </c>
      <c r="H1388">
        <v>740.57</v>
      </c>
      <c r="I1388">
        <f>IF(ISBLANK(H1388),AVERAGE($H$2:$H$2001),H1388)</f>
        <v>740.57</v>
      </c>
      <c r="J1388">
        <v>0.06</v>
      </c>
      <c r="K1388">
        <f>IF(ISBLANK(J1388),MODE($J$2:$J$2001),J1388)</f>
        <v>0.06</v>
      </c>
      <c r="L1388" t="s">
        <v>1824</v>
      </c>
      <c r="M1388">
        <v>1392.2716</v>
      </c>
      <c r="N1388">
        <f t="shared" si="21"/>
        <v>1392.2716</v>
      </c>
      <c r="O1388" t="str">
        <f>_xlfn.XLOOKUP(Sales_fact[[#This Row],[Customer_ID]],'Customer_Dim'!A:A,'Customer_Dim'!K:K,"Not Found")</f>
        <v>Platinum</v>
      </c>
      <c r="P1388">
        <f>_xlfn.XLOOKUP(Sales_fact[[#This Row],[Customer_ID]],'Customer_Dim'!A:A, 'Customer_Dim'!E:E, "Not Found")</f>
        <v>62</v>
      </c>
      <c r="Q1388" t="str">
        <f>VLOOKUP(Sales_fact[[#This Row],[Customer_ID]], 'Customer_Dim'!A:F, 6, FALSE)</f>
        <v>Female</v>
      </c>
      <c r="R1388" s="13" t="str">
        <f>_xlfn.XLOOKUP(Sales_fact[[#This Row],[Product_ID]],Product_Dim!A:A,Product_Dim!C:C,"OTHERS")</f>
        <v>Sports</v>
      </c>
    </row>
    <row r="1389" spans="1:18" x14ac:dyDescent="0.3">
      <c r="A1389" t="s">
        <v>3213</v>
      </c>
      <c r="B1389" s="2">
        <v>45373</v>
      </c>
      <c r="C1389" t="s">
        <v>481</v>
      </c>
      <c r="D1389" t="s">
        <v>1570</v>
      </c>
      <c r="E1389" t="str">
        <f ca="1">TRIM(Sales_fact[[#This Row],[Store_ID]])</f>
        <v>STORE3</v>
      </c>
      <c r="F1389">
        <v>3</v>
      </c>
      <c r="G1389">
        <f>IF(ISBLANK(F1389),MODE($F$2:$F$2001),F1389)</f>
        <v>3</v>
      </c>
      <c r="H1389">
        <v>250.14</v>
      </c>
      <c r="I1389">
        <f>IF(ISBLANK(H1389),AVERAGE($H$2:$H$2001),H1389)</f>
        <v>250.14</v>
      </c>
      <c r="J1389">
        <v>0.23</v>
      </c>
      <c r="K1389">
        <f>IF(ISBLANK(J1389),MODE($J$2:$J$2001),J1389)</f>
        <v>0.23</v>
      </c>
      <c r="L1389" t="s">
        <v>1826</v>
      </c>
      <c r="M1389">
        <v>577.82339999999999</v>
      </c>
      <c r="N1389">
        <f t="shared" si="21"/>
        <v>577.82339999999999</v>
      </c>
      <c r="O1389" t="str">
        <f>_xlfn.XLOOKUP(Sales_fact[[#This Row],[Customer_ID]],'Customer_Dim'!A:A,'Customer_Dim'!K:K,"Not Found")</f>
        <v>Bronze</v>
      </c>
      <c r="P1389">
        <f>_xlfn.XLOOKUP(Sales_fact[[#This Row],[Customer_ID]],'Customer_Dim'!A:A, 'Customer_Dim'!E:E, "Not Found")</f>
        <v>37</v>
      </c>
      <c r="Q1389" t="str">
        <f>VLOOKUP(Sales_fact[[#This Row],[Customer_ID]], 'Customer_Dim'!A:F, 6, FALSE)</f>
        <v>Male</v>
      </c>
      <c r="R1389" s="13" t="str">
        <f>_xlfn.XLOOKUP(Sales_fact[[#This Row],[Product_ID]],Product_Dim!A:A,Product_Dim!C:C,"OTHERS")</f>
        <v>Electronics</v>
      </c>
    </row>
    <row r="1390" spans="1:18" x14ac:dyDescent="0.3">
      <c r="A1390" t="s">
        <v>3214</v>
      </c>
      <c r="B1390" s="2">
        <v>45655</v>
      </c>
      <c r="C1390" t="s">
        <v>89</v>
      </c>
      <c r="D1390" t="s">
        <v>1744</v>
      </c>
      <c r="E1390" t="str">
        <f ca="1">TRIM(Sales_fact[[#This Row],[Store_ID]])</f>
        <v>STORE19</v>
      </c>
      <c r="F1390">
        <v>3</v>
      </c>
      <c r="G1390">
        <f>IF(ISBLANK(F1390),MODE($F$2:$F$2001),F1390)</f>
        <v>3</v>
      </c>
      <c r="H1390">
        <v>34.97</v>
      </c>
      <c r="I1390">
        <f>IF(ISBLANK(H1390),AVERAGE($H$2:$H$2001),H1390)</f>
        <v>34.97</v>
      </c>
      <c r="J1390">
        <v>0.01</v>
      </c>
      <c r="K1390">
        <f>IF(ISBLANK(J1390),MODE($J$2:$J$2001),J1390)</f>
        <v>0.01</v>
      </c>
      <c r="L1390" t="s">
        <v>1824</v>
      </c>
      <c r="M1390">
        <v>103.8609</v>
      </c>
      <c r="N1390">
        <f t="shared" si="21"/>
        <v>103.8609</v>
      </c>
      <c r="O1390" t="str">
        <f>_xlfn.XLOOKUP(Sales_fact[[#This Row],[Customer_ID]],'Customer_Dim'!A:A,'Customer_Dim'!K:K,"Not Found")</f>
        <v>Silver</v>
      </c>
      <c r="P1390">
        <f>_xlfn.XLOOKUP(Sales_fact[[#This Row],[Customer_ID]],'Customer_Dim'!A:A, 'Customer_Dim'!E:E, "Not Found")</f>
        <v>59</v>
      </c>
      <c r="Q1390" t="str">
        <f>VLOOKUP(Sales_fact[[#This Row],[Customer_ID]], 'Customer_Dim'!A:F, 6, FALSE)</f>
        <v>Male</v>
      </c>
      <c r="R1390" s="13" t="str">
        <f>_xlfn.XLOOKUP(Sales_fact[[#This Row],[Product_ID]],Product_Dim!A:A,Product_Dim!C:C,"OTHERS")</f>
        <v>Electronics</v>
      </c>
    </row>
    <row r="1391" spans="1:18" x14ac:dyDescent="0.3">
      <c r="A1391" t="s">
        <v>3215</v>
      </c>
      <c r="B1391" s="2">
        <v>45868</v>
      </c>
      <c r="C1391" t="s">
        <v>960</v>
      </c>
      <c r="D1391" t="s">
        <v>1632</v>
      </c>
      <c r="E1391" t="str">
        <f ca="1">TRIM(Sales_fact[[#This Row],[Store_ID]])</f>
        <v>STORE16</v>
      </c>
      <c r="F1391">
        <v>1</v>
      </c>
      <c r="G1391">
        <f>IF(ISBLANK(F1391),MODE($F$2:$F$2001),F1391)</f>
        <v>1</v>
      </c>
      <c r="H1391">
        <v>653.91</v>
      </c>
      <c r="I1391">
        <f>IF(ISBLANK(H1391),AVERAGE($H$2:$H$2001),H1391)</f>
        <v>653.91</v>
      </c>
      <c r="J1391">
        <v>0.3</v>
      </c>
      <c r="K1391">
        <f>IF(ISBLANK(J1391),MODE($J$2:$J$2001),J1391)</f>
        <v>0.3</v>
      </c>
      <c r="L1391" t="s">
        <v>1826</v>
      </c>
      <c r="M1391">
        <v>457.73700000000002</v>
      </c>
      <c r="N1391">
        <f t="shared" si="21"/>
        <v>457.73699999999997</v>
      </c>
      <c r="O1391" t="str">
        <f>_xlfn.XLOOKUP(Sales_fact[[#This Row],[Customer_ID]],'Customer_Dim'!A:A,'Customer_Dim'!K:K,"Not Found")</f>
        <v>Silver</v>
      </c>
      <c r="P1391">
        <f>_xlfn.XLOOKUP(Sales_fact[[#This Row],[Customer_ID]],'Customer_Dim'!A:A, 'Customer_Dim'!E:E, "Not Found")</f>
        <v>41</v>
      </c>
      <c r="Q1391" t="str">
        <f>VLOOKUP(Sales_fact[[#This Row],[Customer_ID]], 'Customer_Dim'!A:F, 6, FALSE)</f>
        <v>Male</v>
      </c>
      <c r="R1391" s="13" t="str">
        <f>_xlfn.XLOOKUP(Sales_fact[[#This Row],[Product_ID]],Product_Dim!A:A,Product_Dim!C:C,"OTHERS")</f>
        <v>Electronics</v>
      </c>
    </row>
    <row r="1392" spans="1:18" x14ac:dyDescent="0.3">
      <c r="A1392" t="s">
        <v>3216</v>
      </c>
      <c r="B1392" s="2">
        <v>45338</v>
      </c>
      <c r="C1392" t="s">
        <v>1136</v>
      </c>
      <c r="D1392" t="s">
        <v>1680</v>
      </c>
      <c r="E1392" t="str">
        <f ca="1">TRIM(Sales_fact[[#This Row],[Store_ID]])</f>
        <v>STORE3</v>
      </c>
      <c r="F1392">
        <v>1</v>
      </c>
      <c r="G1392">
        <f>IF(ISBLANK(F1392),MODE($F$2:$F$2001),F1392)</f>
        <v>1</v>
      </c>
      <c r="H1392">
        <v>997.87</v>
      </c>
      <c r="I1392">
        <f>IF(ISBLANK(H1392),AVERAGE($H$2:$H$2001),H1392)</f>
        <v>997.87</v>
      </c>
      <c r="J1392">
        <v>0.24</v>
      </c>
      <c r="K1392">
        <f>IF(ISBLANK(J1392),MODE($J$2:$J$2001),J1392)</f>
        <v>0.24</v>
      </c>
      <c r="L1392" t="s">
        <v>1824</v>
      </c>
      <c r="M1392">
        <v>758.38120000000004</v>
      </c>
      <c r="N1392">
        <f t="shared" si="21"/>
        <v>758.38120000000004</v>
      </c>
      <c r="O1392" t="str">
        <f>_xlfn.XLOOKUP(Sales_fact[[#This Row],[Customer_ID]],'Customer_Dim'!A:A,'Customer_Dim'!K:K,"Not Found")</f>
        <v>Bronze</v>
      </c>
      <c r="P1392">
        <f>_xlfn.XLOOKUP(Sales_fact[[#This Row],[Customer_ID]],'Customer_Dim'!A:A, 'Customer_Dim'!E:E, "Not Found")</f>
        <v>23</v>
      </c>
      <c r="Q1392" t="str">
        <f>VLOOKUP(Sales_fact[[#This Row],[Customer_ID]], 'Customer_Dim'!A:F, 6, FALSE)</f>
        <v>Male</v>
      </c>
      <c r="R1392" s="13" t="str">
        <f>_xlfn.XLOOKUP(Sales_fact[[#This Row],[Product_ID]],Product_Dim!A:A,Product_Dim!C:C,"OTHERS")</f>
        <v>Beauty</v>
      </c>
    </row>
    <row r="1393" spans="1:18" x14ac:dyDescent="0.3">
      <c r="A1393" t="s">
        <v>3217</v>
      </c>
      <c r="B1393" s="2">
        <v>45349</v>
      </c>
      <c r="C1393" t="s">
        <v>678</v>
      </c>
      <c r="D1393" t="s">
        <v>1726</v>
      </c>
      <c r="E1393" t="str">
        <f ca="1">TRIM(Sales_fact[[#This Row],[Store_ID]])</f>
        <v>STORE14</v>
      </c>
      <c r="F1393">
        <v>1</v>
      </c>
      <c r="G1393">
        <f>IF(ISBLANK(F1393),MODE($F$2:$F$2001),F1393)</f>
        <v>1</v>
      </c>
      <c r="H1393">
        <v>174.27</v>
      </c>
      <c r="I1393">
        <f>IF(ISBLANK(H1393),AVERAGE($H$2:$H$2001),H1393)</f>
        <v>174.27</v>
      </c>
      <c r="J1393">
        <v>0.27</v>
      </c>
      <c r="K1393">
        <f>IF(ISBLANK(J1393),MODE($J$2:$J$2001),J1393)</f>
        <v>0.27</v>
      </c>
      <c r="L1393" t="s">
        <v>1829</v>
      </c>
      <c r="M1393">
        <v>127.2171</v>
      </c>
      <c r="N1393">
        <f t="shared" si="21"/>
        <v>127.2171</v>
      </c>
      <c r="O1393" t="str">
        <f>_xlfn.XLOOKUP(Sales_fact[[#This Row],[Customer_ID]],'Customer_Dim'!A:A,'Customer_Dim'!K:K,"Not Found")</f>
        <v>Platinum</v>
      </c>
      <c r="P1393">
        <f>_xlfn.XLOOKUP(Sales_fact[[#This Row],[Customer_ID]],'Customer_Dim'!A:A, 'Customer_Dim'!E:E, "Not Found")</f>
        <v>54</v>
      </c>
      <c r="Q1393" t="str">
        <f>VLOOKUP(Sales_fact[[#This Row],[Customer_ID]], 'Customer_Dim'!A:F, 6, FALSE)</f>
        <v>Male</v>
      </c>
      <c r="R1393" s="13" t="str">
        <f>_xlfn.XLOOKUP(Sales_fact[[#This Row],[Product_ID]],Product_Dim!A:A,Product_Dim!C:C,"OTHERS")</f>
        <v>Beauty</v>
      </c>
    </row>
    <row r="1394" spans="1:18" x14ac:dyDescent="0.3">
      <c r="A1394" t="s">
        <v>3218</v>
      </c>
      <c r="B1394" s="2">
        <v>45368</v>
      </c>
      <c r="C1394" t="s">
        <v>402</v>
      </c>
      <c r="D1394" t="s">
        <v>1646</v>
      </c>
      <c r="E1394" t="str">
        <f ca="1">TRIM(Sales_fact[[#This Row],[Store_ID]])</f>
        <v>STORE7</v>
      </c>
      <c r="F1394">
        <v>3</v>
      </c>
      <c r="G1394">
        <f>IF(ISBLANK(F1394),MODE($F$2:$F$2001),F1394)</f>
        <v>3</v>
      </c>
      <c r="H1394">
        <v>847.44</v>
      </c>
      <c r="I1394">
        <f>IF(ISBLANK(H1394),AVERAGE($H$2:$H$2001),H1394)</f>
        <v>847.44</v>
      </c>
      <c r="J1394">
        <v>0.17</v>
      </c>
      <c r="K1394">
        <f>IF(ISBLANK(J1394),MODE($J$2:$J$2001),J1394)</f>
        <v>0.17</v>
      </c>
      <c r="L1394" t="s">
        <v>1824</v>
      </c>
      <c r="M1394">
        <v>2110.1255999999998</v>
      </c>
      <c r="N1394">
        <f t="shared" si="21"/>
        <v>2110.1255999999998</v>
      </c>
      <c r="O1394" t="str">
        <f>_xlfn.XLOOKUP(Sales_fact[[#This Row],[Customer_ID]],'Customer_Dim'!A:A,'Customer_Dim'!K:K,"Not Found")</f>
        <v>Platinum</v>
      </c>
      <c r="P1394">
        <f>_xlfn.XLOOKUP(Sales_fact[[#This Row],[Customer_ID]],'Customer_Dim'!A:A, 'Customer_Dim'!E:E, "Not Found")</f>
        <v>53</v>
      </c>
      <c r="Q1394" t="str">
        <f>VLOOKUP(Sales_fact[[#This Row],[Customer_ID]], 'Customer_Dim'!A:F, 6, FALSE)</f>
        <v>Female</v>
      </c>
      <c r="R1394" s="13" t="str">
        <f>_xlfn.XLOOKUP(Sales_fact[[#This Row],[Product_ID]],Product_Dim!A:A,Product_Dim!C:C,"OTHERS")</f>
        <v>Beauty</v>
      </c>
    </row>
    <row r="1395" spans="1:18" x14ac:dyDescent="0.3">
      <c r="A1395" t="s">
        <v>3219</v>
      </c>
      <c r="B1395" s="2">
        <v>45243</v>
      </c>
      <c r="C1395" t="s">
        <v>1328</v>
      </c>
      <c r="D1395" t="s">
        <v>1549</v>
      </c>
      <c r="E1395" t="str">
        <f ca="1">TRIM(Sales_fact[[#This Row],[Store_ID]])</f>
        <v>STORE2</v>
      </c>
      <c r="F1395">
        <v>1</v>
      </c>
      <c r="G1395">
        <f>IF(ISBLANK(F1395),MODE($F$2:$F$2001),F1395)</f>
        <v>1</v>
      </c>
      <c r="H1395">
        <v>493.45</v>
      </c>
      <c r="I1395">
        <f>IF(ISBLANK(H1395),AVERAGE($H$2:$H$2001),H1395)</f>
        <v>493.45</v>
      </c>
      <c r="J1395">
        <v>0.09</v>
      </c>
      <c r="K1395">
        <f>IF(ISBLANK(J1395),MODE($J$2:$J$2001),J1395)</f>
        <v>0.09</v>
      </c>
      <c r="L1395" t="s">
        <v>1824</v>
      </c>
      <c r="M1395">
        <v>449.03949999999998</v>
      </c>
      <c r="N1395">
        <f t="shared" si="21"/>
        <v>449.03950000000003</v>
      </c>
      <c r="O1395" t="str">
        <f>_xlfn.XLOOKUP(Sales_fact[[#This Row],[Customer_ID]],'Customer_Dim'!A:A,'Customer_Dim'!K:K,"Not Found")</f>
        <v>Bronze</v>
      </c>
      <c r="P1395">
        <f>_xlfn.XLOOKUP(Sales_fact[[#This Row],[Customer_ID]],'Customer_Dim'!A:A, 'Customer_Dim'!E:E, "Not Found")</f>
        <v>27</v>
      </c>
      <c r="Q1395" t="str">
        <f>VLOOKUP(Sales_fact[[#This Row],[Customer_ID]], 'Customer_Dim'!A:F, 6, FALSE)</f>
        <v>Female</v>
      </c>
      <c r="R1395" s="13" t="str">
        <f>_xlfn.XLOOKUP(Sales_fact[[#This Row],[Product_ID]],Product_Dim!A:A,Product_Dim!C:C,"OTHERS")</f>
        <v>Clothing</v>
      </c>
    </row>
    <row r="1396" spans="1:18" x14ac:dyDescent="0.3">
      <c r="A1396" t="s">
        <v>3220</v>
      </c>
      <c r="B1396" s="2">
        <v>45577</v>
      </c>
      <c r="C1396" t="s">
        <v>746</v>
      </c>
      <c r="D1396" t="s">
        <v>1672</v>
      </c>
      <c r="E1396" t="str">
        <f ca="1">TRIM(Sales_fact[[#This Row],[Store_ID]])</f>
        <v>STORE2</v>
      </c>
      <c r="F1396">
        <v>4</v>
      </c>
      <c r="G1396">
        <f>IF(ISBLANK(F1396),MODE($F$2:$F$2001),F1396)</f>
        <v>4</v>
      </c>
      <c r="H1396">
        <v>111.66</v>
      </c>
      <c r="I1396">
        <f>IF(ISBLANK(H1396),AVERAGE($H$2:$H$2001),H1396)</f>
        <v>111.66</v>
      </c>
      <c r="J1396">
        <v>0.14000000000000001</v>
      </c>
      <c r="K1396">
        <f>IF(ISBLANK(J1396),MODE($J$2:$J$2001),J1396)</f>
        <v>0.14000000000000001</v>
      </c>
      <c r="L1396" t="s">
        <v>1824</v>
      </c>
      <c r="M1396">
        <v>384.11040000000003</v>
      </c>
      <c r="N1396">
        <f t="shared" si="21"/>
        <v>384.11039999999997</v>
      </c>
      <c r="O1396" t="str">
        <f>_xlfn.XLOOKUP(Sales_fact[[#This Row],[Customer_ID]],'Customer_Dim'!A:A,'Customer_Dim'!K:K,"Not Found")</f>
        <v>Platinum</v>
      </c>
      <c r="P1396">
        <f>_xlfn.XLOOKUP(Sales_fact[[#This Row],[Customer_ID]],'Customer_Dim'!A:A, 'Customer_Dim'!E:E, "Not Found")</f>
        <v>27</v>
      </c>
      <c r="Q1396" t="str">
        <f>VLOOKUP(Sales_fact[[#This Row],[Customer_ID]], 'Customer_Dim'!A:F, 6, FALSE)</f>
        <v>Female</v>
      </c>
      <c r="R1396" s="13" t="str">
        <f>_xlfn.XLOOKUP(Sales_fact[[#This Row],[Product_ID]],Product_Dim!A:A,Product_Dim!C:C,"OTHERS")</f>
        <v>Electronics</v>
      </c>
    </row>
    <row r="1397" spans="1:18" x14ac:dyDescent="0.3">
      <c r="A1397" t="s">
        <v>3221</v>
      </c>
      <c r="B1397" s="2">
        <v>45343</v>
      </c>
      <c r="C1397" t="s">
        <v>884</v>
      </c>
      <c r="D1397" t="s">
        <v>1728</v>
      </c>
      <c r="E1397" t="str">
        <f ca="1">TRIM(Sales_fact[[#This Row],[Store_ID]])</f>
        <v>STORE11</v>
      </c>
      <c r="F1397">
        <v>1</v>
      </c>
      <c r="G1397">
        <f>IF(ISBLANK(F1397),MODE($F$2:$F$2001),F1397)</f>
        <v>1</v>
      </c>
      <c r="H1397">
        <v>413.65</v>
      </c>
      <c r="I1397">
        <f>IF(ISBLANK(H1397),AVERAGE($H$2:$H$2001),H1397)</f>
        <v>413.65</v>
      </c>
      <c r="J1397">
        <v>0.1</v>
      </c>
      <c r="K1397">
        <f>IF(ISBLANK(J1397),MODE($J$2:$J$2001),J1397)</f>
        <v>0.1</v>
      </c>
      <c r="L1397" t="s">
        <v>1829</v>
      </c>
      <c r="M1397">
        <v>372.28500000000003</v>
      </c>
      <c r="N1397">
        <f t="shared" si="21"/>
        <v>372.28499999999997</v>
      </c>
      <c r="O1397" t="str">
        <f>_xlfn.XLOOKUP(Sales_fact[[#This Row],[Customer_ID]],'Customer_Dim'!A:A,'Customer_Dim'!K:K,"Not Found")</f>
        <v>Platinum</v>
      </c>
      <c r="P1397">
        <f>_xlfn.XLOOKUP(Sales_fact[[#This Row],[Customer_ID]],'Customer_Dim'!A:A, 'Customer_Dim'!E:E, "Not Found")</f>
        <v>42</v>
      </c>
      <c r="Q1397" t="str">
        <f>VLOOKUP(Sales_fact[[#This Row],[Customer_ID]], 'Customer_Dim'!A:F, 6, FALSE)</f>
        <v>Female</v>
      </c>
      <c r="R1397" s="13" t="str">
        <f>_xlfn.XLOOKUP(Sales_fact[[#This Row],[Product_ID]],Product_Dim!A:A,Product_Dim!C:C,"OTHERS")</f>
        <v>Electronics</v>
      </c>
    </row>
    <row r="1398" spans="1:18" x14ac:dyDescent="0.3">
      <c r="A1398" t="s">
        <v>3222</v>
      </c>
      <c r="B1398" s="2">
        <v>45744</v>
      </c>
      <c r="C1398" t="s">
        <v>1464</v>
      </c>
      <c r="D1398" t="s">
        <v>1726</v>
      </c>
      <c r="E1398" t="str">
        <f ca="1">TRIM(Sales_fact[[#This Row],[Store_ID]])</f>
        <v>STORE9</v>
      </c>
      <c r="F1398">
        <v>1</v>
      </c>
      <c r="G1398">
        <f>IF(ISBLANK(F1398),MODE($F$2:$F$2001),F1398)</f>
        <v>1</v>
      </c>
      <c r="H1398">
        <v>317.14999999999998</v>
      </c>
      <c r="I1398">
        <f>IF(ISBLANK(H1398),AVERAGE($H$2:$H$2001),H1398)</f>
        <v>317.14999999999998</v>
      </c>
      <c r="J1398">
        <v>0.24</v>
      </c>
      <c r="K1398">
        <f>IF(ISBLANK(J1398),MODE($J$2:$J$2001),J1398)</f>
        <v>0.24</v>
      </c>
      <c r="L1398" t="s">
        <v>1829</v>
      </c>
      <c r="M1398">
        <v>241.03399999999999</v>
      </c>
      <c r="N1398">
        <f t="shared" si="21"/>
        <v>241.03399999999999</v>
      </c>
      <c r="O1398" t="str">
        <f>_xlfn.XLOOKUP(Sales_fact[[#This Row],[Customer_ID]],'Customer_Dim'!A:A,'Customer_Dim'!K:K,"Not Found")</f>
        <v>Platinum</v>
      </c>
      <c r="P1398">
        <f>_xlfn.XLOOKUP(Sales_fact[[#This Row],[Customer_ID]],'Customer_Dim'!A:A, 'Customer_Dim'!E:E, "Not Found")</f>
        <v>18</v>
      </c>
      <c r="Q1398" t="str">
        <f>VLOOKUP(Sales_fact[[#This Row],[Customer_ID]], 'Customer_Dim'!A:F, 6, FALSE)</f>
        <v>Female</v>
      </c>
      <c r="R1398" s="13" t="str">
        <f>_xlfn.XLOOKUP(Sales_fact[[#This Row],[Product_ID]],Product_Dim!A:A,Product_Dim!C:C,"OTHERS")</f>
        <v>Beauty</v>
      </c>
    </row>
    <row r="1399" spans="1:18" x14ac:dyDescent="0.3">
      <c r="A1399" t="s">
        <v>3223</v>
      </c>
      <c r="B1399" s="2">
        <v>45873</v>
      </c>
      <c r="C1399" t="s">
        <v>1124</v>
      </c>
      <c r="D1399" t="s">
        <v>1724</v>
      </c>
      <c r="E1399" t="str">
        <f ca="1">TRIM(Sales_fact[[#This Row],[Store_ID]])</f>
        <v>STORE1</v>
      </c>
      <c r="F1399">
        <v>3</v>
      </c>
      <c r="G1399">
        <f>IF(ISBLANK(F1399),MODE($F$2:$F$2001),F1399)</f>
        <v>3</v>
      </c>
      <c r="H1399">
        <v>642.94000000000005</v>
      </c>
      <c r="I1399">
        <f>IF(ISBLANK(H1399),AVERAGE($H$2:$H$2001),H1399)</f>
        <v>642.94000000000005</v>
      </c>
      <c r="J1399">
        <v>0.05</v>
      </c>
      <c r="K1399">
        <f>IF(ISBLANK(J1399),MODE($J$2:$J$2001),J1399)</f>
        <v>0.05</v>
      </c>
      <c r="L1399" t="s">
        <v>1829</v>
      </c>
      <c r="M1399">
        <v>1832.3789999999999</v>
      </c>
      <c r="N1399">
        <f t="shared" si="21"/>
        <v>1832.3790000000001</v>
      </c>
      <c r="O1399" t="str">
        <f>_xlfn.XLOOKUP(Sales_fact[[#This Row],[Customer_ID]],'Customer_Dim'!A:A,'Customer_Dim'!K:K,"Not Found")</f>
        <v>Silver</v>
      </c>
      <c r="P1399">
        <f>_xlfn.XLOOKUP(Sales_fact[[#This Row],[Customer_ID]],'Customer_Dim'!A:A, 'Customer_Dim'!E:E, "Not Found")</f>
        <v>32</v>
      </c>
      <c r="Q1399" t="str">
        <f>VLOOKUP(Sales_fact[[#This Row],[Customer_ID]], 'Customer_Dim'!A:F, 6, FALSE)</f>
        <v>Male</v>
      </c>
      <c r="R1399" s="13" t="str">
        <f>_xlfn.XLOOKUP(Sales_fact[[#This Row],[Product_ID]],Product_Dim!A:A,Product_Dim!C:C,"OTHERS")</f>
        <v>Sports</v>
      </c>
    </row>
    <row r="1400" spans="1:18" x14ac:dyDescent="0.3">
      <c r="A1400" t="s">
        <v>3224</v>
      </c>
      <c r="B1400" s="2">
        <v>45601</v>
      </c>
      <c r="C1400" t="s">
        <v>455</v>
      </c>
      <c r="D1400" t="s">
        <v>1662</v>
      </c>
      <c r="E1400" t="str">
        <f ca="1">TRIM(Sales_fact[[#This Row],[Store_ID]])</f>
        <v>STORE10</v>
      </c>
      <c r="F1400">
        <v>4</v>
      </c>
      <c r="G1400">
        <f>IF(ISBLANK(F1400),MODE($F$2:$F$2001),F1400)</f>
        <v>4</v>
      </c>
      <c r="H1400">
        <v>559.59</v>
      </c>
      <c r="I1400">
        <f>IF(ISBLANK(H1400),AVERAGE($H$2:$H$2001),H1400)</f>
        <v>559.59</v>
      </c>
      <c r="J1400">
        <v>0.19</v>
      </c>
      <c r="K1400">
        <f>IF(ISBLANK(J1400),MODE($J$2:$J$2001),J1400)</f>
        <v>0.19</v>
      </c>
      <c r="L1400" t="s">
        <v>1829</v>
      </c>
      <c r="M1400">
        <v>1813.0716</v>
      </c>
      <c r="N1400">
        <f t="shared" si="21"/>
        <v>1813.0716000000002</v>
      </c>
      <c r="O1400" t="str">
        <f>_xlfn.XLOOKUP(Sales_fact[[#This Row],[Customer_ID]],'Customer_Dim'!A:A,'Customer_Dim'!K:K,"Not Found")</f>
        <v>Bronze</v>
      </c>
      <c r="P1400">
        <f>_xlfn.XLOOKUP(Sales_fact[[#This Row],[Customer_ID]],'Customer_Dim'!A:A, 'Customer_Dim'!E:E, "Not Found")</f>
        <v>62</v>
      </c>
      <c r="Q1400" t="str">
        <f>VLOOKUP(Sales_fact[[#This Row],[Customer_ID]], 'Customer_Dim'!A:F, 6, FALSE)</f>
        <v>Female</v>
      </c>
      <c r="R1400" s="13" t="str">
        <f>_xlfn.XLOOKUP(Sales_fact[[#This Row],[Product_ID]],Product_Dim!A:A,Product_Dim!C:C,"OTHERS")</f>
        <v>Sports</v>
      </c>
    </row>
    <row r="1401" spans="1:18" x14ac:dyDescent="0.3">
      <c r="A1401" t="s">
        <v>3225</v>
      </c>
      <c r="B1401" s="2">
        <v>45458</v>
      </c>
      <c r="C1401" t="s">
        <v>399</v>
      </c>
      <c r="D1401" t="s">
        <v>1606</v>
      </c>
      <c r="E1401" t="str">
        <f ca="1">TRIM(Sales_fact[[#This Row],[Store_ID]])</f>
        <v>STORE18</v>
      </c>
      <c r="F1401">
        <v>1</v>
      </c>
      <c r="G1401">
        <f>IF(ISBLANK(F1401),MODE($F$2:$F$2001),F1401)</f>
        <v>1</v>
      </c>
      <c r="H1401">
        <v>758.54</v>
      </c>
      <c r="I1401">
        <f>IF(ISBLANK(H1401),AVERAGE($H$2:$H$2001),H1401)</f>
        <v>758.54</v>
      </c>
      <c r="J1401">
        <v>0.28999999999999998</v>
      </c>
      <c r="K1401">
        <f>IF(ISBLANK(J1401),MODE($J$2:$J$2001),J1401)</f>
        <v>0.28999999999999998</v>
      </c>
      <c r="L1401" t="s">
        <v>1826</v>
      </c>
      <c r="M1401">
        <v>538.5634</v>
      </c>
      <c r="N1401">
        <f t="shared" si="21"/>
        <v>538.5634</v>
      </c>
      <c r="O1401" t="str">
        <f>_xlfn.XLOOKUP(Sales_fact[[#This Row],[Customer_ID]],'Customer_Dim'!A:A,'Customer_Dim'!K:K,"Not Found")</f>
        <v>Bronze</v>
      </c>
      <c r="P1401">
        <f>_xlfn.XLOOKUP(Sales_fact[[#This Row],[Customer_ID]],'Customer_Dim'!A:A, 'Customer_Dim'!E:E, "Not Found")</f>
        <v>30</v>
      </c>
      <c r="Q1401" t="str">
        <f>VLOOKUP(Sales_fact[[#This Row],[Customer_ID]], 'Customer_Dim'!A:F, 6, FALSE)</f>
        <v>Male</v>
      </c>
      <c r="R1401" s="13" t="str">
        <f>_xlfn.XLOOKUP(Sales_fact[[#This Row],[Product_ID]],Product_Dim!A:A,Product_Dim!C:C,"OTHERS")</f>
        <v>Home</v>
      </c>
    </row>
    <row r="1402" spans="1:18" x14ac:dyDescent="0.3">
      <c r="A1402" t="s">
        <v>3226</v>
      </c>
      <c r="B1402" s="2">
        <v>45649</v>
      </c>
      <c r="C1402" t="s">
        <v>1425</v>
      </c>
      <c r="D1402" t="s">
        <v>1708</v>
      </c>
      <c r="E1402" t="str">
        <f ca="1">TRIM(Sales_fact[[#This Row],[Store_ID]])</f>
        <v>STORE15</v>
      </c>
      <c r="F1402">
        <v>4</v>
      </c>
      <c r="G1402">
        <f>IF(ISBLANK(F1402),MODE($F$2:$F$2001),F1402)</f>
        <v>4</v>
      </c>
      <c r="H1402">
        <v>643.96</v>
      </c>
      <c r="I1402">
        <f>IF(ISBLANK(H1402),AVERAGE($H$2:$H$2001),H1402)</f>
        <v>643.96</v>
      </c>
      <c r="J1402">
        <v>0.16</v>
      </c>
      <c r="K1402">
        <f>IF(ISBLANK(J1402),MODE($J$2:$J$2001),J1402)</f>
        <v>0.16</v>
      </c>
      <c r="L1402" t="s">
        <v>1826</v>
      </c>
      <c r="M1402">
        <v>2163.7055999999998</v>
      </c>
      <c r="N1402">
        <f t="shared" si="21"/>
        <v>2163.7056000000002</v>
      </c>
      <c r="O1402" t="str">
        <f>_xlfn.XLOOKUP(Sales_fact[[#This Row],[Customer_ID]],'Customer_Dim'!A:A,'Customer_Dim'!K:K,"Not Found")</f>
        <v>Silver</v>
      </c>
      <c r="P1402">
        <f>_xlfn.XLOOKUP(Sales_fact[[#This Row],[Customer_ID]],'Customer_Dim'!A:A, 'Customer_Dim'!E:E, "Not Found")</f>
        <v>34</v>
      </c>
      <c r="Q1402" t="str">
        <f>VLOOKUP(Sales_fact[[#This Row],[Customer_ID]], 'Customer_Dim'!A:F, 6, FALSE)</f>
        <v>Female</v>
      </c>
      <c r="R1402" s="13" t="str">
        <f>_xlfn.XLOOKUP(Sales_fact[[#This Row],[Product_ID]],Product_Dim!A:A,Product_Dim!C:C,"OTHERS")</f>
        <v>Home</v>
      </c>
    </row>
    <row r="1403" spans="1:18" x14ac:dyDescent="0.3">
      <c r="A1403" t="s">
        <v>3227</v>
      </c>
      <c r="B1403" s="2">
        <v>45653</v>
      </c>
      <c r="C1403" t="s">
        <v>779</v>
      </c>
      <c r="D1403" t="s">
        <v>1596</v>
      </c>
      <c r="E1403" t="str">
        <f ca="1">TRIM(Sales_fact[[#This Row],[Store_ID]])</f>
        <v>STORE9</v>
      </c>
      <c r="F1403">
        <v>1</v>
      </c>
      <c r="G1403">
        <f>IF(ISBLANK(F1403),MODE($F$2:$F$2001),F1403)</f>
        <v>1</v>
      </c>
      <c r="H1403">
        <v>882.73</v>
      </c>
      <c r="I1403">
        <f>IF(ISBLANK(H1403),AVERAGE($H$2:$H$2001),H1403)</f>
        <v>882.73</v>
      </c>
      <c r="J1403">
        <v>0.1</v>
      </c>
      <c r="K1403">
        <f>IF(ISBLANK(J1403),MODE($J$2:$J$2001),J1403)</f>
        <v>0.1</v>
      </c>
      <c r="L1403" t="s">
        <v>1824</v>
      </c>
      <c r="M1403">
        <v>794.45699999999999</v>
      </c>
      <c r="N1403">
        <f t="shared" si="21"/>
        <v>794.45699999999999</v>
      </c>
      <c r="O1403" t="str">
        <f>_xlfn.XLOOKUP(Sales_fact[[#This Row],[Customer_ID]],'Customer_Dim'!A:A,'Customer_Dim'!K:K,"Not Found")</f>
        <v>Gold</v>
      </c>
      <c r="P1403">
        <f>_xlfn.XLOOKUP(Sales_fact[[#This Row],[Customer_ID]],'Customer_Dim'!A:A, 'Customer_Dim'!E:E, "Not Found")</f>
        <v>56</v>
      </c>
      <c r="Q1403" t="str">
        <f>VLOOKUP(Sales_fact[[#This Row],[Customer_ID]], 'Customer_Dim'!A:F, 6, FALSE)</f>
        <v>Female</v>
      </c>
      <c r="R1403" s="13" t="str">
        <f>_xlfn.XLOOKUP(Sales_fact[[#This Row],[Product_ID]],Product_Dim!A:A,Product_Dim!C:C,"OTHERS")</f>
        <v>Sports</v>
      </c>
    </row>
    <row r="1404" spans="1:18" x14ac:dyDescent="0.3">
      <c r="A1404" t="s">
        <v>3228</v>
      </c>
      <c r="B1404" s="2">
        <v>45378</v>
      </c>
      <c r="C1404" t="s">
        <v>1023</v>
      </c>
      <c r="D1404" t="s">
        <v>1730</v>
      </c>
      <c r="E1404" t="str">
        <f ca="1">TRIM(Sales_fact[[#This Row],[Store_ID]])</f>
        <v>STORE19</v>
      </c>
      <c r="F1404">
        <v>2</v>
      </c>
      <c r="G1404">
        <f>IF(ISBLANK(F1404),MODE($F$2:$F$2001),F1404)</f>
        <v>2</v>
      </c>
      <c r="H1404">
        <v>600.03</v>
      </c>
      <c r="I1404">
        <f>IF(ISBLANK(H1404),AVERAGE($H$2:$H$2001),H1404)</f>
        <v>600.03</v>
      </c>
      <c r="J1404">
        <v>0.26</v>
      </c>
      <c r="K1404">
        <f>IF(ISBLANK(J1404),MODE($J$2:$J$2001),J1404)</f>
        <v>0.26</v>
      </c>
      <c r="L1404" t="s">
        <v>1826</v>
      </c>
      <c r="M1404">
        <v>888.0444</v>
      </c>
      <c r="N1404">
        <f t="shared" si="21"/>
        <v>888.0444</v>
      </c>
      <c r="O1404" t="str">
        <f>_xlfn.XLOOKUP(Sales_fact[[#This Row],[Customer_ID]],'Customer_Dim'!A:A,'Customer_Dim'!K:K,"Not Found")</f>
        <v>Bronze</v>
      </c>
      <c r="P1404">
        <f>_xlfn.XLOOKUP(Sales_fact[[#This Row],[Customer_ID]],'Customer_Dim'!A:A, 'Customer_Dim'!E:E, "Not Found")</f>
        <v>60</v>
      </c>
      <c r="Q1404" t="str">
        <f>VLOOKUP(Sales_fact[[#This Row],[Customer_ID]], 'Customer_Dim'!A:F, 6, FALSE)</f>
        <v>Male</v>
      </c>
      <c r="R1404" s="13" t="str">
        <f>_xlfn.XLOOKUP(Sales_fact[[#This Row],[Product_ID]],Product_Dim!A:A,Product_Dim!C:C,"OTHERS")</f>
        <v>Clothing</v>
      </c>
    </row>
    <row r="1405" spans="1:18" x14ac:dyDescent="0.3">
      <c r="A1405" t="s">
        <v>3229</v>
      </c>
      <c r="B1405" s="2">
        <v>45638</v>
      </c>
      <c r="C1405" t="s">
        <v>526</v>
      </c>
      <c r="D1405" t="s">
        <v>1656</v>
      </c>
      <c r="E1405" t="str">
        <f ca="1">TRIM(Sales_fact[[#This Row],[Store_ID]])</f>
        <v>STORE5</v>
      </c>
      <c r="F1405">
        <v>2</v>
      </c>
      <c r="G1405">
        <f>IF(ISBLANK(F1405),MODE($F$2:$F$2001),F1405)</f>
        <v>2</v>
      </c>
      <c r="H1405">
        <v>628.83000000000004</v>
      </c>
      <c r="I1405">
        <f>IF(ISBLANK(H1405),AVERAGE($H$2:$H$2001),H1405)</f>
        <v>628.83000000000004</v>
      </c>
      <c r="J1405">
        <v>7.0000000000000007E-2</v>
      </c>
      <c r="K1405">
        <f>IF(ISBLANK(J1405),MODE($J$2:$J$2001),J1405)</f>
        <v>7.0000000000000007E-2</v>
      </c>
      <c r="L1405" t="s">
        <v>1826</v>
      </c>
      <c r="M1405">
        <v>1169.6238000000001</v>
      </c>
      <c r="N1405">
        <f t="shared" si="21"/>
        <v>1169.6238000000001</v>
      </c>
      <c r="O1405" t="str">
        <f>_xlfn.XLOOKUP(Sales_fact[[#This Row],[Customer_ID]],'Customer_Dim'!A:A,'Customer_Dim'!K:K,"Not Found")</f>
        <v>Platinum</v>
      </c>
      <c r="P1405">
        <f>_xlfn.XLOOKUP(Sales_fact[[#This Row],[Customer_ID]],'Customer_Dim'!A:A, 'Customer_Dim'!E:E, "Not Found")</f>
        <v>59</v>
      </c>
      <c r="Q1405" t="str">
        <f>VLOOKUP(Sales_fact[[#This Row],[Customer_ID]], 'Customer_Dim'!A:F, 6, FALSE)</f>
        <v>Male</v>
      </c>
      <c r="R1405" s="13" t="str">
        <f>_xlfn.XLOOKUP(Sales_fact[[#This Row],[Product_ID]],Product_Dim!A:A,Product_Dim!C:C,"OTHERS")</f>
        <v>Sports</v>
      </c>
    </row>
    <row r="1406" spans="1:18" x14ac:dyDescent="0.3">
      <c r="A1406" t="s">
        <v>3230</v>
      </c>
      <c r="B1406" s="2">
        <v>45277</v>
      </c>
      <c r="C1406" t="s">
        <v>579</v>
      </c>
      <c r="D1406" t="s">
        <v>1710</v>
      </c>
      <c r="E1406" t="str">
        <f ca="1">TRIM(Sales_fact[[#This Row],[Store_ID]])</f>
        <v>STORE9</v>
      </c>
      <c r="F1406">
        <v>3</v>
      </c>
      <c r="G1406">
        <f>IF(ISBLANK(F1406),MODE($F$2:$F$2001),F1406)</f>
        <v>3</v>
      </c>
      <c r="H1406">
        <v>113.87</v>
      </c>
      <c r="I1406">
        <f>IF(ISBLANK(H1406),AVERAGE($H$2:$H$2001),H1406)</f>
        <v>113.87</v>
      </c>
      <c r="J1406">
        <v>0.21</v>
      </c>
      <c r="K1406">
        <f>IF(ISBLANK(J1406),MODE($J$2:$J$2001),J1406)</f>
        <v>0.21</v>
      </c>
      <c r="L1406" t="s">
        <v>1829</v>
      </c>
      <c r="M1406">
        <v>269.87189999999998</v>
      </c>
      <c r="N1406">
        <f t="shared" si="21"/>
        <v>269.87190000000004</v>
      </c>
      <c r="O1406" t="str">
        <f>_xlfn.XLOOKUP(Sales_fact[[#This Row],[Customer_ID]],'Customer_Dim'!A:A,'Customer_Dim'!K:K,"Not Found")</f>
        <v>Platinum</v>
      </c>
      <c r="P1406">
        <f>_xlfn.XLOOKUP(Sales_fact[[#This Row],[Customer_ID]],'Customer_Dim'!A:A, 'Customer_Dim'!E:E, "Not Found")</f>
        <v>56</v>
      </c>
      <c r="Q1406" t="str">
        <f>VLOOKUP(Sales_fact[[#This Row],[Customer_ID]], 'Customer_Dim'!A:F, 6, FALSE)</f>
        <v>Male</v>
      </c>
      <c r="R1406" s="13" t="str">
        <f>_xlfn.XLOOKUP(Sales_fact[[#This Row],[Product_ID]],Product_Dim!A:A,Product_Dim!C:C,"OTHERS")</f>
        <v>Sports</v>
      </c>
    </row>
    <row r="1407" spans="1:18" x14ac:dyDescent="0.3">
      <c r="A1407" t="s">
        <v>3231</v>
      </c>
      <c r="B1407" s="2">
        <v>45351</v>
      </c>
      <c r="C1407" t="s">
        <v>1298</v>
      </c>
      <c r="D1407" t="s">
        <v>1692</v>
      </c>
      <c r="E1407" t="str">
        <f ca="1">TRIM(Sales_fact[[#This Row],[Store_ID]])</f>
        <v>STORE7</v>
      </c>
      <c r="F1407">
        <v>4</v>
      </c>
      <c r="G1407">
        <f>IF(ISBLANK(F1407),MODE($F$2:$F$2001),F1407)</f>
        <v>4</v>
      </c>
      <c r="H1407">
        <v>282.07</v>
      </c>
      <c r="I1407">
        <f>IF(ISBLANK(H1407),AVERAGE($H$2:$H$2001),H1407)</f>
        <v>282.07</v>
      </c>
      <c r="J1407">
        <v>0.18</v>
      </c>
      <c r="K1407">
        <f>IF(ISBLANK(J1407),MODE($J$2:$J$2001),J1407)</f>
        <v>0.18</v>
      </c>
      <c r="L1407" t="s">
        <v>1826</v>
      </c>
      <c r="M1407">
        <v>925.18960000000004</v>
      </c>
      <c r="N1407">
        <f t="shared" si="21"/>
        <v>925.18960000000004</v>
      </c>
      <c r="O1407" t="str">
        <f>_xlfn.XLOOKUP(Sales_fact[[#This Row],[Customer_ID]],'Customer_Dim'!A:A,'Customer_Dim'!K:K,"Not Found")</f>
        <v>Silver</v>
      </c>
      <c r="P1407">
        <f>_xlfn.XLOOKUP(Sales_fact[[#This Row],[Customer_ID]],'Customer_Dim'!A:A, 'Customer_Dim'!E:E, "Not Found")</f>
        <v>60</v>
      </c>
      <c r="Q1407" t="str">
        <f>VLOOKUP(Sales_fact[[#This Row],[Customer_ID]], 'Customer_Dim'!A:F, 6, FALSE)</f>
        <v>Female</v>
      </c>
      <c r="R1407" s="13" t="str">
        <f>_xlfn.XLOOKUP(Sales_fact[[#This Row],[Product_ID]],Product_Dim!A:A,Product_Dim!C:C,"OTHERS")</f>
        <v>Sports</v>
      </c>
    </row>
    <row r="1408" spans="1:18" x14ac:dyDescent="0.3">
      <c r="A1408" t="s">
        <v>3232</v>
      </c>
      <c r="B1408" s="2">
        <v>45290</v>
      </c>
      <c r="C1408" t="s">
        <v>523</v>
      </c>
      <c r="D1408" t="s">
        <v>1656</v>
      </c>
      <c r="E1408" t="str">
        <f ca="1">TRIM(Sales_fact[[#This Row],[Store_ID]])</f>
        <v>STORE6</v>
      </c>
      <c r="F1408">
        <v>3</v>
      </c>
      <c r="G1408">
        <f>IF(ISBLANK(F1408),MODE($F$2:$F$2001),F1408)</f>
        <v>3</v>
      </c>
      <c r="H1408">
        <v>676.77</v>
      </c>
      <c r="I1408">
        <f>IF(ISBLANK(H1408),AVERAGE($H$2:$H$2001),H1408)</f>
        <v>676.77</v>
      </c>
      <c r="J1408">
        <v>0.17</v>
      </c>
      <c r="K1408">
        <f>IF(ISBLANK(J1408),MODE($J$2:$J$2001),J1408)</f>
        <v>0.17</v>
      </c>
      <c r="L1408" t="s">
        <v>1826</v>
      </c>
      <c r="M1408">
        <v>1685.1573000000001</v>
      </c>
      <c r="N1408">
        <f t="shared" si="21"/>
        <v>1685.1572999999999</v>
      </c>
      <c r="O1408" t="str">
        <f>_xlfn.XLOOKUP(Sales_fact[[#This Row],[Customer_ID]],'Customer_Dim'!A:A,'Customer_Dim'!K:K,"Not Found")</f>
        <v>Bronze</v>
      </c>
      <c r="P1408">
        <f>_xlfn.XLOOKUP(Sales_fact[[#This Row],[Customer_ID]],'Customer_Dim'!A:A, 'Customer_Dim'!E:E, "Not Found")</f>
        <v>46</v>
      </c>
      <c r="Q1408" t="str">
        <f>VLOOKUP(Sales_fact[[#This Row],[Customer_ID]], 'Customer_Dim'!A:F, 6, FALSE)</f>
        <v>Male</v>
      </c>
      <c r="R1408" s="13" t="str">
        <f>_xlfn.XLOOKUP(Sales_fact[[#This Row],[Product_ID]],Product_Dim!A:A,Product_Dim!C:C,"OTHERS")</f>
        <v>Sports</v>
      </c>
    </row>
    <row r="1409" spans="1:18" x14ac:dyDescent="0.3">
      <c r="A1409" t="s">
        <v>3233</v>
      </c>
      <c r="B1409" s="2">
        <v>45638</v>
      </c>
      <c r="C1409" t="s">
        <v>713</v>
      </c>
      <c r="D1409" t="s">
        <v>1560</v>
      </c>
      <c r="E1409" t="str">
        <f ca="1">TRIM(Sales_fact[[#This Row],[Store_ID]])</f>
        <v>STORE16</v>
      </c>
      <c r="F1409">
        <v>2</v>
      </c>
      <c r="G1409">
        <f>IF(ISBLANK(F1409),MODE($F$2:$F$2001),F1409)</f>
        <v>2</v>
      </c>
      <c r="H1409">
        <v>362.7</v>
      </c>
      <c r="I1409">
        <f>IF(ISBLANK(H1409),AVERAGE($H$2:$H$2001),H1409)</f>
        <v>362.7</v>
      </c>
      <c r="J1409">
        <v>0.09</v>
      </c>
      <c r="K1409">
        <f>IF(ISBLANK(J1409),MODE($J$2:$J$2001),J1409)</f>
        <v>0.09</v>
      </c>
      <c r="L1409" t="s">
        <v>1824</v>
      </c>
      <c r="M1409">
        <v>660.11400000000003</v>
      </c>
      <c r="N1409">
        <f t="shared" si="21"/>
        <v>660.11400000000003</v>
      </c>
      <c r="O1409" t="str">
        <f>_xlfn.XLOOKUP(Sales_fact[[#This Row],[Customer_ID]],'Customer_Dim'!A:A,'Customer_Dim'!K:K,"Not Found")</f>
        <v>Bronze</v>
      </c>
      <c r="P1409">
        <f>_xlfn.XLOOKUP(Sales_fact[[#This Row],[Customer_ID]],'Customer_Dim'!A:A, 'Customer_Dim'!E:E, "Not Found")</f>
        <v>50</v>
      </c>
      <c r="Q1409" t="str">
        <f>VLOOKUP(Sales_fact[[#This Row],[Customer_ID]], 'Customer_Dim'!A:F, 6, FALSE)</f>
        <v>Female</v>
      </c>
      <c r="R1409" s="13" t="str">
        <f>_xlfn.XLOOKUP(Sales_fact[[#This Row],[Product_ID]],Product_Dim!A:A,Product_Dim!C:C,"OTHERS")</f>
        <v>Home</v>
      </c>
    </row>
    <row r="1410" spans="1:18" x14ac:dyDescent="0.3">
      <c r="A1410" t="s">
        <v>3234</v>
      </c>
      <c r="B1410" s="2">
        <v>45679</v>
      </c>
      <c r="C1410" t="s">
        <v>461</v>
      </c>
      <c r="D1410" t="s">
        <v>1574</v>
      </c>
      <c r="E1410" t="str">
        <f ca="1">TRIM(Sales_fact[[#This Row],[Store_ID]])</f>
        <v>STORE2</v>
      </c>
      <c r="F1410">
        <v>1</v>
      </c>
      <c r="G1410">
        <f>IF(ISBLANK(F1410),MODE($F$2:$F$2001),F1410)</f>
        <v>1</v>
      </c>
      <c r="H1410">
        <v>908.5</v>
      </c>
      <c r="I1410">
        <f>IF(ISBLANK(H1410),AVERAGE($H$2:$H$2001),H1410)</f>
        <v>908.5</v>
      </c>
      <c r="J1410">
        <v>0.2</v>
      </c>
      <c r="K1410">
        <f>IF(ISBLANK(J1410),MODE($J$2:$J$2001),J1410)</f>
        <v>0.2</v>
      </c>
      <c r="L1410" t="s">
        <v>1829</v>
      </c>
      <c r="M1410">
        <v>726.80000000000007</v>
      </c>
      <c r="N1410">
        <f t="shared" si="21"/>
        <v>726.80000000000007</v>
      </c>
      <c r="O1410" t="str">
        <f>_xlfn.XLOOKUP(Sales_fact[[#This Row],[Customer_ID]],'Customer_Dim'!A:A,'Customer_Dim'!K:K,"Not Found")</f>
        <v>Platinum</v>
      </c>
      <c r="P1410">
        <f>_xlfn.XLOOKUP(Sales_fact[[#This Row],[Customer_ID]],'Customer_Dim'!A:A, 'Customer_Dim'!E:E, "Not Found")</f>
        <v>33</v>
      </c>
      <c r="Q1410" t="str">
        <f>VLOOKUP(Sales_fact[[#This Row],[Customer_ID]], 'Customer_Dim'!A:F, 6, FALSE)</f>
        <v>Female</v>
      </c>
      <c r="R1410" s="13" t="str">
        <f>_xlfn.XLOOKUP(Sales_fact[[#This Row],[Product_ID]],Product_Dim!A:A,Product_Dim!C:C,"OTHERS")</f>
        <v>Electronics</v>
      </c>
    </row>
    <row r="1411" spans="1:18" x14ac:dyDescent="0.3">
      <c r="A1411" t="s">
        <v>3235</v>
      </c>
      <c r="B1411" s="2">
        <v>45296</v>
      </c>
      <c r="C1411" t="s">
        <v>247</v>
      </c>
      <c r="D1411" t="s">
        <v>1598</v>
      </c>
      <c r="E1411" t="str">
        <f ca="1">TRIM(Sales_fact[[#This Row],[Store_ID]])</f>
        <v>STORE15</v>
      </c>
      <c r="F1411">
        <v>2</v>
      </c>
      <c r="G1411">
        <f>IF(ISBLANK(F1411),MODE($F$2:$F$2001),F1411)</f>
        <v>2</v>
      </c>
      <c r="H1411">
        <v>795.37</v>
      </c>
      <c r="I1411">
        <f>IF(ISBLANK(H1411),AVERAGE($H$2:$H$2001),H1411)</f>
        <v>795.37</v>
      </c>
      <c r="J1411">
        <v>0.2</v>
      </c>
      <c r="K1411">
        <f>IF(ISBLANK(J1411),MODE($J$2:$J$2001),J1411)</f>
        <v>0.2</v>
      </c>
      <c r="L1411" t="s">
        <v>1829</v>
      </c>
      <c r="M1411">
        <v>1272.5920000000001</v>
      </c>
      <c r="N1411">
        <f t="shared" ref="N1411:N1474" si="22">G1411*I1411*(1-K1411)</f>
        <v>1272.5920000000001</v>
      </c>
      <c r="O1411" t="str">
        <f>_xlfn.XLOOKUP(Sales_fact[[#This Row],[Customer_ID]],'Customer_Dim'!A:A,'Customer_Dim'!K:K,"Not Found")</f>
        <v>Silver</v>
      </c>
      <c r="P1411">
        <f>_xlfn.XLOOKUP(Sales_fact[[#This Row],[Customer_ID]],'Customer_Dim'!A:A, 'Customer_Dim'!E:E, "Not Found")</f>
        <v>58</v>
      </c>
      <c r="Q1411" t="str">
        <f>VLOOKUP(Sales_fact[[#This Row],[Customer_ID]], 'Customer_Dim'!A:F, 6, FALSE)</f>
        <v>Male</v>
      </c>
      <c r="R1411" s="13" t="str">
        <f>_xlfn.XLOOKUP(Sales_fact[[#This Row],[Product_ID]],Product_Dim!A:A,Product_Dim!C:C,"OTHERS")</f>
        <v>Clothing</v>
      </c>
    </row>
    <row r="1412" spans="1:18" x14ac:dyDescent="0.3">
      <c r="A1412" t="s">
        <v>3236</v>
      </c>
      <c r="B1412" s="2">
        <v>45760</v>
      </c>
      <c r="C1412" t="s">
        <v>487</v>
      </c>
      <c r="D1412" t="s">
        <v>1618</v>
      </c>
      <c r="E1412" t="str">
        <f ca="1">TRIM(Sales_fact[[#This Row],[Store_ID]])</f>
        <v>STORE4</v>
      </c>
      <c r="F1412">
        <v>2</v>
      </c>
      <c r="G1412">
        <f>IF(ISBLANK(F1412),MODE($F$2:$F$2001),F1412)</f>
        <v>2</v>
      </c>
      <c r="H1412">
        <v>326.85000000000002</v>
      </c>
      <c r="I1412">
        <f>IF(ISBLANK(H1412),AVERAGE($H$2:$H$2001),H1412)</f>
        <v>326.85000000000002</v>
      </c>
      <c r="J1412">
        <v>0.17</v>
      </c>
      <c r="K1412">
        <f>IF(ISBLANK(J1412),MODE($J$2:$J$2001),J1412)</f>
        <v>0.17</v>
      </c>
      <c r="L1412" t="s">
        <v>1829</v>
      </c>
      <c r="M1412">
        <v>542.57100000000003</v>
      </c>
      <c r="N1412">
        <f t="shared" si="22"/>
        <v>542.57100000000003</v>
      </c>
      <c r="O1412" t="str">
        <f>_xlfn.XLOOKUP(Sales_fact[[#This Row],[Customer_ID]],'Customer_Dim'!A:A,'Customer_Dim'!K:K,"Not Found")</f>
        <v>Bronze</v>
      </c>
      <c r="P1412">
        <f>_xlfn.XLOOKUP(Sales_fact[[#This Row],[Customer_ID]],'Customer_Dim'!A:A, 'Customer_Dim'!E:E, "Not Found")</f>
        <v>62</v>
      </c>
      <c r="Q1412" t="str">
        <f>VLOOKUP(Sales_fact[[#This Row],[Customer_ID]], 'Customer_Dim'!A:F, 6, FALSE)</f>
        <v>Female</v>
      </c>
      <c r="R1412" s="13" t="str">
        <f>_xlfn.XLOOKUP(Sales_fact[[#This Row],[Product_ID]],Product_Dim!A:A,Product_Dim!C:C,"OTHERS")</f>
        <v>Home</v>
      </c>
    </row>
    <row r="1413" spans="1:18" x14ac:dyDescent="0.3">
      <c r="A1413" t="s">
        <v>3237</v>
      </c>
      <c r="B1413" s="2">
        <v>45603</v>
      </c>
      <c r="C1413" t="s">
        <v>1098</v>
      </c>
      <c r="D1413" t="s">
        <v>1660</v>
      </c>
      <c r="E1413" t="str">
        <f ca="1">TRIM(Sales_fact[[#This Row],[Store_ID]])</f>
        <v>STORE14</v>
      </c>
      <c r="F1413">
        <v>3</v>
      </c>
      <c r="G1413">
        <f>IF(ISBLANK(F1413),MODE($F$2:$F$2001),F1413)</f>
        <v>3</v>
      </c>
      <c r="H1413">
        <v>169.43</v>
      </c>
      <c r="I1413">
        <f>IF(ISBLANK(H1413),AVERAGE($H$2:$H$2001),H1413)</f>
        <v>169.43</v>
      </c>
      <c r="J1413">
        <v>0.19</v>
      </c>
      <c r="K1413">
        <f>IF(ISBLANK(J1413),MODE($J$2:$J$2001),J1413)</f>
        <v>0.19</v>
      </c>
      <c r="L1413" t="s">
        <v>1824</v>
      </c>
      <c r="M1413">
        <v>411.71490000000011</v>
      </c>
      <c r="N1413">
        <f t="shared" si="22"/>
        <v>411.71490000000006</v>
      </c>
      <c r="O1413" t="str">
        <f>_xlfn.XLOOKUP(Sales_fact[[#This Row],[Customer_ID]],'Customer_Dim'!A:A,'Customer_Dim'!K:K,"Not Found")</f>
        <v>Silver</v>
      </c>
      <c r="P1413">
        <f>_xlfn.XLOOKUP(Sales_fact[[#This Row],[Customer_ID]],'Customer_Dim'!A:A, 'Customer_Dim'!E:E, "Not Found")</f>
        <v>26</v>
      </c>
      <c r="Q1413" t="str">
        <f>VLOOKUP(Sales_fact[[#This Row],[Customer_ID]], 'Customer_Dim'!A:F, 6, FALSE)</f>
        <v>Male</v>
      </c>
      <c r="R1413" s="13" t="str">
        <f>_xlfn.XLOOKUP(Sales_fact[[#This Row],[Product_ID]],Product_Dim!A:A,Product_Dim!C:C,"OTHERS")</f>
        <v>Home</v>
      </c>
    </row>
    <row r="1414" spans="1:18" x14ac:dyDescent="0.3">
      <c r="A1414" t="s">
        <v>3238</v>
      </c>
      <c r="B1414" s="2">
        <v>45413</v>
      </c>
      <c r="C1414" t="s">
        <v>544</v>
      </c>
      <c r="D1414" t="s">
        <v>1714</v>
      </c>
      <c r="E1414" t="str">
        <f ca="1">TRIM(Sales_fact[[#This Row],[Store_ID]])</f>
        <v>STORE6</v>
      </c>
      <c r="F1414">
        <v>1</v>
      </c>
      <c r="G1414">
        <f>IF(ISBLANK(F1414),MODE($F$2:$F$2001),F1414)</f>
        <v>1</v>
      </c>
      <c r="H1414">
        <v>254.47</v>
      </c>
      <c r="I1414">
        <f>IF(ISBLANK(H1414),AVERAGE($H$2:$H$2001),H1414)</f>
        <v>254.47</v>
      </c>
      <c r="J1414">
        <v>0.1</v>
      </c>
      <c r="K1414">
        <f>IF(ISBLANK(J1414),MODE($J$2:$J$2001),J1414)</f>
        <v>0.1</v>
      </c>
      <c r="L1414" t="s">
        <v>1824</v>
      </c>
      <c r="M1414">
        <v>229.023</v>
      </c>
      <c r="N1414">
        <f t="shared" si="22"/>
        <v>229.023</v>
      </c>
      <c r="O1414" t="str">
        <f>_xlfn.XLOOKUP(Sales_fact[[#This Row],[Customer_ID]],'Customer_Dim'!A:A,'Customer_Dim'!K:K,"Not Found")</f>
        <v>Bronze</v>
      </c>
      <c r="P1414">
        <f>_xlfn.XLOOKUP(Sales_fact[[#This Row],[Customer_ID]],'Customer_Dim'!A:A, 'Customer_Dim'!E:E, "Not Found")</f>
        <v>21</v>
      </c>
      <c r="Q1414" t="str">
        <f>VLOOKUP(Sales_fact[[#This Row],[Customer_ID]], 'Customer_Dim'!A:F, 6, FALSE)</f>
        <v>Male</v>
      </c>
      <c r="R1414" s="13" t="str">
        <f>_xlfn.XLOOKUP(Sales_fact[[#This Row],[Product_ID]],Product_Dim!A:A,Product_Dim!C:C,"OTHERS")</f>
        <v>Beauty</v>
      </c>
    </row>
    <row r="1415" spans="1:18" x14ac:dyDescent="0.3">
      <c r="A1415" t="s">
        <v>3239</v>
      </c>
      <c r="B1415" s="2">
        <v>45506</v>
      </c>
      <c r="C1415" t="s">
        <v>1298</v>
      </c>
      <c r="D1415" t="s">
        <v>1598</v>
      </c>
      <c r="E1415" t="str">
        <f ca="1">TRIM(Sales_fact[[#This Row],[Store_ID]])</f>
        <v>STORE16</v>
      </c>
      <c r="F1415">
        <v>4</v>
      </c>
      <c r="G1415">
        <f>IF(ISBLANK(F1415),MODE($F$2:$F$2001),F1415)</f>
        <v>4</v>
      </c>
      <c r="H1415">
        <v>627.73</v>
      </c>
      <c r="I1415">
        <f>IF(ISBLANK(H1415),AVERAGE($H$2:$H$2001),H1415)</f>
        <v>627.73</v>
      </c>
      <c r="J1415">
        <v>0.11</v>
      </c>
      <c r="K1415">
        <f>IF(ISBLANK(J1415),MODE($J$2:$J$2001),J1415)</f>
        <v>0.11</v>
      </c>
      <c r="L1415" t="s">
        <v>1829</v>
      </c>
      <c r="M1415">
        <v>2234.7188000000001</v>
      </c>
      <c r="N1415">
        <f t="shared" si="22"/>
        <v>2234.7188000000001</v>
      </c>
      <c r="O1415" t="str">
        <f>_xlfn.XLOOKUP(Sales_fact[[#This Row],[Customer_ID]],'Customer_Dim'!A:A,'Customer_Dim'!K:K,"Not Found")</f>
        <v>Silver</v>
      </c>
      <c r="P1415">
        <f>_xlfn.XLOOKUP(Sales_fact[[#This Row],[Customer_ID]],'Customer_Dim'!A:A, 'Customer_Dim'!E:E, "Not Found")</f>
        <v>60</v>
      </c>
      <c r="Q1415" t="str">
        <f>VLOOKUP(Sales_fact[[#This Row],[Customer_ID]], 'Customer_Dim'!A:F, 6, FALSE)</f>
        <v>Female</v>
      </c>
      <c r="R1415" s="13" t="str">
        <f>_xlfn.XLOOKUP(Sales_fact[[#This Row],[Product_ID]],Product_Dim!A:A,Product_Dim!C:C,"OTHERS")</f>
        <v>Clothing</v>
      </c>
    </row>
    <row r="1416" spans="1:18" x14ac:dyDescent="0.3">
      <c r="A1416" t="s">
        <v>3240</v>
      </c>
      <c r="B1416" s="2">
        <v>45394</v>
      </c>
      <c r="C1416" t="s">
        <v>1160</v>
      </c>
      <c r="D1416" t="s">
        <v>1610</v>
      </c>
      <c r="E1416" t="str">
        <f ca="1">TRIM(Sales_fact[[#This Row],[Store_ID]])</f>
        <v>STORE19</v>
      </c>
      <c r="F1416">
        <v>4</v>
      </c>
      <c r="G1416">
        <f>IF(ISBLANK(F1416),MODE($F$2:$F$2001),F1416)</f>
        <v>4</v>
      </c>
      <c r="H1416">
        <v>327.25</v>
      </c>
      <c r="I1416">
        <f>IF(ISBLANK(H1416),AVERAGE($H$2:$H$2001),H1416)</f>
        <v>327.25</v>
      </c>
      <c r="J1416">
        <v>0.13</v>
      </c>
      <c r="K1416">
        <f>IF(ISBLANK(J1416),MODE($J$2:$J$2001),J1416)</f>
        <v>0.13</v>
      </c>
      <c r="L1416" t="s">
        <v>1829</v>
      </c>
      <c r="M1416">
        <v>1138.83</v>
      </c>
      <c r="N1416">
        <f t="shared" si="22"/>
        <v>1138.83</v>
      </c>
      <c r="O1416" t="str">
        <f>_xlfn.XLOOKUP(Sales_fact[[#This Row],[Customer_ID]],'Customer_Dim'!A:A,'Customer_Dim'!K:K,"Not Found")</f>
        <v>Platinum</v>
      </c>
      <c r="P1416">
        <f>_xlfn.XLOOKUP(Sales_fact[[#This Row],[Customer_ID]],'Customer_Dim'!A:A, 'Customer_Dim'!E:E, "Not Found")</f>
        <v>21</v>
      </c>
      <c r="Q1416" t="str">
        <f>VLOOKUP(Sales_fact[[#This Row],[Customer_ID]], 'Customer_Dim'!A:F, 6, FALSE)</f>
        <v>Female</v>
      </c>
      <c r="R1416" s="13" t="str">
        <f>_xlfn.XLOOKUP(Sales_fact[[#This Row],[Product_ID]],Product_Dim!A:A,Product_Dim!C:C,"OTHERS")</f>
        <v>Sports</v>
      </c>
    </row>
    <row r="1417" spans="1:18" x14ac:dyDescent="0.3">
      <c r="A1417" t="s">
        <v>3241</v>
      </c>
      <c r="B1417" s="2">
        <v>45755</v>
      </c>
      <c r="C1417" t="s">
        <v>490</v>
      </c>
      <c r="D1417" t="s">
        <v>1666</v>
      </c>
      <c r="E1417" t="str">
        <f ca="1">TRIM(Sales_fact[[#This Row],[Store_ID]])</f>
        <v>STORE11</v>
      </c>
      <c r="F1417">
        <v>4</v>
      </c>
      <c r="G1417">
        <f>IF(ISBLANK(F1417),MODE($F$2:$F$2001),F1417)</f>
        <v>4</v>
      </c>
      <c r="H1417">
        <v>511.43</v>
      </c>
      <c r="I1417">
        <f>IF(ISBLANK(H1417),AVERAGE($H$2:$H$2001),H1417)</f>
        <v>511.43</v>
      </c>
      <c r="J1417">
        <v>0.18</v>
      </c>
      <c r="K1417">
        <f>IF(ISBLANK(J1417),MODE($J$2:$J$2001),J1417)</f>
        <v>0.18</v>
      </c>
      <c r="L1417" t="s">
        <v>1829</v>
      </c>
      <c r="M1417">
        <v>1677.4903999999999</v>
      </c>
      <c r="N1417">
        <f t="shared" si="22"/>
        <v>1677.4904000000001</v>
      </c>
      <c r="O1417" t="str">
        <f>_xlfn.XLOOKUP(Sales_fact[[#This Row],[Customer_ID]],'Customer_Dim'!A:A,'Customer_Dim'!K:K,"Not Found")</f>
        <v>Platinum</v>
      </c>
      <c r="P1417">
        <f>_xlfn.XLOOKUP(Sales_fact[[#This Row],[Customer_ID]],'Customer_Dim'!A:A, 'Customer_Dim'!E:E, "Not Found")</f>
        <v>46</v>
      </c>
      <c r="Q1417" t="str">
        <f>VLOOKUP(Sales_fact[[#This Row],[Customer_ID]], 'Customer_Dim'!A:F, 6, FALSE)</f>
        <v>Male</v>
      </c>
      <c r="R1417" s="13" t="str">
        <f>_xlfn.XLOOKUP(Sales_fact[[#This Row],[Product_ID]],Product_Dim!A:A,Product_Dim!C:C,"OTHERS")</f>
        <v>Beauty</v>
      </c>
    </row>
    <row r="1418" spans="1:18" x14ac:dyDescent="0.3">
      <c r="A1418" t="s">
        <v>3242</v>
      </c>
      <c r="B1418" s="2">
        <v>45473</v>
      </c>
      <c r="C1418" t="s">
        <v>550</v>
      </c>
      <c r="D1418" t="s">
        <v>1674</v>
      </c>
      <c r="E1418" t="str">
        <f ca="1">TRIM(Sales_fact[[#This Row],[Store_ID]])</f>
        <v>STORE17</v>
      </c>
      <c r="F1418">
        <v>4</v>
      </c>
      <c r="G1418">
        <f>IF(ISBLANK(F1418),MODE($F$2:$F$2001),F1418)</f>
        <v>4</v>
      </c>
      <c r="H1418">
        <v>194.67</v>
      </c>
      <c r="I1418">
        <f>IF(ISBLANK(H1418),AVERAGE($H$2:$H$2001),H1418)</f>
        <v>194.67</v>
      </c>
      <c r="J1418">
        <v>0.23</v>
      </c>
      <c r="K1418">
        <f>IF(ISBLANK(J1418),MODE($J$2:$J$2001),J1418)</f>
        <v>0.23</v>
      </c>
      <c r="L1418" t="s">
        <v>1826</v>
      </c>
      <c r="M1418">
        <v>599.58359999999993</v>
      </c>
      <c r="N1418">
        <f t="shared" si="22"/>
        <v>599.58359999999993</v>
      </c>
      <c r="O1418" t="str">
        <f>_xlfn.XLOOKUP(Sales_fact[[#This Row],[Customer_ID]],'Customer_Dim'!A:A,'Customer_Dim'!K:K,"Not Found")</f>
        <v>Platinum</v>
      </c>
      <c r="P1418">
        <f>_xlfn.XLOOKUP(Sales_fact[[#This Row],[Customer_ID]],'Customer_Dim'!A:A, 'Customer_Dim'!E:E, "Not Found")</f>
        <v>47</v>
      </c>
      <c r="Q1418" t="str">
        <f>VLOOKUP(Sales_fact[[#This Row],[Customer_ID]], 'Customer_Dim'!A:F, 6, FALSE)</f>
        <v>Female</v>
      </c>
      <c r="R1418" s="13" t="str">
        <f>_xlfn.XLOOKUP(Sales_fact[[#This Row],[Product_ID]],Product_Dim!A:A,Product_Dim!C:C,"OTHERS")</f>
        <v>Beauty</v>
      </c>
    </row>
    <row r="1419" spans="1:18" x14ac:dyDescent="0.3">
      <c r="A1419" t="s">
        <v>3243</v>
      </c>
      <c r="B1419" s="2">
        <v>45304</v>
      </c>
      <c r="C1419" t="s">
        <v>221</v>
      </c>
      <c r="D1419" t="s">
        <v>1594</v>
      </c>
      <c r="E1419" t="str">
        <f ca="1">TRIM(Sales_fact[[#This Row],[Store_ID]])</f>
        <v>STORE1</v>
      </c>
      <c r="F1419">
        <v>2</v>
      </c>
      <c r="G1419">
        <f>IF(ISBLANK(F1419),MODE($F$2:$F$2001),F1419)</f>
        <v>2</v>
      </c>
      <c r="H1419">
        <v>54.51</v>
      </c>
      <c r="I1419">
        <f>IF(ISBLANK(H1419),AVERAGE($H$2:$H$2001),H1419)</f>
        <v>54.51</v>
      </c>
      <c r="J1419">
        <v>7.0000000000000007E-2</v>
      </c>
      <c r="K1419">
        <f>IF(ISBLANK(J1419),MODE($J$2:$J$2001),J1419)</f>
        <v>7.0000000000000007E-2</v>
      </c>
      <c r="L1419" t="s">
        <v>1824</v>
      </c>
      <c r="M1419">
        <v>101.3886</v>
      </c>
      <c r="N1419">
        <f t="shared" si="22"/>
        <v>101.38859999999998</v>
      </c>
      <c r="O1419" t="str">
        <f>_xlfn.XLOOKUP(Sales_fact[[#This Row],[Customer_ID]],'Customer_Dim'!A:A,'Customer_Dim'!K:K,"Not Found")</f>
        <v>Platinum</v>
      </c>
      <c r="P1419">
        <f>_xlfn.XLOOKUP(Sales_fact[[#This Row],[Customer_ID]],'Customer_Dim'!A:A, 'Customer_Dim'!E:E, "Not Found")</f>
        <v>53</v>
      </c>
      <c r="Q1419" t="str">
        <f>VLOOKUP(Sales_fact[[#This Row],[Customer_ID]], 'Customer_Dim'!A:F, 6, FALSE)</f>
        <v>Male</v>
      </c>
      <c r="R1419" s="13" t="str">
        <f>_xlfn.XLOOKUP(Sales_fact[[#This Row],[Product_ID]],Product_Dim!A:A,Product_Dim!C:C,"OTHERS")</f>
        <v>Clothing</v>
      </c>
    </row>
    <row r="1420" spans="1:18" x14ac:dyDescent="0.3">
      <c r="A1420" t="s">
        <v>3244</v>
      </c>
      <c r="B1420" s="2">
        <v>45557</v>
      </c>
      <c r="C1420" t="s">
        <v>278</v>
      </c>
      <c r="D1420" t="s">
        <v>1672</v>
      </c>
      <c r="E1420" t="str">
        <f ca="1">TRIM(Sales_fact[[#This Row],[Store_ID]])</f>
        <v>STORE11</v>
      </c>
      <c r="F1420">
        <v>4</v>
      </c>
      <c r="G1420">
        <f>IF(ISBLANK(F1420),MODE($F$2:$F$2001),F1420)</f>
        <v>4</v>
      </c>
      <c r="H1420">
        <v>964</v>
      </c>
      <c r="I1420">
        <f>IF(ISBLANK(H1420),AVERAGE($H$2:$H$2001),H1420)</f>
        <v>964</v>
      </c>
      <c r="J1420">
        <v>0.14000000000000001</v>
      </c>
      <c r="K1420">
        <f>IF(ISBLANK(J1420),MODE($J$2:$J$2001),J1420)</f>
        <v>0.14000000000000001</v>
      </c>
      <c r="L1420" t="s">
        <v>1826</v>
      </c>
      <c r="M1420">
        <v>3316.16</v>
      </c>
      <c r="N1420">
        <f t="shared" si="22"/>
        <v>3316.16</v>
      </c>
      <c r="O1420" t="str">
        <f>_xlfn.XLOOKUP(Sales_fact[[#This Row],[Customer_ID]],'Customer_Dim'!A:A,'Customer_Dim'!K:K,"Not Found")</f>
        <v>Gold</v>
      </c>
      <c r="P1420">
        <f>_xlfn.XLOOKUP(Sales_fact[[#This Row],[Customer_ID]],'Customer_Dim'!A:A, 'Customer_Dim'!E:E, "Not Found")</f>
        <v>37</v>
      </c>
      <c r="Q1420" t="str">
        <f>VLOOKUP(Sales_fact[[#This Row],[Customer_ID]], 'Customer_Dim'!A:F, 6, FALSE)</f>
        <v>Male</v>
      </c>
      <c r="R1420" s="13" t="str">
        <f>_xlfn.XLOOKUP(Sales_fact[[#This Row],[Product_ID]],Product_Dim!A:A,Product_Dim!C:C,"OTHERS")</f>
        <v>Electronics</v>
      </c>
    </row>
    <row r="1421" spans="1:18" x14ac:dyDescent="0.3">
      <c r="A1421" t="s">
        <v>3245</v>
      </c>
      <c r="B1421" s="2">
        <v>45527</v>
      </c>
      <c r="C1421" t="s">
        <v>157</v>
      </c>
      <c r="D1421" t="s">
        <v>1726</v>
      </c>
      <c r="E1421" t="str">
        <f ca="1">TRIM(Sales_fact[[#This Row],[Store_ID]])</f>
        <v>STORE4</v>
      </c>
      <c r="F1421">
        <v>1</v>
      </c>
      <c r="G1421">
        <f>IF(ISBLANK(F1421),MODE($F$2:$F$2001),F1421)</f>
        <v>1</v>
      </c>
      <c r="H1421">
        <v>170.12</v>
      </c>
      <c r="I1421">
        <f>IF(ISBLANK(H1421),AVERAGE($H$2:$H$2001),H1421)</f>
        <v>170.12</v>
      </c>
      <c r="J1421">
        <v>0.26</v>
      </c>
      <c r="K1421">
        <f>IF(ISBLANK(J1421),MODE($J$2:$J$2001),J1421)</f>
        <v>0.26</v>
      </c>
      <c r="L1421" t="s">
        <v>1826</v>
      </c>
      <c r="M1421">
        <v>125.8888</v>
      </c>
      <c r="N1421">
        <f t="shared" si="22"/>
        <v>125.8888</v>
      </c>
      <c r="O1421" t="str">
        <f>_xlfn.XLOOKUP(Sales_fact[[#This Row],[Customer_ID]],'Customer_Dim'!A:A,'Customer_Dim'!K:K,"Not Found")</f>
        <v>Gold</v>
      </c>
      <c r="P1421">
        <f>_xlfn.XLOOKUP(Sales_fact[[#This Row],[Customer_ID]],'Customer_Dim'!A:A, 'Customer_Dim'!E:E, "Not Found")</f>
        <v>50</v>
      </c>
      <c r="Q1421" t="str">
        <f>VLOOKUP(Sales_fact[[#This Row],[Customer_ID]], 'Customer_Dim'!A:F, 6, FALSE)</f>
        <v>Male</v>
      </c>
      <c r="R1421" s="13" t="str">
        <f>_xlfn.XLOOKUP(Sales_fact[[#This Row],[Product_ID]],Product_Dim!A:A,Product_Dim!C:C,"OTHERS")</f>
        <v>Beauty</v>
      </c>
    </row>
    <row r="1422" spans="1:18" x14ac:dyDescent="0.3">
      <c r="A1422" t="s">
        <v>3246</v>
      </c>
      <c r="B1422" s="2">
        <v>45875</v>
      </c>
      <c r="C1422" t="s">
        <v>511</v>
      </c>
      <c r="D1422" t="s">
        <v>1654</v>
      </c>
      <c r="E1422" t="str">
        <f ca="1">TRIM(Sales_fact[[#This Row],[Store_ID]])</f>
        <v>STORE19</v>
      </c>
      <c r="F1422">
        <v>2</v>
      </c>
      <c r="G1422">
        <f>IF(ISBLANK(F1422),MODE($F$2:$F$2001),F1422)</f>
        <v>2</v>
      </c>
      <c r="H1422">
        <v>664.5</v>
      </c>
      <c r="I1422">
        <f>IF(ISBLANK(H1422),AVERAGE($H$2:$H$2001),H1422)</f>
        <v>664.5</v>
      </c>
      <c r="J1422">
        <v>0.23</v>
      </c>
      <c r="K1422">
        <f>IF(ISBLANK(J1422),MODE($J$2:$J$2001),J1422)</f>
        <v>0.23</v>
      </c>
      <c r="L1422" t="s">
        <v>1824</v>
      </c>
      <c r="M1422">
        <v>1023.33</v>
      </c>
      <c r="N1422">
        <f t="shared" si="22"/>
        <v>1023.33</v>
      </c>
      <c r="O1422" t="str">
        <f>_xlfn.XLOOKUP(Sales_fact[[#This Row],[Customer_ID]],'Customer_Dim'!A:A,'Customer_Dim'!K:K,"Not Found")</f>
        <v>Platinum</v>
      </c>
      <c r="P1422">
        <f>_xlfn.XLOOKUP(Sales_fact[[#This Row],[Customer_ID]],'Customer_Dim'!A:A, 'Customer_Dim'!E:E, "Not Found")</f>
        <v>41</v>
      </c>
      <c r="Q1422" t="str">
        <f>VLOOKUP(Sales_fact[[#This Row],[Customer_ID]], 'Customer_Dim'!A:F, 6, FALSE)</f>
        <v>Female</v>
      </c>
      <c r="R1422" s="13" t="str">
        <f>_xlfn.XLOOKUP(Sales_fact[[#This Row],[Product_ID]],Product_Dim!A:A,Product_Dim!C:C,"OTHERS")</f>
        <v>Clothing</v>
      </c>
    </row>
    <row r="1423" spans="1:18" x14ac:dyDescent="0.3">
      <c r="A1423" t="s">
        <v>3247</v>
      </c>
      <c r="B1423" s="2">
        <v>45936</v>
      </c>
      <c r="C1423" t="s">
        <v>1160</v>
      </c>
      <c r="D1423" t="s">
        <v>1638</v>
      </c>
      <c r="E1423" t="str">
        <f ca="1">TRIM(Sales_fact[[#This Row],[Store_ID]])</f>
        <v>STORE10</v>
      </c>
      <c r="F1423">
        <v>4</v>
      </c>
      <c r="G1423">
        <f>IF(ISBLANK(F1423),MODE($F$2:$F$2001),F1423)</f>
        <v>4</v>
      </c>
      <c r="H1423">
        <v>557.51</v>
      </c>
      <c r="I1423">
        <f>IF(ISBLANK(H1423),AVERAGE($H$2:$H$2001),H1423)</f>
        <v>557.51</v>
      </c>
      <c r="J1423">
        <v>0.11</v>
      </c>
      <c r="K1423">
        <f>IF(ISBLANK(J1423),MODE($J$2:$J$2001),J1423)</f>
        <v>0.11</v>
      </c>
      <c r="L1423" t="s">
        <v>1824</v>
      </c>
      <c r="M1423">
        <v>1984.7356</v>
      </c>
      <c r="N1423">
        <f t="shared" si="22"/>
        <v>1984.7356</v>
      </c>
      <c r="O1423" t="str">
        <f>_xlfn.XLOOKUP(Sales_fact[[#This Row],[Customer_ID]],'Customer_Dim'!A:A,'Customer_Dim'!K:K,"Not Found")</f>
        <v>Platinum</v>
      </c>
      <c r="P1423">
        <f>_xlfn.XLOOKUP(Sales_fact[[#This Row],[Customer_ID]],'Customer_Dim'!A:A, 'Customer_Dim'!E:E, "Not Found")</f>
        <v>21</v>
      </c>
      <c r="Q1423" t="str">
        <f>VLOOKUP(Sales_fact[[#This Row],[Customer_ID]], 'Customer_Dim'!A:F, 6, FALSE)</f>
        <v>Female</v>
      </c>
      <c r="R1423" s="13" t="str">
        <f>_xlfn.XLOOKUP(Sales_fact[[#This Row],[Product_ID]],Product_Dim!A:A,Product_Dim!C:C,"OTHERS")</f>
        <v>Sports</v>
      </c>
    </row>
    <row r="1424" spans="1:18" x14ac:dyDescent="0.3">
      <c r="A1424" t="s">
        <v>3248</v>
      </c>
      <c r="B1424" s="2">
        <v>45807</v>
      </c>
      <c r="C1424" t="s">
        <v>1238</v>
      </c>
      <c r="D1424" t="s">
        <v>1728</v>
      </c>
      <c r="E1424" t="str">
        <f ca="1">TRIM(Sales_fact[[#This Row],[Store_ID]])</f>
        <v>STORE1</v>
      </c>
      <c r="F1424">
        <v>2</v>
      </c>
      <c r="G1424">
        <f>IF(ISBLANK(F1424),MODE($F$2:$F$2001),F1424)</f>
        <v>2</v>
      </c>
      <c r="H1424">
        <v>410</v>
      </c>
      <c r="I1424">
        <f>IF(ISBLANK(H1424),AVERAGE($H$2:$H$2001),H1424)</f>
        <v>410</v>
      </c>
      <c r="J1424">
        <v>0.13</v>
      </c>
      <c r="K1424">
        <f>IF(ISBLANK(J1424),MODE($J$2:$J$2001),J1424)</f>
        <v>0.13</v>
      </c>
      <c r="L1424" t="s">
        <v>1829</v>
      </c>
      <c r="M1424">
        <v>713.4</v>
      </c>
      <c r="N1424">
        <f t="shared" si="22"/>
        <v>713.4</v>
      </c>
      <c r="O1424" t="str">
        <f>_xlfn.XLOOKUP(Sales_fact[[#This Row],[Customer_ID]],'Customer_Dim'!A:A,'Customer_Dim'!K:K,"Not Found")</f>
        <v>Platinum</v>
      </c>
      <c r="P1424">
        <f>_xlfn.XLOOKUP(Sales_fact[[#This Row],[Customer_ID]],'Customer_Dim'!A:A, 'Customer_Dim'!E:E, "Not Found")</f>
        <v>62</v>
      </c>
      <c r="Q1424" t="str">
        <f>VLOOKUP(Sales_fact[[#This Row],[Customer_ID]], 'Customer_Dim'!A:F, 6, FALSE)</f>
        <v>Female</v>
      </c>
      <c r="R1424" s="13" t="str">
        <f>_xlfn.XLOOKUP(Sales_fact[[#This Row],[Product_ID]],Product_Dim!A:A,Product_Dim!C:C,"OTHERS")</f>
        <v>Electronics</v>
      </c>
    </row>
    <row r="1425" spans="1:18" x14ac:dyDescent="0.3">
      <c r="A1425" t="s">
        <v>3249</v>
      </c>
      <c r="B1425" s="2">
        <v>45473</v>
      </c>
      <c r="C1425" t="s">
        <v>966</v>
      </c>
      <c r="D1425" t="s">
        <v>1714</v>
      </c>
      <c r="E1425" t="str">
        <f ca="1">TRIM(Sales_fact[[#This Row],[Store_ID]])</f>
        <v>STORE5</v>
      </c>
      <c r="F1425">
        <v>2</v>
      </c>
      <c r="G1425">
        <f>IF(ISBLANK(F1425),MODE($F$2:$F$2001),F1425)</f>
        <v>2</v>
      </c>
      <c r="H1425">
        <v>879.93</v>
      </c>
      <c r="I1425">
        <f>IF(ISBLANK(H1425),AVERAGE($H$2:$H$2001),H1425)</f>
        <v>879.93</v>
      </c>
      <c r="J1425">
        <v>0.28999999999999998</v>
      </c>
      <c r="K1425">
        <f>IF(ISBLANK(J1425),MODE($J$2:$J$2001),J1425)</f>
        <v>0.28999999999999998</v>
      </c>
      <c r="L1425" t="s">
        <v>1829</v>
      </c>
      <c r="M1425">
        <v>1249.5006000000001</v>
      </c>
      <c r="N1425">
        <f t="shared" si="22"/>
        <v>1249.5005999999998</v>
      </c>
      <c r="O1425" t="str">
        <f>_xlfn.XLOOKUP(Sales_fact[[#This Row],[Customer_ID]],'Customer_Dim'!A:A,'Customer_Dim'!K:K,"Not Found")</f>
        <v>Platinum</v>
      </c>
      <c r="P1425">
        <f>_xlfn.XLOOKUP(Sales_fact[[#This Row],[Customer_ID]],'Customer_Dim'!A:A, 'Customer_Dim'!E:E, "Not Found")</f>
        <v>44</v>
      </c>
      <c r="Q1425" t="str">
        <f>VLOOKUP(Sales_fact[[#This Row],[Customer_ID]], 'Customer_Dim'!A:F, 6, FALSE)</f>
        <v>Male</v>
      </c>
      <c r="R1425" s="13" t="str">
        <f>_xlfn.XLOOKUP(Sales_fact[[#This Row],[Product_ID]],Product_Dim!A:A,Product_Dim!C:C,"OTHERS")</f>
        <v>Beauty</v>
      </c>
    </row>
    <row r="1426" spans="1:18" x14ac:dyDescent="0.3">
      <c r="A1426" t="s">
        <v>3250</v>
      </c>
      <c r="B1426" s="2">
        <v>45664</v>
      </c>
      <c r="C1426" t="s">
        <v>40</v>
      </c>
      <c r="D1426" t="s">
        <v>1574</v>
      </c>
      <c r="E1426" t="str">
        <f ca="1">TRIM(Sales_fact[[#This Row],[Store_ID]])</f>
        <v>STORE18</v>
      </c>
      <c r="F1426">
        <v>1</v>
      </c>
      <c r="G1426">
        <f>IF(ISBLANK(F1426),MODE($F$2:$F$2001),F1426)</f>
        <v>1</v>
      </c>
      <c r="H1426">
        <v>350.58</v>
      </c>
      <c r="I1426">
        <f>IF(ISBLANK(H1426),AVERAGE($H$2:$H$2001),H1426)</f>
        <v>350.58</v>
      </c>
      <c r="J1426">
        <v>0.03</v>
      </c>
      <c r="K1426">
        <f>IF(ISBLANK(J1426),MODE($J$2:$J$2001),J1426)</f>
        <v>0.03</v>
      </c>
      <c r="L1426" t="s">
        <v>1829</v>
      </c>
      <c r="M1426">
        <v>340.06259999999997</v>
      </c>
      <c r="N1426">
        <f t="shared" si="22"/>
        <v>340.06259999999997</v>
      </c>
      <c r="O1426" t="str">
        <f>_xlfn.XLOOKUP(Sales_fact[[#This Row],[Customer_ID]],'Customer_Dim'!A:A,'Customer_Dim'!K:K,"Not Found")</f>
        <v>Bronze</v>
      </c>
      <c r="P1426">
        <f>_xlfn.XLOOKUP(Sales_fact[[#This Row],[Customer_ID]],'Customer_Dim'!A:A, 'Customer_Dim'!E:E, "Not Found")</f>
        <v>29</v>
      </c>
      <c r="Q1426" t="str">
        <f>VLOOKUP(Sales_fact[[#This Row],[Customer_ID]], 'Customer_Dim'!A:F, 6, FALSE)</f>
        <v>Female</v>
      </c>
      <c r="R1426" s="13" t="str">
        <f>_xlfn.XLOOKUP(Sales_fact[[#This Row],[Product_ID]],Product_Dim!A:A,Product_Dim!C:C,"OTHERS")</f>
        <v>Electronics</v>
      </c>
    </row>
    <row r="1427" spans="1:18" x14ac:dyDescent="0.3">
      <c r="A1427" t="s">
        <v>3251</v>
      </c>
      <c r="B1427" s="2">
        <v>45633</v>
      </c>
      <c r="C1427" t="s">
        <v>1098</v>
      </c>
      <c r="D1427" t="s">
        <v>1664</v>
      </c>
      <c r="E1427" t="str">
        <f ca="1">TRIM(Sales_fact[[#This Row],[Store_ID]])</f>
        <v>STORE3</v>
      </c>
      <c r="F1427">
        <v>4</v>
      </c>
      <c r="G1427">
        <f>IF(ISBLANK(F1427),MODE($F$2:$F$2001),F1427)</f>
        <v>4</v>
      </c>
      <c r="H1427">
        <v>348.58</v>
      </c>
      <c r="I1427">
        <f>IF(ISBLANK(H1427),AVERAGE($H$2:$H$2001),H1427)</f>
        <v>348.58</v>
      </c>
      <c r="J1427">
        <v>0.16</v>
      </c>
      <c r="K1427">
        <f>IF(ISBLANK(J1427),MODE($J$2:$J$2001),J1427)</f>
        <v>0.16</v>
      </c>
      <c r="L1427" t="s">
        <v>1824</v>
      </c>
      <c r="M1427">
        <v>1171.2288000000001</v>
      </c>
      <c r="N1427">
        <f t="shared" si="22"/>
        <v>1171.2287999999999</v>
      </c>
      <c r="O1427" t="str">
        <f>_xlfn.XLOOKUP(Sales_fact[[#This Row],[Customer_ID]],'Customer_Dim'!A:A,'Customer_Dim'!K:K,"Not Found")</f>
        <v>Silver</v>
      </c>
      <c r="P1427">
        <f>_xlfn.XLOOKUP(Sales_fact[[#This Row],[Customer_ID]],'Customer_Dim'!A:A, 'Customer_Dim'!E:E, "Not Found")</f>
        <v>26</v>
      </c>
      <c r="Q1427" t="str">
        <f>VLOOKUP(Sales_fact[[#This Row],[Customer_ID]], 'Customer_Dim'!A:F, 6, FALSE)</f>
        <v>Male</v>
      </c>
      <c r="R1427" s="13" t="str">
        <f>_xlfn.XLOOKUP(Sales_fact[[#This Row],[Product_ID]],Product_Dim!A:A,Product_Dim!C:C,"OTHERS")</f>
        <v>Clothing</v>
      </c>
    </row>
    <row r="1428" spans="1:18" x14ac:dyDescent="0.3">
      <c r="A1428" t="s">
        <v>3252</v>
      </c>
      <c r="B1428" s="2">
        <v>45548</v>
      </c>
      <c r="C1428" t="s">
        <v>1417</v>
      </c>
      <c r="D1428" t="s">
        <v>1598</v>
      </c>
      <c r="E1428" t="str">
        <f ca="1">TRIM(Sales_fact[[#This Row],[Store_ID]])</f>
        <v>STORE3</v>
      </c>
      <c r="F1428">
        <v>3</v>
      </c>
      <c r="G1428">
        <f>IF(ISBLANK(F1428),MODE($F$2:$F$2001),F1428)</f>
        <v>3</v>
      </c>
      <c r="H1428">
        <v>247.66</v>
      </c>
      <c r="I1428">
        <f>IF(ISBLANK(H1428),AVERAGE($H$2:$H$2001),H1428)</f>
        <v>247.66</v>
      </c>
      <c r="J1428">
        <v>0.02</v>
      </c>
      <c r="K1428">
        <f>IF(ISBLANK(J1428),MODE($J$2:$J$2001),J1428)</f>
        <v>0.02</v>
      </c>
      <c r="L1428" t="s">
        <v>1829</v>
      </c>
      <c r="M1428">
        <v>728.12040000000002</v>
      </c>
      <c r="N1428">
        <f t="shared" si="22"/>
        <v>728.12040000000002</v>
      </c>
      <c r="O1428" t="str">
        <f>_xlfn.XLOOKUP(Sales_fact[[#This Row],[Customer_ID]],'Customer_Dim'!A:A,'Customer_Dim'!K:K,"Not Found")</f>
        <v>Gold</v>
      </c>
      <c r="P1428">
        <f>_xlfn.XLOOKUP(Sales_fact[[#This Row],[Customer_ID]],'Customer_Dim'!A:A, 'Customer_Dim'!E:E, "Not Found")</f>
        <v>29</v>
      </c>
      <c r="Q1428" t="str">
        <f>VLOOKUP(Sales_fact[[#This Row],[Customer_ID]], 'Customer_Dim'!A:F, 6, FALSE)</f>
        <v>Female</v>
      </c>
      <c r="R1428" s="13" t="str">
        <f>_xlfn.XLOOKUP(Sales_fact[[#This Row],[Product_ID]],Product_Dim!A:A,Product_Dim!C:C,"OTHERS")</f>
        <v>Clothing</v>
      </c>
    </row>
    <row r="1429" spans="1:18" x14ac:dyDescent="0.3">
      <c r="A1429" t="s">
        <v>3253</v>
      </c>
      <c r="B1429" s="2">
        <v>45244</v>
      </c>
      <c r="C1429" t="s">
        <v>1211</v>
      </c>
      <c r="D1429" t="s">
        <v>1626</v>
      </c>
      <c r="E1429" t="str">
        <f ca="1">TRIM(Sales_fact[[#This Row],[Store_ID]])</f>
        <v>STORE15</v>
      </c>
      <c r="F1429">
        <v>3</v>
      </c>
      <c r="G1429">
        <f>IF(ISBLANK(F1429),MODE($F$2:$F$2001),F1429)</f>
        <v>3</v>
      </c>
      <c r="H1429">
        <v>836.27</v>
      </c>
      <c r="I1429">
        <f>IF(ISBLANK(H1429),AVERAGE($H$2:$H$2001),H1429)</f>
        <v>836.27</v>
      </c>
      <c r="J1429">
        <v>0.16</v>
      </c>
      <c r="K1429">
        <f>IF(ISBLANK(J1429),MODE($J$2:$J$2001),J1429)</f>
        <v>0.16</v>
      </c>
      <c r="L1429" t="s">
        <v>1824</v>
      </c>
      <c r="M1429">
        <v>2107.4004</v>
      </c>
      <c r="N1429">
        <f t="shared" si="22"/>
        <v>2107.4004</v>
      </c>
      <c r="O1429" t="str">
        <f>_xlfn.XLOOKUP(Sales_fact[[#This Row],[Customer_ID]],'Customer_Dim'!A:A,'Customer_Dim'!K:K,"Not Found")</f>
        <v>Platinum</v>
      </c>
      <c r="P1429">
        <f>_xlfn.XLOOKUP(Sales_fact[[#This Row],[Customer_ID]],'Customer_Dim'!A:A, 'Customer_Dim'!E:E, "Not Found")</f>
        <v>53</v>
      </c>
      <c r="Q1429" t="str">
        <f>VLOOKUP(Sales_fact[[#This Row],[Customer_ID]], 'Customer_Dim'!A:F, 6, FALSE)</f>
        <v>Male</v>
      </c>
      <c r="R1429" s="13" t="str">
        <f>_xlfn.XLOOKUP(Sales_fact[[#This Row],[Product_ID]],Product_Dim!A:A,Product_Dim!C:C,"OTHERS")</f>
        <v>Electronics</v>
      </c>
    </row>
    <row r="1430" spans="1:18" x14ac:dyDescent="0.3">
      <c r="A1430" t="s">
        <v>3254</v>
      </c>
      <c r="B1430" s="2">
        <v>45753</v>
      </c>
      <c r="C1430" t="s">
        <v>640</v>
      </c>
      <c r="D1430" t="s">
        <v>1576</v>
      </c>
      <c r="E1430" t="str">
        <f ca="1">TRIM(Sales_fact[[#This Row],[Store_ID]])</f>
        <v>STORE10</v>
      </c>
      <c r="F1430">
        <v>3</v>
      </c>
      <c r="G1430">
        <f>IF(ISBLANK(F1430),MODE($F$2:$F$2001),F1430)</f>
        <v>3</v>
      </c>
      <c r="H1430">
        <v>696.74</v>
      </c>
      <c r="I1430">
        <f>IF(ISBLANK(H1430),AVERAGE($H$2:$H$2001),H1430)</f>
        <v>696.74</v>
      </c>
      <c r="J1430">
        <v>0.13</v>
      </c>
      <c r="K1430">
        <f>IF(ISBLANK(J1430),MODE($J$2:$J$2001),J1430)</f>
        <v>0.13</v>
      </c>
      <c r="L1430" t="s">
        <v>1829</v>
      </c>
      <c r="M1430">
        <v>1818.4914000000001</v>
      </c>
      <c r="N1430">
        <f t="shared" si="22"/>
        <v>1818.4914000000001</v>
      </c>
      <c r="O1430" t="str">
        <f>_xlfn.XLOOKUP(Sales_fact[[#This Row],[Customer_ID]],'Customer_Dim'!A:A,'Customer_Dim'!K:K,"Not Found")</f>
        <v>Silver</v>
      </c>
      <c r="P1430">
        <f>_xlfn.XLOOKUP(Sales_fact[[#This Row],[Customer_ID]],'Customer_Dim'!A:A, 'Customer_Dim'!E:E, "Not Found")</f>
        <v>60</v>
      </c>
      <c r="Q1430" t="str">
        <f>VLOOKUP(Sales_fact[[#This Row],[Customer_ID]], 'Customer_Dim'!A:F, 6, FALSE)</f>
        <v>Male</v>
      </c>
      <c r="R1430" s="13" t="str">
        <f>_xlfn.XLOOKUP(Sales_fact[[#This Row],[Product_ID]],Product_Dim!A:A,Product_Dim!C:C,"OTHERS")</f>
        <v>Home</v>
      </c>
    </row>
    <row r="1431" spans="1:18" x14ac:dyDescent="0.3">
      <c r="A1431" t="s">
        <v>3255</v>
      </c>
      <c r="B1431" s="2">
        <v>45804</v>
      </c>
      <c r="C1431" t="s">
        <v>785</v>
      </c>
      <c r="D1431" t="s">
        <v>1736</v>
      </c>
      <c r="E1431" t="str">
        <f ca="1">TRIM(Sales_fact[[#This Row],[Store_ID]])</f>
        <v>STORE13</v>
      </c>
      <c r="F1431">
        <v>2</v>
      </c>
      <c r="G1431">
        <f>IF(ISBLANK(F1431),MODE($F$2:$F$2001),F1431)</f>
        <v>2</v>
      </c>
      <c r="H1431">
        <v>822.59</v>
      </c>
      <c r="I1431">
        <f>IF(ISBLANK(H1431),AVERAGE($H$2:$H$2001),H1431)</f>
        <v>822.59</v>
      </c>
      <c r="J1431">
        <v>0.22</v>
      </c>
      <c r="K1431">
        <f>IF(ISBLANK(J1431),MODE($J$2:$J$2001),J1431)</f>
        <v>0.22</v>
      </c>
      <c r="L1431" t="s">
        <v>1826</v>
      </c>
      <c r="M1431">
        <v>1283.2403999999999</v>
      </c>
      <c r="N1431">
        <f t="shared" si="22"/>
        <v>1283.2404000000001</v>
      </c>
      <c r="O1431" t="str">
        <f>_xlfn.XLOOKUP(Sales_fact[[#This Row],[Customer_ID]],'Customer_Dim'!A:A,'Customer_Dim'!K:K,"Not Found")</f>
        <v>Platinum</v>
      </c>
      <c r="P1431">
        <f>_xlfn.XLOOKUP(Sales_fact[[#This Row],[Customer_ID]],'Customer_Dim'!A:A, 'Customer_Dim'!E:E, "Not Found")</f>
        <v>57</v>
      </c>
      <c r="Q1431" t="str">
        <f>VLOOKUP(Sales_fact[[#This Row],[Customer_ID]], 'Customer_Dim'!A:F, 6, FALSE)</f>
        <v>Female</v>
      </c>
      <c r="R1431" s="13" t="str">
        <f>_xlfn.XLOOKUP(Sales_fact[[#This Row],[Product_ID]],Product_Dim!A:A,Product_Dim!C:C,"OTHERS")</f>
        <v>Beauty</v>
      </c>
    </row>
    <row r="1432" spans="1:18" x14ac:dyDescent="0.3">
      <c r="A1432" t="s">
        <v>3256</v>
      </c>
      <c r="B1432" s="2">
        <v>45263</v>
      </c>
      <c r="C1432" t="s">
        <v>719</v>
      </c>
      <c r="D1432" t="s">
        <v>1706</v>
      </c>
      <c r="E1432" t="str">
        <f ca="1">TRIM(Sales_fact[[#This Row],[Store_ID]])</f>
        <v>STORE2</v>
      </c>
      <c r="F1432">
        <v>1</v>
      </c>
      <c r="G1432">
        <f>IF(ISBLANK(F1432),MODE($F$2:$F$2001),F1432)</f>
        <v>1</v>
      </c>
      <c r="H1432">
        <v>462.23</v>
      </c>
      <c r="I1432">
        <f>IF(ISBLANK(H1432),AVERAGE($H$2:$H$2001),H1432)</f>
        <v>462.23</v>
      </c>
      <c r="J1432">
        <v>0.3</v>
      </c>
      <c r="K1432">
        <f>IF(ISBLANK(J1432),MODE($J$2:$J$2001),J1432)</f>
        <v>0.3</v>
      </c>
      <c r="L1432" t="s">
        <v>1826</v>
      </c>
      <c r="M1432">
        <v>323.56099999999998</v>
      </c>
      <c r="N1432">
        <f t="shared" si="22"/>
        <v>323.56099999999998</v>
      </c>
      <c r="O1432" t="str">
        <f>_xlfn.XLOOKUP(Sales_fact[[#This Row],[Customer_ID]],'Customer_Dim'!A:A,'Customer_Dim'!K:K,"Not Found")</f>
        <v>Platinum</v>
      </c>
      <c r="P1432">
        <f>_xlfn.XLOOKUP(Sales_fact[[#This Row],[Customer_ID]],'Customer_Dim'!A:A, 'Customer_Dim'!E:E, "Not Found")</f>
        <v>35</v>
      </c>
      <c r="Q1432" t="str">
        <f>VLOOKUP(Sales_fact[[#This Row],[Customer_ID]], 'Customer_Dim'!A:F, 6, FALSE)</f>
        <v>Male</v>
      </c>
      <c r="R1432" s="13" t="str">
        <f>_xlfn.XLOOKUP(Sales_fact[[#This Row],[Product_ID]],Product_Dim!A:A,Product_Dim!C:C,"OTHERS")</f>
        <v>Home</v>
      </c>
    </row>
    <row r="1433" spans="1:18" x14ac:dyDescent="0.3">
      <c r="A1433" t="s">
        <v>3257</v>
      </c>
      <c r="B1433" s="2">
        <v>45906</v>
      </c>
      <c r="C1433" t="s">
        <v>1383</v>
      </c>
      <c r="D1433" t="s">
        <v>1632</v>
      </c>
      <c r="E1433" t="str">
        <f ca="1">TRIM(Sales_fact[[#This Row],[Store_ID]])</f>
        <v>STORE17</v>
      </c>
      <c r="F1433">
        <v>1</v>
      </c>
      <c r="G1433">
        <f>IF(ISBLANK(F1433),MODE($F$2:$F$2001),F1433)</f>
        <v>1</v>
      </c>
      <c r="H1433">
        <v>361.09</v>
      </c>
      <c r="I1433">
        <f>IF(ISBLANK(H1433),AVERAGE($H$2:$H$2001),H1433)</f>
        <v>361.09</v>
      </c>
      <c r="J1433">
        <v>0.06</v>
      </c>
      <c r="K1433">
        <f>IF(ISBLANK(J1433),MODE($J$2:$J$2001),J1433)</f>
        <v>0.06</v>
      </c>
      <c r="L1433" t="s">
        <v>1826</v>
      </c>
      <c r="M1433">
        <v>339.42459999999988</v>
      </c>
      <c r="N1433">
        <f t="shared" si="22"/>
        <v>339.42459999999994</v>
      </c>
      <c r="O1433" t="str">
        <f>_xlfn.XLOOKUP(Sales_fact[[#This Row],[Customer_ID]],'Customer_Dim'!A:A,'Customer_Dim'!K:K,"Not Found")</f>
        <v>Gold</v>
      </c>
      <c r="P1433">
        <f>_xlfn.XLOOKUP(Sales_fact[[#This Row],[Customer_ID]],'Customer_Dim'!A:A, 'Customer_Dim'!E:E, "Not Found")</f>
        <v>45</v>
      </c>
      <c r="Q1433" t="str">
        <f>VLOOKUP(Sales_fact[[#This Row],[Customer_ID]], 'Customer_Dim'!A:F, 6, FALSE)</f>
        <v>Male</v>
      </c>
      <c r="R1433" s="13" t="str">
        <f>_xlfn.XLOOKUP(Sales_fact[[#This Row],[Product_ID]],Product_Dim!A:A,Product_Dim!C:C,"OTHERS")</f>
        <v>Electronics</v>
      </c>
    </row>
    <row r="1434" spans="1:18" x14ac:dyDescent="0.3">
      <c r="A1434" t="s">
        <v>3258</v>
      </c>
      <c r="B1434" s="2">
        <v>45243</v>
      </c>
      <c r="C1434" t="s">
        <v>1196</v>
      </c>
      <c r="D1434" t="s">
        <v>1694</v>
      </c>
      <c r="E1434" t="str">
        <f ca="1">TRIM(Sales_fact[[#This Row],[Store_ID]])</f>
        <v>STORE19</v>
      </c>
      <c r="F1434">
        <v>3</v>
      </c>
      <c r="G1434">
        <f>IF(ISBLANK(F1434),MODE($F$2:$F$2001),F1434)</f>
        <v>3</v>
      </c>
      <c r="H1434">
        <v>59.37</v>
      </c>
      <c r="I1434">
        <f>IF(ISBLANK(H1434),AVERAGE($H$2:$H$2001),H1434)</f>
        <v>59.37</v>
      </c>
      <c r="J1434">
        <v>0.03</v>
      </c>
      <c r="K1434">
        <f>IF(ISBLANK(J1434),MODE($J$2:$J$2001),J1434)</f>
        <v>0.03</v>
      </c>
      <c r="L1434" t="s">
        <v>1826</v>
      </c>
      <c r="M1434">
        <v>172.76669999999999</v>
      </c>
      <c r="N1434">
        <f t="shared" si="22"/>
        <v>172.76669999999999</v>
      </c>
      <c r="O1434" t="str">
        <f>_xlfn.XLOOKUP(Sales_fact[[#This Row],[Customer_ID]],'Customer_Dim'!A:A,'Customer_Dim'!K:K,"Not Found")</f>
        <v>Silver</v>
      </c>
      <c r="P1434">
        <f>_xlfn.XLOOKUP(Sales_fact[[#This Row],[Customer_ID]],'Customer_Dim'!A:A, 'Customer_Dim'!E:E, "Not Found")</f>
        <v>27</v>
      </c>
      <c r="Q1434" t="str">
        <f>VLOOKUP(Sales_fact[[#This Row],[Customer_ID]], 'Customer_Dim'!A:F, 6, FALSE)</f>
        <v>Female</v>
      </c>
      <c r="R1434" s="13" t="str">
        <f>_xlfn.XLOOKUP(Sales_fact[[#This Row],[Product_ID]],Product_Dim!A:A,Product_Dim!C:C,"OTHERS")</f>
        <v>Sports</v>
      </c>
    </row>
    <row r="1435" spans="1:18" x14ac:dyDescent="0.3">
      <c r="A1435" t="s">
        <v>3259</v>
      </c>
      <c r="B1435" s="2">
        <v>45686</v>
      </c>
      <c r="C1435" t="s">
        <v>144</v>
      </c>
      <c r="D1435" t="s">
        <v>1628</v>
      </c>
      <c r="E1435" t="str">
        <f ca="1">TRIM(Sales_fact[[#This Row],[Store_ID]])</f>
        <v>STORE1</v>
      </c>
      <c r="F1435">
        <v>3</v>
      </c>
      <c r="G1435">
        <f>IF(ISBLANK(F1435),MODE($F$2:$F$2001),F1435)</f>
        <v>3</v>
      </c>
      <c r="H1435">
        <v>765.21</v>
      </c>
      <c r="I1435">
        <f>IF(ISBLANK(H1435),AVERAGE($H$2:$H$2001),H1435)</f>
        <v>765.21</v>
      </c>
      <c r="J1435">
        <v>0.14000000000000001</v>
      </c>
      <c r="K1435">
        <f>IF(ISBLANK(J1435),MODE($J$2:$J$2001),J1435)</f>
        <v>0.14000000000000001</v>
      </c>
      <c r="L1435" t="s">
        <v>1829</v>
      </c>
      <c r="M1435">
        <v>1974.2418</v>
      </c>
      <c r="N1435">
        <f t="shared" si="22"/>
        <v>1974.2418</v>
      </c>
      <c r="O1435" t="str">
        <f>_xlfn.XLOOKUP(Sales_fact[[#This Row],[Customer_ID]],'Customer_Dim'!A:A,'Customer_Dim'!K:K,"Not Found")</f>
        <v>Gold</v>
      </c>
      <c r="P1435">
        <f>_xlfn.XLOOKUP(Sales_fact[[#This Row],[Customer_ID]],'Customer_Dim'!A:A, 'Customer_Dim'!E:E, "Not Found")</f>
        <v>20</v>
      </c>
      <c r="Q1435" t="str">
        <f>VLOOKUP(Sales_fact[[#This Row],[Customer_ID]], 'Customer_Dim'!A:F, 6, FALSE)</f>
        <v>Female</v>
      </c>
      <c r="R1435" s="13" t="str">
        <f>_xlfn.XLOOKUP(Sales_fact[[#This Row],[Product_ID]],Product_Dim!A:A,Product_Dim!C:C,"OTHERS")</f>
        <v>Electronics</v>
      </c>
    </row>
    <row r="1436" spans="1:18" x14ac:dyDescent="0.3">
      <c r="A1436" t="s">
        <v>3260</v>
      </c>
      <c r="B1436" s="2">
        <v>45472</v>
      </c>
      <c r="C1436" t="s">
        <v>779</v>
      </c>
      <c r="D1436" t="s">
        <v>1612</v>
      </c>
      <c r="E1436" t="str">
        <f ca="1">TRIM(Sales_fact[[#This Row],[Store_ID]])</f>
        <v>STORE12</v>
      </c>
      <c r="F1436">
        <v>4</v>
      </c>
      <c r="G1436">
        <f>IF(ISBLANK(F1436),MODE($F$2:$F$2001),F1436)</f>
        <v>4</v>
      </c>
      <c r="H1436">
        <v>303.56</v>
      </c>
      <c r="I1436">
        <f>IF(ISBLANK(H1436),AVERAGE($H$2:$H$2001),H1436)</f>
        <v>303.56</v>
      </c>
      <c r="J1436">
        <v>0.2</v>
      </c>
      <c r="K1436">
        <f>IF(ISBLANK(J1436),MODE($J$2:$J$2001),J1436)</f>
        <v>0.2</v>
      </c>
      <c r="L1436" t="s">
        <v>1829</v>
      </c>
      <c r="M1436">
        <v>971.39200000000005</v>
      </c>
      <c r="N1436">
        <f t="shared" si="22"/>
        <v>971.39200000000005</v>
      </c>
      <c r="O1436" t="str">
        <f>_xlfn.XLOOKUP(Sales_fact[[#This Row],[Customer_ID]],'Customer_Dim'!A:A,'Customer_Dim'!K:K,"Not Found")</f>
        <v>Gold</v>
      </c>
      <c r="P1436">
        <f>_xlfn.XLOOKUP(Sales_fact[[#This Row],[Customer_ID]],'Customer_Dim'!A:A, 'Customer_Dim'!E:E, "Not Found")</f>
        <v>56</v>
      </c>
      <c r="Q1436" t="str">
        <f>VLOOKUP(Sales_fact[[#This Row],[Customer_ID]], 'Customer_Dim'!A:F, 6, FALSE)</f>
        <v>Female</v>
      </c>
      <c r="R1436" s="13" t="str">
        <f>_xlfn.XLOOKUP(Sales_fact[[#This Row],[Product_ID]],Product_Dim!A:A,Product_Dim!C:C,"OTHERS")</f>
        <v>Beauty</v>
      </c>
    </row>
    <row r="1437" spans="1:18" x14ac:dyDescent="0.3">
      <c r="A1437" t="s">
        <v>3261</v>
      </c>
      <c r="B1437" s="2">
        <v>45779</v>
      </c>
      <c r="C1437" t="s">
        <v>1371</v>
      </c>
      <c r="D1437" t="s">
        <v>1602</v>
      </c>
      <c r="E1437" t="str">
        <f ca="1">TRIM(Sales_fact[[#This Row],[Store_ID]])</f>
        <v>STORE0</v>
      </c>
      <c r="F1437">
        <v>1</v>
      </c>
      <c r="G1437">
        <f>IF(ISBLANK(F1437),MODE($F$2:$F$2001),F1437)</f>
        <v>1</v>
      </c>
      <c r="H1437">
        <v>640.92999999999995</v>
      </c>
      <c r="I1437">
        <f>IF(ISBLANK(H1437),AVERAGE($H$2:$H$2001),H1437)</f>
        <v>640.92999999999995</v>
      </c>
      <c r="J1437">
        <v>0.19</v>
      </c>
      <c r="K1437">
        <f>IF(ISBLANK(J1437),MODE($J$2:$J$2001),J1437)</f>
        <v>0.19</v>
      </c>
      <c r="L1437" t="s">
        <v>1826</v>
      </c>
      <c r="M1437">
        <v>519.15329999999994</v>
      </c>
      <c r="N1437">
        <f t="shared" si="22"/>
        <v>519.15329999999994</v>
      </c>
      <c r="O1437" t="str">
        <f>_xlfn.XLOOKUP(Sales_fact[[#This Row],[Customer_ID]],'Customer_Dim'!A:A,'Customer_Dim'!K:K,"Not Found")</f>
        <v>Silver</v>
      </c>
      <c r="P1437">
        <f>_xlfn.XLOOKUP(Sales_fact[[#This Row],[Customer_ID]],'Customer_Dim'!A:A, 'Customer_Dim'!E:E, "Not Found")</f>
        <v>51</v>
      </c>
      <c r="Q1437" t="str">
        <f>VLOOKUP(Sales_fact[[#This Row],[Customer_ID]], 'Customer_Dim'!A:F, 6, FALSE)</f>
        <v>Male</v>
      </c>
      <c r="R1437" s="13" t="str">
        <f>_xlfn.XLOOKUP(Sales_fact[[#This Row],[Product_ID]],Product_Dim!A:A,Product_Dim!C:C,"OTHERS")</f>
        <v>Home</v>
      </c>
    </row>
    <row r="1438" spans="1:18" x14ac:dyDescent="0.3">
      <c r="A1438" t="s">
        <v>3262</v>
      </c>
      <c r="B1438" s="2">
        <v>45830</v>
      </c>
      <c r="C1438" t="s">
        <v>576</v>
      </c>
      <c r="D1438" t="s">
        <v>1720</v>
      </c>
      <c r="E1438" t="str">
        <f ca="1">TRIM(Sales_fact[[#This Row],[Store_ID]])</f>
        <v>STORE10</v>
      </c>
      <c r="F1438">
        <v>2</v>
      </c>
      <c r="G1438">
        <f>IF(ISBLANK(F1438),MODE($F$2:$F$2001),F1438)</f>
        <v>2</v>
      </c>
      <c r="H1438">
        <v>611.25</v>
      </c>
      <c r="I1438">
        <f>IF(ISBLANK(H1438),AVERAGE($H$2:$H$2001),H1438)</f>
        <v>611.25</v>
      </c>
      <c r="J1438">
        <v>0.22</v>
      </c>
      <c r="K1438">
        <f>IF(ISBLANK(J1438),MODE($J$2:$J$2001),J1438)</f>
        <v>0.22</v>
      </c>
      <c r="L1438" t="s">
        <v>1824</v>
      </c>
      <c r="M1438">
        <v>953.55000000000007</v>
      </c>
      <c r="N1438">
        <f t="shared" si="22"/>
        <v>953.55000000000007</v>
      </c>
      <c r="O1438" t="str">
        <f>_xlfn.XLOOKUP(Sales_fact[[#This Row],[Customer_ID]],'Customer_Dim'!A:A,'Customer_Dim'!K:K,"Not Found")</f>
        <v>Gold</v>
      </c>
      <c r="P1438">
        <f>_xlfn.XLOOKUP(Sales_fact[[#This Row],[Customer_ID]],'Customer_Dim'!A:A, 'Customer_Dim'!E:E, "Not Found")</f>
        <v>26</v>
      </c>
      <c r="Q1438" t="str">
        <f>VLOOKUP(Sales_fact[[#This Row],[Customer_ID]], 'Customer_Dim'!A:F, 6, FALSE)</f>
        <v>Female</v>
      </c>
      <c r="R1438" s="13" t="str">
        <f>_xlfn.XLOOKUP(Sales_fact[[#This Row],[Product_ID]],Product_Dim!A:A,Product_Dim!C:C,"OTHERS")</f>
        <v>Home</v>
      </c>
    </row>
    <row r="1439" spans="1:18" x14ac:dyDescent="0.3">
      <c r="A1439" t="s">
        <v>3263</v>
      </c>
      <c r="B1439" s="2">
        <v>45756</v>
      </c>
      <c r="C1439" t="s">
        <v>1422</v>
      </c>
      <c r="D1439" t="s">
        <v>1680</v>
      </c>
      <c r="E1439" t="str">
        <f ca="1">TRIM(Sales_fact[[#This Row],[Store_ID]])</f>
        <v>STORE1</v>
      </c>
      <c r="F1439">
        <v>1</v>
      </c>
      <c r="G1439">
        <f>IF(ISBLANK(F1439),MODE($F$2:$F$2001),F1439)</f>
        <v>1</v>
      </c>
      <c r="H1439">
        <v>209.93</v>
      </c>
      <c r="I1439">
        <f>IF(ISBLANK(H1439),AVERAGE($H$2:$H$2001),H1439)</f>
        <v>209.93</v>
      </c>
      <c r="J1439">
        <v>0.21</v>
      </c>
      <c r="K1439">
        <f>IF(ISBLANK(J1439),MODE($J$2:$J$2001),J1439)</f>
        <v>0.21</v>
      </c>
      <c r="L1439" t="s">
        <v>1824</v>
      </c>
      <c r="M1439">
        <v>165.84469999999999</v>
      </c>
      <c r="N1439">
        <f t="shared" si="22"/>
        <v>165.84470000000002</v>
      </c>
      <c r="O1439" t="str">
        <f>_xlfn.XLOOKUP(Sales_fact[[#This Row],[Customer_ID]],'Customer_Dim'!A:A,'Customer_Dim'!K:K,"Not Found")</f>
        <v>Silver</v>
      </c>
      <c r="P1439">
        <f>_xlfn.XLOOKUP(Sales_fact[[#This Row],[Customer_ID]],'Customer_Dim'!A:A, 'Customer_Dim'!E:E, "Not Found")</f>
        <v>60</v>
      </c>
      <c r="Q1439" t="str">
        <f>VLOOKUP(Sales_fact[[#This Row],[Customer_ID]], 'Customer_Dim'!A:F, 6, FALSE)</f>
        <v>Female</v>
      </c>
      <c r="R1439" s="13" t="str">
        <f>_xlfn.XLOOKUP(Sales_fact[[#This Row],[Product_ID]],Product_Dim!A:A,Product_Dim!C:C,"OTHERS")</f>
        <v>Beauty</v>
      </c>
    </row>
    <row r="1440" spans="1:18" x14ac:dyDescent="0.3">
      <c r="A1440" t="s">
        <v>3264</v>
      </c>
      <c r="B1440" s="2">
        <v>45847</v>
      </c>
      <c r="C1440" t="s">
        <v>387</v>
      </c>
      <c r="D1440" t="s">
        <v>1746</v>
      </c>
      <c r="E1440" t="str">
        <f ca="1">TRIM(Sales_fact[[#This Row],[Store_ID]])</f>
        <v>STORE10</v>
      </c>
      <c r="F1440">
        <v>3</v>
      </c>
      <c r="G1440">
        <f>IF(ISBLANK(F1440),MODE($F$2:$F$2001),F1440)</f>
        <v>3</v>
      </c>
      <c r="H1440">
        <v>130.38999999999999</v>
      </c>
      <c r="I1440">
        <f>IF(ISBLANK(H1440),AVERAGE($H$2:$H$2001),H1440)</f>
        <v>130.38999999999999</v>
      </c>
      <c r="J1440">
        <v>0.24</v>
      </c>
      <c r="K1440">
        <f>IF(ISBLANK(J1440),MODE($J$2:$J$2001),J1440)</f>
        <v>0.24</v>
      </c>
      <c r="L1440" t="s">
        <v>1826</v>
      </c>
      <c r="M1440">
        <v>297.28919999999999</v>
      </c>
      <c r="N1440">
        <f t="shared" si="22"/>
        <v>297.28919999999999</v>
      </c>
      <c r="O1440" t="str">
        <f>_xlfn.XLOOKUP(Sales_fact[[#This Row],[Customer_ID]],'Customer_Dim'!A:A,'Customer_Dim'!K:K,"Not Found")</f>
        <v>Gold</v>
      </c>
      <c r="P1440">
        <f>_xlfn.XLOOKUP(Sales_fact[[#This Row],[Customer_ID]],'Customer_Dim'!A:A, 'Customer_Dim'!E:E, "Not Found")</f>
        <v>40</v>
      </c>
      <c r="Q1440" t="str">
        <f>VLOOKUP(Sales_fact[[#This Row],[Customer_ID]], 'Customer_Dim'!A:F, 6, FALSE)</f>
        <v>Female</v>
      </c>
      <c r="R1440" s="13" t="str">
        <f>_xlfn.XLOOKUP(Sales_fact[[#This Row],[Product_ID]],Product_Dim!A:A,Product_Dim!C:C,"OTHERS")</f>
        <v>Home</v>
      </c>
    </row>
    <row r="1441" spans="1:18" x14ac:dyDescent="0.3">
      <c r="A1441" t="s">
        <v>3265</v>
      </c>
      <c r="B1441" s="2">
        <v>45322</v>
      </c>
      <c r="C1441" t="s">
        <v>923</v>
      </c>
      <c r="D1441" t="s">
        <v>1734</v>
      </c>
      <c r="E1441" t="str">
        <f ca="1">TRIM(Sales_fact[[#This Row],[Store_ID]])</f>
        <v>STORE7</v>
      </c>
      <c r="F1441">
        <v>2</v>
      </c>
      <c r="G1441">
        <f>IF(ISBLANK(F1441),MODE($F$2:$F$2001),F1441)</f>
        <v>2</v>
      </c>
      <c r="H1441">
        <v>846.18</v>
      </c>
      <c r="I1441">
        <f>IF(ISBLANK(H1441),AVERAGE($H$2:$H$2001),H1441)</f>
        <v>846.18</v>
      </c>
      <c r="J1441">
        <v>0.1</v>
      </c>
      <c r="K1441">
        <f>IF(ISBLANK(J1441),MODE($J$2:$J$2001),J1441)</f>
        <v>0.1</v>
      </c>
      <c r="L1441" t="s">
        <v>1829</v>
      </c>
      <c r="M1441">
        <v>1523.124</v>
      </c>
      <c r="N1441">
        <f t="shared" si="22"/>
        <v>1523.124</v>
      </c>
      <c r="O1441" t="str">
        <f>_xlfn.XLOOKUP(Sales_fact[[#This Row],[Customer_ID]],'Customer_Dim'!A:A,'Customer_Dim'!K:K,"Not Found")</f>
        <v>Bronze</v>
      </c>
      <c r="P1441">
        <f>_xlfn.XLOOKUP(Sales_fact[[#This Row],[Customer_ID]],'Customer_Dim'!A:A, 'Customer_Dim'!E:E, "Not Found")</f>
        <v>40</v>
      </c>
      <c r="Q1441" t="str">
        <f>VLOOKUP(Sales_fact[[#This Row],[Customer_ID]], 'Customer_Dim'!A:F, 6, FALSE)</f>
        <v>Female</v>
      </c>
      <c r="R1441" s="13" t="str">
        <f>_xlfn.XLOOKUP(Sales_fact[[#This Row],[Product_ID]],Product_Dim!A:A,Product_Dim!C:C,"OTHERS")</f>
        <v>Electronics</v>
      </c>
    </row>
    <row r="1442" spans="1:18" x14ac:dyDescent="0.3">
      <c r="A1442" t="s">
        <v>3266</v>
      </c>
      <c r="B1442" s="2">
        <v>45829</v>
      </c>
      <c r="C1442" t="s">
        <v>1109</v>
      </c>
      <c r="D1442" t="s">
        <v>1688</v>
      </c>
      <c r="E1442" t="str">
        <f ca="1">TRIM(Sales_fact[[#This Row],[Store_ID]])</f>
        <v>STORE14</v>
      </c>
      <c r="F1442">
        <v>2</v>
      </c>
      <c r="G1442">
        <f>IF(ISBLANK(F1442),MODE($F$2:$F$2001),F1442)</f>
        <v>2</v>
      </c>
      <c r="H1442">
        <v>424.53</v>
      </c>
      <c r="I1442">
        <f>IF(ISBLANK(H1442),AVERAGE($H$2:$H$2001),H1442)</f>
        <v>424.53</v>
      </c>
      <c r="J1442">
        <v>0.14000000000000001</v>
      </c>
      <c r="K1442">
        <f>IF(ISBLANK(J1442),MODE($J$2:$J$2001),J1442)</f>
        <v>0.14000000000000001</v>
      </c>
      <c r="L1442" t="s">
        <v>1829</v>
      </c>
      <c r="M1442">
        <v>730.19159999999999</v>
      </c>
      <c r="N1442">
        <f t="shared" si="22"/>
        <v>730.19159999999999</v>
      </c>
      <c r="O1442" t="str">
        <f>_xlfn.XLOOKUP(Sales_fact[[#This Row],[Customer_ID]],'Customer_Dim'!A:A,'Customer_Dim'!K:K,"Not Found")</f>
        <v>Silver</v>
      </c>
      <c r="P1442">
        <f>_xlfn.XLOOKUP(Sales_fact[[#This Row],[Customer_ID]],'Customer_Dim'!A:A, 'Customer_Dim'!E:E, "Not Found")</f>
        <v>38</v>
      </c>
      <c r="Q1442" t="str">
        <f>VLOOKUP(Sales_fact[[#This Row],[Customer_ID]], 'Customer_Dim'!A:F, 6, FALSE)</f>
        <v>Male</v>
      </c>
      <c r="R1442" s="13" t="str">
        <f>_xlfn.XLOOKUP(Sales_fact[[#This Row],[Product_ID]],Product_Dim!A:A,Product_Dim!C:C,"OTHERS")</f>
        <v>Home</v>
      </c>
    </row>
    <row r="1443" spans="1:18" x14ac:dyDescent="0.3">
      <c r="A1443" t="s">
        <v>3267</v>
      </c>
      <c r="B1443" s="2">
        <v>45539</v>
      </c>
      <c r="C1443" t="s">
        <v>824</v>
      </c>
      <c r="D1443" t="s">
        <v>1724</v>
      </c>
      <c r="E1443" t="str">
        <f ca="1">TRIM(Sales_fact[[#This Row],[Store_ID]])</f>
        <v>STORE14</v>
      </c>
      <c r="F1443">
        <v>4</v>
      </c>
      <c r="G1443">
        <f>IF(ISBLANK(F1443),MODE($F$2:$F$2001),F1443)</f>
        <v>4</v>
      </c>
      <c r="H1443">
        <v>450.42</v>
      </c>
      <c r="I1443">
        <f>IF(ISBLANK(H1443),AVERAGE($H$2:$H$2001),H1443)</f>
        <v>450.42</v>
      </c>
      <c r="J1443">
        <v>0.08</v>
      </c>
      <c r="K1443">
        <f>IF(ISBLANK(J1443),MODE($J$2:$J$2001),J1443)</f>
        <v>0.08</v>
      </c>
      <c r="L1443" t="s">
        <v>1829</v>
      </c>
      <c r="M1443">
        <v>1657.5455999999999</v>
      </c>
      <c r="N1443">
        <f t="shared" si="22"/>
        <v>1657.5456000000001</v>
      </c>
      <c r="O1443" t="str">
        <f>_xlfn.XLOOKUP(Sales_fact[[#This Row],[Customer_ID]],'Customer_Dim'!A:A,'Customer_Dim'!K:K,"Not Found")</f>
        <v>Platinum</v>
      </c>
      <c r="P1443">
        <f>_xlfn.XLOOKUP(Sales_fact[[#This Row],[Customer_ID]],'Customer_Dim'!A:A, 'Customer_Dim'!E:E, "Not Found")</f>
        <v>24</v>
      </c>
      <c r="Q1443" t="str">
        <f>VLOOKUP(Sales_fact[[#This Row],[Customer_ID]], 'Customer_Dim'!A:F, 6, FALSE)</f>
        <v>Female</v>
      </c>
      <c r="R1443" s="13" t="str">
        <f>_xlfn.XLOOKUP(Sales_fact[[#This Row],[Product_ID]],Product_Dim!A:A,Product_Dim!C:C,"OTHERS")</f>
        <v>Sports</v>
      </c>
    </row>
    <row r="1444" spans="1:18" x14ac:dyDescent="0.3">
      <c r="A1444" t="s">
        <v>3268</v>
      </c>
      <c r="B1444" s="2">
        <v>45893</v>
      </c>
      <c r="C1444" t="s">
        <v>523</v>
      </c>
      <c r="D1444" t="s">
        <v>1600</v>
      </c>
      <c r="E1444" t="str">
        <f ca="1">TRIM(Sales_fact[[#This Row],[Store_ID]])</f>
        <v>STORE9</v>
      </c>
      <c r="F1444">
        <v>4</v>
      </c>
      <c r="G1444">
        <f>IF(ISBLANK(F1444),MODE($F$2:$F$2001),F1444)</f>
        <v>4</v>
      </c>
      <c r="H1444">
        <v>896.91</v>
      </c>
      <c r="I1444">
        <f>IF(ISBLANK(H1444),AVERAGE($H$2:$H$2001),H1444)</f>
        <v>896.91</v>
      </c>
      <c r="J1444">
        <v>0.1</v>
      </c>
      <c r="K1444">
        <f>IF(ISBLANK(J1444),MODE($J$2:$J$2001),J1444)</f>
        <v>0.1</v>
      </c>
      <c r="L1444" t="s">
        <v>1824</v>
      </c>
      <c r="M1444">
        <v>3228.8760000000002</v>
      </c>
      <c r="N1444">
        <f t="shared" si="22"/>
        <v>3228.8759999999997</v>
      </c>
      <c r="O1444" t="str">
        <f>_xlfn.XLOOKUP(Sales_fact[[#This Row],[Customer_ID]],'Customer_Dim'!A:A,'Customer_Dim'!K:K,"Not Found")</f>
        <v>Bronze</v>
      </c>
      <c r="P1444">
        <f>_xlfn.XLOOKUP(Sales_fact[[#This Row],[Customer_ID]],'Customer_Dim'!A:A, 'Customer_Dim'!E:E, "Not Found")</f>
        <v>46</v>
      </c>
      <c r="Q1444" t="str">
        <f>VLOOKUP(Sales_fact[[#This Row],[Customer_ID]], 'Customer_Dim'!A:F, 6, FALSE)</f>
        <v>Male</v>
      </c>
      <c r="R1444" s="13" t="str">
        <f>_xlfn.XLOOKUP(Sales_fact[[#This Row],[Product_ID]],Product_Dim!A:A,Product_Dim!C:C,"OTHERS")</f>
        <v>Electronics</v>
      </c>
    </row>
    <row r="1445" spans="1:18" x14ac:dyDescent="0.3">
      <c r="A1445" t="s">
        <v>3269</v>
      </c>
      <c r="B1445" s="2">
        <v>45814</v>
      </c>
      <c r="C1445" t="s">
        <v>1492</v>
      </c>
      <c r="D1445" t="s">
        <v>1742</v>
      </c>
      <c r="E1445" t="str">
        <f ca="1">TRIM(Sales_fact[[#This Row],[Store_ID]])</f>
        <v>STORE10</v>
      </c>
      <c r="F1445">
        <v>3</v>
      </c>
      <c r="G1445">
        <f>IF(ISBLANK(F1445),MODE($F$2:$F$2001),F1445)</f>
        <v>3</v>
      </c>
      <c r="H1445">
        <v>679.38</v>
      </c>
      <c r="I1445">
        <f>IF(ISBLANK(H1445),AVERAGE($H$2:$H$2001),H1445)</f>
        <v>679.38</v>
      </c>
      <c r="J1445">
        <v>0.3</v>
      </c>
      <c r="K1445">
        <f>IF(ISBLANK(J1445),MODE($J$2:$J$2001),J1445)</f>
        <v>0.3</v>
      </c>
      <c r="L1445" t="s">
        <v>1829</v>
      </c>
      <c r="M1445">
        <v>1426.6980000000001</v>
      </c>
      <c r="N1445">
        <f t="shared" si="22"/>
        <v>1426.6979999999999</v>
      </c>
      <c r="O1445" t="str">
        <f>_xlfn.XLOOKUP(Sales_fact[[#This Row],[Customer_ID]],'Customer_Dim'!A:A,'Customer_Dim'!K:K,"Not Found")</f>
        <v>Bronze</v>
      </c>
      <c r="P1445">
        <f>_xlfn.XLOOKUP(Sales_fact[[#This Row],[Customer_ID]],'Customer_Dim'!A:A, 'Customer_Dim'!E:E, "Not Found")</f>
        <v>46</v>
      </c>
      <c r="Q1445" t="str">
        <f>VLOOKUP(Sales_fact[[#This Row],[Customer_ID]], 'Customer_Dim'!A:F, 6, FALSE)</f>
        <v>Female</v>
      </c>
      <c r="R1445" s="13" t="str">
        <f>_xlfn.XLOOKUP(Sales_fact[[#This Row],[Product_ID]],Product_Dim!A:A,Product_Dim!C:C,"OTHERS")</f>
        <v>Sports</v>
      </c>
    </row>
    <row r="1446" spans="1:18" x14ac:dyDescent="0.3">
      <c r="A1446" t="s">
        <v>3270</v>
      </c>
      <c r="B1446" s="2">
        <v>45571</v>
      </c>
      <c r="C1446" t="s">
        <v>75</v>
      </c>
      <c r="D1446" t="s">
        <v>1708</v>
      </c>
      <c r="E1446" t="str">
        <f ca="1">TRIM(Sales_fact[[#This Row],[Store_ID]])</f>
        <v>STORE16</v>
      </c>
      <c r="F1446">
        <v>3</v>
      </c>
      <c r="G1446">
        <f>IF(ISBLANK(F1446),MODE($F$2:$F$2001),F1446)</f>
        <v>3</v>
      </c>
      <c r="H1446">
        <v>483.63</v>
      </c>
      <c r="I1446">
        <f>IF(ISBLANK(H1446),AVERAGE($H$2:$H$2001),H1446)</f>
        <v>483.63</v>
      </c>
      <c r="J1446">
        <v>0</v>
      </c>
      <c r="K1446">
        <f>IF(ISBLANK(J1446),MODE($J$2:$J$2001),J1446)</f>
        <v>0</v>
      </c>
      <c r="L1446" t="s">
        <v>1824</v>
      </c>
      <c r="M1446">
        <v>1450.89</v>
      </c>
      <c r="N1446">
        <f t="shared" si="22"/>
        <v>1450.8899999999999</v>
      </c>
      <c r="O1446" t="str">
        <f>_xlfn.XLOOKUP(Sales_fact[[#This Row],[Customer_ID]],'Customer_Dim'!A:A,'Customer_Dim'!K:K,"Not Found")</f>
        <v>Bronze</v>
      </c>
      <c r="P1446">
        <f>_xlfn.XLOOKUP(Sales_fact[[#This Row],[Customer_ID]],'Customer_Dim'!A:A, 'Customer_Dim'!E:E, "Not Found")</f>
        <v>24</v>
      </c>
      <c r="Q1446" t="str">
        <f>VLOOKUP(Sales_fact[[#This Row],[Customer_ID]], 'Customer_Dim'!A:F, 6, FALSE)</f>
        <v>Female</v>
      </c>
      <c r="R1446" s="13" t="str">
        <f>_xlfn.XLOOKUP(Sales_fact[[#This Row],[Product_ID]],Product_Dim!A:A,Product_Dim!C:C,"OTHERS")</f>
        <v>Home</v>
      </c>
    </row>
    <row r="1447" spans="1:18" x14ac:dyDescent="0.3">
      <c r="A1447" t="s">
        <v>3271</v>
      </c>
      <c r="B1447" s="2">
        <v>45542</v>
      </c>
      <c r="C1447" t="s">
        <v>124</v>
      </c>
      <c r="D1447" t="s">
        <v>1626</v>
      </c>
      <c r="E1447" t="str">
        <f ca="1">TRIM(Sales_fact[[#This Row],[Store_ID]])</f>
        <v>STORE0</v>
      </c>
      <c r="F1447">
        <v>3</v>
      </c>
      <c r="G1447">
        <f>IF(ISBLANK(F1447),MODE($F$2:$F$2001),F1447)</f>
        <v>3</v>
      </c>
      <c r="H1447">
        <v>158.27000000000001</v>
      </c>
      <c r="I1447">
        <f>IF(ISBLANK(H1447),AVERAGE($H$2:$H$2001),H1447)</f>
        <v>158.27000000000001</v>
      </c>
      <c r="J1447">
        <v>0.24</v>
      </c>
      <c r="K1447">
        <f>IF(ISBLANK(J1447),MODE($J$2:$J$2001),J1447)</f>
        <v>0.24</v>
      </c>
      <c r="L1447" t="s">
        <v>1829</v>
      </c>
      <c r="M1447">
        <v>360.85559999999998</v>
      </c>
      <c r="N1447">
        <f t="shared" si="22"/>
        <v>360.85560000000004</v>
      </c>
      <c r="O1447" t="str">
        <f>_xlfn.XLOOKUP(Sales_fact[[#This Row],[Customer_ID]],'Customer_Dim'!A:A,'Customer_Dim'!K:K,"Not Found")</f>
        <v>Bronze</v>
      </c>
      <c r="P1447">
        <f>_xlfn.XLOOKUP(Sales_fact[[#This Row],[Customer_ID]],'Customer_Dim'!A:A, 'Customer_Dim'!E:E, "Not Found")</f>
        <v>64</v>
      </c>
      <c r="Q1447" t="str">
        <f>VLOOKUP(Sales_fact[[#This Row],[Customer_ID]], 'Customer_Dim'!A:F, 6, FALSE)</f>
        <v>Female</v>
      </c>
      <c r="R1447" s="13" t="str">
        <f>_xlfn.XLOOKUP(Sales_fact[[#This Row],[Product_ID]],Product_Dim!A:A,Product_Dim!C:C,"OTHERS")</f>
        <v>Electronics</v>
      </c>
    </row>
    <row r="1448" spans="1:18" x14ac:dyDescent="0.3">
      <c r="A1448" t="s">
        <v>3272</v>
      </c>
      <c r="B1448" s="2">
        <v>45758</v>
      </c>
      <c r="C1448" t="s">
        <v>402</v>
      </c>
      <c r="D1448" t="s">
        <v>1549</v>
      </c>
      <c r="E1448" t="str">
        <f ca="1">TRIM(Sales_fact[[#This Row],[Store_ID]])</f>
        <v>STORE15</v>
      </c>
      <c r="F1448">
        <v>4</v>
      </c>
      <c r="G1448">
        <f>IF(ISBLANK(F1448),MODE($F$2:$F$2001),F1448)</f>
        <v>4</v>
      </c>
      <c r="H1448">
        <v>601.5</v>
      </c>
      <c r="I1448">
        <f>IF(ISBLANK(H1448),AVERAGE($H$2:$H$2001),H1448)</f>
        <v>601.5</v>
      </c>
      <c r="J1448">
        <v>0.18</v>
      </c>
      <c r="K1448">
        <f>IF(ISBLANK(J1448),MODE($J$2:$J$2001),J1448)</f>
        <v>0.18</v>
      </c>
      <c r="L1448" t="s">
        <v>1824</v>
      </c>
      <c r="M1448">
        <v>1972.92</v>
      </c>
      <c r="N1448">
        <f t="shared" si="22"/>
        <v>1972.92</v>
      </c>
      <c r="O1448" t="str">
        <f>_xlfn.XLOOKUP(Sales_fact[[#This Row],[Customer_ID]],'Customer_Dim'!A:A,'Customer_Dim'!K:K,"Not Found")</f>
        <v>Platinum</v>
      </c>
      <c r="P1448">
        <f>_xlfn.XLOOKUP(Sales_fact[[#This Row],[Customer_ID]],'Customer_Dim'!A:A, 'Customer_Dim'!E:E, "Not Found")</f>
        <v>53</v>
      </c>
      <c r="Q1448" t="str">
        <f>VLOOKUP(Sales_fact[[#This Row],[Customer_ID]], 'Customer_Dim'!A:F, 6, FALSE)</f>
        <v>Female</v>
      </c>
      <c r="R1448" s="13" t="str">
        <f>_xlfn.XLOOKUP(Sales_fact[[#This Row],[Product_ID]],Product_Dim!A:A,Product_Dim!C:C,"OTHERS")</f>
        <v>Clothing</v>
      </c>
    </row>
    <row r="1449" spans="1:18" x14ac:dyDescent="0.3">
      <c r="A1449" t="s">
        <v>3273</v>
      </c>
      <c r="B1449" s="2">
        <v>45709</v>
      </c>
      <c r="C1449" t="s">
        <v>255</v>
      </c>
      <c r="D1449" t="s">
        <v>1610</v>
      </c>
      <c r="E1449" t="str">
        <f ca="1">TRIM(Sales_fact[[#This Row],[Store_ID]])</f>
        <v>STORE18</v>
      </c>
      <c r="F1449">
        <v>2</v>
      </c>
      <c r="G1449">
        <f>IF(ISBLANK(F1449),MODE($F$2:$F$2001),F1449)</f>
        <v>2</v>
      </c>
      <c r="H1449">
        <v>46.39</v>
      </c>
      <c r="I1449">
        <f>IF(ISBLANK(H1449),AVERAGE($H$2:$H$2001),H1449)</f>
        <v>46.39</v>
      </c>
      <c r="J1449">
        <v>7.0000000000000007E-2</v>
      </c>
      <c r="K1449">
        <f>IF(ISBLANK(J1449),MODE($J$2:$J$2001),J1449)</f>
        <v>7.0000000000000007E-2</v>
      </c>
      <c r="L1449" t="s">
        <v>1824</v>
      </c>
      <c r="M1449">
        <v>86.285399999999996</v>
      </c>
      <c r="N1449">
        <f t="shared" si="22"/>
        <v>86.285399999999996</v>
      </c>
      <c r="O1449" t="str">
        <f>_xlfn.XLOOKUP(Sales_fact[[#This Row],[Customer_ID]],'Customer_Dim'!A:A,'Customer_Dim'!K:K,"Not Found")</f>
        <v>Platinum</v>
      </c>
      <c r="P1449">
        <f>_xlfn.XLOOKUP(Sales_fact[[#This Row],[Customer_ID]],'Customer_Dim'!A:A, 'Customer_Dim'!E:E, "Not Found")</f>
        <v>24</v>
      </c>
      <c r="Q1449" t="str">
        <f>VLOOKUP(Sales_fact[[#This Row],[Customer_ID]], 'Customer_Dim'!A:F, 6, FALSE)</f>
        <v>Female</v>
      </c>
      <c r="R1449" s="13" t="str">
        <f>_xlfn.XLOOKUP(Sales_fact[[#This Row],[Product_ID]],Product_Dim!A:A,Product_Dim!C:C,"OTHERS")</f>
        <v>Sports</v>
      </c>
    </row>
    <row r="1450" spans="1:18" x14ac:dyDescent="0.3">
      <c r="A1450" t="s">
        <v>3274</v>
      </c>
      <c r="B1450" s="2">
        <v>45587</v>
      </c>
      <c r="C1450" t="s">
        <v>414</v>
      </c>
      <c r="D1450" t="s">
        <v>1712</v>
      </c>
      <c r="E1450" t="str">
        <f ca="1">TRIM(Sales_fact[[#This Row],[Store_ID]])</f>
        <v>STORE8</v>
      </c>
      <c r="F1450">
        <v>4</v>
      </c>
      <c r="G1450">
        <f>IF(ISBLANK(F1450),MODE($F$2:$F$2001),F1450)</f>
        <v>4</v>
      </c>
      <c r="H1450">
        <v>892.28</v>
      </c>
      <c r="I1450">
        <f>IF(ISBLANK(H1450),AVERAGE($H$2:$H$2001),H1450)</f>
        <v>892.28</v>
      </c>
      <c r="J1450">
        <v>0.23</v>
      </c>
      <c r="K1450">
        <f>IF(ISBLANK(J1450),MODE($J$2:$J$2001),J1450)</f>
        <v>0.23</v>
      </c>
      <c r="L1450" t="s">
        <v>1824</v>
      </c>
      <c r="M1450">
        <v>2748.2224000000001</v>
      </c>
      <c r="N1450">
        <f t="shared" si="22"/>
        <v>2748.2224000000001</v>
      </c>
      <c r="O1450" t="str">
        <f>_xlfn.XLOOKUP(Sales_fact[[#This Row],[Customer_ID]],'Customer_Dim'!A:A,'Customer_Dim'!K:K,"Not Found")</f>
        <v>Bronze</v>
      </c>
      <c r="P1450">
        <f>_xlfn.XLOOKUP(Sales_fact[[#This Row],[Customer_ID]],'Customer_Dim'!A:A, 'Customer_Dim'!E:E, "Not Found")</f>
        <v>40</v>
      </c>
      <c r="Q1450" t="str">
        <f>VLOOKUP(Sales_fact[[#This Row],[Customer_ID]], 'Customer_Dim'!A:F, 6, FALSE)</f>
        <v>Male</v>
      </c>
      <c r="R1450" s="13" t="str">
        <f>_xlfn.XLOOKUP(Sales_fact[[#This Row],[Product_ID]],Product_Dim!A:A,Product_Dim!C:C,"OTHERS")</f>
        <v>Sports</v>
      </c>
    </row>
    <row r="1451" spans="1:18" x14ac:dyDescent="0.3">
      <c r="A1451" t="s">
        <v>3275</v>
      </c>
      <c r="B1451" s="2">
        <v>45494</v>
      </c>
      <c r="C1451" t="s">
        <v>716</v>
      </c>
      <c r="D1451" t="s">
        <v>1568</v>
      </c>
      <c r="E1451" t="str">
        <f ca="1">TRIM(Sales_fact[[#This Row],[Store_ID]])</f>
        <v>STORE7</v>
      </c>
      <c r="F1451">
        <v>2</v>
      </c>
      <c r="G1451">
        <f>IF(ISBLANK(F1451),MODE($F$2:$F$2001),F1451)</f>
        <v>2</v>
      </c>
      <c r="H1451">
        <v>164.23</v>
      </c>
      <c r="I1451">
        <f>IF(ISBLANK(H1451),AVERAGE($H$2:$H$2001),H1451)</f>
        <v>164.23</v>
      </c>
      <c r="J1451">
        <v>0.17</v>
      </c>
      <c r="K1451">
        <f>IF(ISBLANK(J1451),MODE($J$2:$J$2001),J1451)</f>
        <v>0.17</v>
      </c>
      <c r="L1451" t="s">
        <v>1824</v>
      </c>
      <c r="M1451">
        <v>272.62180000000001</v>
      </c>
      <c r="N1451">
        <f t="shared" si="22"/>
        <v>272.62179999999995</v>
      </c>
      <c r="O1451" t="str">
        <f>_xlfn.XLOOKUP(Sales_fact[[#This Row],[Customer_ID]],'Customer_Dim'!A:A,'Customer_Dim'!K:K,"Not Found")</f>
        <v>Platinum</v>
      </c>
      <c r="P1451">
        <f>_xlfn.XLOOKUP(Sales_fact[[#This Row],[Customer_ID]],'Customer_Dim'!A:A, 'Customer_Dim'!E:E, "Not Found")</f>
        <v>38</v>
      </c>
      <c r="Q1451" t="str">
        <f>VLOOKUP(Sales_fact[[#This Row],[Customer_ID]], 'Customer_Dim'!A:F, 6, FALSE)</f>
        <v>Male</v>
      </c>
      <c r="R1451" s="13" t="str">
        <f>_xlfn.XLOOKUP(Sales_fact[[#This Row],[Product_ID]],Product_Dim!A:A,Product_Dim!C:C,"OTHERS")</f>
        <v>Home</v>
      </c>
    </row>
    <row r="1452" spans="1:18" x14ac:dyDescent="0.3">
      <c r="A1452" t="s">
        <v>3276</v>
      </c>
      <c r="B1452" s="2">
        <v>45305</v>
      </c>
      <c r="C1452" t="s">
        <v>1397</v>
      </c>
      <c r="D1452" t="s">
        <v>1565</v>
      </c>
      <c r="E1452" t="str">
        <f ca="1">TRIM(Sales_fact[[#This Row],[Store_ID]])</f>
        <v>STORE7</v>
      </c>
      <c r="F1452">
        <v>1</v>
      </c>
      <c r="G1452">
        <f>IF(ISBLANK(F1452),MODE($F$2:$F$2001),F1452)</f>
        <v>1</v>
      </c>
      <c r="H1452">
        <v>484.23</v>
      </c>
      <c r="I1452">
        <f>IF(ISBLANK(H1452),AVERAGE($H$2:$H$2001),H1452)</f>
        <v>484.23</v>
      </c>
      <c r="J1452">
        <v>0.12</v>
      </c>
      <c r="K1452">
        <f>IF(ISBLANK(J1452),MODE($J$2:$J$2001),J1452)</f>
        <v>0.12</v>
      </c>
      <c r="L1452" t="s">
        <v>1829</v>
      </c>
      <c r="M1452">
        <v>426.12240000000003</v>
      </c>
      <c r="N1452">
        <f t="shared" si="22"/>
        <v>426.12240000000003</v>
      </c>
      <c r="O1452" t="str">
        <f>_xlfn.XLOOKUP(Sales_fact[[#This Row],[Customer_ID]],'Customer_Dim'!A:A,'Customer_Dim'!K:K,"Not Found")</f>
        <v>Bronze</v>
      </c>
      <c r="P1452">
        <f>_xlfn.XLOOKUP(Sales_fact[[#This Row],[Customer_ID]],'Customer_Dim'!A:A, 'Customer_Dim'!E:E, "Not Found")</f>
        <v>60</v>
      </c>
      <c r="Q1452" t="str">
        <f>VLOOKUP(Sales_fact[[#This Row],[Customer_ID]], 'Customer_Dim'!A:F, 6, FALSE)</f>
        <v>Female</v>
      </c>
      <c r="R1452" s="13" t="str">
        <f>_xlfn.XLOOKUP(Sales_fact[[#This Row],[Product_ID]],Product_Dim!A:A,Product_Dim!C:C,"OTHERS")</f>
        <v>Sports</v>
      </c>
    </row>
    <row r="1453" spans="1:18" x14ac:dyDescent="0.3">
      <c r="A1453" t="s">
        <v>3277</v>
      </c>
      <c r="B1453" s="2">
        <v>45383</v>
      </c>
      <c r="C1453" t="s">
        <v>32</v>
      </c>
      <c r="D1453" t="s">
        <v>1618</v>
      </c>
      <c r="E1453" t="str">
        <f ca="1">TRIM(Sales_fact[[#This Row],[Store_ID]])</f>
        <v>STORE18</v>
      </c>
      <c r="F1453">
        <v>3</v>
      </c>
      <c r="G1453">
        <f>IF(ISBLANK(F1453),MODE($F$2:$F$2001),F1453)</f>
        <v>3</v>
      </c>
      <c r="H1453">
        <v>341.51</v>
      </c>
      <c r="I1453">
        <f>IF(ISBLANK(H1453),AVERAGE($H$2:$H$2001),H1453)</f>
        <v>341.51</v>
      </c>
      <c r="J1453">
        <v>0.22</v>
      </c>
      <c r="K1453">
        <f>IF(ISBLANK(J1453),MODE($J$2:$J$2001),J1453)</f>
        <v>0.22</v>
      </c>
      <c r="L1453" t="s">
        <v>1829</v>
      </c>
      <c r="M1453">
        <v>799.13340000000005</v>
      </c>
      <c r="N1453">
        <f t="shared" si="22"/>
        <v>799.13340000000005</v>
      </c>
      <c r="O1453" t="str">
        <f>_xlfn.XLOOKUP(Sales_fact[[#This Row],[Customer_ID]],'Customer_Dim'!A:A,'Customer_Dim'!K:K,"Not Found")</f>
        <v>Bronze</v>
      </c>
      <c r="P1453">
        <f>_xlfn.XLOOKUP(Sales_fact[[#This Row],[Customer_ID]],'Customer_Dim'!A:A, 'Customer_Dim'!E:E, "Not Found")</f>
        <v>24</v>
      </c>
      <c r="Q1453" t="str">
        <f>VLOOKUP(Sales_fact[[#This Row],[Customer_ID]], 'Customer_Dim'!A:F, 6, FALSE)</f>
        <v>Male</v>
      </c>
      <c r="R1453" s="13" t="str">
        <f>_xlfn.XLOOKUP(Sales_fact[[#This Row],[Product_ID]],Product_Dim!A:A,Product_Dim!C:C,"OTHERS")</f>
        <v>Home</v>
      </c>
    </row>
    <row r="1454" spans="1:18" x14ac:dyDescent="0.3">
      <c r="A1454" t="s">
        <v>3278</v>
      </c>
      <c r="B1454" s="2">
        <v>45788</v>
      </c>
      <c r="C1454" t="s">
        <v>384</v>
      </c>
      <c r="D1454" t="s">
        <v>1744</v>
      </c>
      <c r="E1454" t="str">
        <f ca="1">TRIM(Sales_fact[[#This Row],[Store_ID]])</f>
        <v>STORE13</v>
      </c>
      <c r="F1454">
        <v>3</v>
      </c>
      <c r="G1454">
        <f>IF(ISBLANK(F1454),MODE($F$2:$F$2001),F1454)</f>
        <v>3</v>
      </c>
      <c r="H1454">
        <v>758.87</v>
      </c>
      <c r="I1454">
        <f>IF(ISBLANK(H1454),AVERAGE($H$2:$H$2001),H1454)</f>
        <v>758.87</v>
      </c>
      <c r="J1454">
        <v>0.11</v>
      </c>
      <c r="K1454">
        <f>IF(ISBLANK(J1454),MODE($J$2:$J$2001),J1454)</f>
        <v>0.11</v>
      </c>
      <c r="L1454" t="s">
        <v>1826</v>
      </c>
      <c r="M1454">
        <v>2026.1829</v>
      </c>
      <c r="N1454">
        <f t="shared" si="22"/>
        <v>2026.1829000000002</v>
      </c>
      <c r="O1454" t="str">
        <f>_xlfn.XLOOKUP(Sales_fact[[#This Row],[Customer_ID]],'Customer_Dim'!A:A,'Customer_Dim'!K:K,"Not Found")</f>
        <v>Silver</v>
      </c>
      <c r="P1454">
        <f>_xlfn.XLOOKUP(Sales_fact[[#This Row],[Customer_ID]],'Customer_Dim'!A:A, 'Customer_Dim'!E:E, "Not Found")</f>
        <v>27</v>
      </c>
      <c r="Q1454" t="str">
        <f>VLOOKUP(Sales_fact[[#This Row],[Customer_ID]], 'Customer_Dim'!A:F, 6, FALSE)</f>
        <v>Male</v>
      </c>
      <c r="R1454" s="13" t="str">
        <f>_xlfn.XLOOKUP(Sales_fact[[#This Row],[Product_ID]],Product_Dim!A:A,Product_Dim!C:C,"OTHERS")</f>
        <v>Electronics</v>
      </c>
    </row>
    <row r="1455" spans="1:18" x14ac:dyDescent="0.3">
      <c r="A1455" t="s">
        <v>3279</v>
      </c>
      <c r="B1455" s="2">
        <v>45855</v>
      </c>
      <c r="C1455" t="s">
        <v>1449</v>
      </c>
      <c r="D1455" t="s">
        <v>1660</v>
      </c>
      <c r="E1455" t="str">
        <f ca="1">TRIM(Sales_fact[[#This Row],[Store_ID]])</f>
        <v>STORE12</v>
      </c>
      <c r="F1455">
        <v>3</v>
      </c>
      <c r="G1455">
        <f>IF(ISBLANK(F1455),MODE($F$2:$F$2001),F1455)</f>
        <v>3</v>
      </c>
      <c r="H1455">
        <v>560.52</v>
      </c>
      <c r="I1455">
        <f>IF(ISBLANK(H1455),AVERAGE($H$2:$H$2001),H1455)</f>
        <v>560.52</v>
      </c>
      <c r="J1455">
        <v>0.17</v>
      </c>
      <c r="K1455">
        <f>IF(ISBLANK(J1455),MODE($J$2:$J$2001),J1455)</f>
        <v>0.17</v>
      </c>
      <c r="L1455" t="s">
        <v>1824</v>
      </c>
      <c r="M1455">
        <v>1395.6948</v>
      </c>
      <c r="N1455">
        <f t="shared" si="22"/>
        <v>1395.6948</v>
      </c>
      <c r="O1455" t="str">
        <f>_xlfn.XLOOKUP(Sales_fact[[#This Row],[Customer_ID]],'Customer_Dim'!A:A,'Customer_Dim'!K:K,"Not Found")</f>
        <v>Gold</v>
      </c>
      <c r="P1455">
        <f>_xlfn.XLOOKUP(Sales_fact[[#This Row],[Customer_ID]],'Customer_Dim'!A:A, 'Customer_Dim'!E:E, "Not Found")</f>
        <v>21</v>
      </c>
      <c r="Q1455" t="str">
        <f>VLOOKUP(Sales_fact[[#This Row],[Customer_ID]], 'Customer_Dim'!A:F, 6, FALSE)</f>
        <v>Female</v>
      </c>
      <c r="R1455" s="13" t="str">
        <f>_xlfn.XLOOKUP(Sales_fact[[#This Row],[Product_ID]],Product_Dim!A:A,Product_Dim!C:C,"OTHERS")</f>
        <v>Home</v>
      </c>
    </row>
    <row r="1456" spans="1:18" x14ac:dyDescent="0.3">
      <c r="A1456" t="s">
        <v>3280</v>
      </c>
      <c r="B1456" s="2">
        <v>45533</v>
      </c>
      <c r="C1456" t="s">
        <v>1101</v>
      </c>
      <c r="D1456" t="s">
        <v>1740</v>
      </c>
      <c r="E1456" t="str">
        <f ca="1">TRIM(Sales_fact[[#This Row],[Store_ID]])</f>
        <v>STORE17</v>
      </c>
      <c r="F1456">
        <v>2</v>
      </c>
      <c r="G1456">
        <f>IF(ISBLANK(F1456),MODE($F$2:$F$2001),F1456)</f>
        <v>2</v>
      </c>
      <c r="H1456">
        <v>977.18</v>
      </c>
      <c r="I1456">
        <f>IF(ISBLANK(H1456),AVERAGE($H$2:$H$2001),H1456)</f>
        <v>977.18</v>
      </c>
      <c r="J1456">
        <v>0.19</v>
      </c>
      <c r="K1456">
        <f>IF(ISBLANK(J1456),MODE($J$2:$J$2001),J1456)</f>
        <v>0.19</v>
      </c>
      <c r="L1456" t="s">
        <v>1824</v>
      </c>
      <c r="M1456">
        <v>1583.0316</v>
      </c>
      <c r="N1456">
        <f t="shared" si="22"/>
        <v>1583.0316</v>
      </c>
      <c r="O1456" t="str">
        <f>_xlfn.XLOOKUP(Sales_fact[[#This Row],[Customer_ID]],'Customer_Dim'!A:A,'Customer_Dim'!K:K,"Not Found")</f>
        <v>Bronze</v>
      </c>
      <c r="P1456">
        <f>_xlfn.XLOOKUP(Sales_fact[[#This Row],[Customer_ID]],'Customer_Dim'!A:A, 'Customer_Dim'!E:E, "Not Found")</f>
        <v>25</v>
      </c>
      <c r="Q1456" t="str">
        <f>VLOOKUP(Sales_fact[[#This Row],[Customer_ID]], 'Customer_Dim'!A:F, 6, FALSE)</f>
        <v>Female</v>
      </c>
      <c r="R1456" s="13" t="str">
        <f>_xlfn.XLOOKUP(Sales_fact[[#This Row],[Product_ID]],Product_Dim!A:A,Product_Dim!C:C,"OTHERS")</f>
        <v>Clothing</v>
      </c>
    </row>
    <row r="1457" spans="1:18" x14ac:dyDescent="0.3">
      <c r="A1457" t="s">
        <v>3281</v>
      </c>
      <c r="B1457" s="2">
        <v>45763</v>
      </c>
      <c r="C1457" t="s">
        <v>758</v>
      </c>
      <c r="D1457" t="s">
        <v>1580</v>
      </c>
      <c r="E1457" t="str">
        <f ca="1">TRIM(Sales_fact[[#This Row],[Store_ID]])</f>
        <v>STORE14</v>
      </c>
      <c r="F1457">
        <v>4</v>
      </c>
      <c r="G1457">
        <f>IF(ISBLANK(F1457),MODE($F$2:$F$2001),F1457)</f>
        <v>4</v>
      </c>
      <c r="H1457">
        <v>761.35</v>
      </c>
      <c r="I1457">
        <f>IF(ISBLANK(H1457),AVERAGE($H$2:$H$2001),H1457)</f>
        <v>761.35</v>
      </c>
      <c r="J1457">
        <v>0.08</v>
      </c>
      <c r="K1457">
        <f>IF(ISBLANK(J1457),MODE($J$2:$J$2001),J1457)</f>
        <v>0.08</v>
      </c>
      <c r="L1457" t="s">
        <v>1824</v>
      </c>
      <c r="M1457">
        <v>2801.768</v>
      </c>
      <c r="N1457">
        <f t="shared" si="22"/>
        <v>2801.768</v>
      </c>
      <c r="O1457" t="str">
        <f>_xlfn.XLOOKUP(Sales_fact[[#This Row],[Customer_ID]],'Customer_Dim'!A:A,'Customer_Dim'!K:K,"Not Found")</f>
        <v>Bronze</v>
      </c>
      <c r="P1457">
        <f>_xlfn.XLOOKUP(Sales_fact[[#This Row],[Customer_ID]],'Customer_Dim'!A:A, 'Customer_Dim'!E:E, "Not Found")</f>
        <v>42</v>
      </c>
      <c r="Q1457" t="str">
        <f>VLOOKUP(Sales_fact[[#This Row],[Customer_ID]], 'Customer_Dim'!A:F, 6, FALSE)</f>
        <v>Female</v>
      </c>
      <c r="R1457" s="13" t="str">
        <f>_xlfn.XLOOKUP(Sales_fact[[#This Row],[Product_ID]],Product_Dim!A:A,Product_Dim!C:C,"OTHERS")</f>
        <v>OTHERS</v>
      </c>
    </row>
    <row r="1458" spans="1:18" x14ac:dyDescent="0.3">
      <c r="A1458" t="s">
        <v>3282</v>
      </c>
      <c r="B1458" s="2">
        <v>45900</v>
      </c>
      <c r="C1458" t="s">
        <v>592</v>
      </c>
      <c r="D1458" t="s">
        <v>1682</v>
      </c>
      <c r="E1458" t="str">
        <f ca="1">TRIM(Sales_fact[[#This Row],[Store_ID]])</f>
        <v>STORE18</v>
      </c>
      <c r="F1458">
        <v>2</v>
      </c>
      <c r="G1458">
        <f>IF(ISBLANK(F1458),MODE($F$2:$F$2001),F1458)</f>
        <v>2</v>
      </c>
      <c r="H1458">
        <v>947.56</v>
      </c>
      <c r="I1458">
        <f>IF(ISBLANK(H1458),AVERAGE($H$2:$H$2001),H1458)</f>
        <v>947.56</v>
      </c>
      <c r="J1458">
        <v>0.02</v>
      </c>
      <c r="K1458">
        <f>IF(ISBLANK(J1458),MODE($J$2:$J$2001),J1458)</f>
        <v>0.02</v>
      </c>
      <c r="L1458" t="s">
        <v>1829</v>
      </c>
      <c r="M1458">
        <v>1857.2175999999999</v>
      </c>
      <c r="N1458">
        <f t="shared" si="22"/>
        <v>1857.2175999999999</v>
      </c>
      <c r="O1458" t="str">
        <f>_xlfn.XLOOKUP(Sales_fact[[#This Row],[Customer_ID]],'Customer_Dim'!A:A,'Customer_Dim'!K:K,"Not Found")</f>
        <v>Silver</v>
      </c>
      <c r="P1458">
        <f>_xlfn.XLOOKUP(Sales_fact[[#This Row],[Customer_ID]],'Customer_Dim'!A:A, 'Customer_Dim'!E:E, "Not Found")</f>
        <v>43</v>
      </c>
      <c r="Q1458" t="str">
        <f>VLOOKUP(Sales_fact[[#This Row],[Customer_ID]], 'Customer_Dim'!A:F, 6, FALSE)</f>
        <v>Female</v>
      </c>
      <c r="R1458" s="13" t="str">
        <f>_xlfn.XLOOKUP(Sales_fact[[#This Row],[Product_ID]],Product_Dim!A:A,Product_Dim!C:C,"OTHERS")</f>
        <v>Electronics</v>
      </c>
    </row>
    <row r="1459" spans="1:18" x14ac:dyDescent="0.3">
      <c r="A1459" t="s">
        <v>3283</v>
      </c>
      <c r="B1459" s="2">
        <v>45943</v>
      </c>
      <c r="C1459" t="s">
        <v>764</v>
      </c>
      <c r="D1459" t="s">
        <v>1634</v>
      </c>
      <c r="E1459" t="str">
        <f ca="1">TRIM(Sales_fact[[#This Row],[Store_ID]])</f>
        <v>STORE18</v>
      </c>
      <c r="F1459">
        <v>4</v>
      </c>
      <c r="G1459">
        <f>IF(ISBLANK(F1459),MODE($F$2:$F$2001),F1459)</f>
        <v>4</v>
      </c>
      <c r="H1459">
        <v>975.47</v>
      </c>
      <c r="I1459">
        <f>IF(ISBLANK(H1459),AVERAGE($H$2:$H$2001),H1459)</f>
        <v>975.47</v>
      </c>
      <c r="J1459">
        <v>0.04</v>
      </c>
      <c r="K1459">
        <f>IF(ISBLANK(J1459),MODE($J$2:$J$2001),J1459)</f>
        <v>0.04</v>
      </c>
      <c r="L1459" t="s">
        <v>1824</v>
      </c>
      <c r="M1459">
        <v>3745.8047999999999</v>
      </c>
      <c r="N1459">
        <f t="shared" si="22"/>
        <v>3745.8047999999999</v>
      </c>
      <c r="O1459" t="str">
        <f>_xlfn.XLOOKUP(Sales_fact[[#This Row],[Customer_ID]],'Customer_Dim'!A:A,'Customer_Dim'!K:K,"Not Found")</f>
        <v>Platinum</v>
      </c>
      <c r="P1459">
        <f>_xlfn.XLOOKUP(Sales_fact[[#This Row],[Customer_ID]],'Customer_Dim'!A:A, 'Customer_Dim'!E:E, "Not Found")</f>
        <v>40</v>
      </c>
      <c r="Q1459" t="str">
        <f>VLOOKUP(Sales_fact[[#This Row],[Customer_ID]], 'Customer_Dim'!A:F, 6, FALSE)</f>
        <v>Male</v>
      </c>
      <c r="R1459" s="13" t="str">
        <f>_xlfn.XLOOKUP(Sales_fact[[#This Row],[Product_ID]],Product_Dim!A:A,Product_Dim!C:C,"OTHERS")</f>
        <v>Electronics</v>
      </c>
    </row>
    <row r="1460" spans="1:18" x14ac:dyDescent="0.3">
      <c r="A1460" t="s">
        <v>3284</v>
      </c>
      <c r="B1460" s="2">
        <v>45448</v>
      </c>
      <c r="C1460" t="s">
        <v>1469</v>
      </c>
      <c r="D1460" t="s">
        <v>1574</v>
      </c>
      <c r="E1460" t="str">
        <f ca="1">TRIM(Sales_fact[[#This Row],[Store_ID]])</f>
        <v>STORE9</v>
      </c>
      <c r="F1460">
        <v>3</v>
      </c>
      <c r="G1460">
        <f>IF(ISBLANK(F1460),MODE($F$2:$F$2001),F1460)</f>
        <v>3</v>
      </c>
      <c r="H1460">
        <v>769.06</v>
      </c>
      <c r="I1460">
        <f>IF(ISBLANK(H1460),AVERAGE($H$2:$H$2001),H1460)</f>
        <v>769.06</v>
      </c>
      <c r="J1460">
        <v>0.23</v>
      </c>
      <c r="K1460">
        <f>IF(ISBLANK(J1460),MODE($J$2:$J$2001),J1460)</f>
        <v>0.23</v>
      </c>
      <c r="L1460" t="s">
        <v>1829</v>
      </c>
      <c r="M1460">
        <v>1776.5286000000001</v>
      </c>
      <c r="N1460">
        <f t="shared" si="22"/>
        <v>1776.5285999999999</v>
      </c>
      <c r="O1460" t="str">
        <f>_xlfn.XLOOKUP(Sales_fact[[#This Row],[Customer_ID]],'Customer_Dim'!A:A,'Customer_Dim'!K:K,"Not Found")</f>
        <v>Platinum</v>
      </c>
      <c r="P1460">
        <f>_xlfn.XLOOKUP(Sales_fact[[#This Row],[Customer_ID]],'Customer_Dim'!A:A, 'Customer_Dim'!E:E, "Not Found")</f>
        <v>41</v>
      </c>
      <c r="Q1460" t="str">
        <f>VLOOKUP(Sales_fact[[#This Row],[Customer_ID]], 'Customer_Dim'!A:F, 6, FALSE)</f>
        <v>Female</v>
      </c>
      <c r="R1460" s="13" t="str">
        <f>_xlfn.XLOOKUP(Sales_fact[[#This Row],[Product_ID]],Product_Dim!A:A,Product_Dim!C:C,"OTHERS")</f>
        <v>Electronics</v>
      </c>
    </row>
    <row r="1461" spans="1:18" x14ac:dyDescent="0.3">
      <c r="A1461" t="s">
        <v>3285</v>
      </c>
      <c r="B1461" s="2">
        <v>45929</v>
      </c>
      <c r="C1461" t="s">
        <v>1495</v>
      </c>
      <c r="D1461" t="s">
        <v>1626</v>
      </c>
      <c r="E1461" t="str">
        <f ca="1">TRIM(Sales_fact[[#This Row],[Store_ID]])</f>
        <v>STORE2</v>
      </c>
      <c r="F1461">
        <v>3</v>
      </c>
      <c r="G1461">
        <f>IF(ISBLANK(F1461),MODE($F$2:$F$2001),F1461)</f>
        <v>3</v>
      </c>
      <c r="H1461">
        <v>824.75</v>
      </c>
      <c r="I1461">
        <f>IF(ISBLANK(H1461),AVERAGE($H$2:$H$2001),H1461)</f>
        <v>824.75</v>
      </c>
      <c r="J1461">
        <v>0.23</v>
      </c>
      <c r="K1461">
        <f>IF(ISBLANK(J1461),MODE($J$2:$J$2001),J1461)</f>
        <v>0.23</v>
      </c>
      <c r="L1461" t="s">
        <v>1824</v>
      </c>
      <c r="M1461">
        <v>1905.1724999999999</v>
      </c>
      <c r="N1461">
        <f t="shared" si="22"/>
        <v>1905.1725000000001</v>
      </c>
      <c r="O1461" t="str">
        <f>_xlfn.XLOOKUP(Sales_fact[[#This Row],[Customer_ID]],'Customer_Dim'!A:A,'Customer_Dim'!K:K,"Not Found")</f>
        <v>Not Found</v>
      </c>
      <c r="P1461" t="str">
        <f>_xlfn.XLOOKUP(Sales_fact[[#This Row],[Customer_ID]],'Customer_Dim'!A:A, 'Customer_Dim'!E:E, "Not Found")</f>
        <v>Not Found</v>
      </c>
      <c r="Q1461" t="e">
        <f>VLOOKUP(Sales_fact[[#This Row],[Customer_ID]], 'Customer_Dim'!A:F, 6, FALSE)</f>
        <v>#N/A</v>
      </c>
      <c r="R1461" s="13" t="str">
        <f>_xlfn.XLOOKUP(Sales_fact[[#This Row],[Product_ID]],Product_Dim!A:A,Product_Dim!C:C,"OTHERS")</f>
        <v>Electronics</v>
      </c>
    </row>
    <row r="1462" spans="1:18" x14ac:dyDescent="0.3">
      <c r="A1462" t="s">
        <v>3286</v>
      </c>
      <c r="B1462" s="2">
        <v>45478</v>
      </c>
      <c r="C1462" t="s">
        <v>1249</v>
      </c>
      <c r="D1462" t="s">
        <v>1684</v>
      </c>
      <c r="E1462" t="str">
        <f ca="1">TRIM(Sales_fact[[#This Row],[Store_ID]])</f>
        <v>STORE4</v>
      </c>
      <c r="F1462">
        <v>2</v>
      </c>
      <c r="G1462">
        <f>IF(ISBLANK(F1462),MODE($F$2:$F$2001),F1462)</f>
        <v>2</v>
      </c>
      <c r="H1462">
        <v>821.35</v>
      </c>
      <c r="I1462">
        <f>IF(ISBLANK(H1462),AVERAGE($H$2:$H$2001),H1462)</f>
        <v>821.35</v>
      </c>
      <c r="J1462">
        <v>0.11</v>
      </c>
      <c r="K1462">
        <f>IF(ISBLANK(J1462),MODE($J$2:$J$2001),J1462)</f>
        <v>0.11</v>
      </c>
      <c r="L1462" t="s">
        <v>1826</v>
      </c>
      <c r="M1462">
        <v>1462.0029999999999</v>
      </c>
      <c r="N1462">
        <f t="shared" si="22"/>
        <v>1462.0030000000002</v>
      </c>
      <c r="O1462" t="str">
        <f>_xlfn.XLOOKUP(Sales_fact[[#This Row],[Customer_ID]],'Customer_Dim'!A:A,'Customer_Dim'!K:K,"Not Found")</f>
        <v>Platinum</v>
      </c>
      <c r="P1462">
        <f>_xlfn.XLOOKUP(Sales_fact[[#This Row],[Customer_ID]],'Customer_Dim'!A:A, 'Customer_Dim'!E:E, "Not Found")</f>
        <v>51</v>
      </c>
      <c r="Q1462" t="str">
        <f>VLOOKUP(Sales_fact[[#This Row],[Customer_ID]], 'Customer_Dim'!A:F, 6, FALSE)</f>
        <v>Female</v>
      </c>
      <c r="R1462" s="13" t="str">
        <f>_xlfn.XLOOKUP(Sales_fact[[#This Row],[Product_ID]],Product_Dim!A:A,Product_Dim!C:C,"OTHERS")</f>
        <v>Home</v>
      </c>
    </row>
    <row r="1463" spans="1:18" x14ac:dyDescent="0.3">
      <c r="A1463" t="s">
        <v>3287</v>
      </c>
      <c r="B1463" s="2">
        <v>45723</v>
      </c>
      <c r="C1463" t="s">
        <v>1260</v>
      </c>
      <c r="D1463" t="s">
        <v>1574</v>
      </c>
      <c r="E1463" t="str">
        <f ca="1">TRIM(Sales_fact[[#This Row],[Store_ID]])</f>
        <v>STORE10</v>
      </c>
      <c r="F1463">
        <v>1</v>
      </c>
      <c r="G1463">
        <f>IF(ISBLANK(F1463),MODE($F$2:$F$2001),F1463)</f>
        <v>1</v>
      </c>
      <c r="H1463">
        <v>120.57</v>
      </c>
      <c r="I1463">
        <f>IF(ISBLANK(H1463),AVERAGE($H$2:$H$2001),H1463)</f>
        <v>120.57</v>
      </c>
      <c r="J1463">
        <v>0.06</v>
      </c>
      <c r="K1463">
        <f>IF(ISBLANK(J1463),MODE($J$2:$J$2001),J1463)</f>
        <v>0.06</v>
      </c>
      <c r="L1463" t="s">
        <v>1826</v>
      </c>
      <c r="M1463">
        <v>113.33580000000001</v>
      </c>
      <c r="N1463">
        <f t="shared" si="22"/>
        <v>113.33579999999999</v>
      </c>
      <c r="O1463" t="str">
        <f>_xlfn.XLOOKUP(Sales_fact[[#This Row],[Customer_ID]],'Customer_Dim'!A:A,'Customer_Dim'!K:K,"Not Found")</f>
        <v>Gold</v>
      </c>
      <c r="P1463">
        <f>_xlfn.XLOOKUP(Sales_fact[[#This Row],[Customer_ID]],'Customer_Dim'!A:A, 'Customer_Dim'!E:E, "Not Found")</f>
        <v>18</v>
      </c>
      <c r="Q1463" t="str">
        <f>VLOOKUP(Sales_fact[[#This Row],[Customer_ID]], 'Customer_Dim'!A:F, 6, FALSE)</f>
        <v>Female</v>
      </c>
      <c r="R1463" s="13" t="str">
        <f>_xlfn.XLOOKUP(Sales_fact[[#This Row],[Product_ID]],Product_Dim!A:A,Product_Dim!C:C,"OTHERS")</f>
        <v>Electronics</v>
      </c>
    </row>
    <row r="1464" spans="1:18" x14ac:dyDescent="0.3">
      <c r="A1464" t="s">
        <v>3288</v>
      </c>
      <c r="B1464" s="2">
        <v>45240</v>
      </c>
      <c r="C1464" t="s">
        <v>1053</v>
      </c>
      <c r="D1464" t="s">
        <v>1726</v>
      </c>
      <c r="E1464" t="str">
        <f ca="1">TRIM(Sales_fact[[#This Row],[Store_ID]])</f>
        <v>STORE1</v>
      </c>
      <c r="F1464">
        <v>1</v>
      </c>
      <c r="G1464">
        <f>IF(ISBLANK(F1464),MODE($F$2:$F$2001),F1464)</f>
        <v>1</v>
      </c>
      <c r="H1464">
        <v>122.27</v>
      </c>
      <c r="I1464">
        <f>IF(ISBLANK(H1464),AVERAGE($H$2:$H$2001),H1464)</f>
        <v>122.27</v>
      </c>
      <c r="J1464">
        <v>0.26</v>
      </c>
      <c r="K1464">
        <f>IF(ISBLANK(J1464),MODE($J$2:$J$2001),J1464)</f>
        <v>0.26</v>
      </c>
      <c r="L1464" t="s">
        <v>1826</v>
      </c>
      <c r="M1464">
        <v>90.479799999999997</v>
      </c>
      <c r="N1464">
        <f t="shared" si="22"/>
        <v>90.479799999999997</v>
      </c>
      <c r="O1464" t="str">
        <f>_xlfn.XLOOKUP(Sales_fact[[#This Row],[Customer_ID]],'Customer_Dim'!A:A,'Customer_Dim'!K:K,"Not Found")</f>
        <v>Platinum</v>
      </c>
      <c r="P1464">
        <f>_xlfn.XLOOKUP(Sales_fact[[#This Row],[Customer_ID]],'Customer_Dim'!A:A, 'Customer_Dim'!E:E, "Not Found")</f>
        <v>37</v>
      </c>
      <c r="Q1464" t="str">
        <f>VLOOKUP(Sales_fact[[#This Row],[Customer_ID]], 'Customer_Dim'!A:F, 6, FALSE)</f>
        <v>Male</v>
      </c>
      <c r="R1464" s="13" t="str">
        <f>_xlfn.XLOOKUP(Sales_fact[[#This Row],[Product_ID]],Product_Dim!A:A,Product_Dim!C:C,"OTHERS")</f>
        <v>Beauty</v>
      </c>
    </row>
    <row r="1465" spans="1:18" x14ac:dyDescent="0.3">
      <c r="A1465" t="s">
        <v>3289</v>
      </c>
      <c r="B1465" s="2">
        <v>45890</v>
      </c>
      <c r="C1465" t="s">
        <v>565</v>
      </c>
      <c r="D1465" t="s">
        <v>1600</v>
      </c>
      <c r="E1465" t="str">
        <f ca="1">TRIM(Sales_fact[[#This Row],[Store_ID]])</f>
        <v>STORE2</v>
      </c>
      <c r="F1465">
        <v>2</v>
      </c>
      <c r="G1465">
        <f>IF(ISBLANK(F1465),MODE($F$2:$F$2001),F1465)</f>
        <v>2</v>
      </c>
      <c r="H1465">
        <v>182.89</v>
      </c>
      <c r="I1465">
        <f>IF(ISBLANK(H1465),AVERAGE($H$2:$H$2001),H1465)</f>
        <v>182.89</v>
      </c>
      <c r="J1465">
        <v>0.11</v>
      </c>
      <c r="K1465">
        <f>IF(ISBLANK(J1465),MODE($J$2:$J$2001),J1465)</f>
        <v>0.11</v>
      </c>
      <c r="L1465" t="s">
        <v>1824</v>
      </c>
      <c r="M1465">
        <v>325.54419999999999</v>
      </c>
      <c r="N1465">
        <f t="shared" si="22"/>
        <v>325.54419999999999</v>
      </c>
      <c r="O1465" t="str">
        <f>_xlfn.XLOOKUP(Sales_fact[[#This Row],[Customer_ID]],'Customer_Dim'!A:A,'Customer_Dim'!K:K,"Not Found")</f>
        <v>Gold</v>
      </c>
      <c r="P1465">
        <f>_xlfn.XLOOKUP(Sales_fact[[#This Row],[Customer_ID]],'Customer_Dim'!A:A, 'Customer_Dim'!E:E, "Not Found")</f>
        <v>18</v>
      </c>
      <c r="Q1465" t="str">
        <f>VLOOKUP(Sales_fact[[#This Row],[Customer_ID]], 'Customer_Dim'!A:F, 6, FALSE)</f>
        <v>Male</v>
      </c>
      <c r="R1465" s="13" t="str">
        <f>_xlfn.XLOOKUP(Sales_fact[[#This Row],[Product_ID]],Product_Dim!A:A,Product_Dim!C:C,"OTHERS")</f>
        <v>Electronics</v>
      </c>
    </row>
    <row r="1466" spans="1:18" x14ac:dyDescent="0.3">
      <c r="A1466" t="s">
        <v>3290</v>
      </c>
      <c r="B1466" s="2">
        <v>45796</v>
      </c>
      <c r="C1466" t="s">
        <v>1160</v>
      </c>
      <c r="D1466" t="s">
        <v>1640</v>
      </c>
      <c r="E1466" t="str">
        <f ca="1">TRIM(Sales_fact[[#This Row],[Store_ID]])</f>
        <v>STORE4</v>
      </c>
      <c r="F1466">
        <v>1</v>
      </c>
      <c r="G1466">
        <f>IF(ISBLANK(F1466),MODE($F$2:$F$2001),F1466)</f>
        <v>1</v>
      </c>
      <c r="H1466">
        <v>695.26</v>
      </c>
      <c r="I1466">
        <f>IF(ISBLANK(H1466),AVERAGE($H$2:$H$2001),H1466)</f>
        <v>695.26</v>
      </c>
      <c r="J1466">
        <v>0.23</v>
      </c>
      <c r="K1466">
        <f>IF(ISBLANK(J1466),MODE($J$2:$J$2001),J1466)</f>
        <v>0.23</v>
      </c>
      <c r="L1466" t="s">
        <v>1826</v>
      </c>
      <c r="M1466">
        <v>535.35019999999997</v>
      </c>
      <c r="N1466">
        <f t="shared" si="22"/>
        <v>535.35019999999997</v>
      </c>
      <c r="O1466" t="str">
        <f>_xlfn.XLOOKUP(Sales_fact[[#This Row],[Customer_ID]],'Customer_Dim'!A:A,'Customer_Dim'!K:K,"Not Found")</f>
        <v>Platinum</v>
      </c>
      <c r="P1466">
        <f>_xlfn.XLOOKUP(Sales_fact[[#This Row],[Customer_ID]],'Customer_Dim'!A:A, 'Customer_Dim'!E:E, "Not Found")</f>
        <v>21</v>
      </c>
      <c r="Q1466" t="str">
        <f>VLOOKUP(Sales_fact[[#This Row],[Customer_ID]], 'Customer_Dim'!A:F, 6, FALSE)</f>
        <v>Female</v>
      </c>
      <c r="R1466" s="13" t="str">
        <f>_xlfn.XLOOKUP(Sales_fact[[#This Row],[Product_ID]],Product_Dim!A:A,Product_Dim!C:C,"OTHERS")</f>
        <v>Clothing</v>
      </c>
    </row>
    <row r="1467" spans="1:18" x14ac:dyDescent="0.3">
      <c r="A1467" t="s">
        <v>3291</v>
      </c>
      <c r="B1467" s="2">
        <v>45895</v>
      </c>
      <c r="C1467" t="s">
        <v>114</v>
      </c>
      <c r="D1467" t="s">
        <v>1606</v>
      </c>
      <c r="E1467" t="str">
        <f ca="1">TRIM(Sales_fact[[#This Row],[Store_ID]])</f>
        <v>STORE6</v>
      </c>
      <c r="F1467">
        <v>2</v>
      </c>
      <c r="G1467">
        <f>IF(ISBLANK(F1467),MODE($F$2:$F$2001),F1467)</f>
        <v>2</v>
      </c>
      <c r="H1467">
        <v>408.8</v>
      </c>
      <c r="I1467">
        <f>IF(ISBLANK(H1467),AVERAGE($H$2:$H$2001),H1467)</f>
        <v>408.8</v>
      </c>
      <c r="J1467">
        <v>0.17</v>
      </c>
      <c r="K1467">
        <f>IF(ISBLANK(J1467),MODE($J$2:$J$2001),J1467)</f>
        <v>0.17</v>
      </c>
      <c r="L1467" t="s">
        <v>1829</v>
      </c>
      <c r="M1467">
        <v>678.60799999999995</v>
      </c>
      <c r="N1467">
        <f t="shared" si="22"/>
        <v>678.60799999999995</v>
      </c>
      <c r="O1467" t="str">
        <f>_xlfn.XLOOKUP(Sales_fact[[#This Row],[Customer_ID]],'Customer_Dim'!A:A,'Customer_Dim'!K:K,"Not Found")</f>
        <v>UNKNOWN</v>
      </c>
      <c r="P1467">
        <f>_xlfn.XLOOKUP(Sales_fact[[#This Row],[Customer_ID]],'Customer_Dim'!A:A, 'Customer_Dim'!E:E, "Not Found")</f>
        <v>31</v>
      </c>
      <c r="Q1467" t="str">
        <f>VLOOKUP(Sales_fact[[#This Row],[Customer_ID]], 'Customer_Dim'!A:F, 6, FALSE)</f>
        <v>Male</v>
      </c>
      <c r="R1467" s="13" t="str">
        <f>_xlfn.XLOOKUP(Sales_fact[[#This Row],[Product_ID]],Product_Dim!A:A,Product_Dim!C:C,"OTHERS")</f>
        <v>Home</v>
      </c>
    </row>
    <row r="1468" spans="1:18" x14ac:dyDescent="0.3">
      <c r="A1468" t="s">
        <v>3292</v>
      </c>
      <c r="B1468" s="2">
        <v>45676</v>
      </c>
      <c r="C1468" t="s">
        <v>730</v>
      </c>
      <c r="D1468" t="s">
        <v>1646</v>
      </c>
      <c r="E1468" t="str">
        <f ca="1">TRIM(Sales_fact[[#This Row],[Store_ID]])</f>
        <v>STORE8</v>
      </c>
      <c r="F1468">
        <v>3</v>
      </c>
      <c r="G1468">
        <f>IF(ISBLANK(F1468),MODE($F$2:$F$2001),F1468)</f>
        <v>3</v>
      </c>
      <c r="H1468">
        <v>512.15</v>
      </c>
      <c r="I1468">
        <f>IF(ISBLANK(H1468),AVERAGE($H$2:$H$2001),H1468)</f>
        <v>512.15</v>
      </c>
      <c r="J1468">
        <v>0.12</v>
      </c>
      <c r="K1468">
        <f>IF(ISBLANK(J1468),MODE($J$2:$J$2001),J1468)</f>
        <v>0.12</v>
      </c>
      <c r="L1468" t="s">
        <v>1824</v>
      </c>
      <c r="M1468">
        <v>1352.076</v>
      </c>
      <c r="N1468">
        <f t="shared" si="22"/>
        <v>1352.0759999999998</v>
      </c>
      <c r="O1468" t="str">
        <f>_xlfn.XLOOKUP(Sales_fact[[#This Row],[Customer_ID]],'Customer_Dim'!A:A,'Customer_Dim'!K:K,"Not Found")</f>
        <v>Gold</v>
      </c>
      <c r="P1468">
        <f>_xlfn.XLOOKUP(Sales_fact[[#This Row],[Customer_ID]],'Customer_Dim'!A:A, 'Customer_Dim'!E:E, "Not Found")</f>
        <v>54</v>
      </c>
      <c r="Q1468" t="str">
        <f>VLOOKUP(Sales_fact[[#This Row],[Customer_ID]], 'Customer_Dim'!A:F, 6, FALSE)</f>
        <v>Male</v>
      </c>
      <c r="R1468" s="13" t="str">
        <f>_xlfn.XLOOKUP(Sales_fact[[#This Row],[Product_ID]],Product_Dim!A:A,Product_Dim!C:C,"OTHERS")</f>
        <v>Beauty</v>
      </c>
    </row>
    <row r="1469" spans="1:18" x14ac:dyDescent="0.3">
      <c r="A1469" t="s">
        <v>3293</v>
      </c>
      <c r="B1469" s="2">
        <v>45568</v>
      </c>
      <c r="C1469" t="s">
        <v>1272</v>
      </c>
      <c r="D1469" t="s">
        <v>1565</v>
      </c>
      <c r="E1469" t="str">
        <f ca="1">TRIM(Sales_fact[[#This Row],[Store_ID]])</f>
        <v>STORE8</v>
      </c>
      <c r="F1469">
        <v>3</v>
      </c>
      <c r="G1469">
        <f>IF(ISBLANK(F1469),MODE($F$2:$F$2001),F1469)</f>
        <v>3</v>
      </c>
      <c r="H1469">
        <v>136.4</v>
      </c>
      <c r="I1469">
        <f>IF(ISBLANK(H1469),AVERAGE($H$2:$H$2001),H1469)</f>
        <v>136.4</v>
      </c>
      <c r="J1469">
        <v>0.15</v>
      </c>
      <c r="K1469">
        <f>IF(ISBLANK(J1469),MODE($J$2:$J$2001),J1469)</f>
        <v>0.15</v>
      </c>
      <c r="L1469" t="s">
        <v>1826</v>
      </c>
      <c r="M1469">
        <v>347.82000000000011</v>
      </c>
      <c r="N1469">
        <f t="shared" si="22"/>
        <v>347.82000000000005</v>
      </c>
      <c r="O1469" t="str">
        <f>_xlfn.XLOOKUP(Sales_fact[[#This Row],[Customer_ID]],'Customer_Dim'!A:A,'Customer_Dim'!K:K,"Not Found")</f>
        <v>Gold</v>
      </c>
      <c r="P1469">
        <f>_xlfn.XLOOKUP(Sales_fact[[#This Row],[Customer_ID]],'Customer_Dim'!A:A, 'Customer_Dim'!E:E, "Not Found")</f>
        <v>55</v>
      </c>
      <c r="Q1469" t="str">
        <f>VLOOKUP(Sales_fact[[#This Row],[Customer_ID]], 'Customer_Dim'!A:F, 6, FALSE)</f>
        <v>Male</v>
      </c>
      <c r="R1469" s="13" t="str">
        <f>_xlfn.XLOOKUP(Sales_fact[[#This Row],[Product_ID]],Product_Dim!A:A,Product_Dim!C:C,"OTHERS")</f>
        <v>Sports</v>
      </c>
    </row>
    <row r="1470" spans="1:18" x14ac:dyDescent="0.3">
      <c r="A1470" t="s">
        <v>3294</v>
      </c>
      <c r="B1470" s="2">
        <v>45272</v>
      </c>
      <c r="C1470" t="s">
        <v>579</v>
      </c>
      <c r="D1470" t="s">
        <v>1557</v>
      </c>
      <c r="E1470" t="str">
        <f ca="1">TRIM(Sales_fact[[#This Row],[Store_ID]])</f>
        <v>STORE3</v>
      </c>
      <c r="F1470">
        <v>2</v>
      </c>
      <c r="G1470">
        <f>IF(ISBLANK(F1470),MODE($F$2:$F$2001),F1470)</f>
        <v>2</v>
      </c>
      <c r="H1470">
        <v>42.51</v>
      </c>
      <c r="I1470">
        <f>IF(ISBLANK(H1470),AVERAGE($H$2:$H$2001),H1470)</f>
        <v>42.51</v>
      </c>
      <c r="J1470">
        <v>0.04</v>
      </c>
      <c r="K1470">
        <f>IF(ISBLANK(J1470),MODE($J$2:$J$2001),J1470)</f>
        <v>0.04</v>
      </c>
      <c r="L1470" t="s">
        <v>1829</v>
      </c>
      <c r="M1470">
        <v>81.619199999999992</v>
      </c>
      <c r="N1470">
        <f t="shared" si="22"/>
        <v>81.619199999999992</v>
      </c>
      <c r="O1470" t="str">
        <f>_xlfn.XLOOKUP(Sales_fact[[#This Row],[Customer_ID]],'Customer_Dim'!A:A,'Customer_Dim'!K:K,"Not Found")</f>
        <v>Platinum</v>
      </c>
      <c r="P1470">
        <f>_xlfn.XLOOKUP(Sales_fact[[#This Row],[Customer_ID]],'Customer_Dim'!A:A, 'Customer_Dim'!E:E, "Not Found")</f>
        <v>56</v>
      </c>
      <c r="Q1470" t="str">
        <f>VLOOKUP(Sales_fact[[#This Row],[Customer_ID]], 'Customer_Dim'!A:F, 6, FALSE)</f>
        <v>Male</v>
      </c>
      <c r="R1470" s="13" t="str">
        <f>_xlfn.XLOOKUP(Sales_fact[[#This Row],[Product_ID]],Product_Dim!A:A,Product_Dim!C:C,"OTHERS")</f>
        <v>Beauty</v>
      </c>
    </row>
    <row r="1471" spans="1:18" x14ac:dyDescent="0.3">
      <c r="A1471" t="s">
        <v>3295</v>
      </c>
      <c r="B1471" s="2">
        <v>45718</v>
      </c>
      <c r="C1471" t="s">
        <v>1124</v>
      </c>
      <c r="D1471" t="s">
        <v>1698</v>
      </c>
      <c r="E1471" t="str">
        <f ca="1">TRIM(Sales_fact[[#This Row],[Store_ID]])</f>
        <v>STORE7</v>
      </c>
      <c r="F1471">
        <v>3</v>
      </c>
      <c r="G1471">
        <f>IF(ISBLANK(F1471),MODE($F$2:$F$2001),F1471)</f>
        <v>3</v>
      </c>
      <c r="H1471">
        <v>582.1</v>
      </c>
      <c r="I1471">
        <f>IF(ISBLANK(H1471),AVERAGE($H$2:$H$2001),H1471)</f>
        <v>582.1</v>
      </c>
      <c r="J1471">
        <v>0.12</v>
      </c>
      <c r="K1471">
        <f>IF(ISBLANK(J1471),MODE($J$2:$J$2001),J1471)</f>
        <v>0.12</v>
      </c>
      <c r="L1471" t="s">
        <v>1826</v>
      </c>
      <c r="M1471">
        <v>1536.7439999999999</v>
      </c>
      <c r="N1471">
        <f t="shared" si="22"/>
        <v>1536.7440000000001</v>
      </c>
      <c r="O1471" t="str">
        <f>_xlfn.XLOOKUP(Sales_fact[[#This Row],[Customer_ID]],'Customer_Dim'!A:A,'Customer_Dim'!K:K,"Not Found")</f>
        <v>Silver</v>
      </c>
      <c r="P1471">
        <f>_xlfn.XLOOKUP(Sales_fact[[#This Row],[Customer_ID]],'Customer_Dim'!A:A, 'Customer_Dim'!E:E, "Not Found")</f>
        <v>32</v>
      </c>
      <c r="Q1471" t="str">
        <f>VLOOKUP(Sales_fact[[#This Row],[Customer_ID]], 'Customer_Dim'!A:F, 6, FALSE)</f>
        <v>Male</v>
      </c>
      <c r="R1471" s="13" t="str">
        <f>_xlfn.XLOOKUP(Sales_fact[[#This Row],[Product_ID]],Product_Dim!A:A,Product_Dim!C:C,"OTHERS")</f>
        <v>Clothing</v>
      </c>
    </row>
    <row r="1472" spans="1:18" x14ac:dyDescent="0.3">
      <c r="A1472" t="s">
        <v>3296</v>
      </c>
      <c r="B1472" s="2">
        <v>45356</v>
      </c>
      <c r="C1472" t="s">
        <v>711</v>
      </c>
      <c r="D1472" t="s">
        <v>1712</v>
      </c>
      <c r="E1472" t="str">
        <f ca="1">TRIM(Sales_fact[[#This Row],[Store_ID]])</f>
        <v>STORE17</v>
      </c>
      <c r="F1472">
        <v>4</v>
      </c>
      <c r="G1472">
        <f>IF(ISBLANK(F1472),MODE($F$2:$F$2001),F1472)</f>
        <v>4</v>
      </c>
      <c r="H1472">
        <v>461.52</v>
      </c>
      <c r="I1472">
        <f>IF(ISBLANK(H1472),AVERAGE($H$2:$H$2001),H1472)</f>
        <v>461.52</v>
      </c>
      <c r="J1472">
        <v>0</v>
      </c>
      <c r="K1472">
        <f>IF(ISBLANK(J1472),MODE($J$2:$J$2001),J1472)</f>
        <v>0</v>
      </c>
      <c r="L1472" t="s">
        <v>1829</v>
      </c>
      <c r="M1472">
        <v>1846.08</v>
      </c>
      <c r="N1472">
        <f t="shared" si="22"/>
        <v>1846.08</v>
      </c>
      <c r="O1472" t="str">
        <f>_xlfn.XLOOKUP(Sales_fact[[#This Row],[Customer_ID]],'Customer_Dim'!A:A,'Customer_Dim'!K:K,"Not Found")</f>
        <v>Gold</v>
      </c>
      <c r="P1472">
        <f>_xlfn.XLOOKUP(Sales_fact[[#This Row],[Customer_ID]],'Customer_Dim'!A:A, 'Customer_Dim'!E:E, "Not Found")</f>
        <v>47</v>
      </c>
      <c r="Q1472" t="str">
        <f>VLOOKUP(Sales_fact[[#This Row],[Customer_ID]], 'Customer_Dim'!A:F, 6, FALSE)</f>
        <v>Female</v>
      </c>
      <c r="R1472" s="13" t="str">
        <f>_xlfn.XLOOKUP(Sales_fact[[#This Row],[Product_ID]],Product_Dim!A:A,Product_Dim!C:C,"OTHERS")</f>
        <v>Sports</v>
      </c>
    </row>
    <row r="1473" spans="1:18" x14ac:dyDescent="0.3">
      <c r="A1473" t="s">
        <v>3297</v>
      </c>
      <c r="B1473" s="2">
        <v>45552</v>
      </c>
      <c r="C1473" t="s">
        <v>1524</v>
      </c>
      <c r="D1473" t="s">
        <v>1580</v>
      </c>
      <c r="E1473" t="str">
        <f ca="1">TRIM(Sales_fact[[#This Row],[Store_ID]])</f>
        <v>STORE11</v>
      </c>
      <c r="F1473">
        <v>1</v>
      </c>
      <c r="G1473">
        <f>IF(ISBLANK(F1473),MODE($F$2:$F$2001),F1473)</f>
        <v>1</v>
      </c>
      <c r="H1473">
        <v>558.41999999999996</v>
      </c>
      <c r="I1473">
        <f>IF(ISBLANK(H1473),AVERAGE($H$2:$H$2001),H1473)</f>
        <v>558.41999999999996</v>
      </c>
      <c r="J1473">
        <v>0.03</v>
      </c>
      <c r="K1473">
        <f>IF(ISBLANK(J1473),MODE($J$2:$J$2001),J1473)</f>
        <v>0.03</v>
      </c>
      <c r="L1473" t="s">
        <v>1824</v>
      </c>
      <c r="M1473">
        <v>541.66739999999993</v>
      </c>
      <c r="N1473">
        <f t="shared" si="22"/>
        <v>541.66739999999993</v>
      </c>
      <c r="O1473" t="str">
        <f>_xlfn.XLOOKUP(Sales_fact[[#This Row],[Customer_ID]],'Customer_Dim'!A:A,'Customer_Dim'!K:K,"Not Found")</f>
        <v>Bronze</v>
      </c>
      <c r="P1473">
        <f>_xlfn.XLOOKUP(Sales_fact[[#This Row],[Customer_ID]],'Customer_Dim'!A:A, 'Customer_Dim'!E:E, "Not Found")</f>
        <v>56</v>
      </c>
      <c r="Q1473" t="str">
        <f>VLOOKUP(Sales_fact[[#This Row],[Customer_ID]], 'Customer_Dim'!A:F, 6, FALSE)</f>
        <v>Male</v>
      </c>
      <c r="R1473" s="13" t="str">
        <f>_xlfn.XLOOKUP(Sales_fact[[#This Row],[Product_ID]],Product_Dim!A:A,Product_Dim!C:C,"OTHERS")</f>
        <v>OTHERS</v>
      </c>
    </row>
    <row r="1474" spans="1:18" x14ac:dyDescent="0.3">
      <c r="A1474" t="s">
        <v>3298</v>
      </c>
      <c r="B1474" s="2">
        <v>45288</v>
      </c>
      <c r="C1474" t="s">
        <v>839</v>
      </c>
      <c r="D1474" t="s">
        <v>1572</v>
      </c>
      <c r="E1474" t="str">
        <f ca="1">TRIM(Sales_fact[[#This Row],[Store_ID]])</f>
        <v>STORE18</v>
      </c>
      <c r="F1474">
        <v>4</v>
      </c>
      <c r="G1474">
        <f>IF(ISBLANK(F1474),MODE($F$2:$F$2001),F1474)</f>
        <v>4</v>
      </c>
      <c r="H1474">
        <v>700.98</v>
      </c>
      <c r="I1474">
        <f>IF(ISBLANK(H1474),AVERAGE($H$2:$H$2001),H1474)</f>
        <v>700.98</v>
      </c>
      <c r="J1474">
        <v>0.12</v>
      </c>
      <c r="K1474">
        <f>IF(ISBLANK(J1474),MODE($J$2:$J$2001),J1474)</f>
        <v>0.12</v>
      </c>
      <c r="L1474" t="s">
        <v>1826</v>
      </c>
      <c r="M1474">
        <v>2467.4495999999999</v>
      </c>
      <c r="N1474">
        <f t="shared" si="22"/>
        <v>2467.4495999999999</v>
      </c>
      <c r="O1474" t="str">
        <f>_xlfn.XLOOKUP(Sales_fact[[#This Row],[Customer_ID]],'Customer_Dim'!A:A,'Customer_Dim'!K:K,"Not Found")</f>
        <v>Bronze</v>
      </c>
      <c r="P1474">
        <f>_xlfn.XLOOKUP(Sales_fact[[#This Row],[Customer_ID]],'Customer_Dim'!A:A, 'Customer_Dim'!E:E, "Not Found")</f>
        <v>50</v>
      </c>
      <c r="Q1474" t="str">
        <f>VLOOKUP(Sales_fact[[#This Row],[Customer_ID]], 'Customer_Dim'!A:F, 6, FALSE)</f>
        <v>Male</v>
      </c>
      <c r="R1474" s="13" t="str">
        <f>_xlfn.XLOOKUP(Sales_fact[[#This Row],[Product_ID]],Product_Dim!A:A,Product_Dim!C:C,"OTHERS")</f>
        <v>Beauty</v>
      </c>
    </row>
    <row r="1475" spans="1:18" x14ac:dyDescent="0.3">
      <c r="A1475" t="s">
        <v>3299</v>
      </c>
      <c r="B1475" s="2">
        <v>45605</v>
      </c>
      <c r="C1475" t="s">
        <v>1260</v>
      </c>
      <c r="D1475" t="s">
        <v>1718</v>
      </c>
      <c r="E1475" t="str">
        <f ca="1">TRIM(Sales_fact[[#This Row],[Store_ID]])</f>
        <v>STORE18</v>
      </c>
      <c r="F1475">
        <v>2</v>
      </c>
      <c r="G1475">
        <f>IF(ISBLANK(F1475),MODE($F$2:$F$2001),F1475)</f>
        <v>2</v>
      </c>
      <c r="H1475">
        <v>227.97</v>
      </c>
      <c r="I1475">
        <f>IF(ISBLANK(H1475),AVERAGE($H$2:$H$2001),H1475)</f>
        <v>227.97</v>
      </c>
      <c r="J1475">
        <v>0.08</v>
      </c>
      <c r="K1475">
        <f>IF(ISBLANK(J1475),MODE($J$2:$J$2001),J1475)</f>
        <v>0.08</v>
      </c>
      <c r="L1475" t="s">
        <v>1829</v>
      </c>
      <c r="M1475">
        <v>419.46480000000003</v>
      </c>
      <c r="N1475">
        <f t="shared" ref="N1475:N1538" si="23">G1475*I1475*(1-K1475)</f>
        <v>419.46480000000003</v>
      </c>
      <c r="O1475" t="str">
        <f>_xlfn.XLOOKUP(Sales_fact[[#This Row],[Customer_ID]],'Customer_Dim'!A:A,'Customer_Dim'!K:K,"Not Found")</f>
        <v>Gold</v>
      </c>
      <c r="P1475">
        <f>_xlfn.XLOOKUP(Sales_fact[[#This Row],[Customer_ID]],'Customer_Dim'!A:A, 'Customer_Dim'!E:E, "Not Found")</f>
        <v>18</v>
      </c>
      <c r="Q1475" t="str">
        <f>VLOOKUP(Sales_fact[[#This Row],[Customer_ID]], 'Customer_Dim'!A:F, 6, FALSE)</f>
        <v>Female</v>
      </c>
      <c r="R1475" s="13" t="str">
        <f>_xlfn.XLOOKUP(Sales_fact[[#This Row],[Product_ID]],Product_Dim!A:A,Product_Dim!C:C,"OTHERS")</f>
        <v>Clothing</v>
      </c>
    </row>
    <row r="1476" spans="1:18" x14ac:dyDescent="0.3">
      <c r="A1476" t="s">
        <v>3300</v>
      </c>
      <c r="B1476" s="2">
        <v>45516</v>
      </c>
      <c r="C1476" t="s">
        <v>1461</v>
      </c>
      <c r="D1476" t="s">
        <v>1626</v>
      </c>
      <c r="E1476" t="str">
        <f ca="1">TRIM(Sales_fact[[#This Row],[Store_ID]])</f>
        <v>STORE11</v>
      </c>
      <c r="F1476">
        <v>4</v>
      </c>
      <c r="G1476">
        <f>IF(ISBLANK(F1476),MODE($F$2:$F$2001),F1476)</f>
        <v>4</v>
      </c>
      <c r="H1476">
        <v>278.70999999999998</v>
      </c>
      <c r="I1476">
        <f>IF(ISBLANK(H1476),AVERAGE($H$2:$H$2001),H1476)</f>
        <v>278.70999999999998</v>
      </c>
      <c r="J1476">
        <v>0.2</v>
      </c>
      <c r="K1476">
        <f>IF(ISBLANK(J1476),MODE($J$2:$J$2001),J1476)</f>
        <v>0.2</v>
      </c>
      <c r="L1476" t="s">
        <v>1826</v>
      </c>
      <c r="M1476">
        <v>891.87199999999996</v>
      </c>
      <c r="N1476">
        <f t="shared" si="23"/>
        <v>891.87199999999996</v>
      </c>
      <c r="O1476" t="str">
        <f>_xlfn.XLOOKUP(Sales_fact[[#This Row],[Customer_ID]],'Customer_Dim'!A:A,'Customer_Dim'!K:K,"Not Found")</f>
        <v>Platinum</v>
      </c>
      <c r="P1476">
        <f>_xlfn.XLOOKUP(Sales_fact[[#This Row],[Customer_ID]],'Customer_Dim'!A:A, 'Customer_Dim'!E:E, "Not Found")</f>
        <v>32</v>
      </c>
      <c r="Q1476" t="str">
        <f>VLOOKUP(Sales_fact[[#This Row],[Customer_ID]], 'Customer_Dim'!A:F, 6, FALSE)</f>
        <v>Female</v>
      </c>
      <c r="R1476" s="13" t="str">
        <f>_xlfn.XLOOKUP(Sales_fact[[#This Row],[Product_ID]],Product_Dim!A:A,Product_Dim!C:C,"OTHERS")</f>
        <v>Electronics</v>
      </c>
    </row>
    <row r="1477" spans="1:18" x14ac:dyDescent="0.3">
      <c r="A1477" t="s">
        <v>3301</v>
      </c>
      <c r="B1477" s="2">
        <v>45379</v>
      </c>
      <c r="C1477" t="s">
        <v>827</v>
      </c>
      <c r="D1477" t="s">
        <v>1746</v>
      </c>
      <c r="E1477" t="str">
        <f ca="1">TRIM(Sales_fact[[#This Row],[Store_ID]])</f>
        <v>STORE8</v>
      </c>
      <c r="F1477">
        <v>2</v>
      </c>
      <c r="G1477">
        <f>IF(ISBLANK(F1477),MODE($F$2:$F$2001),F1477)</f>
        <v>2</v>
      </c>
      <c r="H1477">
        <v>916.12</v>
      </c>
      <c r="I1477">
        <f>IF(ISBLANK(H1477),AVERAGE($H$2:$H$2001),H1477)</f>
        <v>916.12</v>
      </c>
      <c r="J1477">
        <v>0.05</v>
      </c>
      <c r="K1477">
        <f>IF(ISBLANK(J1477),MODE($J$2:$J$2001),J1477)</f>
        <v>0.05</v>
      </c>
      <c r="L1477" t="s">
        <v>1826</v>
      </c>
      <c r="M1477">
        <v>1740.6279999999999</v>
      </c>
      <c r="N1477">
        <f t="shared" si="23"/>
        <v>1740.6279999999999</v>
      </c>
      <c r="O1477" t="str">
        <f>_xlfn.XLOOKUP(Sales_fact[[#This Row],[Customer_ID]],'Customer_Dim'!A:A,'Customer_Dim'!K:K,"Not Found")</f>
        <v>Silver</v>
      </c>
      <c r="P1477">
        <f>_xlfn.XLOOKUP(Sales_fact[[#This Row],[Customer_ID]],'Customer_Dim'!A:A, 'Customer_Dim'!E:E, "Not Found")</f>
        <v>32</v>
      </c>
      <c r="Q1477" t="str">
        <f>VLOOKUP(Sales_fact[[#This Row],[Customer_ID]], 'Customer_Dim'!A:F, 6, FALSE)</f>
        <v>Female</v>
      </c>
      <c r="R1477" s="13" t="str">
        <f>_xlfn.XLOOKUP(Sales_fact[[#This Row],[Product_ID]],Product_Dim!A:A,Product_Dim!C:C,"OTHERS")</f>
        <v>Home</v>
      </c>
    </row>
    <row r="1478" spans="1:18" x14ac:dyDescent="0.3">
      <c r="A1478" t="s">
        <v>3302</v>
      </c>
      <c r="B1478" s="2">
        <v>45567</v>
      </c>
      <c r="C1478" t="s">
        <v>455</v>
      </c>
      <c r="D1478" t="s">
        <v>1568</v>
      </c>
      <c r="E1478" t="str">
        <f ca="1">TRIM(Sales_fact[[#This Row],[Store_ID]])</f>
        <v>STORE12</v>
      </c>
      <c r="F1478">
        <v>4</v>
      </c>
      <c r="G1478">
        <f>IF(ISBLANK(F1478),MODE($F$2:$F$2001),F1478)</f>
        <v>4</v>
      </c>
      <c r="H1478">
        <v>228.98</v>
      </c>
      <c r="I1478">
        <f>IF(ISBLANK(H1478),AVERAGE($H$2:$H$2001),H1478)</f>
        <v>228.98</v>
      </c>
      <c r="J1478">
        <v>0.22</v>
      </c>
      <c r="K1478">
        <f>IF(ISBLANK(J1478),MODE($J$2:$J$2001),J1478)</f>
        <v>0.22</v>
      </c>
      <c r="L1478" t="s">
        <v>1826</v>
      </c>
      <c r="M1478">
        <v>714.41759999999999</v>
      </c>
      <c r="N1478">
        <f t="shared" si="23"/>
        <v>714.41759999999999</v>
      </c>
      <c r="O1478" t="str">
        <f>_xlfn.XLOOKUP(Sales_fact[[#This Row],[Customer_ID]],'Customer_Dim'!A:A,'Customer_Dim'!K:K,"Not Found")</f>
        <v>Bronze</v>
      </c>
      <c r="P1478">
        <f>_xlfn.XLOOKUP(Sales_fact[[#This Row],[Customer_ID]],'Customer_Dim'!A:A, 'Customer_Dim'!E:E, "Not Found")</f>
        <v>62</v>
      </c>
      <c r="Q1478" t="str">
        <f>VLOOKUP(Sales_fact[[#This Row],[Customer_ID]], 'Customer_Dim'!A:F, 6, FALSE)</f>
        <v>Female</v>
      </c>
      <c r="R1478" s="13" t="str">
        <f>_xlfn.XLOOKUP(Sales_fact[[#This Row],[Product_ID]],Product_Dim!A:A,Product_Dim!C:C,"OTHERS")</f>
        <v>Home</v>
      </c>
    </row>
    <row r="1479" spans="1:18" x14ac:dyDescent="0.3">
      <c r="A1479" t="s">
        <v>3303</v>
      </c>
      <c r="B1479" s="2">
        <v>45510</v>
      </c>
      <c r="C1479" t="s">
        <v>752</v>
      </c>
      <c r="D1479" t="s">
        <v>1726</v>
      </c>
      <c r="E1479" t="str">
        <f ca="1">TRIM(Sales_fact[[#This Row],[Store_ID]])</f>
        <v>STORE15</v>
      </c>
      <c r="F1479">
        <v>4</v>
      </c>
      <c r="G1479">
        <f>IF(ISBLANK(F1479),MODE($F$2:$F$2001),F1479)</f>
        <v>4</v>
      </c>
      <c r="H1479">
        <v>904.82</v>
      </c>
      <c r="I1479">
        <f>IF(ISBLANK(H1479),AVERAGE($H$2:$H$2001),H1479)</f>
        <v>904.82</v>
      </c>
      <c r="J1479">
        <v>0.09</v>
      </c>
      <c r="K1479">
        <f>IF(ISBLANK(J1479),MODE($J$2:$J$2001),J1479)</f>
        <v>0.09</v>
      </c>
      <c r="L1479" t="s">
        <v>1826</v>
      </c>
      <c r="M1479">
        <v>3293.5448000000001</v>
      </c>
      <c r="N1479">
        <f t="shared" si="23"/>
        <v>3293.5448000000001</v>
      </c>
      <c r="O1479" t="str">
        <f>_xlfn.XLOOKUP(Sales_fact[[#This Row],[Customer_ID]],'Customer_Dim'!A:A,'Customer_Dim'!K:K,"Not Found")</f>
        <v>Gold</v>
      </c>
      <c r="P1479">
        <f>_xlfn.XLOOKUP(Sales_fact[[#This Row],[Customer_ID]],'Customer_Dim'!A:A, 'Customer_Dim'!E:E, "Not Found")</f>
        <v>43</v>
      </c>
      <c r="Q1479" t="str">
        <f>VLOOKUP(Sales_fact[[#This Row],[Customer_ID]], 'Customer_Dim'!A:F, 6, FALSE)</f>
        <v>Female</v>
      </c>
      <c r="R1479" s="13" t="str">
        <f>_xlfn.XLOOKUP(Sales_fact[[#This Row],[Product_ID]],Product_Dim!A:A,Product_Dim!C:C,"OTHERS")</f>
        <v>Beauty</v>
      </c>
    </row>
    <row r="1480" spans="1:18" x14ac:dyDescent="0.3">
      <c r="A1480" t="s">
        <v>3304</v>
      </c>
      <c r="B1480" s="2">
        <v>45806</v>
      </c>
      <c r="C1480" t="s">
        <v>295</v>
      </c>
      <c r="D1480" t="s">
        <v>1594</v>
      </c>
      <c r="E1480" t="str">
        <f ca="1">TRIM(Sales_fact[[#This Row],[Store_ID]])</f>
        <v>STORE11</v>
      </c>
      <c r="F1480">
        <v>1</v>
      </c>
      <c r="G1480">
        <f>IF(ISBLANK(F1480),MODE($F$2:$F$2001),F1480)</f>
        <v>1</v>
      </c>
      <c r="H1480">
        <v>588.61</v>
      </c>
      <c r="I1480">
        <f>IF(ISBLANK(H1480),AVERAGE($H$2:$H$2001),H1480)</f>
        <v>588.61</v>
      </c>
      <c r="J1480">
        <v>0.1</v>
      </c>
      <c r="K1480">
        <f>IF(ISBLANK(J1480),MODE($J$2:$J$2001),J1480)</f>
        <v>0.1</v>
      </c>
      <c r="L1480" t="s">
        <v>1826</v>
      </c>
      <c r="M1480">
        <v>529.74900000000002</v>
      </c>
      <c r="N1480">
        <f t="shared" si="23"/>
        <v>529.74900000000002</v>
      </c>
      <c r="O1480" t="str">
        <f>_xlfn.XLOOKUP(Sales_fact[[#This Row],[Customer_ID]],'Customer_Dim'!A:A,'Customer_Dim'!K:K,"Not Found")</f>
        <v>Platinum</v>
      </c>
      <c r="P1480">
        <f>_xlfn.XLOOKUP(Sales_fact[[#This Row],[Customer_ID]],'Customer_Dim'!A:A, 'Customer_Dim'!E:E, "Not Found")</f>
        <v>34</v>
      </c>
      <c r="Q1480" t="str">
        <f>VLOOKUP(Sales_fact[[#This Row],[Customer_ID]], 'Customer_Dim'!A:F, 6, FALSE)</f>
        <v>Female</v>
      </c>
      <c r="R1480" s="13" t="str">
        <f>_xlfn.XLOOKUP(Sales_fact[[#This Row],[Product_ID]],Product_Dim!A:A,Product_Dim!C:C,"OTHERS")</f>
        <v>Clothing</v>
      </c>
    </row>
    <row r="1481" spans="1:18" x14ac:dyDescent="0.3">
      <c r="A1481" t="s">
        <v>3305</v>
      </c>
      <c r="B1481" s="2">
        <v>45240</v>
      </c>
      <c r="C1481" t="s">
        <v>396</v>
      </c>
      <c r="D1481" t="s">
        <v>1614</v>
      </c>
      <c r="E1481" t="str">
        <f ca="1">TRIM(Sales_fact[[#This Row],[Store_ID]])</f>
        <v>STORE3</v>
      </c>
      <c r="F1481">
        <v>4</v>
      </c>
      <c r="G1481">
        <f>IF(ISBLANK(F1481),MODE($F$2:$F$2001),F1481)</f>
        <v>4</v>
      </c>
      <c r="H1481">
        <v>695.97</v>
      </c>
      <c r="I1481">
        <f>IF(ISBLANK(H1481),AVERAGE($H$2:$H$2001),H1481)</f>
        <v>695.97</v>
      </c>
      <c r="J1481">
        <v>0.02</v>
      </c>
      <c r="K1481">
        <f>IF(ISBLANK(J1481),MODE($J$2:$J$2001),J1481)</f>
        <v>0.02</v>
      </c>
      <c r="L1481" t="s">
        <v>1824</v>
      </c>
      <c r="M1481">
        <v>2728.2024000000001</v>
      </c>
      <c r="N1481">
        <f t="shared" si="23"/>
        <v>2728.2024000000001</v>
      </c>
      <c r="O1481" t="str">
        <f>_xlfn.XLOOKUP(Sales_fact[[#This Row],[Customer_ID]],'Customer_Dim'!A:A,'Customer_Dim'!K:K,"Not Found")</f>
        <v>Gold</v>
      </c>
      <c r="P1481">
        <f>_xlfn.XLOOKUP(Sales_fact[[#This Row],[Customer_ID]],'Customer_Dim'!A:A, 'Customer_Dim'!E:E, "Not Found")</f>
        <v>51</v>
      </c>
      <c r="Q1481" t="str">
        <f>VLOOKUP(Sales_fact[[#This Row],[Customer_ID]], 'Customer_Dim'!A:F, 6, FALSE)</f>
        <v>Male</v>
      </c>
      <c r="R1481" s="13" t="str">
        <f>_xlfn.XLOOKUP(Sales_fact[[#This Row],[Product_ID]],Product_Dim!A:A,Product_Dim!C:C,"OTHERS")</f>
        <v>Home</v>
      </c>
    </row>
    <row r="1482" spans="1:18" x14ac:dyDescent="0.3">
      <c r="A1482" t="s">
        <v>3306</v>
      </c>
      <c r="B1482" s="2">
        <v>45309</v>
      </c>
      <c r="C1482" t="s">
        <v>951</v>
      </c>
      <c r="D1482" t="s">
        <v>1742</v>
      </c>
      <c r="E1482" t="str">
        <f ca="1">TRIM(Sales_fact[[#This Row],[Store_ID]])</f>
        <v>STORE11</v>
      </c>
      <c r="F1482">
        <v>2</v>
      </c>
      <c r="G1482">
        <f>IF(ISBLANK(F1482),MODE($F$2:$F$2001),F1482)</f>
        <v>2</v>
      </c>
      <c r="H1482">
        <v>181.42</v>
      </c>
      <c r="I1482">
        <f>IF(ISBLANK(H1482),AVERAGE($H$2:$H$2001),H1482)</f>
        <v>181.42</v>
      </c>
      <c r="J1482">
        <v>0.08</v>
      </c>
      <c r="K1482">
        <f>IF(ISBLANK(J1482),MODE($J$2:$J$2001),J1482)</f>
        <v>0.08</v>
      </c>
      <c r="L1482" t="s">
        <v>1826</v>
      </c>
      <c r="M1482">
        <v>333.81279999999998</v>
      </c>
      <c r="N1482">
        <f t="shared" si="23"/>
        <v>333.81279999999998</v>
      </c>
      <c r="O1482" t="str">
        <f>_xlfn.XLOOKUP(Sales_fact[[#This Row],[Customer_ID]],'Customer_Dim'!A:A,'Customer_Dim'!K:K,"Not Found")</f>
        <v>Gold</v>
      </c>
      <c r="P1482">
        <f>_xlfn.XLOOKUP(Sales_fact[[#This Row],[Customer_ID]],'Customer_Dim'!A:A, 'Customer_Dim'!E:E, "Not Found")</f>
        <v>50</v>
      </c>
      <c r="Q1482" t="str">
        <f>VLOOKUP(Sales_fact[[#This Row],[Customer_ID]], 'Customer_Dim'!A:F, 6, FALSE)</f>
        <v>Male</v>
      </c>
      <c r="R1482" s="13" t="str">
        <f>_xlfn.XLOOKUP(Sales_fact[[#This Row],[Product_ID]],Product_Dim!A:A,Product_Dim!C:C,"OTHERS")</f>
        <v>Sports</v>
      </c>
    </row>
    <row r="1483" spans="1:18" x14ac:dyDescent="0.3">
      <c r="A1483" t="s">
        <v>3307</v>
      </c>
      <c r="B1483" s="2">
        <v>45375</v>
      </c>
      <c r="C1483" t="s">
        <v>100</v>
      </c>
      <c r="D1483" t="s">
        <v>1742</v>
      </c>
      <c r="E1483" t="str">
        <f ca="1">TRIM(Sales_fact[[#This Row],[Store_ID]])</f>
        <v>STORE13</v>
      </c>
      <c r="F1483">
        <v>1</v>
      </c>
      <c r="G1483">
        <f>IF(ISBLANK(F1483),MODE($F$2:$F$2001),F1483)</f>
        <v>1</v>
      </c>
      <c r="H1483">
        <v>439.55</v>
      </c>
      <c r="I1483">
        <f>IF(ISBLANK(H1483),AVERAGE($H$2:$H$2001),H1483)</f>
        <v>439.55</v>
      </c>
      <c r="J1483">
        <v>0.28999999999999998</v>
      </c>
      <c r="K1483">
        <f>IF(ISBLANK(J1483),MODE($J$2:$J$2001),J1483)</f>
        <v>0.28999999999999998</v>
      </c>
      <c r="L1483" t="s">
        <v>1829</v>
      </c>
      <c r="M1483">
        <v>312.08049999999997</v>
      </c>
      <c r="N1483">
        <f t="shared" si="23"/>
        <v>312.08049999999997</v>
      </c>
      <c r="O1483" t="str">
        <f>_xlfn.XLOOKUP(Sales_fact[[#This Row],[Customer_ID]],'Customer_Dim'!A:A,'Customer_Dim'!K:K,"Not Found")</f>
        <v>Silver</v>
      </c>
      <c r="P1483">
        <f>_xlfn.XLOOKUP(Sales_fact[[#This Row],[Customer_ID]],'Customer_Dim'!A:A, 'Customer_Dim'!E:E, "Not Found")</f>
        <v>52</v>
      </c>
      <c r="Q1483" t="str">
        <f>VLOOKUP(Sales_fact[[#This Row],[Customer_ID]], 'Customer_Dim'!A:F, 6, FALSE)</f>
        <v>Female</v>
      </c>
      <c r="R1483" s="13" t="str">
        <f>_xlfn.XLOOKUP(Sales_fact[[#This Row],[Product_ID]],Product_Dim!A:A,Product_Dim!C:C,"OTHERS")</f>
        <v>Sports</v>
      </c>
    </row>
    <row r="1484" spans="1:18" x14ac:dyDescent="0.3">
      <c r="A1484" t="s">
        <v>3308</v>
      </c>
      <c r="B1484" s="2">
        <v>45733</v>
      </c>
      <c r="C1484" t="s">
        <v>399</v>
      </c>
      <c r="D1484" t="s">
        <v>1658</v>
      </c>
      <c r="E1484" t="str">
        <f ca="1">TRIM(Sales_fact[[#This Row],[Store_ID]])</f>
        <v>STORE18</v>
      </c>
      <c r="F1484">
        <v>3</v>
      </c>
      <c r="G1484">
        <f>IF(ISBLANK(F1484),MODE($F$2:$F$2001),F1484)</f>
        <v>3</v>
      </c>
      <c r="H1484">
        <v>471.27</v>
      </c>
      <c r="I1484">
        <f>IF(ISBLANK(H1484),AVERAGE($H$2:$H$2001),H1484)</f>
        <v>471.27</v>
      </c>
      <c r="J1484">
        <v>0.27</v>
      </c>
      <c r="K1484">
        <f>IF(ISBLANK(J1484),MODE($J$2:$J$2001),J1484)</f>
        <v>0.27</v>
      </c>
      <c r="L1484" t="s">
        <v>1829</v>
      </c>
      <c r="M1484">
        <v>1032.0813000000001</v>
      </c>
      <c r="N1484">
        <f t="shared" si="23"/>
        <v>1032.0812999999998</v>
      </c>
      <c r="O1484" t="str">
        <f>_xlfn.XLOOKUP(Sales_fact[[#This Row],[Customer_ID]],'Customer_Dim'!A:A,'Customer_Dim'!K:K,"Not Found")</f>
        <v>Bronze</v>
      </c>
      <c r="P1484">
        <f>_xlfn.XLOOKUP(Sales_fact[[#This Row],[Customer_ID]],'Customer_Dim'!A:A, 'Customer_Dim'!E:E, "Not Found")</f>
        <v>30</v>
      </c>
      <c r="Q1484" t="str">
        <f>VLOOKUP(Sales_fact[[#This Row],[Customer_ID]], 'Customer_Dim'!A:F, 6, FALSE)</f>
        <v>Male</v>
      </c>
      <c r="R1484" s="13" t="str">
        <f>_xlfn.XLOOKUP(Sales_fact[[#This Row],[Product_ID]],Product_Dim!A:A,Product_Dim!C:C,"OTHERS")</f>
        <v>Home</v>
      </c>
    </row>
    <row r="1485" spans="1:18" x14ac:dyDescent="0.3">
      <c r="A1485" t="s">
        <v>3309</v>
      </c>
      <c r="B1485" s="2">
        <v>45435</v>
      </c>
      <c r="C1485" t="s">
        <v>172</v>
      </c>
      <c r="D1485" t="s">
        <v>1666</v>
      </c>
      <c r="E1485" t="str">
        <f ca="1">TRIM(Sales_fact[[#This Row],[Store_ID]])</f>
        <v>STORE12</v>
      </c>
      <c r="F1485">
        <v>1</v>
      </c>
      <c r="G1485">
        <f>IF(ISBLANK(F1485),MODE($F$2:$F$2001),F1485)</f>
        <v>1</v>
      </c>
      <c r="H1485">
        <v>758.89</v>
      </c>
      <c r="I1485">
        <f>IF(ISBLANK(H1485),AVERAGE($H$2:$H$2001),H1485)</f>
        <v>758.89</v>
      </c>
      <c r="J1485">
        <v>0.1</v>
      </c>
      <c r="K1485">
        <f>IF(ISBLANK(J1485),MODE($J$2:$J$2001),J1485)</f>
        <v>0.1</v>
      </c>
      <c r="L1485" t="s">
        <v>1824</v>
      </c>
      <c r="M1485">
        <v>683.00099999999998</v>
      </c>
      <c r="N1485">
        <f t="shared" si="23"/>
        <v>683.00099999999998</v>
      </c>
      <c r="O1485" t="str">
        <f>_xlfn.XLOOKUP(Sales_fact[[#This Row],[Customer_ID]],'Customer_Dim'!A:A,'Customer_Dim'!K:K,"Not Found")</f>
        <v>Bronze</v>
      </c>
      <c r="P1485">
        <f>_xlfn.XLOOKUP(Sales_fact[[#This Row],[Customer_ID]],'Customer_Dim'!A:A, 'Customer_Dim'!E:E, "Not Found")</f>
        <v>34</v>
      </c>
      <c r="Q1485" t="str">
        <f>VLOOKUP(Sales_fact[[#This Row],[Customer_ID]], 'Customer_Dim'!A:F, 6, FALSE)</f>
        <v>Male</v>
      </c>
      <c r="R1485" s="13" t="str">
        <f>_xlfn.XLOOKUP(Sales_fact[[#This Row],[Product_ID]],Product_Dim!A:A,Product_Dim!C:C,"OTHERS")</f>
        <v>Beauty</v>
      </c>
    </row>
    <row r="1486" spans="1:18" x14ac:dyDescent="0.3">
      <c r="A1486" t="s">
        <v>3310</v>
      </c>
      <c r="B1486" s="2">
        <v>45864</v>
      </c>
      <c r="C1486" t="s">
        <v>1492</v>
      </c>
      <c r="D1486" t="s">
        <v>1738</v>
      </c>
      <c r="E1486" t="str">
        <f ca="1">TRIM(Sales_fact[[#This Row],[Store_ID]])</f>
        <v>STORE15</v>
      </c>
      <c r="F1486">
        <v>4</v>
      </c>
      <c r="G1486">
        <f>IF(ISBLANK(F1486),MODE($F$2:$F$2001),F1486)</f>
        <v>4</v>
      </c>
      <c r="H1486">
        <v>918.1</v>
      </c>
      <c r="I1486">
        <f>IF(ISBLANK(H1486),AVERAGE($H$2:$H$2001),H1486)</f>
        <v>918.1</v>
      </c>
      <c r="J1486">
        <v>0.19</v>
      </c>
      <c r="K1486">
        <f>IF(ISBLANK(J1486),MODE($J$2:$J$2001),J1486)</f>
        <v>0.19</v>
      </c>
      <c r="L1486" t="s">
        <v>1829</v>
      </c>
      <c r="M1486">
        <v>2974.6439999999998</v>
      </c>
      <c r="N1486">
        <f t="shared" si="23"/>
        <v>2974.6440000000002</v>
      </c>
      <c r="O1486" t="str">
        <f>_xlfn.XLOOKUP(Sales_fact[[#This Row],[Customer_ID]],'Customer_Dim'!A:A,'Customer_Dim'!K:K,"Not Found")</f>
        <v>Bronze</v>
      </c>
      <c r="P1486">
        <f>_xlfn.XLOOKUP(Sales_fact[[#This Row],[Customer_ID]],'Customer_Dim'!A:A, 'Customer_Dim'!E:E, "Not Found")</f>
        <v>46</v>
      </c>
      <c r="Q1486" t="str">
        <f>VLOOKUP(Sales_fact[[#This Row],[Customer_ID]], 'Customer_Dim'!A:F, 6, FALSE)</f>
        <v>Female</v>
      </c>
      <c r="R1486" s="13" t="str">
        <f>_xlfn.XLOOKUP(Sales_fact[[#This Row],[Product_ID]],Product_Dim!A:A,Product_Dim!C:C,"OTHERS")</f>
        <v>Sports</v>
      </c>
    </row>
    <row r="1487" spans="1:18" x14ac:dyDescent="0.3">
      <c r="A1487" t="s">
        <v>3311</v>
      </c>
      <c r="B1487" s="2">
        <v>45569</v>
      </c>
      <c r="C1487" t="s">
        <v>827</v>
      </c>
      <c r="D1487" t="s">
        <v>1736</v>
      </c>
      <c r="E1487" t="str">
        <f ca="1">TRIM(Sales_fact[[#This Row],[Store_ID]])</f>
        <v>STORE11</v>
      </c>
      <c r="F1487">
        <v>1</v>
      </c>
      <c r="G1487">
        <f>IF(ISBLANK(F1487),MODE($F$2:$F$2001),F1487)</f>
        <v>1</v>
      </c>
      <c r="H1487">
        <v>861.5</v>
      </c>
      <c r="I1487">
        <f>IF(ISBLANK(H1487),AVERAGE($H$2:$H$2001),H1487)</f>
        <v>861.5</v>
      </c>
      <c r="J1487">
        <v>0.05</v>
      </c>
      <c r="K1487">
        <f>IF(ISBLANK(J1487),MODE($J$2:$J$2001),J1487)</f>
        <v>0.05</v>
      </c>
      <c r="L1487" t="s">
        <v>1829</v>
      </c>
      <c r="M1487">
        <v>818.42499999999995</v>
      </c>
      <c r="N1487">
        <f t="shared" si="23"/>
        <v>818.42499999999995</v>
      </c>
      <c r="O1487" t="str">
        <f>_xlfn.XLOOKUP(Sales_fact[[#This Row],[Customer_ID]],'Customer_Dim'!A:A,'Customer_Dim'!K:K,"Not Found")</f>
        <v>Silver</v>
      </c>
      <c r="P1487">
        <f>_xlfn.XLOOKUP(Sales_fact[[#This Row],[Customer_ID]],'Customer_Dim'!A:A, 'Customer_Dim'!E:E, "Not Found")</f>
        <v>32</v>
      </c>
      <c r="Q1487" t="str">
        <f>VLOOKUP(Sales_fact[[#This Row],[Customer_ID]], 'Customer_Dim'!A:F, 6, FALSE)</f>
        <v>Female</v>
      </c>
      <c r="R1487" s="13" t="str">
        <f>_xlfn.XLOOKUP(Sales_fact[[#This Row],[Product_ID]],Product_Dim!A:A,Product_Dim!C:C,"OTHERS")</f>
        <v>Beauty</v>
      </c>
    </row>
    <row r="1488" spans="1:18" x14ac:dyDescent="0.3">
      <c r="A1488" t="s">
        <v>3312</v>
      </c>
      <c r="B1488" s="2">
        <v>45664</v>
      </c>
      <c r="C1488" t="s">
        <v>1425</v>
      </c>
      <c r="D1488" t="s">
        <v>1592</v>
      </c>
      <c r="E1488" t="str">
        <f ca="1">TRIM(Sales_fact[[#This Row],[Store_ID]])</f>
        <v>STORE14</v>
      </c>
      <c r="F1488">
        <v>1</v>
      </c>
      <c r="G1488">
        <f>IF(ISBLANK(F1488),MODE($F$2:$F$2001),F1488)</f>
        <v>1</v>
      </c>
      <c r="H1488">
        <v>588.29999999999995</v>
      </c>
      <c r="I1488">
        <f>IF(ISBLANK(H1488),AVERAGE($H$2:$H$2001),H1488)</f>
        <v>588.29999999999995</v>
      </c>
      <c r="J1488">
        <v>0.26</v>
      </c>
      <c r="K1488">
        <f>IF(ISBLANK(J1488),MODE($J$2:$J$2001),J1488)</f>
        <v>0.26</v>
      </c>
      <c r="L1488" t="s">
        <v>1829</v>
      </c>
      <c r="M1488">
        <v>435.34199999999998</v>
      </c>
      <c r="N1488">
        <f t="shared" si="23"/>
        <v>435.34199999999998</v>
      </c>
      <c r="O1488" t="str">
        <f>_xlfn.XLOOKUP(Sales_fact[[#This Row],[Customer_ID]],'Customer_Dim'!A:A,'Customer_Dim'!K:K,"Not Found")</f>
        <v>Silver</v>
      </c>
      <c r="P1488">
        <f>_xlfn.XLOOKUP(Sales_fact[[#This Row],[Customer_ID]],'Customer_Dim'!A:A, 'Customer_Dim'!E:E, "Not Found")</f>
        <v>34</v>
      </c>
      <c r="Q1488" t="str">
        <f>VLOOKUP(Sales_fact[[#This Row],[Customer_ID]], 'Customer_Dim'!A:F, 6, FALSE)</f>
        <v>Female</v>
      </c>
      <c r="R1488" s="13" t="str">
        <f>_xlfn.XLOOKUP(Sales_fact[[#This Row],[Product_ID]],Product_Dim!A:A,Product_Dim!C:C,"OTHERS")</f>
        <v>Sports</v>
      </c>
    </row>
    <row r="1489" spans="1:18" x14ac:dyDescent="0.3">
      <c r="A1489" t="s">
        <v>3313</v>
      </c>
      <c r="B1489" s="2">
        <v>45645</v>
      </c>
      <c r="C1489" t="s">
        <v>1425</v>
      </c>
      <c r="D1489" t="s">
        <v>1658</v>
      </c>
      <c r="E1489" t="str">
        <f ca="1">TRIM(Sales_fact[[#This Row],[Store_ID]])</f>
        <v>STORE7</v>
      </c>
      <c r="F1489">
        <v>1</v>
      </c>
      <c r="G1489">
        <f>IF(ISBLANK(F1489),MODE($F$2:$F$2001),F1489)</f>
        <v>1</v>
      </c>
      <c r="H1489">
        <v>917.26</v>
      </c>
      <c r="I1489">
        <f>IF(ISBLANK(H1489),AVERAGE($H$2:$H$2001),H1489)</f>
        <v>917.26</v>
      </c>
      <c r="J1489">
        <v>0.05</v>
      </c>
      <c r="K1489">
        <f>IF(ISBLANK(J1489),MODE($J$2:$J$2001),J1489)</f>
        <v>0.05</v>
      </c>
      <c r="L1489" t="s">
        <v>1826</v>
      </c>
      <c r="M1489">
        <v>871.39699999999993</v>
      </c>
      <c r="N1489">
        <f t="shared" si="23"/>
        <v>871.39699999999993</v>
      </c>
      <c r="O1489" t="str">
        <f>_xlfn.XLOOKUP(Sales_fact[[#This Row],[Customer_ID]],'Customer_Dim'!A:A,'Customer_Dim'!K:K,"Not Found")</f>
        <v>Silver</v>
      </c>
      <c r="P1489">
        <f>_xlfn.XLOOKUP(Sales_fact[[#This Row],[Customer_ID]],'Customer_Dim'!A:A, 'Customer_Dim'!E:E, "Not Found")</f>
        <v>34</v>
      </c>
      <c r="Q1489" t="str">
        <f>VLOOKUP(Sales_fact[[#This Row],[Customer_ID]], 'Customer_Dim'!A:F, 6, FALSE)</f>
        <v>Female</v>
      </c>
      <c r="R1489" s="13" t="str">
        <f>_xlfn.XLOOKUP(Sales_fact[[#This Row],[Product_ID]],Product_Dim!A:A,Product_Dim!C:C,"OTHERS")</f>
        <v>Home</v>
      </c>
    </row>
    <row r="1490" spans="1:18" x14ac:dyDescent="0.3">
      <c r="A1490" t="s">
        <v>3314</v>
      </c>
      <c r="B1490" s="2">
        <v>45449</v>
      </c>
      <c r="C1490" t="s">
        <v>749</v>
      </c>
      <c r="D1490" t="s">
        <v>1557</v>
      </c>
      <c r="E1490" t="str">
        <f ca="1">TRIM(Sales_fact[[#This Row],[Store_ID]])</f>
        <v>STORE18</v>
      </c>
      <c r="F1490">
        <v>4</v>
      </c>
      <c r="G1490">
        <f>IF(ISBLANK(F1490),MODE($F$2:$F$2001),F1490)</f>
        <v>4</v>
      </c>
      <c r="H1490">
        <v>96.78</v>
      </c>
      <c r="I1490">
        <f>IF(ISBLANK(H1490),AVERAGE($H$2:$H$2001),H1490)</f>
        <v>96.78</v>
      </c>
      <c r="J1490">
        <v>0.11</v>
      </c>
      <c r="K1490">
        <f>IF(ISBLANK(J1490),MODE($J$2:$J$2001),J1490)</f>
        <v>0.11</v>
      </c>
      <c r="L1490" t="s">
        <v>1826</v>
      </c>
      <c r="M1490">
        <v>344.53680000000003</v>
      </c>
      <c r="N1490">
        <f t="shared" si="23"/>
        <v>344.53680000000003</v>
      </c>
      <c r="O1490" t="str">
        <f>_xlfn.XLOOKUP(Sales_fact[[#This Row],[Customer_ID]],'Customer_Dim'!A:A,'Customer_Dim'!K:K,"Not Found")</f>
        <v>Silver</v>
      </c>
      <c r="P1490">
        <f>_xlfn.XLOOKUP(Sales_fact[[#This Row],[Customer_ID]],'Customer_Dim'!A:A, 'Customer_Dim'!E:E, "Not Found")</f>
        <v>59</v>
      </c>
      <c r="Q1490" t="str">
        <f>VLOOKUP(Sales_fact[[#This Row],[Customer_ID]], 'Customer_Dim'!A:F, 6, FALSE)</f>
        <v>Male</v>
      </c>
      <c r="R1490" s="13" t="str">
        <f>_xlfn.XLOOKUP(Sales_fact[[#This Row],[Product_ID]],Product_Dim!A:A,Product_Dim!C:C,"OTHERS")</f>
        <v>Beauty</v>
      </c>
    </row>
    <row r="1491" spans="1:18" x14ac:dyDescent="0.3">
      <c r="A1491" t="s">
        <v>3315</v>
      </c>
      <c r="B1491" s="2">
        <v>45629</v>
      </c>
      <c r="C1491" t="s">
        <v>1472</v>
      </c>
      <c r="D1491" t="s">
        <v>1604</v>
      </c>
      <c r="E1491" t="str">
        <f ca="1">TRIM(Sales_fact[[#This Row],[Store_ID]])</f>
        <v>STORE4</v>
      </c>
      <c r="F1491">
        <v>3</v>
      </c>
      <c r="G1491">
        <f>IF(ISBLANK(F1491),MODE($F$2:$F$2001),F1491)</f>
        <v>3</v>
      </c>
      <c r="H1491">
        <v>199.41</v>
      </c>
      <c r="I1491">
        <f>IF(ISBLANK(H1491),AVERAGE($H$2:$H$2001),H1491)</f>
        <v>199.41</v>
      </c>
      <c r="J1491">
        <v>0.16</v>
      </c>
      <c r="K1491">
        <f>IF(ISBLANK(J1491),MODE($J$2:$J$2001),J1491)</f>
        <v>0.16</v>
      </c>
      <c r="L1491" t="s">
        <v>1829</v>
      </c>
      <c r="M1491">
        <v>502.51319999999998</v>
      </c>
      <c r="N1491">
        <f t="shared" si="23"/>
        <v>502.51319999999998</v>
      </c>
      <c r="O1491" t="str">
        <f>_xlfn.XLOOKUP(Sales_fact[[#This Row],[Customer_ID]],'Customer_Dim'!A:A,'Customer_Dim'!K:K,"Not Found")</f>
        <v>Gold</v>
      </c>
      <c r="P1491">
        <f>_xlfn.XLOOKUP(Sales_fact[[#This Row],[Customer_ID]],'Customer_Dim'!A:A, 'Customer_Dim'!E:E, "Not Found")</f>
        <v>59</v>
      </c>
      <c r="Q1491" t="str">
        <f>VLOOKUP(Sales_fact[[#This Row],[Customer_ID]], 'Customer_Dim'!A:F, 6, FALSE)</f>
        <v>Male</v>
      </c>
      <c r="R1491" s="13" t="str">
        <f>_xlfn.XLOOKUP(Sales_fact[[#This Row],[Product_ID]],Product_Dim!A:A,Product_Dim!C:C,"OTHERS")</f>
        <v>Sports</v>
      </c>
    </row>
    <row r="1492" spans="1:18" x14ac:dyDescent="0.3">
      <c r="A1492" t="s">
        <v>3316</v>
      </c>
      <c r="B1492" s="2">
        <v>45739</v>
      </c>
      <c r="C1492" t="s">
        <v>85</v>
      </c>
      <c r="D1492" t="s">
        <v>1656</v>
      </c>
      <c r="E1492" t="str">
        <f ca="1">TRIM(Sales_fact[[#This Row],[Store_ID]])</f>
        <v>STORE9</v>
      </c>
      <c r="F1492">
        <v>1</v>
      </c>
      <c r="G1492">
        <f>IF(ISBLANK(F1492),MODE($F$2:$F$2001),F1492)</f>
        <v>1</v>
      </c>
      <c r="H1492">
        <v>687.91</v>
      </c>
      <c r="I1492">
        <f>IF(ISBLANK(H1492),AVERAGE($H$2:$H$2001),H1492)</f>
        <v>687.91</v>
      </c>
      <c r="J1492">
        <v>0.25</v>
      </c>
      <c r="K1492">
        <f>IF(ISBLANK(J1492),MODE($J$2:$J$2001),J1492)</f>
        <v>0.25</v>
      </c>
      <c r="L1492" t="s">
        <v>1824</v>
      </c>
      <c r="M1492">
        <v>515.9325</v>
      </c>
      <c r="N1492">
        <f t="shared" si="23"/>
        <v>515.9325</v>
      </c>
      <c r="O1492" t="str">
        <f>_xlfn.XLOOKUP(Sales_fact[[#This Row],[Customer_ID]],'Customer_Dim'!A:A,'Customer_Dim'!K:K,"Not Found")</f>
        <v>Platinum</v>
      </c>
      <c r="P1492">
        <f>_xlfn.XLOOKUP(Sales_fact[[#This Row],[Customer_ID]],'Customer_Dim'!A:A, 'Customer_Dim'!E:E, "Not Found")</f>
        <v>46</v>
      </c>
      <c r="Q1492" t="str">
        <f>VLOOKUP(Sales_fact[[#This Row],[Customer_ID]], 'Customer_Dim'!A:F, 6, FALSE)</f>
        <v>Female</v>
      </c>
      <c r="R1492" s="13" t="str">
        <f>_xlfn.XLOOKUP(Sales_fact[[#This Row],[Product_ID]],Product_Dim!A:A,Product_Dim!C:C,"OTHERS")</f>
        <v>Sports</v>
      </c>
    </row>
    <row r="1493" spans="1:18" x14ac:dyDescent="0.3">
      <c r="A1493" t="s">
        <v>3317</v>
      </c>
      <c r="B1493" s="2">
        <v>45849</v>
      </c>
      <c r="C1493" t="s">
        <v>153</v>
      </c>
      <c r="D1493" t="s">
        <v>1690</v>
      </c>
      <c r="E1493" t="str">
        <f ca="1">TRIM(Sales_fact[[#This Row],[Store_ID]])</f>
        <v>STORE2</v>
      </c>
      <c r="F1493">
        <v>3</v>
      </c>
      <c r="G1493">
        <f>IF(ISBLANK(F1493),MODE($F$2:$F$2001),F1493)</f>
        <v>3</v>
      </c>
      <c r="H1493">
        <v>769.62</v>
      </c>
      <c r="I1493">
        <f>IF(ISBLANK(H1493),AVERAGE($H$2:$H$2001),H1493)</f>
        <v>769.62</v>
      </c>
      <c r="J1493">
        <v>0.09</v>
      </c>
      <c r="K1493">
        <f>IF(ISBLANK(J1493),MODE($J$2:$J$2001),J1493)</f>
        <v>0.09</v>
      </c>
      <c r="L1493" t="s">
        <v>1826</v>
      </c>
      <c r="M1493">
        <v>2101.0626000000002</v>
      </c>
      <c r="N1493">
        <f t="shared" si="23"/>
        <v>2101.0626000000002</v>
      </c>
      <c r="O1493" t="str">
        <f>_xlfn.XLOOKUP(Sales_fact[[#This Row],[Customer_ID]],'Customer_Dim'!A:A,'Customer_Dim'!K:K,"Not Found")</f>
        <v>Gold</v>
      </c>
      <c r="P1493">
        <f>_xlfn.XLOOKUP(Sales_fact[[#This Row],[Customer_ID]],'Customer_Dim'!A:A, 'Customer_Dim'!E:E, "Not Found")</f>
        <v>55</v>
      </c>
      <c r="Q1493" t="str">
        <f>VLOOKUP(Sales_fact[[#This Row],[Customer_ID]], 'Customer_Dim'!A:F, 6, FALSE)</f>
        <v>Female</v>
      </c>
      <c r="R1493" s="13" t="str">
        <f>_xlfn.XLOOKUP(Sales_fact[[#This Row],[Product_ID]],Product_Dim!A:A,Product_Dim!C:C,"OTHERS")</f>
        <v>Beauty</v>
      </c>
    </row>
    <row r="1494" spans="1:18" x14ac:dyDescent="0.3">
      <c r="A1494" t="s">
        <v>3318</v>
      </c>
      <c r="B1494" s="2">
        <v>45230</v>
      </c>
      <c r="C1494" t="s">
        <v>713</v>
      </c>
      <c r="D1494" t="s">
        <v>1553</v>
      </c>
      <c r="E1494" t="str">
        <f ca="1">TRIM(Sales_fact[[#This Row],[Store_ID]])</f>
        <v>STORE3</v>
      </c>
      <c r="F1494">
        <v>1</v>
      </c>
      <c r="G1494">
        <f>IF(ISBLANK(F1494),MODE($F$2:$F$2001),F1494)</f>
        <v>1</v>
      </c>
      <c r="H1494">
        <v>492.05</v>
      </c>
      <c r="I1494">
        <f>IF(ISBLANK(H1494),AVERAGE($H$2:$H$2001),H1494)</f>
        <v>492.05</v>
      </c>
      <c r="J1494">
        <v>0.27</v>
      </c>
      <c r="K1494">
        <f>IF(ISBLANK(J1494),MODE($J$2:$J$2001),J1494)</f>
        <v>0.27</v>
      </c>
      <c r="L1494" t="s">
        <v>1824</v>
      </c>
      <c r="M1494">
        <v>359.19650000000001</v>
      </c>
      <c r="N1494">
        <f t="shared" si="23"/>
        <v>359.19650000000001</v>
      </c>
      <c r="O1494" t="str">
        <f>_xlfn.XLOOKUP(Sales_fact[[#This Row],[Customer_ID]],'Customer_Dim'!A:A,'Customer_Dim'!K:K,"Not Found")</f>
        <v>Bronze</v>
      </c>
      <c r="P1494">
        <f>_xlfn.XLOOKUP(Sales_fact[[#This Row],[Customer_ID]],'Customer_Dim'!A:A, 'Customer_Dim'!E:E, "Not Found")</f>
        <v>50</v>
      </c>
      <c r="Q1494" t="str">
        <f>VLOOKUP(Sales_fact[[#This Row],[Customer_ID]], 'Customer_Dim'!A:F, 6, FALSE)</f>
        <v>Female</v>
      </c>
      <c r="R1494" s="13" t="str">
        <f>_xlfn.XLOOKUP(Sales_fact[[#This Row],[Product_ID]],Product_Dim!A:A,Product_Dim!C:C,"OTHERS")</f>
        <v>Clothing</v>
      </c>
    </row>
    <row r="1495" spans="1:18" x14ac:dyDescent="0.3">
      <c r="A1495" t="s">
        <v>3319</v>
      </c>
      <c r="B1495" s="2">
        <v>45292</v>
      </c>
      <c r="C1495" t="s">
        <v>369</v>
      </c>
      <c r="D1495" t="s">
        <v>1582</v>
      </c>
      <c r="E1495" t="str">
        <f ca="1">TRIM(Sales_fact[[#This Row],[Store_ID]])</f>
        <v>STORE12</v>
      </c>
      <c r="F1495">
        <v>2</v>
      </c>
      <c r="G1495">
        <f>IF(ISBLANK(F1495),MODE($F$2:$F$2001),F1495)</f>
        <v>2</v>
      </c>
      <c r="H1495">
        <v>428.55</v>
      </c>
      <c r="I1495">
        <f>IF(ISBLANK(H1495),AVERAGE($H$2:$H$2001),H1495)</f>
        <v>428.55</v>
      </c>
      <c r="J1495">
        <v>0</v>
      </c>
      <c r="K1495">
        <f>IF(ISBLANK(J1495),MODE($J$2:$J$2001),J1495)</f>
        <v>0</v>
      </c>
      <c r="L1495" t="s">
        <v>1826</v>
      </c>
      <c r="M1495">
        <v>857.1</v>
      </c>
      <c r="N1495">
        <f t="shared" si="23"/>
        <v>857.1</v>
      </c>
      <c r="O1495" t="str">
        <f>_xlfn.XLOOKUP(Sales_fact[[#This Row],[Customer_ID]],'Customer_Dim'!A:A,'Customer_Dim'!K:K,"Not Found")</f>
        <v>Silver</v>
      </c>
      <c r="P1495">
        <f>_xlfn.XLOOKUP(Sales_fact[[#This Row],[Customer_ID]],'Customer_Dim'!A:A, 'Customer_Dim'!E:E, "Not Found")</f>
        <v>64</v>
      </c>
      <c r="Q1495" t="str">
        <f>VLOOKUP(Sales_fact[[#This Row],[Customer_ID]], 'Customer_Dim'!A:F, 6, FALSE)</f>
        <v>Male</v>
      </c>
      <c r="R1495" s="13" t="str">
        <f>_xlfn.XLOOKUP(Sales_fact[[#This Row],[Product_ID]],Product_Dim!A:A,Product_Dim!C:C,"OTHERS")</f>
        <v>Sports</v>
      </c>
    </row>
    <row r="1496" spans="1:18" x14ac:dyDescent="0.3">
      <c r="A1496" t="s">
        <v>3320</v>
      </c>
      <c r="B1496" s="2">
        <v>45251</v>
      </c>
      <c r="C1496" t="s">
        <v>737</v>
      </c>
      <c r="D1496" t="s">
        <v>1568</v>
      </c>
      <c r="E1496" t="str">
        <f ca="1">TRIM(Sales_fact[[#This Row],[Store_ID]])</f>
        <v>STORE15</v>
      </c>
      <c r="F1496">
        <v>4</v>
      </c>
      <c r="G1496">
        <f>IF(ISBLANK(F1496),MODE($F$2:$F$2001),F1496)</f>
        <v>4</v>
      </c>
      <c r="H1496">
        <v>316.18</v>
      </c>
      <c r="I1496">
        <f>IF(ISBLANK(H1496),AVERAGE($H$2:$H$2001),H1496)</f>
        <v>316.18</v>
      </c>
      <c r="J1496">
        <v>0.12</v>
      </c>
      <c r="K1496">
        <f>IF(ISBLANK(J1496),MODE($J$2:$J$2001),J1496)</f>
        <v>0.12</v>
      </c>
      <c r="L1496" t="s">
        <v>1824</v>
      </c>
      <c r="M1496">
        <v>1112.9536000000001</v>
      </c>
      <c r="N1496">
        <f t="shared" si="23"/>
        <v>1112.9536000000001</v>
      </c>
      <c r="O1496" t="str">
        <f>_xlfn.XLOOKUP(Sales_fact[[#This Row],[Customer_ID]],'Customer_Dim'!A:A,'Customer_Dim'!K:K,"Not Found")</f>
        <v>Bronze</v>
      </c>
      <c r="P1496">
        <f>_xlfn.XLOOKUP(Sales_fact[[#This Row],[Customer_ID]],'Customer_Dim'!A:A, 'Customer_Dim'!E:E, "Not Found")</f>
        <v>32</v>
      </c>
      <c r="Q1496" t="str">
        <f>VLOOKUP(Sales_fact[[#This Row],[Customer_ID]], 'Customer_Dim'!A:F, 6, FALSE)</f>
        <v>Female</v>
      </c>
      <c r="R1496" s="13" t="str">
        <f>_xlfn.XLOOKUP(Sales_fact[[#This Row],[Product_ID]],Product_Dim!A:A,Product_Dim!C:C,"OTHERS")</f>
        <v>Home</v>
      </c>
    </row>
    <row r="1497" spans="1:18" x14ac:dyDescent="0.3">
      <c r="A1497" t="s">
        <v>3321</v>
      </c>
      <c r="B1497" s="2">
        <v>45555</v>
      </c>
      <c r="C1497" t="s">
        <v>40</v>
      </c>
      <c r="D1497" t="s">
        <v>1574</v>
      </c>
      <c r="E1497" t="str">
        <f ca="1">TRIM(Sales_fact[[#This Row],[Store_ID]])</f>
        <v>STORE3</v>
      </c>
      <c r="F1497">
        <v>3</v>
      </c>
      <c r="G1497">
        <f>IF(ISBLANK(F1497),MODE($F$2:$F$2001),F1497)</f>
        <v>3</v>
      </c>
      <c r="H1497">
        <v>162.16999999999999</v>
      </c>
      <c r="I1497">
        <f>IF(ISBLANK(H1497),AVERAGE($H$2:$H$2001),H1497)</f>
        <v>162.16999999999999</v>
      </c>
      <c r="J1497">
        <v>0.15</v>
      </c>
      <c r="K1497">
        <f>IF(ISBLANK(J1497),MODE($J$2:$J$2001),J1497)</f>
        <v>0.15</v>
      </c>
      <c r="L1497" t="s">
        <v>1826</v>
      </c>
      <c r="M1497">
        <v>413.5335</v>
      </c>
      <c r="N1497">
        <f t="shared" si="23"/>
        <v>413.5335</v>
      </c>
      <c r="O1497" t="str">
        <f>_xlfn.XLOOKUP(Sales_fact[[#This Row],[Customer_ID]],'Customer_Dim'!A:A,'Customer_Dim'!K:K,"Not Found")</f>
        <v>Bronze</v>
      </c>
      <c r="P1497">
        <f>_xlfn.XLOOKUP(Sales_fact[[#This Row],[Customer_ID]],'Customer_Dim'!A:A, 'Customer_Dim'!E:E, "Not Found")</f>
        <v>29</v>
      </c>
      <c r="Q1497" t="str">
        <f>VLOOKUP(Sales_fact[[#This Row],[Customer_ID]], 'Customer_Dim'!A:F, 6, FALSE)</f>
        <v>Female</v>
      </c>
      <c r="R1497" s="13" t="str">
        <f>_xlfn.XLOOKUP(Sales_fact[[#This Row],[Product_ID]],Product_Dim!A:A,Product_Dim!C:C,"OTHERS")</f>
        <v>Electronics</v>
      </c>
    </row>
    <row r="1498" spans="1:18" x14ac:dyDescent="0.3">
      <c r="A1498" t="s">
        <v>3322</v>
      </c>
      <c r="B1498" s="2">
        <v>45385</v>
      </c>
      <c r="C1498" t="s">
        <v>1041</v>
      </c>
      <c r="D1498" t="s">
        <v>1553</v>
      </c>
      <c r="E1498" t="str">
        <f ca="1">TRIM(Sales_fact[[#This Row],[Store_ID]])</f>
        <v>STORE3</v>
      </c>
      <c r="F1498">
        <v>3</v>
      </c>
      <c r="G1498">
        <f>IF(ISBLANK(F1498),MODE($F$2:$F$2001),F1498)</f>
        <v>3</v>
      </c>
      <c r="H1498">
        <v>698.14</v>
      </c>
      <c r="I1498">
        <f>IF(ISBLANK(H1498),AVERAGE($H$2:$H$2001),H1498)</f>
        <v>698.14</v>
      </c>
      <c r="J1498">
        <v>0.04</v>
      </c>
      <c r="K1498">
        <f>IF(ISBLANK(J1498),MODE($J$2:$J$2001),J1498)</f>
        <v>0.04</v>
      </c>
      <c r="L1498" t="s">
        <v>1826</v>
      </c>
      <c r="M1498">
        <v>2010.6432</v>
      </c>
      <c r="N1498">
        <f t="shared" si="23"/>
        <v>2010.6432</v>
      </c>
      <c r="O1498" t="str">
        <f>_xlfn.XLOOKUP(Sales_fact[[#This Row],[Customer_ID]],'Customer_Dim'!A:A,'Customer_Dim'!K:K,"Not Found")</f>
        <v>Bronze</v>
      </c>
      <c r="P1498">
        <f>_xlfn.XLOOKUP(Sales_fact[[#This Row],[Customer_ID]],'Customer_Dim'!A:A, 'Customer_Dim'!E:E, "Not Found")</f>
        <v>38</v>
      </c>
      <c r="Q1498" t="str">
        <f>VLOOKUP(Sales_fact[[#This Row],[Customer_ID]], 'Customer_Dim'!A:F, 6, FALSE)</f>
        <v>Female</v>
      </c>
      <c r="R1498" s="13" t="str">
        <f>_xlfn.XLOOKUP(Sales_fact[[#This Row],[Product_ID]],Product_Dim!A:A,Product_Dim!C:C,"OTHERS")</f>
        <v>Clothing</v>
      </c>
    </row>
    <row r="1499" spans="1:18" x14ac:dyDescent="0.3">
      <c r="A1499" t="s">
        <v>3323</v>
      </c>
      <c r="B1499" s="2">
        <v>45787</v>
      </c>
      <c r="C1499" t="s">
        <v>978</v>
      </c>
      <c r="D1499" t="s">
        <v>1696</v>
      </c>
      <c r="E1499" t="str">
        <f ca="1">TRIM(Sales_fact[[#This Row],[Store_ID]])</f>
        <v>STORE18</v>
      </c>
      <c r="F1499">
        <v>1</v>
      </c>
      <c r="G1499">
        <f>IF(ISBLANK(F1499),MODE($F$2:$F$2001),F1499)</f>
        <v>1</v>
      </c>
      <c r="H1499">
        <v>478.08</v>
      </c>
      <c r="I1499">
        <f>IF(ISBLANK(H1499),AVERAGE($H$2:$H$2001),H1499)</f>
        <v>478.08</v>
      </c>
      <c r="J1499">
        <v>7.0000000000000007E-2</v>
      </c>
      <c r="K1499">
        <f>IF(ISBLANK(J1499),MODE($J$2:$J$2001),J1499)</f>
        <v>7.0000000000000007E-2</v>
      </c>
      <c r="L1499" t="s">
        <v>1829</v>
      </c>
      <c r="M1499">
        <v>444.61439999999988</v>
      </c>
      <c r="N1499">
        <f t="shared" si="23"/>
        <v>444.61439999999993</v>
      </c>
      <c r="O1499" t="str">
        <f>_xlfn.XLOOKUP(Sales_fact[[#This Row],[Customer_ID]],'Customer_Dim'!A:A,'Customer_Dim'!K:K,"Not Found")</f>
        <v>Silver</v>
      </c>
      <c r="P1499">
        <f>_xlfn.XLOOKUP(Sales_fact[[#This Row],[Customer_ID]],'Customer_Dim'!A:A, 'Customer_Dim'!E:E, "Not Found")</f>
        <v>20</v>
      </c>
      <c r="Q1499" t="str">
        <f>VLOOKUP(Sales_fact[[#This Row],[Customer_ID]], 'Customer_Dim'!A:F, 6, FALSE)</f>
        <v>Male</v>
      </c>
      <c r="R1499" s="13" t="str">
        <f>_xlfn.XLOOKUP(Sales_fact[[#This Row],[Product_ID]],Product_Dim!A:A,Product_Dim!C:C,"OTHERS")</f>
        <v>Electronics</v>
      </c>
    </row>
    <row r="1500" spans="1:18" x14ac:dyDescent="0.3">
      <c r="A1500" t="s">
        <v>3324</v>
      </c>
      <c r="B1500" s="2">
        <v>45822</v>
      </c>
      <c r="C1500" t="s">
        <v>678</v>
      </c>
      <c r="D1500" t="s">
        <v>1666</v>
      </c>
      <c r="E1500" t="str">
        <f ca="1">TRIM(Sales_fact[[#This Row],[Store_ID]])</f>
        <v>STORE7</v>
      </c>
      <c r="F1500">
        <v>2</v>
      </c>
      <c r="G1500">
        <f>IF(ISBLANK(F1500),MODE($F$2:$F$2001),F1500)</f>
        <v>2</v>
      </c>
      <c r="H1500">
        <v>958.64</v>
      </c>
      <c r="I1500">
        <f>IF(ISBLANK(H1500),AVERAGE($H$2:$H$2001),H1500)</f>
        <v>958.64</v>
      </c>
      <c r="J1500">
        <v>0.2</v>
      </c>
      <c r="K1500">
        <f>IF(ISBLANK(J1500),MODE($J$2:$J$2001),J1500)</f>
        <v>0.2</v>
      </c>
      <c r="L1500" t="s">
        <v>1826</v>
      </c>
      <c r="M1500">
        <v>1533.8240000000001</v>
      </c>
      <c r="N1500">
        <f t="shared" si="23"/>
        <v>1533.8240000000001</v>
      </c>
      <c r="O1500" t="str">
        <f>_xlfn.XLOOKUP(Sales_fact[[#This Row],[Customer_ID]],'Customer_Dim'!A:A,'Customer_Dim'!K:K,"Not Found")</f>
        <v>Platinum</v>
      </c>
      <c r="P1500">
        <f>_xlfn.XLOOKUP(Sales_fact[[#This Row],[Customer_ID]],'Customer_Dim'!A:A, 'Customer_Dim'!E:E, "Not Found")</f>
        <v>54</v>
      </c>
      <c r="Q1500" t="str">
        <f>VLOOKUP(Sales_fact[[#This Row],[Customer_ID]], 'Customer_Dim'!A:F, 6, FALSE)</f>
        <v>Male</v>
      </c>
      <c r="R1500" s="13" t="str">
        <f>_xlfn.XLOOKUP(Sales_fact[[#This Row],[Product_ID]],Product_Dim!A:A,Product_Dim!C:C,"OTHERS")</f>
        <v>Beauty</v>
      </c>
    </row>
    <row r="1501" spans="1:18" x14ac:dyDescent="0.3">
      <c r="A1501" t="s">
        <v>3325</v>
      </c>
      <c r="B1501" s="2">
        <v>45590</v>
      </c>
      <c r="C1501" t="s">
        <v>1431</v>
      </c>
      <c r="D1501" t="s">
        <v>1630</v>
      </c>
      <c r="E1501" t="str">
        <f ca="1">TRIM(Sales_fact[[#This Row],[Store_ID]])</f>
        <v>STORE12</v>
      </c>
      <c r="F1501">
        <v>2</v>
      </c>
      <c r="G1501">
        <f>IF(ISBLANK(F1501),MODE($F$2:$F$2001),F1501)</f>
        <v>2</v>
      </c>
      <c r="H1501">
        <v>581.19000000000005</v>
      </c>
      <c r="I1501">
        <f>IF(ISBLANK(H1501),AVERAGE($H$2:$H$2001),H1501)</f>
        <v>581.19000000000005</v>
      </c>
      <c r="J1501">
        <v>7.0000000000000007E-2</v>
      </c>
      <c r="K1501">
        <f>IF(ISBLANK(J1501),MODE($J$2:$J$2001),J1501)</f>
        <v>7.0000000000000007E-2</v>
      </c>
      <c r="L1501" t="s">
        <v>1829</v>
      </c>
      <c r="M1501">
        <v>1081.0134</v>
      </c>
      <c r="N1501">
        <f t="shared" si="23"/>
        <v>1081.0134</v>
      </c>
      <c r="O1501" t="str">
        <f>_xlfn.XLOOKUP(Sales_fact[[#This Row],[Customer_ID]],'Customer_Dim'!A:A,'Customer_Dim'!K:K,"Not Found")</f>
        <v>Not Found</v>
      </c>
      <c r="P1501" t="str">
        <f>_xlfn.XLOOKUP(Sales_fact[[#This Row],[Customer_ID]],'Customer_Dim'!A:A, 'Customer_Dim'!E:E, "Not Found")</f>
        <v>Not Found</v>
      </c>
      <c r="Q1501" t="e">
        <f>VLOOKUP(Sales_fact[[#This Row],[Customer_ID]], 'Customer_Dim'!A:F, 6, FALSE)</f>
        <v>#N/A</v>
      </c>
      <c r="R1501" s="13" t="str">
        <f>_xlfn.XLOOKUP(Sales_fact[[#This Row],[Product_ID]],Product_Dim!A:A,Product_Dim!C:C,"OTHERS")</f>
        <v>Sports</v>
      </c>
    </row>
    <row r="1502" spans="1:18" x14ac:dyDescent="0.3">
      <c r="A1502" t="s">
        <v>3326</v>
      </c>
      <c r="B1502" s="2">
        <v>45618</v>
      </c>
      <c r="C1502" t="s">
        <v>393</v>
      </c>
      <c r="D1502" t="s">
        <v>1746</v>
      </c>
      <c r="E1502" t="str">
        <f ca="1">TRIM(Sales_fact[[#This Row],[Store_ID]])</f>
        <v>STORE11</v>
      </c>
      <c r="F1502">
        <v>1</v>
      </c>
      <c r="G1502">
        <f>IF(ISBLANK(F1502),MODE($F$2:$F$2001),F1502)</f>
        <v>1</v>
      </c>
      <c r="H1502">
        <v>736.54</v>
      </c>
      <c r="I1502">
        <f>IF(ISBLANK(H1502),AVERAGE($H$2:$H$2001),H1502)</f>
        <v>736.54</v>
      </c>
      <c r="J1502">
        <v>0.16</v>
      </c>
      <c r="K1502">
        <f>IF(ISBLANK(J1502),MODE($J$2:$J$2001),J1502)</f>
        <v>0.16</v>
      </c>
      <c r="L1502" t="s">
        <v>1826</v>
      </c>
      <c r="M1502">
        <v>618.69359999999995</v>
      </c>
      <c r="N1502">
        <f t="shared" si="23"/>
        <v>618.69359999999995</v>
      </c>
      <c r="O1502" t="str">
        <f>_xlfn.XLOOKUP(Sales_fact[[#This Row],[Customer_ID]],'Customer_Dim'!A:A,'Customer_Dim'!K:K,"Not Found")</f>
        <v>Silver</v>
      </c>
      <c r="P1502">
        <f>_xlfn.XLOOKUP(Sales_fact[[#This Row],[Customer_ID]],'Customer_Dim'!A:A, 'Customer_Dim'!E:E, "Not Found")</f>
        <v>27</v>
      </c>
      <c r="Q1502" t="str">
        <f>VLOOKUP(Sales_fact[[#This Row],[Customer_ID]], 'Customer_Dim'!A:F, 6, FALSE)</f>
        <v>Female</v>
      </c>
      <c r="R1502" s="13" t="str">
        <f>_xlfn.XLOOKUP(Sales_fact[[#This Row],[Product_ID]],Product_Dim!A:A,Product_Dim!C:C,"OTHERS")</f>
        <v>Home</v>
      </c>
    </row>
    <row r="1503" spans="1:18" x14ac:dyDescent="0.3">
      <c r="A1503" t="s">
        <v>3327</v>
      </c>
      <c r="B1503" s="2">
        <v>45586</v>
      </c>
      <c r="C1503" t="s">
        <v>1249</v>
      </c>
      <c r="D1503" t="s">
        <v>1678</v>
      </c>
      <c r="E1503" t="str">
        <f ca="1">TRIM(Sales_fact[[#This Row],[Store_ID]])</f>
        <v>STORE15</v>
      </c>
      <c r="F1503">
        <v>1</v>
      </c>
      <c r="G1503">
        <f>IF(ISBLANK(F1503),MODE($F$2:$F$2001),F1503)</f>
        <v>1</v>
      </c>
      <c r="H1503">
        <v>524</v>
      </c>
      <c r="I1503">
        <f>IF(ISBLANK(H1503),AVERAGE($H$2:$H$2001),H1503)</f>
        <v>524</v>
      </c>
      <c r="J1503">
        <v>0.28000000000000003</v>
      </c>
      <c r="K1503">
        <f>IF(ISBLANK(J1503),MODE($J$2:$J$2001),J1503)</f>
        <v>0.28000000000000003</v>
      </c>
      <c r="L1503" t="s">
        <v>1824</v>
      </c>
      <c r="M1503">
        <v>377.28</v>
      </c>
      <c r="N1503">
        <f t="shared" si="23"/>
        <v>377.28</v>
      </c>
      <c r="O1503" t="str">
        <f>_xlfn.XLOOKUP(Sales_fact[[#This Row],[Customer_ID]],'Customer_Dim'!A:A,'Customer_Dim'!K:K,"Not Found")</f>
        <v>Platinum</v>
      </c>
      <c r="P1503">
        <f>_xlfn.XLOOKUP(Sales_fact[[#This Row],[Customer_ID]],'Customer_Dim'!A:A, 'Customer_Dim'!E:E, "Not Found")</f>
        <v>51</v>
      </c>
      <c r="Q1503" t="str">
        <f>VLOOKUP(Sales_fact[[#This Row],[Customer_ID]], 'Customer_Dim'!A:F, 6, FALSE)</f>
        <v>Female</v>
      </c>
      <c r="R1503" s="13" t="str">
        <f>_xlfn.XLOOKUP(Sales_fact[[#This Row],[Product_ID]],Product_Dim!A:A,Product_Dim!C:C,"OTHERS")</f>
        <v>Sports</v>
      </c>
    </row>
    <row r="1504" spans="1:18" x14ac:dyDescent="0.3">
      <c r="A1504" t="s">
        <v>3328</v>
      </c>
      <c r="B1504" s="2">
        <v>45548</v>
      </c>
      <c r="C1504" t="s">
        <v>178</v>
      </c>
      <c r="D1504" t="s">
        <v>1604</v>
      </c>
      <c r="E1504" t="str">
        <f ca="1">TRIM(Sales_fact[[#This Row],[Store_ID]])</f>
        <v>STORE3</v>
      </c>
      <c r="F1504">
        <v>4</v>
      </c>
      <c r="G1504">
        <f>IF(ISBLANK(F1504),MODE($F$2:$F$2001),F1504)</f>
        <v>4</v>
      </c>
      <c r="H1504">
        <v>566.09</v>
      </c>
      <c r="I1504">
        <f>IF(ISBLANK(H1504),AVERAGE($H$2:$H$2001),H1504)</f>
        <v>566.09</v>
      </c>
      <c r="J1504">
        <v>0.28000000000000003</v>
      </c>
      <c r="K1504">
        <f>IF(ISBLANK(J1504),MODE($J$2:$J$2001),J1504)</f>
        <v>0.28000000000000003</v>
      </c>
      <c r="L1504" t="s">
        <v>1829</v>
      </c>
      <c r="M1504">
        <v>1630.3391999999999</v>
      </c>
      <c r="N1504">
        <f t="shared" si="23"/>
        <v>1630.3392000000001</v>
      </c>
      <c r="O1504" t="str">
        <f>_xlfn.XLOOKUP(Sales_fact[[#This Row],[Customer_ID]],'Customer_Dim'!A:A,'Customer_Dim'!K:K,"Not Found")</f>
        <v>Platinum</v>
      </c>
      <c r="P1504">
        <f>_xlfn.XLOOKUP(Sales_fact[[#This Row],[Customer_ID]],'Customer_Dim'!A:A, 'Customer_Dim'!E:E, "Not Found")</f>
        <v>55</v>
      </c>
      <c r="Q1504" t="str">
        <f>VLOOKUP(Sales_fact[[#This Row],[Customer_ID]], 'Customer_Dim'!A:F, 6, FALSE)</f>
        <v>Female</v>
      </c>
      <c r="R1504" s="13" t="str">
        <f>_xlfn.XLOOKUP(Sales_fact[[#This Row],[Product_ID]],Product_Dim!A:A,Product_Dim!C:C,"OTHERS")</f>
        <v>Sports</v>
      </c>
    </row>
    <row r="1505" spans="1:18" x14ac:dyDescent="0.3">
      <c r="A1505" t="s">
        <v>3329</v>
      </c>
      <c r="B1505" s="2">
        <v>45772</v>
      </c>
      <c r="C1505" t="s">
        <v>827</v>
      </c>
      <c r="D1505" t="s">
        <v>1590</v>
      </c>
      <c r="E1505" t="str">
        <f ca="1">TRIM(Sales_fact[[#This Row],[Store_ID]])</f>
        <v>STORE10</v>
      </c>
      <c r="F1505">
        <v>1</v>
      </c>
      <c r="G1505">
        <f>IF(ISBLANK(F1505),MODE($F$2:$F$2001),F1505)</f>
        <v>1</v>
      </c>
      <c r="H1505">
        <v>251.99</v>
      </c>
      <c r="I1505">
        <f>IF(ISBLANK(H1505),AVERAGE($H$2:$H$2001),H1505)</f>
        <v>251.99</v>
      </c>
      <c r="J1505">
        <v>0.09</v>
      </c>
      <c r="K1505">
        <f>IF(ISBLANK(J1505),MODE($J$2:$J$2001),J1505)</f>
        <v>0.09</v>
      </c>
      <c r="L1505" t="s">
        <v>1824</v>
      </c>
      <c r="M1505">
        <v>229.3109</v>
      </c>
      <c r="N1505">
        <f t="shared" si="23"/>
        <v>229.3109</v>
      </c>
      <c r="O1505" t="str">
        <f>_xlfn.XLOOKUP(Sales_fact[[#This Row],[Customer_ID]],'Customer_Dim'!A:A,'Customer_Dim'!K:K,"Not Found")</f>
        <v>Silver</v>
      </c>
      <c r="P1505">
        <f>_xlfn.XLOOKUP(Sales_fact[[#This Row],[Customer_ID]],'Customer_Dim'!A:A, 'Customer_Dim'!E:E, "Not Found")</f>
        <v>32</v>
      </c>
      <c r="Q1505" t="str">
        <f>VLOOKUP(Sales_fact[[#This Row],[Customer_ID]], 'Customer_Dim'!A:F, 6, FALSE)</f>
        <v>Female</v>
      </c>
      <c r="R1505" s="13" t="str">
        <f>_xlfn.XLOOKUP(Sales_fact[[#This Row],[Product_ID]],Product_Dim!A:A,Product_Dim!C:C,"OTHERS")</f>
        <v>Home</v>
      </c>
    </row>
    <row r="1506" spans="1:18" x14ac:dyDescent="0.3">
      <c r="A1506" t="s">
        <v>3330</v>
      </c>
      <c r="B1506" s="2">
        <v>45361</v>
      </c>
      <c r="C1506" t="s">
        <v>716</v>
      </c>
      <c r="D1506" t="s">
        <v>1582</v>
      </c>
      <c r="E1506" t="str">
        <f ca="1">TRIM(Sales_fact[[#This Row],[Store_ID]])</f>
        <v>STORE19</v>
      </c>
      <c r="F1506">
        <v>1</v>
      </c>
      <c r="G1506">
        <f>IF(ISBLANK(F1506),MODE($F$2:$F$2001),F1506)</f>
        <v>1</v>
      </c>
      <c r="H1506">
        <v>259.2</v>
      </c>
      <c r="I1506">
        <f>IF(ISBLANK(H1506),AVERAGE($H$2:$H$2001),H1506)</f>
        <v>259.2</v>
      </c>
      <c r="J1506">
        <v>0.27</v>
      </c>
      <c r="K1506">
        <f>IF(ISBLANK(J1506),MODE($J$2:$J$2001),J1506)</f>
        <v>0.27</v>
      </c>
      <c r="L1506" t="s">
        <v>1829</v>
      </c>
      <c r="M1506">
        <v>189.21600000000001</v>
      </c>
      <c r="N1506">
        <f t="shared" si="23"/>
        <v>189.21599999999998</v>
      </c>
      <c r="O1506" t="str">
        <f>_xlfn.XLOOKUP(Sales_fact[[#This Row],[Customer_ID]],'Customer_Dim'!A:A,'Customer_Dim'!K:K,"Not Found")</f>
        <v>Platinum</v>
      </c>
      <c r="P1506">
        <f>_xlfn.XLOOKUP(Sales_fact[[#This Row],[Customer_ID]],'Customer_Dim'!A:A, 'Customer_Dim'!E:E, "Not Found")</f>
        <v>38</v>
      </c>
      <c r="Q1506" t="str">
        <f>VLOOKUP(Sales_fact[[#This Row],[Customer_ID]], 'Customer_Dim'!A:F, 6, FALSE)</f>
        <v>Male</v>
      </c>
      <c r="R1506" s="13" t="str">
        <f>_xlfn.XLOOKUP(Sales_fact[[#This Row],[Product_ID]],Product_Dim!A:A,Product_Dim!C:C,"OTHERS")</f>
        <v>Sports</v>
      </c>
    </row>
    <row r="1507" spans="1:18" x14ac:dyDescent="0.3">
      <c r="A1507" t="s">
        <v>3331</v>
      </c>
      <c r="B1507" s="2">
        <v>45235</v>
      </c>
      <c r="C1507" t="s">
        <v>1380</v>
      </c>
      <c r="D1507" t="s">
        <v>1666</v>
      </c>
      <c r="E1507" t="str">
        <f ca="1">TRIM(Sales_fact[[#This Row],[Store_ID]])</f>
        <v>STORE15</v>
      </c>
      <c r="F1507">
        <v>1</v>
      </c>
      <c r="G1507">
        <f>IF(ISBLANK(F1507),MODE($F$2:$F$2001),F1507)</f>
        <v>1</v>
      </c>
      <c r="H1507">
        <v>935.66</v>
      </c>
      <c r="I1507">
        <f>IF(ISBLANK(H1507),AVERAGE($H$2:$H$2001),H1507)</f>
        <v>935.66</v>
      </c>
      <c r="J1507">
        <v>0.26</v>
      </c>
      <c r="K1507">
        <f>IF(ISBLANK(J1507),MODE($J$2:$J$2001),J1507)</f>
        <v>0.26</v>
      </c>
      <c r="L1507" t="s">
        <v>1826</v>
      </c>
      <c r="M1507">
        <v>692.38839999999993</v>
      </c>
      <c r="N1507">
        <f t="shared" si="23"/>
        <v>692.38839999999993</v>
      </c>
      <c r="O1507" t="str">
        <f>_xlfn.XLOOKUP(Sales_fact[[#This Row],[Customer_ID]],'Customer_Dim'!A:A,'Customer_Dim'!K:K,"Not Found")</f>
        <v>Silver</v>
      </c>
      <c r="P1507">
        <f>_xlfn.XLOOKUP(Sales_fact[[#This Row],[Customer_ID]],'Customer_Dim'!A:A, 'Customer_Dim'!E:E, "Not Found")</f>
        <v>35</v>
      </c>
      <c r="Q1507" t="str">
        <f>VLOOKUP(Sales_fact[[#This Row],[Customer_ID]], 'Customer_Dim'!A:F, 6, FALSE)</f>
        <v>Male</v>
      </c>
      <c r="R1507" s="13" t="str">
        <f>_xlfn.XLOOKUP(Sales_fact[[#This Row],[Product_ID]],Product_Dim!A:A,Product_Dim!C:C,"OTHERS")</f>
        <v>Beauty</v>
      </c>
    </row>
    <row r="1508" spans="1:18" x14ac:dyDescent="0.3">
      <c r="A1508" t="s">
        <v>3332</v>
      </c>
      <c r="B1508" s="2">
        <v>45864</v>
      </c>
      <c r="C1508" t="s">
        <v>1446</v>
      </c>
      <c r="D1508" t="s">
        <v>1618</v>
      </c>
      <c r="E1508" t="str">
        <f ca="1">TRIM(Sales_fact[[#This Row],[Store_ID]])</f>
        <v>STORE8</v>
      </c>
      <c r="F1508">
        <v>4</v>
      </c>
      <c r="G1508">
        <f>IF(ISBLANK(F1508),MODE($F$2:$F$2001),F1508)</f>
        <v>4</v>
      </c>
      <c r="H1508">
        <v>480.75</v>
      </c>
      <c r="I1508">
        <f>IF(ISBLANK(H1508),AVERAGE($H$2:$H$2001),H1508)</f>
        <v>480.75</v>
      </c>
      <c r="J1508">
        <v>0.02</v>
      </c>
      <c r="K1508">
        <f>IF(ISBLANK(J1508),MODE($J$2:$J$2001),J1508)</f>
        <v>0.02</v>
      </c>
      <c r="L1508" t="s">
        <v>1824</v>
      </c>
      <c r="M1508">
        <v>1884.54</v>
      </c>
      <c r="N1508">
        <f t="shared" si="23"/>
        <v>1884.54</v>
      </c>
      <c r="O1508" t="str">
        <f>_xlfn.XLOOKUP(Sales_fact[[#This Row],[Customer_ID]],'Customer_Dim'!A:A,'Customer_Dim'!K:K,"Not Found")</f>
        <v>Gold</v>
      </c>
      <c r="P1508">
        <f>_xlfn.XLOOKUP(Sales_fact[[#This Row],[Customer_ID]],'Customer_Dim'!A:A, 'Customer_Dim'!E:E, "Not Found")</f>
        <v>19</v>
      </c>
      <c r="Q1508" t="str">
        <f>VLOOKUP(Sales_fact[[#This Row],[Customer_ID]], 'Customer_Dim'!A:F, 6, FALSE)</f>
        <v>Male</v>
      </c>
      <c r="R1508" s="13" t="str">
        <f>_xlfn.XLOOKUP(Sales_fact[[#This Row],[Product_ID]],Product_Dim!A:A,Product_Dim!C:C,"OTHERS")</f>
        <v>Home</v>
      </c>
    </row>
    <row r="1509" spans="1:18" x14ac:dyDescent="0.3">
      <c r="A1509" t="s">
        <v>3333</v>
      </c>
      <c r="B1509" s="2">
        <v>45681</v>
      </c>
      <c r="C1509" t="s">
        <v>1154</v>
      </c>
      <c r="D1509" t="s">
        <v>1710</v>
      </c>
      <c r="E1509" t="str">
        <f ca="1">TRIM(Sales_fact[[#This Row],[Store_ID]])</f>
        <v>STORE15</v>
      </c>
      <c r="F1509">
        <v>2</v>
      </c>
      <c r="G1509">
        <f>IF(ISBLANK(F1509),MODE($F$2:$F$2001),F1509)</f>
        <v>2</v>
      </c>
      <c r="H1509">
        <v>457.83</v>
      </c>
      <c r="I1509">
        <f>IF(ISBLANK(H1509),AVERAGE($H$2:$H$2001),H1509)</f>
        <v>457.83</v>
      </c>
      <c r="J1509">
        <v>0.01</v>
      </c>
      <c r="K1509">
        <f>IF(ISBLANK(J1509),MODE($J$2:$J$2001),J1509)</f>
        <v>0.01</v>
      </c>
      <c r="L1509" t="s">
        <v>1829</v>
      </c>
      <c r="M1509">
        <v>906.50339999999994</v>
      </c>
      <c r="N1509">
        <f t="shared" si="23"/>
        <v>906.50339999999994</v>
      </c>
      <c r="O1509" t="str">
        <f>_xlfn.XLOOKUP(Sales_fact[[#This Row],[Customer_ID]],'Customer_Dim'!A:A,'Customer_Dim'!K:K,"Not Found")</f>
        <v>Platinum</v>
      </c>
      <c r="P1509">
        <f>_xlfn.XLOOKUP(Sales_fact[[#This Row],[Customer_ID]],'Customer_Dim'!A:A, 'Customer_Dim'!E:E, "Not Found")</f>
        <v>20</v>
      </c>
      <c r="Q1509" t="str">
        <f>VLOOKUP(Sales_fact[[#This Row],[Customer_ID]], 'Customer_Dim'!A:F, 6, FALSE)</f>
        <v>Female</v>
      </c>
      <c r="R1509" s="13" t="str">
        <f>_xlfn.XLOOKUP(Sales_fact[[#This Row],[Product_ID]],Product_Dim!A:A,Product_Dim!C:C,"OTHERS")</f>
        <v>Sports</v>
      </c>
    </row>
    <row r="1510" spans="1:18" x14ac:dyDescent="0.3">
      <c r="A1510" t="s">
        <v>3334</v>
      </c>
      <c r="B1510" s="2">
        <v>45905</v>
      </c>
      <c r="C1510" t="s">
        <v>547</v>
      </c>
      <c r="D1510" t="s">
        <v>1644</v>
      </c>
      <c r="E1510" t="str">
        <f ca="1">TRIM(Sales_fact[[#This Row],[Store_ID]])</f>
        <v>STORE14</v>
      </c>
      <c r="F1510">
        <v>1</v>
      </c>
      <c r="G1510">
        <f>IF(ISBLANK(F1510),MODE($F$2:$F$2001),F1510)</f>
        <v>1</v>
      </c>
      <c r="H1510">
        <v>994.63</v>
      </c>
      <c r="I1510">
        <f>IF(ISBLANK(H1510),AVERAGE($H$2:$H$2001),H1510)</f>
        <v>994.63</v>
      </c>
      <c r="J1510">
        <v>0.28000000000000003</v>
      </c>
      <c r="K1510">
        <f>IF(ISBLANK(J1510),MODE($J$2:$J$2001),J1510)</f>
        <v>0.28000000000000003</v>
      </c>
      <c r="L1510" t="s">
        <v>1824</v>
      </c>
      <c r="M1510">
        <v>716.1336</v>
      </c>
      <c r="N1510">
        <f t="shared" si="23"/>
        <v>716.1336</v>
      </c>
      <c r="O1510" t="str">
        <f>_xlfn.XLOOKUP(Sales_fact[[#This Row],[Customer_ID]],'Customer_Dim'!A:A,'Customer_Dim'!K:K,"Not Found")</f>
        <v>Silver</v>
      </c>
      <c r="P1510">
        <f>_xlfn.XLOOKUP(Sales_fact[[#This Row],[Customer_ID]],'Customer_Dim'!A:A, 'Customer_Dim'!E:E, "Not Found")</f>
        <v>39</v>
      </c>
      <c r="Q1510" t="str">
        <f>VLOOKUP(Sales_fact[[#This Row],[Customer_ID]], 'Customer_Dim'!A:F, 6, FALSE)</f>
        <v>Female</v>
      </c>
      <c r="R1510" s="13" t="str">
        <f>_xlfn.XLOOKUP(Sales_fact[[#This Row],[Product_ID]],Product_Dim!A:A,Product_Dim!C:C,"OTHERS")</f>
        <v>Electronics</v>
      </c>
    </row>
    <row r="1511" spans="1:18" x14ac:dyDescent="0.3">
      <c r="A1511" t="s">
        <v>3335</v>
      </c>
      <c r="B1511" s="2">
        <v>45765</v>
      </c>
      <c r="C1511" t="s">
        <v>785</v>
      </c>
      <c r="D1511" t="s">
        <v>1728</v>
      </c>
      <c r="E1511" t="str">
        <f ca="1">TRIM(Sales_fact[[#This Row],[Store_ID]])</f>
        <v>STORE0</v>
      </c>
      <c r="F1511">
        <v>3</v>
      </c>
      <c r="G1511">
        <f>IF(ISBLANK(F1511),MODE($F$2:$F$2001),F1511)</f>
        <v>3</v>
      </c>
      <c r="H1511">
        <v>65.569999999999993</v>
      </c>
      <c r="I1511">
        <f>IF(ISBLANK(H1511),AVERAGE($H$2:$H$2001),H1511)</f>
        <v>65.569999999999993</v>
      </c>
      <c r="J1511">
        <v>0.3</v>
      </c>
      <c r="K1511">
        <f>IF(ISBLANK(J1511),MODE($J$2:$J$2001),J1511)</f>
        <v>0.3</v>
      </c>
      <c r="L1511" t="s">
        <v>1829</v>
      </c>
      <c r="M1511">
        <v>137.697</v>
      </c>
      <c r="N1511">
        <f t="shared" si="23"/>
        <v>137.69699999999997</v>
      </c>
      <c r="O1511" t="str">
        <f>_xlfn.XLOOKUP(Sales_fact[[#This Row],[Customer_ID]],'Customer_Dim'!A:A,'Customer_Dim'!K:K,"Not Found")</f>
        <v>Platinum</v>
      </c>
      <c r="P1511">
        <f>_xlfn.XLOOKUP(Sales_fact[[#This Row],[Customer_ID]],'Customer_Dim'!A:A, 'Customer_Dim'!E:E, "Not Found")</f>
        <v>57</v>
      </c>
      <c r="Q1511" t="str">
        <f>VLOOKUP(Sales_fact[[#This Row],[Customer_ID]], 'Customer_Dim'!A:F, 6, FALSE)</f>
        <v>Female</v>
      </c>
      <c r="R1511" s="13" t="str">
        <f>_xlfn.XLOOKUP(Sales_fact[[#This Row],[Product_ID]],Product_Dim!A:A,Product_Dim!C:C,"OTHERS")</f>
        <v>Electronics</v>
      </c>
    </row>
    <row r="1512" spans="1:18" x14ac:dyDescent="0.3">
      <c r="A1512" t="s">
        <v>3336</v>
      </c>
      <c r="B1512" s="2">
        <v>45821</v>
      </c>
      <c r="C1512" t="s">
        <v>535</v>
      </c>
      <c r="D1512" t="s">
        <v>1664</v>
      </c>
      <c r="E1512" t="str">
        <f ca="1">TRIM(Sales_fact[[#This Row],[Store_ID]])</f>
        <v>STORE17</v>
      </c>
      <c r="F1512">
        <v>3</v>
      </c>
      <c r="G1512">
        <f>IF(ISBLANK(F1512),MODE($F$2:$F$2001),F1512)</f>
        <v>3</v>
      </c>
      <c r="H1512">
        <v>622.98</v>
      </c>
      <c r="I1512">
        <f>IF(ISBLANK(H1512),AVERAGE($H$2:$H$2001),H1512)</f>
        <v>622.98</v>
      </c>
      <c r="J1512">
        <v>0.28000000000000003</v>
      </c>
      <c r="K1512">
        <f>IF(ISBLANK(J1512),MODE($J$2:$J$2001),J1512)</f>
        <v>0.28000000000000003</v>
      </c>
      <c r="L1512" t="s">
        <v>1826</v>
      </c>
      <c r="M1512">
        <v>1345.6368</v>
      </c>
      <c r="N1512">
        <f t="shared" si="23"/>
        <v>1345.6368</v>
      </c>
      <c r="O1512" t="str">
        <f>_xlfn.XLOOKUP(Sales_fact[[#This Row],[Customer_ID]],'Customer_Dim'!A:A,'Customer_Dim'!K:K,"Not Found")</f>
        <v>Platinum</v>
      </c>
      <c r="P1512">
        <f>_xlfn.XLOOKUP(Sales_fact[[#This Row],[Customer_ID]],'Customer_Dim'!A:A, 'Customer_Dim'!E:E, "Not Found")</f>
        <v>41</v>
      </c>
      <c r="Q1512" t="str">
        <f>VLOOKUP(Sales_fact[[#This Row],[Customer_ID]], 'Customer_Dim'!A:F, 6, FALSE)</f>
        <v>Female</v>
      </c>
      <c r="R1512" s="13" t="str">
        <f>_xlfn.XLOOKUP(Sales_fact[[#This Row],[Product_ID]],Product_Dim!A:A,Product_Dim!C:C,"OTHERS")</f>
        <v>Clothing</v>
      </c>
    </row>
    <row r="1513" spans="1:18" x14ac:dyDescent="0.3">
      <c r="A1513" t="s">
        <v>3337</v>
      </c>
      <c r="B1513" s="2">
        <v>45691</v>
      </c>
      <c r="C1513" t="s">
        <v>800</v>
      </c>
      <c r="D1513" t="s">
        <v>1658</v>
      </c>
      <c r="E1513" t="str">
        <f ca="1">TRIM(Sales_fact[[#This Row],[Store_ID]])</f>
        <v>STORE13</v>
      </c>
      <c r="F1513">
        <v>1</v>
      </c>
      <c r="G1513">
        <f>IF(ISBLANK(F1513),MODE($F$2:$F$2001),F1513)</f>
        <v>1</v>
      </c>
      <c r="H1513">
        <v>170.68</v>
      </c>
      <c r="I1513">
        <f>IF(ISBLANK(H1513),AVERAGE($H$2:$H$2001),H1513)</f>
        <v>170.68</v>
      </c>
      <c r="J1513">
        <v>0.13</v>
      </c>
      <c r="K1513">
        <f>IF(ISBLANK(J1513),MODE($J$2:$J$2001),J1513)</f>
        <v>0.13</v>
      </c>
      <c r="L1513" t="s">
        <v>1826</v>
      </c>
      <c r="M1513">
        <v>148.49160000000001</v>
      </c>
      <c r="N1513">
        <f t="shared" si="23"/>
        <v>148.49160000000001</v>
      </c>
      <c r="O1513" t="str">
        <f>_xlfn.XLOOKUP(Sales_fact[[#This Row],[Customer_ID]],'Customer_Dim'!A:A,'Customer_Dim'!K:K,"Not Found")</f>
        <v>Platinum</v>
      </c>
      <c r="P1513">
        <f>_xlfn.XLOOKUP(Sales_fact[[#This Row],[Customer_ID]],'Customer_Dim'!A:A, 'Customer_Dim'!E:E, "Not Found")</f>
        <v>48</v>
      </c>
      <c r="Q1513" t="str">
        <f>VLOOKUP(Sales_fact[[#This Row],[Customer_ID]], 'Customer_Dim'!A:F, 6, FALSE)</f>
        <v>Male</v>
      </c>
      <c r="R1513" s="13" t="str">
        <f>_xlfn.XLOOKUP(Sales_fact[[#This Row],[Product_ID]],Product_Dim!A:A,Product_Dim!C:C,"OTHERS")</f>
        <v>Home</v>
      </c>
    </row>
    <row r="1514" spans="1:18" x14ac:dyDescent="0.3">
      <c r="A1514" t="s">
        <v>3338</v>
      </c>
      <c r="B1514" s="2">
        <v>45860</v>
      </c>
      <c r="C1514" t="s">
        <v>344</v>
      </c>
      <c r="D1514" t="s">
        <v>1560</v>
      </c>
      <c r="E1514" t="str">
        <f ca="1">TRIM(Sales_fact[[#This Row],[Store_ID]])</f>
        <v>STORE8</v>
      </c>
      <c r="F1514">
        <v>4</v>
      </c>
      <c r="G1514">
        <f>IF(ISBLANK(F1514),MODE($F$2:$F$2001),F1514)</f>
        <v>4</v>
      </c>
      <c r="H1514">
        <v>797.83</v>
      </c>
      <c r="I1514">
        <f>IF(ISBLANK(H1514),AVERAGE($H$2:$H$2001),H1514)</f>
        <v>797.83</v>
      </c>
      <c r="J1514">
        <v>0.08</v>
      </c>
      <c r="K1514">
        <f>IF(ISBLANK(J1514),MODE($J$2:$J$2001),J1514)</f>
        <v>0.08</v>
      </c>
      <c r="L1514" t="s">
        <v>1824</v>
      </c>
      <c r="M1514">
        <v>2936.0144</v>
      </c>
      <c r="N1514">
        <f t="shared" si="23"/>
        <v>2936.0144000000005</v>
      </c>
      <c r="O1514" t="str">
        <f>_xlfn.XLOOKUP(Sales_fact[[#This Row],[Customer_ID]],'Customer_Dim'!A:A,'Customer_Dim'!K:K,"Not Found")</f>
        <v>Platinum</v>
      </c>
      <c r="P1514">
        <f>_xlfn.XLOOKUP(Sales_fact[[#This Row],[Customer_ID]],'Customer_Dim'!A:A, 'Customer_Dim'!E:E, "Not Found")</f>
        <v>30</v>
      </c>
      <c r="Q1514" t="str">
        <f>VLOOKUP(Sales_fact[[#This Row],[Customer_ID]], 'Customer_Dim'!A:F, 6, FALSE)</f>
        <v>Female</v>
      </c>
      <c r="R1514" s="13" t="str">
        <f>_xlfn.XLOOKUP(Sales_fact[[#This Row],[Product_ID]],Product_Dim!A:A,Product_Dim!C:C,"OTHERS")</f>
        <v>Home</v>
      </c>
    </row>
    <row r="1515" spans="1:18" x14ac:dyDescent="0.3">
      <c r="A1515" t="s">
        <v>3339</v>
      </c>
      <c r="B1515" s="2">
        <v>45922</v>
      </c>
      <c r="C1515" t="s">
        <v>350</v>
      </c>
      <c r="D1515" t="s">
        <v>1549</v>
      </c>
      <c r="E1515" t="str">
        <f ca="1">TRIM(Sales_fact[[#This Row],[Store_ID]])</f>
        <v>STORE16</v>
      </c>
      <c r="F1515">
        <v>1</v>
      </c>
      <c r="G1515">
        <f>IF(ISBLANK(F1515),MODE($F$2:$F$2001),F1515)</f>
        <v>1</v>
      </c>
      <c r="H1515">
        <v>372.75</v>
      </c>
      <c r="I1515">
        <f>IF(ISBLANK(H1515),AVERAGE($H$2:$H$2001),H1515)</f>
        <v>372.75</v>
      </c>
      <c r="J1515">
        <v>0.12</v>
      </c>
      <c r="K1515">
        <f>IF(ISBLANK(J1515),MODE($J$2:$J$2001),J1515)</f>
        <v>0.12</v>
      </c>
      <c r="L1515" t="s">
        <v>1824</v>
      </c>
      <c r="M1515">
        <v>328.02</v>
      </c>
      <c r="N1515">
        <f t="shared" si="23"/>
        <v>328.02</v>
      </c>
      <c r="O1515" t="str">
        <f>_xlfn.XLOOKUP(Sales_fact[[#This Row],[Customer_ID]],'Customer_Dim'!A:A,'Customer_Dim'!K:K,"Not Found")</f>
        <v>Gold</v>
      </c>
      <c r="P1515">
        <f>_xlfn.XLOOKUP(Sales_fact[[#This Row],[Customer_ID]],'Customer_Dim'!A:A, 'Customer_Dim'!E:E, "Not Found")</f>
        <v>24</v>
      </c>
      <c r="Q1515" t="str">
        <f>VLOOKUP(Sales_fact[[#This Row],[Customer_ID]], 'Customer_Dim'!A:F, 6, FALSE)</f>
        <v>Male</v>
      </c>
      <c r="R1515" s="13" t="str">
        <f>_xlfn.XLOOKUP(Sales_fact[[#This Row],[Product_ID]],Product_Dim!A:A,Product_Dim!C:C,"OTHERS")</f>
        <v>Clothing</v>
      </c>
    </row>
    <row r="1516" spans="1:18" x14ac:dyDescent="0.3">
      <c r="A1516" t="s">
        <v>3340</v>
      </c>
      <c r="B1516" s="2">
        <v>45477</v>
      </c>
      <c r="C1516" t="s">
        <v>1235</v>
      </c>
      <c r="D1516" t="s">
        <v>1670</v>
      </c>
      <c r="E1516" t="str">
        <f ca="1">TRIM(Sales_fact[[#This Row],[Store_ID]])</f>
        <v>STORE4</v>
      </c>
      <c r="F1516">
        <v>1</v>
      </c>
      <c r="G1516">
        <f>IF(ISBLANK(F1516),MODE($F$2:$F$2001),F1516)</f>
        <v>1</v>
      </c>
      <c r="H1516">
        <v>994.18</v>
      </c>
      <c r="I1516">
        <f>IF(ISBLANK(H1516),AVERAGE($H$2:$H$2001),H1516)</f>
        <v>994.18</v>
      </c>
      <c r="J1516">
        <v>0.05</v>
      </c>
      <c r="K1516">
        <f>IF(ISBLANK(J1516),MODE($J$2:$J$2001),J1516)</f>
        <v>0.05</v>
      </c>
      <c r="L1516" t="s">
        <v>1826</v>
      </c>
      <c r="M1516">
        <v>944.47099999999989</v>
      </c>
      <c r="N1516">
        <f t="shared" si="23"/>
        <v>944.47099999999989</v>
      </c>
      <c r="O1516" t="str">
        <f>_xlfn.XLOOKUP(Sales_fact[[#This Row],[Customer_ID]],'Customer_Dim'!A:A,'Customer_Dim'!K:K,"Not Found")</f>
        <v>Silver</v>
      </c>
      <c r="P1516">
        <f>_xlfn.XLOOKUP(Sales_fact[[#This Row],[Customer_ID]],'Customer_Dim'!A:A, 'Customer_Dim'!E:E, "Not Found")</f>
        <v>25</v>
      </c>
      <c r="Q1516" t="str">
        <f>VLOOKUP(Sales_fact[[#This Row],[Customer_ID]], 'Customer_Dim'!A:F, 6, FALSE)</f>
        <v>Female</v>
      </c>
      <c r="R1516" s="13" t="str">
        <f>_xlfn.XLOOKUP(Sales_fact[[#This Row],[Product_ID]],Product_Dim!A:A,Product_Dim!C:C,"OTHERS")</f>
        <v>Sports</v>
      </c>
    </row>
    <row r="1517" spans="1:18" x14ac:dyDescent="0.3">
      <c r="A1517" t="s">
        <v>3341</v>
      </c>
      <c r="B1517" s="2">
        <v>45504</v>
      </c>
      <c r="C1517" t="s">
        <v>1310</v>
      </c>
      <c r="D1517" t="s">
        <v>1588</v>
      </c>
      <c r="E1517" t="str">
        <f ca="1">TRIM(Sales_fact[[#This Row],[Store_ID]])</f>
        <v>STORE13</v>
      </c>
      <c r="F1517">
        <v>1</v>
      </c>
      <c r="G1517">
        <f>IF(ISBLANK(F1517),MODE($F$2:$F$2001),F1517)</f>
        <v>1</v>
      </c>
      <c r="H1517">
        <v>136.12</v>
      </c>
      <c r="I1517">
        <f>IF(ISBLANK(H1517),AVERAGE($H$2:$H$2001),H1517)</f>
        <v>136.12</v>
      </c>
      <c r="J1517">
        <v>7.0000000000000007E-2</v>
      </c>
      <c r="K1517">
        <f>IF(ISBLANK(J1517),MODE($J$2:$J$2001),J1517)</f>
        <v>7.0000000000000007E-2</v>
      </c>
      <c r="L1517" t="s">
        <v>1824</v>
      </c>
      <c r="M1517">
        <v>126.5916</v>
      </c>
      <c r="N1517">
        <f t="shared" si="23"/>
        <v>126.5916</v>
      </c>
      <c r="O1517" t="str">
        <f>_xlfn.XLOOKUP(Sales_fact[[#This Row],[Customer_ID]],'Customer_Dim'!A:A,'Customer_Dim'!K:K,"Not Found")</f>
        <v>Platinum</v>
      </c>
      <c r="P1517">
        <f>_xlfn.XLOOKUP(Sales_fact[[#This Row],[Customer_ID]],'Customer_Dim'!A:A, 'Customer_Dim'!E:E, "Not Found")</f>
        <v>42</v>
      </c>
      <c r="Q1517" t="str">
        <f>VLOOKUP(Sales_fact[[#This Row],[Customer_ID]], 'Customer_Dim'!A:F, 6, FALSE)</f>
        <v>Female</v>
      </c>
      <c r="R1517" s="13" t="str">
        <f>_xlfn.XLOOKUP(Sales_fact[[#This Row],[Product_ID]],Product_Dim!A:A,Product_Dim!C:C,"OTHERS")</f>
        <v>Sports</v>
      </c>
    </row>
    <row r="1518" spans="1:18" x14ac:dyDescent="0.3">
      <c r="A1518" t="s">
        <v>3342</v>
      </c>
      <c r="B1518" s="2">
        <v>45862</v>
      </c>
      <c r="C1518" t="s">
        <v>124</v>
      </c>
      <c r="D1518" t="s">
        <v>1652</v>
      </c>
      <c r="E1518" t="str">
        <f ca="1">TRIM(Sales_fact[[#This Row],[Store_ID]])</f>
        <v>STORE18</v>
      </c>
      <c r="F1518">
        <v>3</v>
      </c>
      <c r="G1518">
        <f>IF(ISBLANK(F1518),MODE($F$2:$F$2001),F1518)</f>
        <v>3</v>
      </c>
      <c r="H1518">
        <v>634.45000000000005</v>
      </c>
      <c r="I1518">
        <f>IF(ISBLANK(H1518),AVERAGE($H$2:$H$2001),H1518)</f>
        <v>634.45000000000005</v>
      </c>
      <c r="J1518">
        <v>0.17</v>
      </c>
      <c r="K1518">
        <f>IF(ISBLANK(J1518),MODE($J$2:$J$2001),J1518)</f>
        <v>0.17</v>
      </c>
      <c r="L1518" t="s">
        <v>1826</v>
      </c>
      <c r="M1518">
        <v>1579.7805000000001</v>
      </c>
      <c r="N1518">
        <f t="shared" si="23"/>
        <v>1579.7805000000001</v>
      </c>
      <c r="O1518" t="str">
        <f>_xlfn.XLOOKUP(Sales_fact[[#This Row],[Customer_ID]],'Customer_Dim'!A:A,'Customer_Dim'!K:K,"Not Found")</f>
        <v>Bronze</v>
      </c>
      <c r="P1518">
        <f>_xlfn.XLOOKUP(Sales_fact[[#This Row],[Customer_ID]],'Customer_Dim'!A:A, 'Customer_Dim'!E:E, "Not Found")</f>
        <v>64</v>
      </c>
      <c r="Q1518" t="str">
        <f>VLOOKUP(Sales_fact[[#This Row],[Customer_ID]], 'Customer_Dim'!A:F, 6, FALSE)</f>
        <v>Female</v>
      </c>
      <c r="R1518" s="13" t="str">
        <f>_xlfn.XLOOKUP(Sales_fact[[#This Row],[Product_ID]],Product_Dim!A:A,Product_Dim!C:C,"OTHERS")</f>
        <v>Sports</v>
      </c>
    </row>
    <row r="1519" spans="1:18" x14ac:dyDescent="0.3">
      <c r="A1519" t="s">
        <v>3343</v>
      </c>
      <c r="B1519" s="2">
        <v>45579</v>
      </c>
      <c r="C1519" t="s">
        <v>1035</v>
      </c>
      <c r="D1519" t="s">
        <v>1676</v>
      </c>
      <c r="E1519" t="str">
        <f ca="1">TRIM(Sales_fact[[#This Row],[Store_ID]])</f>
        <v>STORE0</v>
      </c>
      <c r="F1519">
        <v>4</v>
      </c>
      <c r="G1519">
        <f>IF(ISBLANK(F1519),MODE($F$2:$F$2001),F1519)</f>
        <v>4</v>
      </c>
      <c r="H1519">
        <v>179.62</v>
      </c>
      <c r="I1519">
        <f>IF(ISBLANK(H1519),AVERAGE($H$2:$H$2001),H1519)</f>
        <v>179.62</v>
      </c>
      <c r="J1519">
        <v>0.05</v>
      </c>
      <c r="K1519">
        <f>IF(ISBLANK(J1519),MODE($J$2:$J$2001),J1519)</f>
        <v>0.05</v>
      </c>
      <c r="L1519" t="s">
        <v>1824</v>
      </c>
      <c r="M1519">
        <v>682.55600000000004</v>
      </c>
      <c r="N1519">
        <f t="shared" si="23"/>
        <v>682.55600000000004</v>
      </c>
      <c r="O1519" t="str">
        <f>_xlfn.XLOOKUP(Sales_fact[[#This Row],[Customer_ID]],'Customer_Dim'!A:A,'Customer_Dim'!K:K,"Not Found")</f>
        <v>Bronze</v>
      </c>
      <c r="P1519">
        <f>_xlfn.XLOOKUP(Sales_fact[[#This Row],[Customer_ID]],'Customer_Dim'!A:A, 'Customer_Dim'!E:E, "Not Found")</f>
        <v>62</v>
      </c>
      <c r="Q1519" t="str">
        <f>VLOOKUP(Sales_fact[[#This Row],[Customer_ID]], 'Customer_Dim'!A:F, 6, FALSE)</f>
        <v>Female</v>
      </c>
      <c r="R1519" s="13" t="str">
        <f>_xlfn.XLOOKUP(Sales_fact[[#This Row],[Product_ID]],Product_Dim!A:A,Product_Dim!C:C,"OTHERS")</f>
        <v>Beauty</v>
      </c>
    </row>
    <row r="1520" spans="1:18" x14ac:dyDescent="0.3">
      <c r="A1520" t="s">
        <v>3344</v>
      </c>
      <c r="B1520" s="2">
        <v>45658</v>
      </c>
      <c r="C1520" t="s">
        <v>932</v>
      </c>
      <c r="D1520" t="s">
        <v>1588</v>
      </c>
      <c r="E1520" t="str">
        <f ca="1">TRIM(Sales_fact[[#This Row],[Store_ID]])</f>
        <v>STORE18</v>
      </c>
      <c r="F1520">
        <v>4</v>
      </c>
      <c r="G1520">
        <f>IF(ISBLANK(F1520),MODE($F$2:$F$2001),F1520)</f>
        <v>4</v>
      </c>
      <c r="H1520">
        <v>558.83000000000004</v>
      </c>
      <c r="I1520">
        <f>IF(ISBLANK(H1520),AVERAGE($H$2:$H$2001),H1520)</f>
        <v>558.83000000000004</v>
      </c>
      <c r="J1520">
        <v>0.16</v>
      </c>
      <c r="K1520">
        <f>IF(ISBLANK(J1520),MODE($J$2:$J$2001),J1520)</f>
        <v>0.16</v>
      </c>
      <c r="L1520" t="s">
        <v>1826</v>
      </c>
      <c r="M1520">
        <v>1877.6687999999999</v>
      </c>
      <c r="N1520">
        <f t="shared" si="23"/>
        <v>1877.6688000000001</v>
      </c>
      <c r="O1520" t="str">
        <f>_xlfn.XLOOKUP(Sales_fact[[#This Row],[Customer_ID]],'Customer_Dim'!A:A,'Customer_Dim'!K:K,"Not Found")</f>
        <v>Platinum</v>
      </c>
      <c r="P1520">
        <f>_xlfn.XLOOKUP(Sales_fact[[#This Row],[Customer_ID]],'Customer_Dim'!A:A, 'Customer_Dim'!E:E, "Not Found")</f>
        <v>29</v>
      </c>
      <c r="Q1520" t="str">
        <f>VLOOKUP(Sales_fact[[#This Row],[Customer_ID]], 'Customer_Dim'!A:F, 6, FALSE)</f>
        <v>Male</v>
      </c>
      <c r="R1520" s="13" t="str">
        <f>_xlfn.XLOOKUP(Sales_fact[[#This Row],[Product_ID]],Product_Dim!A:A,Product_Dim!C:C,"OTHERS")</f>
        <v>Sports</v>
      </c>
    </row>
    <row r="1521" spans="1:18" x14ac:dyDescent="0.3">
      <c r="A1521" t="s">
        <v>3345</v>
      </c>
      <c r="B1521" s="2">
        <v>45664</v>
      </c>
      <c r="C1521" t="s">
        <v>568</v>
      </c>
      <c r="D1521" t="s">
        <v>1736</v>
      </c>
      <c r="E1521" t="str">
        <f ca="1">TRIM(Sales_fact[[#This Row],[Store_ID]])</f>
        <v>STORE6</v>
      </c>
      <c r="F1521">
        <v>2</v>
      </c>
      <c r="G1521">
        <f>IF(ISBLANK(F1521),MODE($F$2:$F$2001),F1521)</f>
        <v>2</v>
      </c>
      <c r="H1521">
        <v>859.74</v>
      </c>
      <c r="I1521">
        <f>IF(ISBLANK(H1521),AVERAGE($H$2:$H$2001),H1521)</f>
        <v>859.74</v>
      </c>
      <c r="J1521">
        <v>0.25</v>
      </c>
      <c r="K1521">
        <f>IF(ISBLANK(J1521),MODE($J$2:$J$2001),J1521)</f>
        <v>0.25</v>
      </c>
      <c r="L1521" t="s">
        <v>1829</v>
      </c>
      <c r="M1521">
        <v>1289.6099999999999</v>
      </c>
      <c r="N1521">
        <f t="shared" si="23"/>
        <v>1289.6100000000001</v>
      </c>
      <c r="O1521" t="str">
        <f>_xlfn.XLOOKUP(Sales_fact[[#This Row],[Customer_ID]],'Customer_Dim'!A:A,'Customer_Dim'!K:K,"Not Found")</f>
        <v>Platinum</v>
      </c>
      <c r="P1521">
        <f>_xlfn.XLOOKUP(Sales_fact[[#This Row],[Customer_ID]],'Customer_Dim'!A:A, 'Customer_Dim'!E:E, "Not Found")</f>
        <v>44</v>
      </c>
      <c r="Q1521" t="str">
        <f>VLOOKUP(Sales_fact[[#This Row],[Customer_ID]], 'Customer_Dim'!A:F, 6, FALSE)</f>
        <v>Female</v>
      </c>
      <c r="R1521" s="13" t="str">
        <f>_xlfn.XLOOKUP(Sales_fact[[#This Row],[Product_ID]],Product_Dim!A:A,Product_Dim!C:C,"OTHERS")</f>
        <v>Beauty</v>
      </c>
    </row>
    <row r="1522" spans="1:18" x14ac:dyDescent="0.3">
      <c r="A1522" t="s">
        <v>3346</v>
      </c>
      <c r="B1522" s="2">
        <v>45936</v>
      </c>
      <c r="C1522" t="s">
        <v>375</v>
      </c>
      <c r="D1522" t="s">
        <v>1678</v>
      </c>
      <c r="E1522" t="str">
        <f ca="1">TRIM(Sales_fact[[#This Row],[Store_ID]])</f>
        <v>STORE16</v>
      </c>
      <c r="F1522">
        <v>3</v>
      </c>
      <c r="G1522">
        <f>IF(ISBLANK(F1522),MODE($F$2:$F$2001),F1522)</f>
        <v>3</v>
      </c>
      <c r="H1522">
        <v>578.47</v>
      </c>
      <c r="I1522">
        <f>IF(ISBLANK(H1522),AVERAGE($H$2:$H$2001),H1522)</f>
        <v>578.47</v>
      </c>
      <c r="J1522">
        <v>0.06</v>
      </c>
      <c r="K1522">
        <f>IF(ISBLANK(J1522),MODE($J$2:$J$2001),J1522)</f>
        <v>0.06</v>
      </c>
      <c r="L1522" t="s">
        <v>1829</v>
      </c>
      <c r="M1522">
        <v>1631.2854</v>
      </c>
      <c r="N1522">
        <f t="shared" si="23"/>
        <v>1631.2854</v>
      </c>
      <c r="O1522" t="str">
        <f>_xlfn.XLOOKUP(Sales_fact[[#This Row],[Customer_ID]],'Customer_Dim'!A:A,'Customer_Dim'!K:K,"Not Found")</f>
        <v>Bronze</v>
      </c>
      <c r="P1522">
        <f>_xlfn.XLOOKUP(Sales_fact[[#This Row],[Customer_ID]],'Customer_Dim'!A:A, 'Customer_Dim'!E:E, "Not Found")</f>
        <v>53</v>
      </c>
      <c r="Q1522" t="str">
        <f>VLOOKUP(Sales_fact[[#This Row],[Customer_ID]], 'Customer_Dim'!A:F, 6, FALSE)</f>
        <v>Female</v>
      </c>
      <c r="R1522" s="13" t="str">
        <f>_xlfn.XLOOKUP(Sales_fact[[#This Row],[Product_ID]],Product_Dim!A:A,Product_Dim!C:C,"OTHERS")</f>
        <v>Sports</v>
      </c>
    </row>
    <row r="1523" spans="1:18" x14ac:dyDescent="0.3">
      <c r="A1523" t="s">
        <v>3347</v>
      </c>
      <c r="B1523" s="2">
        <v>45344</v>
      </c>
      <c r="C1523" t="s">
        <v>208</v>
      </c>
      <c r="D1523" t="s">
        <v>1590</v>
      </c>
      <c r="E1523" t="str">
        <f ca="1">TRIM(Sales_fact[[#This Row],[Store_ID]])</f>
        <v>STORE12</v>
      </c>
      <c r="F1523">
        <v>1</v>
      </c>
      <c r="G1523">
        <f>IF(ISBLANK(F1523),MODE($F$2:$F$2001),F1523)</f>
        <v>1</v>
      </c>
      <c r="H1523">
        <v>440.48</v>
      </c>
      <c r="I1523">
        <f>IF(ISBLANK(H1523),AVERAGE($H$2:$H$2001),H1523)</f>
        <v>440.48</v>
      </c>
      <c r="J1523">
        <v>0.11</v>
      </c>
      <c r="K1523">
        <f>IF(ISBLANK(J1523),MODE($J$2:$J$2001),J1523)</f>
        <v>0.11</v>
      </c>
      <c r="L1523" t="s">
        <v>1829</v>
      </c>
      <c r="M1523">
        <v>392.02720000000011</v>
      </c>
      <c r="N1523">
        <f t="shared" si="23"/>
        <v>392.02720000000005</v>
      </c>
      <c r="O1523" t="str">
        <f>_xlfn.XLOOKUP(Sales_fact[[#This Row],[Customer_ID]],'Customer_Dim'!A:A,'Customer_Dim'!K:K,"Not Found")</f>
        <v>Bronze</v>
      </c>
      <c r="P1523">
        <f>_xlfn.XLOOKUP(Sales_fact[[#This Row],[Customer_ID]],'Customer_Dim'!A:A, 'Customer_Dim'!E:E, "Not Found")</f>
        <v>56</v>
      </c>
      <c r="Q1523" t="str">
        <f>VLOOKUP(Sales_fact[[#This Row],[Customer_ID]], 'Customer_Dim'!A:F, 6, FALSE)</f>
        <v>Female</v>
      </c>
      <c r="R1523" s="13" t="str">
        <f>_xlfn.XLOOKUP(Sales_fact[[#This Row],[Product_ID]],Product_Dim!A:A,Product_Dim!C:C,"OTHERS")</f>
        <v>Home</v>
      </c>
    </row>
    <row r="1524" spans="1:18" x14ac:dyDescent="0.3">
      <c r="A1524" t="s">
        <v>3348</v>
      </c>
      <c r="B1524" s="2">
        <v>45329</v>
      </c>
      <c r="C1524" t="s">
        <v>75</v>
      </c>
      <c r="D1524" t="s">
        <v>1580</v>
      </c>
      <c r="E1524" t="str">
        <f ca="1">TRIM(Sales_fact[[#This Row],[Store_ID]])</f>
        <v>STORE19</v>
      </c>
      <c r="F1524">
        <v>2</v>
      </c>
      <c r="G1524">
        <f>IF(ISBLANK(F1524),MODE($F$2:$F$2001),F1524)</f>
        <v>2</v>
      </c>
      <c r="H1524">
        <v>303.67</v>
      </c>
      <c r="I1524">
        <f>IF(ISBLANK(H1524),AVERAGE($H$2:$H$2001),H1524)</f>
        <v>303.67</v>
      </c>
      <c r="J1524">
        <v>0.05</v>
      </c>
      <c r="K1524">
        <f>IF(ISBLANK(J1524),MODE($J$2:$J$2001),J1524)</f>
        <v>0.05</v>
      </c>
      <c r="L1524" t="s">
        <v>1826</v>
      </c>
      <c r="M1524">
        <v>576.97299999999996</v>
      </c>
      <c r="N1524">
        <f t="shared" si="23"/>
        <v>576.97299999999996</v>
      </c>
      <c r="O1524" t="str">
        <f>_xlfn.XLOOKUP(Sales_fact[[#This Row],[Customer_ID]],'Customer_Dim'!A:A,'Customer_Dim'!K:K,"Not Found")</f>
        <v>Bronze</v>
      </c>
      <c r="P1524">
        <f>_xlfn.XLOOKUP(Sales_fact[[#This Row],[Customer_ID]],'Customer_Dim'!A:A, 'Customer_Dim'!E:E, "Not Found")</f>
        <v>24</v>
      </c>
      <c r="Q1524" t="str">
        <f>VLOOKUP(Sales_fact[[#This Row],[Customer_ID]], 'Customer_Dim'!A:F, 6, FALSE)</f>
        <v>Female</v>
      </c>
      <c r="R1524" s="13" t="str">
        <f>_xlfn.XLOOKUP(Sales_fact[[#This Row],[Product_ID]],Product_Dim!A:A,Product_Dim!C:C,"OTHERS")</f>
        <v>OTHERS</v>
      </c>
    </row>
    <row r="1525" spans="1:18" x14ac:dyDescent="0.3">
      <c r="A1525" t="s">
        <v>3349</v>
      </c>
      <c r="B1525" s="2">
        <v>45895</v>
      </c>
      <c r="C1525" t="s">
        <v>1056</v>
      </c>
      <c r="D1525" t="s">
        <v>1696</v>
      </c>
      <c r="E1525" t="str">
        <f ca="1">TRIM(Sales_fact[[#This Row],[Store_ID]])</f>
        <v>STORE14</v>
      </c>
      <c r="F1525">
        <v>2</v>
      </c>
      <c r="G1525">
        <f>IF(ISBLANK(F1525),MODE($F$2:$F$2001),F1525)</f>
        <v>2</v>
      </c>
      <c r="H1525">
        <v>611.21</v>
      </c>
      <c r="I1525">
        <f>IF(ISBLANK(H1525),AVERAGE($H$2:$H$2001),H1525)</f>
        <v>611.21</v>
      </c>
      <c r="J1525">
        <v>0.22</v>
      </c>
      <c r="K1525">
        <f>IF(ISBLANK(J1525),MODE($J$2:$J$2001),J1525)</f>
        <v>0.22</v>
      </c>
      <c r="L1525" t="s">
        <v>1829</v>
      </c>
      <c r="M1525">
        <v>953.48760000000004</v>
      </c>
      <c r="N1525">
        <f t="shared" si="23"/>
        <v>953.48760000000004</v>
      </c>
      <c r="O1525" t="str">
        <f>_xlfn.XLOOKUP(Sales_fact[[#This Row],[Customer_ID]],'Customer_Dim'!A:A,'Customer_Dim'!K:K,"Not Found")</f>
        <v>Silver</v>
      </c>
      <c r="P1525">
        <f>_xlfn.XLOOKUP(Sales_fact[[#This Row],[Customer_ID]],'Customer_Dim'!A:A, 'Customer_Dim'!E:E, "Not Found")</f>
        <v>58</v>
      </c>
      <c r="Q1525" t="str">
        <f>VLOOKUP(Sales_fact[[#This Row],[Customer_ID]], 'Customer_Dim'!A:F, 6, FALSE)</f>
        <v>Female</v>
      </c>
      <c r="R1525" s="13" t="str">
        <f>_xlfn.XLOOKUP(Sales_fact[[#This Row],[Product_ID]],Product_Dim!A:A,Product_Dim!C:C,"OTHERS")</f>
        <v>Electronics</v>
      </c>
    </row>
    <row r="1526" spans="1:18" x14ac:dyDescent="0.3">
      <c r="A1526" t="s">
        <v>3350</v>
      </c>
      <c r="B1526" s="2">
        <v>45239</v>
      </c>
      <c r="C1526" t="s">
        <v>660</v>
      </c>
      <c r="D1526" t="s">
        <v>1626</v>
      </c>
      <c r="E1526" t="str">
        <f ca="1">TRIM(Sales_fact[[#This Row],[Store_ID]])</f>
        <v>STORE15</v>
      </c>
      <c r="F1526">
        <v>2</v>
      </c>
      <c r="G1526">
        <f>IF(ISBLANK(F1526),MODE($F$2:$F$2001),F1526)</f>
        <v>2</v>
      </c>
      <c r="H1526">
        <v>768.08</v>
      </c>
      <c r="I1526">
        <f>IF(ISBLANK(H1526),AVERAGE($H$2:$H$2001),H1526)</f>
        <v>768.08</v>
      </c>
      <c r="J1526">
        <v>0.26</v>
      </c>
      <c r="K1526">
        <f>IF(ISBLANK(J1526),MODE($J$2:$J$2001),J1526)</f>
        <v>0.26</v>
      </c>
      <c r="L1526" t="s">
        <v>1826</v>
      </c>
      <c r="M1526">
        <v>1136.7583999999999</v>
      </c>
      <c r="N1526">
        <f t="shared" si="23"/>
        <v>1136.7583999999999</v>
      </c>
      <c r="O1526" t="str">
        <f>_xlfn.XLOOKUP(Sales_fact[[#This Row],[Customer_ID]],'Customer_Dim'!A:A,'Customer_Dim'!K:K,"Not Found")</f>
        <v>Platinum</v>
      </c>
      <c r="P1526">
        <f>_xlfn.XLOOKUP(Sales_fact[[#This Row],[Customer_ID]],'Customer_Dim'!A:A, 'Customer_Dim'!E:E, "Not Found")</f>
        <v>37</v>
      </c>
      <c r="Q1526" t="str">
        <f>VLOOKUP(Sales_fact[[#This Row],[Customer_ID]], 'Customer_Dim'!A:F, 6, FALSE)</f>
        <v>Female</v>
      </c>
      <c r="R1526" s="13" t="str">
        <f>_xlfn.XLOOKUP(Sales_fact[[#This Row],[Product_ID]],Product_Dim!A:A,Product_Dim!C:C,"OTHERS")</f>
        <v>Electronics</v>
      </c>
    </row>
    <row r="1527" spans="1:18" x14ac:dyDescent="0.3">
      <c r="A1527" t="s">
        <v>3351</v>
      </c>
      <c r="B1527" s="2">
        <v>45296</v>
      </c>
      <c r="C1527" t="s">
        <v>937</v>
      </c>
      <c r="D1527" t="s">
        <v>1594</v>
      </c>
      <c r="E1527" t="str">
        <f ca="1">TRIM(Sales_fact[[#This Row],[Store_ID]])</f>
        <v>STORE18</v>
      </c>
      <c r="F1527">
        <v>1</v>
      </c>
      <c r="G1527">
        <f>IF(ISBLANK(F1527),MODE($F$2:$F$2001),F1527)</f>
        <v>1</v>
      </c>
      <c r="H1527">
        <v>616.82000000000005</v>
      </c>
      <c r="I1527">
        <f>IF(ISBLANK(H1527),AVERAGE($H$2:$H$2001),H1527)</f>
        <v>616.82000000000005</v>
      </c>
      <c r="J1527">
        <v>0.24</v>
      </c>
      <c r="K1527">
        <f>IF(ISBLANK(J1527),MODE($J$2:$J$2001),J1527)</f>
        <v>0.24</v>
      </c>
      <c r="L1527" t="s">
        <v>1824</v>
      </c>
      <c r="M1527">
        <v>468.78320000000002</v>
      </c>
      <c r="N1527">
        <f t="shared" si="23"/>
        <v>468.78320000000002</v>
      </c>
      <c r="O1527" t="str">
        <f>_xlfn.XLOOKUP(Sales_fact[[#This Row],[Customer_ID]],'Customer_Dim'!A:A,'Customer_Dim'!K:K,"Not Found")</f>
        <v>Bronze</v>
      </c>
      <c r="P1527">
        <f>_xlfn.XLOOKUP(Sales_fact[[#This Row],[Customer_ID]],'Customer_Dim'!A:A, 'Customer_Dim'!E:E, "Not Found")</f>
        <v>28</v>
      </c>
      <c r="Q1527" t="str">
        <f>VLOOKUP(Sales_fact[[#This Row],[Customer_ID]], 'Customer_Dim'!A:F, 6, FALSE)</f>
        <v>Female</v>
      </c>
      <c r="R1527" s="13" t="str">
        <f>_xlfn.XLOOKUP(Sales_fact[[#This Row],[Product_ID]],Product_Dim!A:A,Product_Dim!C:C,"OTHERS")</f>
        <v>Clothing</v>
      </c>
    </row>
    <row r="1528" spans="1:18" x14ac:dyDescent="0.3">
      <c r="A1528" t="s">
        <v>3352</v>
      </c>
      <c r="B1528" s="2">
        <v>45672</v>
      </c>
      <c r="C1528" t="s">
        <v>604</v>
      </c>
      <c r="D1528" t="s">
        <v>1628</v>
      </c>
      <c r="E1528" t="str">
        <f ca="1">TRIM(Sales_fact[[#This Row],[Store_ID]])</f>
        <v>STORE18</v>
      </c>
      <c r="F1528">
        <v>1</v>
      </c>
      <c r="G1528">
        <f>IF(ISBLANK(F1528),MODE($F$2:$F$2001),F1528)</f>
        <v>1</v>
      </c>
      <c r="H1528">
        <v>470.34</v>
      </c>
      <c r="I1528">
        <f>IF(ISBLANK(H1528),AVERAGE($H$2:$H$2001),H1528)</f>
        <v>470.34</v>
      </c>
      <c r="J1528">
        <v>0.18</v>
      </c>
      <c r="K1528">
        <f>IF(ISBLANK(J1528),MODE($J$2:$J$2001),J1528)</f>
        <v>0.18</v>
      </c>
      <c r="L1528" t="s">
        <v>1829</v>
      </c>
      <c r="M1528">
        <v>385.67880000000002</v>
      </c>
      <c r="N1528">
        <f t="shared" si="23"/>
        <v>385.67880000000002</v>
      </c>
      <c r="O1528" t="str">
        <f>_xlfn.XLOOKUP(Sales_fact[[#This Row],[Customer_ID]],'Customer_Dim'!A:A,'Customer_Dim'!K:K,"Not Found")</f>
        <v>Platinum</v>
      </c>
      <c r="P1528">
        <f>_xlfn.XLOOKUP(Sales_fact[[#This Row],[Customer_ID]],'Customer_Dim'!A:A, 'Customer_Dim'!E:E, "Not Found")</f>
        <v>18</v>
      </c>
      <c r="Q1528" t="str">
        <f>VLOOKUP(Sales_fact[[#This Row],[Customer_ID]], 'Customer_Dim'!A:F, 6, FALSE)</f>
        <v>Male</v>
      </c>
      <c r="R1528" s="13" t="str">
        <f>_xlfn.XLOOKUP(Sales_fact[[#This Row],[Product_ID]],Product_Dim!A:A,Product_Dim!C:C,"OTHERS")</f>
        <v>Electronics</v>
      </c>
    </row>
    <row r="1529" spans="1:18" x14ac:dyDescent="0.3">
      <c r="A1529" t="s">
        <v>3353</v>
      </c>
      <c r="B1529" s="2">
        <v>45499</v>
      </c>
      <c r="C1529" t="s">
        <v>711</v>
      </c>
      <c r="D1529" t="s">
        <v>1654</v>
      </c>
      <c r="E1529" t="str">
        <f ca="1">TRIM(Sales_fact[[#This Row],[Store_ID]])</f>
        <v>STORE8</v>
      </c>
      <c r="F1529">
        <v>2</v>
      </c>
      <c r="G1529">
        <f>IF(ISBLANK(F1529),MODE($F$2:$F$2001),F1529)</f>
        <v>2</v>
      </c>
      <c r="H1529">
        <v>616.36</v>
      </c>
      <c r="I1529">
        <f>IF(ISBLANK(H1529),AVERAGE($H$2:$H$2001),H1529)</f>
        <v>616.36</v>
      </c>
      <c r="J1529">
        <v>0.12</v>
      </c>
      <c r="K1529">
        <f>IF(ISBLANK(J1529),MODE($J$2:$J$2001),J1529)</f>
        <v>0.12</v>
      </c>
      <c r="L1529" t="s">
        <v>1826</v>
      </c>
      <c r="M1529">
        <v>1084.7936</v>
      </c>
      <c r="N1529">
        <f t="shared" si="23"/>
        <v>1084.7936</v>
      </c>
      <c r="O1529" t="str">
        <f>_xlfn.XLOOKUP(Sales_fact[[#This Row],[Customer_ID]],'Customer_Dim'!A:A,'Customer_Dim'!K:K,"Not Found")</f>
        <v>Gold</v>
      </c>
      <c r="P1529">
        <f>_xlfn.XLOOKUP(Sales_fact[[#This Row],[Customer_ID]],'Customer_Dim'!A:A, 'Customer_Dim'!E:E, "Not Found")</f>
        <v>47</v>
      </c>
      <c r="Q1529" t="str">
        <f>VLOOKUP(Sales_fact[[#This Row],[Customer_ID]], 'Customer_Dim'!A:F, 6, FALSE)</f>
        <v>Female</v>
      </c>
      <c r="R1529" s="13" t="str">
        <f>_xlfn.XLOOKUP(Sales_fact[[#This Row],[Product_ID]],Product_Dim!A:A,Product_Dim!C:C,"OTHERS")</f>
        <v>Clothing</v>
      </c>
    </row>
    <row r="1530" spans="1:18" x14ac:dyDescent="0.3">
      <c r="A1530" t="s">
        <v>3354</v>
      </c>
      <c r="B1530" s="2">
        <v>45434</v>
      </c>
      <c r="C1530" t="s">
        <v>298</v>
      </c>
      <c r="D1530" t="s">
        <v>1551</v>
      </c>
      <c r="E1530" t="str">
        <f ca="1">TRIM(Sales_fact[[#This Row],[Store_ID]])</f>
        <v>STORE9</v>
      </c>
      <c r="F1530">
        <v>3</v>
      </c>
      <c r="G1530">
        <f>IF(ISBLANK(F1530),MODE($F$2:$F$2001),F1530)</f>
        <v>3</v>
      </c>
      <c r="H1530">
        <v>657.24</v>
      </c>
      <c r="I1530">
        <f>IF(ISBLANK(H1530),AVERAGE($H$2:$H$2001),H1530)</f>
        <v>657.24</v>
      </c>
      <c r="J1530">
        <v>0.18</v>
      </c>
      <c r="K1530">
        <f>IF(ISBLANK(J1530),MODE($J$2:$J$2001),J1530)</f>
        <v>0.18</v>
      </c>
      <c r="L1530" t="s">
        <v>1826</v>
      </c>
      <c r="M1530">
        <v>1616.8104000000001</v>
      </c>
      <c r="N1530">
        <f t="shared" si="23"/>
        <v>1616.8104000000001</v>
      </c>
      <c r="O1530" t="str">
        <f>_xlfn.XLOOKUP(Sales_fact[[#This Row],[Customer_ID]],'Customer_Dim'!A:A,'Customer_Dim'!K:K,"Not Found")</f>
        <v>Bronze</v>
      </c>
      <c r="P1530">
        <f>_xlfn.XLOOKUP(Sales_fact[[#This Row],[Customer_ID]],'Customer_Dim'!A:A, 'Customer_Dim'!E:E, "Not Found")</f>
        <v>53</v>
      </c>
      <c r="Q1530" t="str">
        <f>VLOOKUP(Sales_fact[[#This Row],[Customer_ID]], 'Customer_Dim'!A:F, 6, FALSE)</f>
        <v>Male</v>
      </c>
      <c r="R1530" s="13" t="str">
        <f>_xlfn.XLOOKUP(Sales_fact[[#This Row],[Product_ID]],Product_Dim!A:A,Product_Dim!C:C,"OTHERS")</f>
        <v>OTHERS</v>
      </c>
    </row>
    <row r="1531" spans="1:18" x14ac:dyDescent="0.3">
      <c r="A1531" t="s">
        <v>3355</v>
      </c>
      <c r="B1531" s="2">
        <v>45893</v>
      </c>
      <c r="C1531" t="s">
        <v>137</v>
      </c>
      <c r="D1531" t="s">
        <v>1630</v>
      </c>
      <c r="E1531" t="str">
        <f ca="1">TRIM(Sales_fact[[#This Row],[Store_ID]])</f>
        <v>STORE19</v>
      </c>
      <c r="F1531">
        <v>2</v>
      </c>
      <c r="G1531">
        <f>IF(ISBLANK(F1531),MODE($F$2:$F$2001),F1531)</f>
        <v>2</v>
      </c>
      <c r="H1531">
        <v>392.45</v>
      </c>
      <c r="I1531">
        <f>IF(ISBLANK(H1531),AVERAGE($H$2:$H$2001),H1531)</f>
        <v>392.45</v>
      </c>
      <c r="J1531">
        <v>0.04</v>
      </c>
      <c r="K1531">
        <f>IF(ISBLANK(J1531),MODE($J$2:$J$2001),J1531)</f>
        <v>0.04</v>
      </c>
      <c r="L1531" t="s">
        <v>1826</v>
      </c>
      <c r="M1531">
        <v>753.50399999999991</v>
      </c>
      <c r="N1531">
        <f t="shared" si="23"/>
        <v>753.50399999999991</v>
      </c>
      <c r="O1531" t="str">
        <f>_xlfn.XLOOKUP(Sales_fact[[#This Row],[Customer_ID]],'Customer_Dim'!A:A,'Customer_Dim'!K:K,"Not Found")</f>
        <v>Platinum</v>
      </c>
      <c r="P1531">
        <f>_xlfn.XLOOKUP(Sales_fact[[#This Row],[Customer_ID]],'Customer_Dim'!A:A, 'Customer_Dim'!E:E, "Not Found")</f>
        <v>27</v>
      </c>
      <c r="Q1531" t="str">
        <f>VLOOKUP(Sales_fact[[#This Row],[Customer_ID]], 'Customer_Dim'!A:F, 6, FALSE)</f>
        <v>Female</v>
      </c>
      <c r="R1531" s="13" t="str">
        <f>_xlfn.XLOOKUP(Sales_fact[[#This Row],[Product_ID]],Product_Dim!A:A,Product_Dim!C:C,"OTHERS")</f>
        <v>Sports</v>
      </c>
    </row>
    <row r="1532" spans="1:18" x14ac:dyDescent="0.3">
      <c r="A1532" t="s">
        <v>3356</v>
      </c>
      <c r="B1532" s="2">
        <v>45346</v>
      </c>
      <c r="C1532" t="s">
        <v>785</v>
      </c>
      <c r="D1532" t="s">
        <v>1628</v>
      </c>
      <c r="E1532" t="str">
        <f ca="1">TRIM(Sales_fact[[#This Row],[Store_ID]])</f>
        <v>STORE14</v>
      </c>
      <c r="F1532">
        <v>3</v>
      </c>
      <c r="G1532">
        <f>IF(ISBLANK(F1532),MODE($F$2:$F$2001),F1532)</f>
        <v>3</v>
      </c>
      <c r="H1532">
        <v>62.03</v>
      </c>
      <c r="I1532">
        <f>IF(ISBLANK(H1532),AVERAGE($H$2:$H$2001),H1532)</f>
        <v>62.03</v>
      </c>
      <c r="J1532">
        <v>0.01</v>
      </c>
      <c r="K1532">
        <f>IF(ISBLANK(J1532),MODE($J$2:$J$2001),J1532)</f>
        <v>0.01</v>
      </c>
      <c r="L1532" t="s">
        <v>1829</v>
      </c>
      <c r="M1532">
        <v>184.22909999999999</v>
      </c>
      <c r="N1532">
        <f t="shared" si="23"/>
        <v>184.22909999999999</v>
      </c>
      <c r="O1532" t="str">
        <f>_xlfn.XLOOKUP(Sales_fact[[#This Row],[Customer_ID]],'Customer_Dim'!A:A,'Customer_Dim'!K:K,"Not Found")</f>
        <v>Platinum</v>
      </c>
      <c r="P1532">
        <f>_xlfn.XLOOKUP(Sales_fact[[#This Row],[Customer_ID]],'Customer_Dim'!A:A, 'Customer_Dim'!E:E, "Not Found")</f>
        <v>57</v>
      </c>
      <c r="Q1532" t="str">
        <f>VLOOKUP(Sales_fact[[#This Row],[Customer_ID]], 'Customer_Dim'!A:F, 6, FALSE)</f>
        <v>Female</v>
      </c>
      <c r="R1532" s="13" t="str">
        <f>_xlfn.XLOOKUP(Sales_fact[[#This Row],[Product_ID]],Product_Dim!A:A,Product_Dim!C:C,"OTHERS")</f>
        <v>Electronics</v>
      </c>
    </row>
    <row r="1533" spans="1:18" x14ac:dyDescent="0.3">
      <c r="A1533" t="s">
        <v>3357</v>
      </c>
      <c r="B1533" s="2">
        <v>45613</v>
      </c>
      <c r="C1533" t="s">
        <v>332</v>
      </c>
      <c r="D1533" t="s">
        <v>1740</v>
      </c>
      <c r="E1533" t="str">
        <f ca="1">TRIM(Sales_fact[[#This Row],[Store_ID]])</f>
        <v>STORE3</v>
      </c>
      <c r="F1533">
        <v>4</v>
      </c>
      <c r="G1533">
        <f>IF(ISBLANK(F1533),MODE($F$2:$F$2001),F1533)</f>
        <v>4</v>
      </c>
      <c r="H1533">
        <v>933.73</v>
      </c>
      <c r="I1533">
        <f>IF(ISBLANK(H1533),AVERAGE($H$2:$H$2001),H1533)</f>
        <v>933.73</v>
      </c>
      <c r="J1533">
        <v>0.25</v>
      </c>
      <c r="K1533">
        <f>IF(ISBLANK(J1533),MODE($J$2:$J$2001),J1533)</f>
        <v>0.25</v>
      </c>
      <c r="L1533" t="s">
        <v>1826</v>
      </c>
      <c r="M1533">
        <v>2801.19</v>
      </c>
      <c r="N1533">
        <f t="shared" si="23"/>
        <v>2801.19</v>
      </c>
      <c r="O1533" t="str">
        <f>_xlfn.XLOOKUP(Sales_fact[[#This Row],[Customer_ID]],'Customer_Dim'!A:A,'Customer_Dim'!K:K,"Not Found")</f>
        <v>Platinum</v>
      </c>
      <c r="P1533">
        <f>_xlfn.XLOOKUP(Sales_fact[[#This Row],[Customer_ID]],'Customer_Dim'!A:A, 'Customer_Dim'!E:E, "Not Found")</f>
        <v>44</v>
      </c>
      <c r="Q1533" t="str">
        <f>VLOOKUP(Sales_fact[[#This Row],[Customer_ID]], 'Customer_Dim'!A:F, 6, FALSE)</f>
        <v>Female</v>
      </c>
      <c r="R1533" s="13" t="str">
        <f>_xlfn.XLOOKUP(Sales_fact[[#This Row],[Product_ID]],Product_Dim!A:A,Product_Dim!C:C,"OTHERS")</f>
        <v>Clothing</v>
      </c>
    </row>
    <row r="1534" spans="1:18" x14ac:dyDescent="0.3">
      <c r="A1534" t="s">
        <v>3358</v>
      </c>
      <c r="B1534" s="2">
        <v>45928</v>
      </c>
      <c r="C1534" t="s">
        <v>520</v>
      </c>
      <c r="D1534" t="s">
        <v>1718</v>
      </c>
      <c r="E1534" t="str">
        <f ca="1">TRIM(Sales_fact[[#This Row],[Store_ID]])</f>
        <v>STORE16</v>
      </c>
      <c r="F1534">
        <v>3</v>
      </c>
      <c r="G1534">
        <f>IF(ISBLANK(F1534),MODE($F$2:$F$2001),F1534)</f>
        <v>3</v>
      </c>
      <c r="H1534">
        <v>615.30999999999995</v>
      </c>
      <c r="I1534">
        <f>IF(ISBLANK(H1534),AVERAGE($H$2:$H$2001),H1534)</f>
        <v>615.30999999999995</v>
      </c>
      <c r="J1534">
        <v>0.14000000000000001</v>
      </c>
      <c r="K1534">
        <f>IF(ISBLANK(J1534),MODE($J$2:$J$2001),J1534)</f>
        <v>0.14000000000000001</v>
      </c>
      <c r="L1534" t="s">
        <v>1826</v>
      </c>
      <c r="M1534">
        <v>1587.4998000000001</v>
      </c>
      <c r="N1534">
        <f t="shared" si="23"/>
        <v>1587.4997999999998</v>
      </c>
      <c r="O1534" t="str">
        <f>_xlfn.XLOOKUP(Sales_fact[[#This Row],[Customer_ID]],'Customer_Dim'!A:A,'Customer_Dim'!K:K,"Not Found")</f>
        <v>Gold</v>
      </c>
      <c r="P1534">
        <f>_xlfn.XLOOKUP(Sales_fact[[#This Row],[Customer_ID]],'Customer_Dim'!A:A, 'Customer_Dim'!E:E, "Not Found")</f>
        <v>60</v>
      </c>
      <c r="Q1534" t="str">
        <f>VLOOKUP(Sales_fact[[#This Row],[Customer_ID]], 'Customer_Dim'!A:F, 6, FALSE)</f>
        <v>Female</v>
      </c>
      <c r="R1534" s="13" t="str">
        <f>_xlfn.XLOOKUP(Sales_fact[[#This Row],[Product_ID]],Product_Dim!A:A,Product_Dim!C:C,"OTHERS")</f>
        <v>Clothing</v>
      </c>
    </row>
    <row r="1535" spans="1:18" x14ac:dyDescent="0.3">
      <c r="A1535" t="s">
        <v>3359</v>
      </c>
      <c r="B1535" s="2">
        <v>45619</v>
      </c>
      <c r="C1535" t="s">
        <v>1166</v>
      </c>
      <c r="D1535" t="s">
        <v>1666</v>
      </c>
      <c r="E1535" t="str">
        <f ca="1">TRIM(Sales_fact[[#This Row],[Store_ID]])</f>
        <v>STORE18</v>
      </c>
      <c r="F1535">
        <v>4</v>
      </c>
      <c r="G1535">
        <f>IF(ISBLANK(F1535),MODE($F$2:$F$2001),F1535)</f>
        <v>4</v>
      </c>
      <c r="H1535">
        <v>790.38</v>
      </c>
      <c r="I1535">
        <f>IF(ISBLANK(H1535),AVERAGE($H$2:$H$2001),H1535)</f>
        <v>790.38</v>
      </c>
      <c r="J1535">
        <v>0.22</v>
      </c>
      <c r="K1535">
        <f>IF(ISBLANK(J1535),MODE($J$2:$J$2001),J1535)</f>
        <v>0.22</v>
      </c>
      <c r="L1535" t="s">
        <v>1829</v>
      </c>
      <c r="M1535">
        <v>2465.9856</v>
      </c>
      <c r="N1535">
        <f t="shared" si="23"/>
        <v>2465.9856</v>
      </c>
      <c r="O1535" t="str">
        <f>_xlfn.XLOOKUP(Sales_fact[[#This Row],[Customer_ID]],'Customer_Dim'!A:A,'Customer_Dim'!K:K,"Not Found")</f>
        <v>Gold</v>
      </c>
      <c r="P1535">
        <f>_xlfn.XLOOKUP(Sales_fact[[#This Row],[Customer_ID]],'Customer_Dim'!A:A, 'Customer_Dim'!E:E, "Not Found")</f>
        <v>37</v>
      </c>
      <c r="Q1535" t="str">
        <f>VLOOKUP(Sales_fact[[#This Row],[Customer_ID]], 'Customer_Dim'!A:F, 6, FALSE)</f>
        <v>Female</v>
      </c>
      <c r="R1535" s="13" t="str">
        <f>_xlfn.XLOOKUP(Sales_fact[[#This Row],[Product_ID]],Product_Dim!A:A,Product_Dim!C:C,"OTHERS")</f>
        <v>Beauty</v>
      </c>
    </row>
    <row r="1536" spans="1:18" x14ac:dyDescent="0.3">
      <c r="A1536" t="s">
        <v>3360</v>
      </c>
      <c r="B1536" s="2">
        <v>45533</v>
      </c>
      <c r="C1536" t="s">
        <v>857</v>
      </c>
      <c r="D1536" t="s">
        <v>1666</v>
      </c>
      <c r="E1536" t="str">
        <f ca="1">TRIM(Sales_fact[[#This Row],[Store_ID]])</f>
        <v>STORE17</v>
      </c>
      <c r="F1536">
        <v>2</v>
      </c>
      <c r="G1536">
        <f>IF(ISBLANK(F1536),MODE($F$2:$F$2001),F1536)</f>
        <v>2</v>
      </c>
      <c r="H1536">
        <v>102.85</v>
      </c>
      <c r="I1536">
        <f>IF(ISBLANK(H1536),AVERAGE($H$2:$H$2001),H1536)</f>
        <v>102.85</v>
      </c>
      <c r="J1536">
        <v>0.08</v>
      </c>
      <c r="K1536">
        <f>IF(ISBLANK(J1536),MODE($J$2:$J$2001),J1536)</f>
        <v>0.08</v>
      </c>
      <c r="L1536" t="s">
        <v>1826</v>
      </c>
      <c r="M1536">
        <v>189.244</v>
      </c>
      <c r="N1536">
        <f t="shared" si="23"/>
        <v>189.244</v>
      </c>
      <c r="O1536" t="str">
        <f>_xlfn.XLOOKUP(Sales_fact[[#This Row],[Customer_ID]],'Customer_Dim'!A:A,'Customer_Dim'!K:K,"Not Found")</f>
        <v>Silver</v>
      </c>
      <c r="P1536">
        <f>_xlfn.XLOOKUP(Sales_fact[[#This Row],[Customer_ID]],'Customer_Dim'!A:A, 'Customer_Dim'!E:E, "Not Found")</f>
        <v>45</v>
      </c>
      <c r="Q1536" t="str">
        <f>VLOOKUP(Sales_fact[[#This Row],[Customer_ID]], 'Customer_Dim'!A:F, 6, FALSE)</f>
        <v>Female</v>
      </c>
      <c r="R1536" s="13" t="str">
        <f>_xlfn.XLOOKUP(Sales_fact[[#This Row],[Product_ID]],Product_Dim!A:A,Product_Dim!C:C,"OTHERS")</f>
        <v>Beauty</v>
      </c>
    </row>
    <row r="1537" spans="1:18" x14ac:dyDescent="0.3">
      <c r="A1537" t="s">
        <v>3361</v>
      </c>
      <c r="B1537" s="2">
        <v>45781</v>
      </c>
      <c r="C1537" t="s">
        <v>153</v>
      </c>
      <c r="D1537" t="s">
        <v>1570</v>
      </c>
      <c r="E1537" t="str">
        <f ca="1">TRIM(Sales_fact[[#This Row],[Store_ID]])</f>
        <v>STORE16</v>
      </c>
      <c r="F1537">
        <v>3</v>
      </c>
      <c r="G1537">
        <f>IF(ISBLANK(F1537),MODE($F$2:$F$2001),F1537)</f>
        <v>3</v>
      </c>
      <c r="H1537">
        <v>866.78</v>
      </c>
      <c r="I1537">
        <f>IF(ISBLANK(H1537),AVERAGE($H$2:$H$2001),H1537)</f>
        <v>866.78</v>
      </c>
      <c r="J1537">
        <v>0.27</v>
      </c>
      <c r="K1537">
        <f>IF(ISBLANK(J1537),MODE($J$2:$J$2001),J1537)</f>
        <v>0.27</v>
      </c>
      <c r="L1537" t="s">
        <v>1826</v>
      </c>
      <c r="M1537">
        <v>1898.2482</v>
      </c>
      <c r="N1537">
        <f t="shared" si="23"/>
        <v>1898.2482</v>
      </c>
      <c r="O1537" t="str">
        <f>_xlfn.XLOOKUP(Sales_fact[[#This Row],[Customer_ID]],'Customer_Dim'!A:A,'Customer_Dim'!K:K,"Not Found")</f>
        <v>Gold</v>
      </c>
      <c r="P1537">
        <f>_xlfn.XLOOKUP(Sales_fact[[#This Row],[Customer_ID]],'Customer_Dim'!A:A, 'Customer_Dim'!E:E, "Not Found")</f>
        <v>55</v>
      </c>
      <c r="Q1537" t="str">
        <f>VLOOKUP(Sales_fact[[#This Row],[Customer_ID]], 'Customer_Dim'!A:F, 6, FALSE)</f>
        <v>Female</v>
      </c>
      <c r="R1537" s="13" t="str">
        <f>_xlfn.XLOOKUP(Sales_fact[[#This Row],[Product_ID]],Product_Dim!A:A,Product_Dim!C:C,"OTHERS")</f>
        <v>Electronics</v>
      </c>
    </row>
    <row r="1538" spans="1:18" x14ac:dyDescent="0.3">
      <c r="A1538" t="s">
        <v>3362</v>
      </c>
      <c r="B1538" s="2">
        <v>45378</v>
      </c>
      <c r="C1538" t="s">
        <v>678</v>
      </c>
      <c r="D1538" t="s">
        <v>1704</v>
      </c>
      <c r="E1538" t="str">
        <f ca="1">TRIM(Sales_fact[[#This Row],[Store_ID]])</f>
        <v>STORE16</v>
      </c>
      <c r="F1538">
        <v>3</v>
      </c>
      <c r="G1538">
        <f>IF(ISBLANK(F1538),MODE($F$2:$F$2001),F1538)</f>
        <v>3</v>
      </c>
      <c r="H1538">
        <v>392.84</v>
      </c>
      <c r="I1538">
        <f>IF(ISBLANK(H1538),AVERAGE($H$2:$H$2001),H1538)</f>
        <v>392.84</v>
      </c>
      <c r="J1538">
        <v>0.27</v>
      </c>
      <c r="K1538">
        <f>IF(ISBLANK(J1538),MODE($J$2:$J$2001),J1538)</f>
        <v>0.27</v>
      </c>
      <c r="L1538" t="s">
        <v>1826</v>
      </c>
      <c r="M1538">
        <v>860.31959999999992</v>
      </c>
      <c r="N1538">
        <f t="shared" si="23"/>
        <v>860.31959999999992</v>
      </c>
      <c r="O1538" t="str">
        <f>_xlfn.XLOOKUP(Sales_fact[[#This Row],[Customer_ID]],'Customer_Dim'!A:A,'Customer_Dim'!K:K,"Not Found")</f>
        <v>Platinum</v>
      </c>
      <c r="P1538">
        <f>_xlfn.XLOOKUP(Sales_fact[[#This Row],[Customer_ID]],'Customer_Dim'!A:A, 'Customer_Dim'!E:E, "Not Found")</f>
        <v>54</v>
      </c>
      <c r="Q1538" t="str">
        <f>VLOOKUP(Sales_fact[[#This Row],[Customer_ID]], 'Customer_Dim'!A:F, 6, FALSE)</f>
        <v>Male</v>
      </c>
      <c r="R1538" s="13" t="str">
        <f>_xlfn.XLOOKUP(Sales_fact[[#This Row],[Product_ID]],Product_Dim!A:A,Product_Dim!C:C,"OTHERS")</f>
        <v>Home</v>
      </c>
    </row>
    <row r="1539" spans="1:18" x14ac:dyDescent="0.3">
      <c r="A1539" t="s">
        <v>3363</v>
      </c>
      <c r="B1539" s="2">
        <v>45688</v>
      </c>
      <c r="C1539" t="s">
        <v>1017</v>
      </c>
      <c r="D1539" t="s">
        <v>1565</v>
      </c>
      <c r="E1539" t="str">
        <f ca="1">TRIM(Sales_fact[[#This Row],[Store_ID]])</f>
        <v>STORE5</v>
      </c>
      <c r="F1539">
        <v>2</v>
      </c>
      <c r="G1539">
        <f>IF(ISBLANK(F1539),MODE($F$2:$F$2001),F1539)</f>
        <v>2</v>
      </c>
      <c r="H1539">
        <v>753.1</v>
      </c>
      <c r="I1539">
        <f>IF(ISBLANK(H1539),AVERAGE($H$2:$H$2001),H1539)</f>
        <v>753.1</v>
      </c>
      <c r="J1539">
        <v>0.19</v>
      </c>
      <c r="K1539">
        <f>IF(ISBLANK(J1539),MODE($J$2:$J$2001),J1539)</f>
        <v>0.19</v>
      </c>
      <c r="L1539" t="s">
        <v>1826</v>
      </c>
      <c r="M1539">
        <v>1220.0219999999999</v>
      </c>
      <c r="N1539">
        <f t="shared" ref="N1539:N1602" si="24">G1539*I1539*(1-K1539)</f>
        <v>1220.0220000000002</v>
      </c>
      <c r="O1539" t="str">
        <f>_xlfn.XLOOKUP(Sales_fact[[#This Row],[Customer_ID]],'Customer_Dim'!A:A,'Customer_Dim'!K:K,"Not Found")</f>
        <v>Platinum</v>
      </c>
      <c r="P1539">
        <f>_xlfn.XLOOKUP(Sales_fact[[#This Row],[Customer_ID]],'Customer_Dim'!A:A, 'Customer_Dim'!E:E, "Not Found")</f>
        <v>64</v>
      </c>
      <c r="Q1539" t="str">
        <f>VLOOKUP(Sales_fact[[#This Row],[Customer_ID]], 'Customer_Dim'!A:F, 6, FALSE)</f>
        <v>Female</v>
      </c>
      <c r="R1539" s="13" t="str">
        <f>_xlfn.XLOOKUP(Sales_fact[[#This Row],[Product_ID]],Product_Dim!A:A,Product_Dim!C:C,"OTHERS")</f>
        <v>Sports</v>
      </c>
    </row>
    <row r="1540" spans="1:18" x14ac:dyDescent="0.3">
      <c r="A1540" t="s">
        <v>3364</v>
      </c>
      <c r="B1540" s="2">
        <v>45927</v>
      </c>
      <c r="C1540" t="s">
        <v>40</v>
      </c>
      <c r="D1540" t="s">
        <v>1656</v>
      </c>
      <c r="E1540" t="str">
        <f ca="1">TRIM(Sales_fact[[#This Row],[Store_ID]])</f>
        <v>STORE17</v>
      </c>
      <c r="F1540">
        <v>2</v>
      </c>
      <c r="G1540">
        <f>IF(ISBLANK(F1540),MODE($F$2:$F$2001),F1540)</f>
        <v>2</v>
      </c>
      <c r="H1540">
        <v>700.91</v>
      </c>
      <c r="I1540">
        <f>IF(ISBLANK(H1540),AVERAGE($H$2:$H$2001),H1540)</f>
        <v>700.91</v>
      </c>
      <c r="J1540">
        <v>0.1</v>
      </c>
      <c r="K1540">
        <f>IF(ISBLANK(J1540),MODE($J$2:$J$2001),J1540)</f>
        <v>0.1</v>
      </c>
      <c r="L1540" t="s">
        <v>1826</v>
      </c>
      <c r="M1540">
        <v>1261.6379999999999</v>
      </c>
      <c r="N1540">
        <f t="shared" si="24"/>
        <v>1261.6379999999999</v>
      </c>
      <c r="O1540" t="str">
        <f>_xlfn.XLOOKUP(Sales_fact[[#This Row],[Customer_ID]],'Customer_Dim'!A:A,'Customer_Dim'!K:K,"Not Found")</f>
        <v>Bronze</v>
      </c>
      <c r="P1540">
        <f>_xlfn.XLOOKUP(Sales_fact[[#This Row],[Customer_ID]],'Customer_Dim'!A:A, 'Customer_Dim'!E:E, "Not Found")</f>
        <v>29</v>
      </c>
      <c r="Q1540" t="str">
        <f>VLOOKUP(Sales_fact[[#This Row],[Customer_ID]], 'Customer_Dim'!A:F, 6, FALSE)</f>
        <v>Female</v>
      </c>
      <c r="R1540" s="13" t="str">
        <f>_xlfn.XLOOKUP(Sales_fact[[#This Row],[Product_ID]],Product_Dim!A:A,Product_Dim!C:C,"OTHERS")</f>
        <v>Sports</v>
      </c>
    </row>
    <row r="1541" spans="1:18" x14ac:dyDescent="0.3">
      <c r="A1541" t="s">
        <v>3365</v>
      </c>
      <c r="B1541" s="2">
        <v>45775</v>
      </c>
      <c r="C1541" t="s">
        <v>264</v>
      </c>
      <c r="D1541" t="s">
        <v>1578</v>
      </c>
      <c r="E1541" t="str">
        <f ca="1">TRIM(Sales_fact[[#This Row],[Store_ID]])</f>
        <v>STORE12</v>
      </c>
      <c r="F1541">
        <v>4</v>
      </c>
      <c r="G1541">
        <f>IF(ISBLANK(F1541),MODE($F$2:$F$2001),F1541)</f>
        <v>4</v>
      </c>
      <c r="H1541">
        <v>935.98</v>
      </c>
      <c r="I1541">
        <f>IF(ISBLANK(H1541),AVERAGE($H$2:$H$2001),H1541)</f>
        <v>935.98</v>
      </c>
      <c r="J1541">
        <v>0.11</v>
      </c>
      <c r="K1541">
        <f>IF(ISBLANK(J1541),MODE($J$2:$J$2001),J1541)</f>
        <v>0.11</v>
      </c>
      <c r="L1541" t="s">
        <v>1826</v>
      </c>
      <c r="M1541">
        <v>3332.0888</v>
      </c>
      <c r="N1541">
        <f t="shared" si="24"/>
        <v>3332.0888</v>
      </c>
      <c r="O1541" t="str">
        <f>_xlfn.XLOOKUP(Sales_fact[[#This Row],[Customer_ID]],'Customer_Dim'!A:A,'Customer_Dim'!K:K,"Not Found")</f>
        <v>Gold</v>
      </c>
      <c r="P1541">
        <f>_xlfn.XLOOKUP(Sales_fact[[#This Row],[Customer_ID]],'Customer_Dim'!A:A, 'Customer_Dim'!E:E, "Not Found")</f>
        <v>39</v>
      </c>
      <c r="Q1541" t="str">
        <f>VLOOKUP(Sales_fact[[#This Row],[Customer_ID]], 'Customer_Dim'!A:F, 6, FALSE)</f>
        <v>Female</v>
      </c>
      <c r="R1541" s="13" t="str">
        <f>_xlfn.XLOOKUP(Sales_fact[[#This Row],[Product_ID]],Product_Dim!A:A,Product_Dim!C:C,"OTHERS")</f>
        <v>Electronics</v>
      </c>
    </row>
    <row r="1542" spans="1:18" x14ac:dyDescent="0.3">
      <c r="A1542" t="s">
        <v>3366</v>
      </c>
      <c r="B1542" s="2">
        <v>45849</v>
      </c>
      <c r="C1542" t="s">
        <v>1492</v>
      </c>
      <c r="D1542" t="s">
        <v>1700</v>
      </c>
      <c r="E1542" t="str">
        <f ca="1">TRIM(Sales_fact[[#This Row],[Store_ID]])</f>
        <v>STORE16</v>
      </c>
      <c r="F1542">
        <v>1</v>
      </c>
      <c r="G1542">
        <f>IF(ISBLANK(F1542),MODE($F$2:$F$2001),F1542)</f>
        <v>1</v>
      </c>
      <c r="H1542">
        <v>539.9</v>
      </c>
      <c r="I1542">
        <f>IF(ISBLANK(H1542),AVERAGE($H$2:$H$2001),H1542)</f>
        <v>539.9</v>
      </c>
      <c r="J1542">
        <v>7.0000000000000007E-2</v>
      </c>
      <c r="K1542">
        <f>IF(ISBLANK(J1542),MODE($J$2:$J$2001),J1542)</f>
        <v>7.0000000000000007E-2</v>
      </c>
      <c r="L1542" t="s">
        <v>1824</v>
      </c>
      <c r="M1542">
        <v>502.10700000000003</v>
      </c>
      <c r="N1542">
        <f t="shared" si="24"/>
        <v>502.10699999999997</v>
      </c>
      <c r="O1542" t="str">
        <f>_xlfn.XLOOKUP(Sales_fact[[#This Row],[Customer_ID]],'Customer_Dim'!A:A,'Customer_Dim'!K:K,"Not Found")</f>
        <v>Bronze</v>
      </c>
      <c r="P1542">
        <f>_xlfn.XLOOKUP(Sales_fact[[#This Row],[Customer_ID]],'Customer_Dim'!A:A, 'Customer_Dim'!E:E, "Not Found")</f>
        <v>46</v>
      </c>
      <c r="Q1542" t="str">
        <f>VLOOKUP(Sales_fact[[#This Row],[Customer_ID]], 'Customer_Dim'!A:F, 6, FALSE)</f>
        <v>Female</v>
      </c>
      <c r="R1542" s="13" t="str">
        <f>_xlfn.XLOOKUP(Sales_fact[[#This Row],[Product_ID]],Product_Dim!A:A,Product_Dim!C:C,"OTHERS")</f>
        <v>Electronics</v>
      </c>
    </row>
    <row r="1543" spans="1:18" x14ac:dyDescent="0.3">
      <c r="A1543" t="s">
        <v>3367</v>
      </c>
      <c r="B1543" s="2">
        <v>45573</v>
      </c>
      <c r="C1543" t="s">
        <v>568</v>
      </c>
      <c r="D1543" t="s">
        <v>1628</v>
      </c>
      <c r="E1543" t="str">
        <f ca="1">TRIM(Sales_fact[[#This Row],[Store_ID]])</f>
        <v>STORE6</v>
      </c>
      <c r="F1543">
        <v>1</v>
      </c>
      <c r="G1543">
        <f>IF(ISBLANK(F1543),MODE($F$2:$F$2001),F1543)</f>
        <v>1</v>
      </c>
      <c r="H1543">
        <v>312.81</v>
      </c>
      <c r="I1543">
        <f>IF(ISBLANK(H1543),AVERAGE($H$2:$H$2001),H1543)</f>
        <v>312.81</v>
      </c>
      <c r="J1543">
        <v>0.14000000000000001</v>
      </c>
      <c r="K1543">
        <f>IF(ISBLANK(J1543),MODE($J$2:$J$2001),J1543)</f>
        <v>0.14000000000000001</v>
      </c>
      <c r="L1543" t="s">
        <v>1826</v>
      </c>
      <c r="M1543">
        <v>269.01659999999998</v>
      </c>
      <c r="N1543">
        <f t="shared" si="24"/>
        <v>269.01659999999998</v>
      </c>
      <c r="O1543" t="str">
        <f>_xlfn.XLOOKUP(Sales_fact[[#This Row],[Customer_ID]],'Customer_Dim'!A:A,'Customer_Dim'!K:K,"Not Found")</f>
        <v>Platinum</v>
      </c>
      <c r="P1543">
        <f>_xlfn.XLOOKUP(Sales_fact[[#This Row],[Customer_ID]],'Customer_Dim'!A:A, 'Customer_Dim'!E:E, "Not Found")</f>
        <v>44</v>
      </c>
      <c r="Q1543" t="str">
        <f>VLOOKUP(Sales_fact[[#This Row],[Customer_ID]], 'Customer_Dim'!A:F, 6, FALSE)</f>
        <v>Female</v>
      </c>
      <c r="R1543" s="13" t="str">
        <f>_xlfn.XLOOKUP(Sales_fact[[#This Row],[Product_ID]],Product_Dim!A:A,Product_Dim!C:C,"OTHERS")</f>
        <v>Electronics</v>
      </c>
    </row>
    <row r="1544" spans="1:18" x14ac:dyDescent="0.3">
      <c r="A1544" t="s">
        <v>3368</v>
      </c>
      <c r="B1544" s="2">
        <v>45356</v>
      </c>
      <c r="C1544" t="s">
        <v>797</v>
      </c>
      <c r="D1544" t="s">
        <v>1644</v>
      </c>
      <c r="E1544" t="str">
        <f ca="1">TRIM(Sales_fact[[#This Row],[Store_ID]])</f>
        <v>STORE7</v>
      </c>
      <c r="F1544">
        <v>3</v>
      </c>
      <c r="G1544">
        <f>IF(ISBLANK(F1544),MODE($F$2:$F$2001),F1544)</f>
        <v>3</v>
      </c>
      <c r="H1544">
        <v>855.96</v>
      </c>
      <c r="I1544">
        <f>IF(ISBLANK(H1544),AVERAGE($H$2:$H$2001),H1544)</f>
        <v>855.96</v>
      </c>
      <c r="J1544">
        <v>0.28999999999999998</v>
      </c>
      <c r="K1544">
        <f>IF(ISBLANK(J1544),MODE($J$2:$J$2001),J1544)</f>
        <v>0.28999999999999998</v>
      </c>
      <c r="L1544" t="s">
        <v>1829</v>
      </c>
      <c r="M1544">
        <v>1823.1948</v>
      </c>
      <c r="N1544">
        <f t="shared" si="24"/>
        <v>1823.1948</v>
      </c>
      <c r="O1544" t="str">
        <f>_xlfn.XLOOKUP(Sales_fact[[#This Row],[Customer_ID]],'Customer_Dim'!A:A,'Customer_Dim'!K:K,"Not Found")</f>
        <v>Gold</v>
      </c>
      <c r="P1544">
        <f>_xlfn.XLOOKUP(Sales_fact[[#This Row],[Customer_ID]],'Customer_Dim'!A:A, 'Customer_Dim'!E:E, "Not Found")</f>
        <v>41</v>
      </c>
      <c r="Q1544" t="str">
        <f>VLOOKUP(Sales_fact[[#This Row],[Customer_ID]], 'Customer_Dim'!A:F, 6, FALSE)</f>
        <v>Female</v>
      </c>
      <c r="R1544" s="13" t="str">
        <f>_xlfn.XLOOKUP(Sales_fact[[#This Row],[Product_ID]],Product_Dim!A:A,Product_Dim!C:C,"OTHERS")</f>
        <v>Electronics</v>
      </c>
    </row>
    <row r="1545" spans="1:18" x14ac:dyDescent="0.3">
      <c r="A1545" t="s">
        <v>3369</v>
      </c>
      <c r="B1545" s="2">
        <v>45326</v>
      </c>
      <c r="C1545" t="s">
        <v>1112</v>
      </c>
      <c r="D1545" t="s">
        <v>1546</v>
      </c>
      <c r="E1545" t="str">
        <f ca="1">TRIM(Sales_fact[[#This Row],[Store_ID]])</f>
        <v>STORE11</v>
      </c>
      <c r="F1545">
        <v>3</v>
      </c>
      <c r="G1545">
        <f>IF(ISBLANK(F1545),MODE($F$2:$F$2001),F1545)</f>
        <v>3</v>
      </c>
      <c r="H1545">
        <v>305</v>
      </c>
      <c r="I1545">
        <f>IF(ISBLANK(H1545),AVERAGE($H$2:$H$2001),H1545)</f>
        <v>305</v>
      </c>
      <c r="J1545">
        <v>0.01</v>
      </c>
      <c r="K1545">
        <f>IF(ISBLANK(J1545),MODE($J$2:$J$2001),J1545)</f>
        <v>0.01</v>
      </c>
      <c r="L1545" t="s">
        <v>1829</v>
      </c>
      <c r="M1545">
        <v>905.85</v>
      </c>
      <c r="N1545">
        <f t="shared" si="24"/>
        <v>905.85</v>
      </c>
      <c r="O1545" t="str">
        <f>_xlfn.XLOOKUP(Sales_fact[[#This Row],[Customer_ID]],'Customer_Dim'!A:A,'Customer_Dim'!K:K,"Not Found")</f>
        <v>Gold</v>
      </c>
      <c r="P1545">
        <f>_xlfn.XLOOKUP(Sales_fact[[#This Row],[Customer_ID]],'Customer_Dim'!A:A, 'Customer_Dim'!E:E, "Not Found")</f>
        <v>20</v>
      </c>
      <c r="Q1545" t="str">
        <f>VLOOKUP(Sales_fact[[#This Row],[Customer_ID]], 'Customer_Dim'!A:F, 6, FALSE)</f>
        <v>Male</v>
      </c>
      <c r="R1545" s="13" t="str">
        <f>_xlfn.XLOOKUP(Sales_fact[[#This Row],[Product_ID]],Product_Dim!A:A,Product_Dim!C:C,"OTHERS")</f>
        <v>Clothing</v>
      </c>
    </row>
    <row r="1546" spans="1:18" x14ac:dyDescent="0.3">
      <c r="A1546" t="s">
        <v>3370</v>
      </c>
      <c r="B1546" s="2">
        <v>45361</v>
      </c>
      <c r="C1546" t="s">
        <v>1443</v>
      </c>
      <c r="D1546" t="s">
        <v>1746</v>
      </c>
      <c r="E1546" t="str">
        <f ca="1">TRIM(Sales_fact[[#This Row],[Store_ID]])</f>
        <v>STORE12</v>
      </c>
      <c r="F1546">
        <v>3</v>
      </c>
      <c r="G1546">
        <f>IF(ISBLANK(F1546),MODE($F$2:$F$2001),F1546)</f>
        <v>3</v>
      </c>
      <c r="H1546">
        <v>831.15</v>
      </c>
      <c r="I1546">
        <f>IF(ISBLANK(H1546),AVERAGE($H$2:$H$2001),H1546)</f>
        <v>831.15</v>
      </c>
      <c r="J1546">
        <v>0.19</v>
      </c>
      <c r="K1546">
        <f>IF(ISBLANK(J1546),MODE($J$2:$J$2001),J1546)</f>
        <v>0.19</v>
      </c>
      <c r="L1546" t="s">
        <v>1824</v>
      </c>
      <c r="M1546">
        <v>2019.6945000000001</v>
      </c>
      <c r="N1546">
        <f t="shared" si="24"/>
        <v>2019.6945000000001</v>
      </c>
      <c r="O1546" t="str">
        <f>_xlfn.XLOOKUP(Sales_fact[[#This Row],[Customer_ID]],'Customer_Dim'!A:A,'Customer_Dim'!K:K,"Not Found")</f>
        <v>Bronze</v>
      </c>
      <c r="P1546">
        <f>_xlfn.XLOOKUP(Sales_fact[[#This Row],[Customer_ID]],'Customer_Dim'!A:A, 'Customer_Dim'!E:E, "Not Found")</f>
        <v>45</v>
      </c>
      <c r="Q1546" t="str">
        <f>VLOOKUP(Sales_fact[[#This Row],[Customer_ID]], 'Customer_Dim'!A:F, 6, FALSE)</f>
        <v>Male</v>
      </c>
      <c r="R1546" s="13" t="str">
        <f>_xlfn.XLOOKUP(Sales_fact[[#This Row],[Product_ID]],Product_Dim!A:A,Product_Dim!C:C,"OTHERS")</f>
        <v>Home</v>
      </c>
    </row>
    <row r="1547" spans="1:18" x14ac:dyDescent="0.3">
      <c r="A1547" t="s">
        <v>3371</v>
      </c>
      <c r="B1547" s="2">
        <v>45926</v>
      </c>
      <c r="C1547" t="s">
        <v>675</v>
      </c>
      <c r="D1547" t="s">
        <v>1740</v>
      </c>
      <c r="E1547" t="str">
        <f ca="1">TRIM(Sales_fact[[#This Row],[Store_ID]])</f>
        <v>STORE3</v>
      </c>
      <c r="F1547">
        <v>2</v>
      </c>
      <c r="G1547">
        <f>IF(ISBLANK(F1547),MODE($F$2:$F$2001),F1547)</f>
        <v>2</v>
      </c>
      <c r="H1547">
        <v>644.97</v>
      </c>
      <c r="I1547">
        <f>IF(ISBLANK(H1547),AVERAGE($H$2:$H$2001),H1547)</f>
        <v>644.97</v>
      </c>
      <c r="J1547">
        <v>0.24</v>
      </c>
      <c r="K1547">
        <f>IF(ISBLANK(J1547),MODE($J$2:$J$2001),J1547)</f>
        <v>0.24</v>
      </c>
      <c r="L1547" t="s">
        <v>1829</v>
      </c>
      <c r="M1547">
        <v>980.35440000000006</v>
      </c>
      <c r="N1547">
        <f t="shared" si="24"/>
        <v>980.35440000000006</v>
      </c>
      <c r="O1547" t="str">
        <f>_xlfn.XLOOKUP(Sales_fact[[#This Row],[Customer_ID]],'Customer_Dim'!A:A,'Customer_Dim'!K:K,"Not Found")</f>
        <v>Bronze</v>
      </c>
      <c r="P1547">
        <f>_xlfn.XLOOKUP(Sales_fact[[#This Row],[Customer_ID]],'Customer_Dim'!A:A, 'Customer_Dim'!E:E, "Not Found")</f>
        <v>28</v>
      </c>
      <c r="Q1547" t="str">
        <f>VLOOKUP(Sales_fact[[#This Row],[Customer_ID]], 'Customer_Dim'!A:F, 6, FALSE)</f>
        <v>Female</v>
      </c>
      <c r="R1547" s="13" t="str">
        <f>_xlfn.XLOOKUP(Sales_fact[[#This Row],[Product_ID]],Product_Dim!A:A,Product_Dim!C:C,"OTHERS")</f>
        <v>Clothing</v>
      </c>
    </row>
    <row r="1548" spans="1:18" x14ac:dyDescent="0.3">
      <c r="A1548" t="s">
        <v>3372</v>
      </c>
      <c r="B1548" s="2">
        <v>45839</v>
      </c>
      <c r="C1548" t="s">
        <v>341</v>
      </c>
      <c r="D1548" t="s">
        <v>1724</v>
      </c>
      <c r="E1548" t="str">
        <f ca="1">TRIM(Sales_fact[[#This Row],[Store_ID]])</f>
        <v>STORE1</v>
      </c>
      <c r="F1548">
        <v>1</v>
      </c>
      <c r="G1548">
        <f>IF(ISBLANK(F1548),MODE($F$2:$F$2001),F1548)</f>
        <v>1</v>
      </c>
      <c r="H1548">
        <v>149.56</v>
      </c>
      <c r="I1548">
        <f>IF(ISBLANK(H1548),AVERAGE($H$2:$H$2001),H1548)</f>
        <v>149.56</v>
      </c>
      <c r="J1548">
        <v>0.09</v>
      </c>
      <c r="K1548">
        <f>IF(ISBLANK(J1548),MODE($J$2:$J$2001),J1548)</f>
        <v>0.09</v>
      </c>
      <c r="L1548" t="s">
        <v>1824</v>
      </c>
      <c r="M1548">
        <v>136.09960000000001</v>
      </c>
      <c r="N1548">
        <f t="shared" si="24"/>
        <v>136.09960000000001</v>
      </c>
      <c r="O1548" t="str">
        <f>_xlfn.XLOOKUP(Sales_fact[[#This Row],[Customer_ID]],'Customer_Dim'!A:A,'Customer_Dim'!K:K,"Not Found")</f>
        <v>Platinum</v>
      </c>
      <c r="P1548">
        <f>_xlfn.XLOOKUP(Sales_fact[[#This Row],[Customer_ID]],'Customer_Dim'!A:A, 'Customer_Dim'!E:E, "Not Found")</f>
        <v>62</v>
      </c>
      <c r="Q1548" t="str">
        <f>VLOOKUP(Sales_fact[[#This Row],[Customer_ID]], 'Customer_Dim'!A:F, 6, FALSE)</f>
        <v>Female</v>
      </c>
      <c r="R1548" s="13" t="str">
        <f>_xlfn.XLOOKUP(Sales_fact[[#This Row],[Product_ID]],Product_Dim!A:A,Product_Dim!C:C,"OTHERS")</f>
        <v>Sports</v>
      </c>
    </row>
    <row r="1549" spans="1:18" x14ac:dyDescent="0.3">
      <c r="A1549" t="s">
        <v>3373</v>
      </c>
      <c r="B1549" s="2">
        <v>45434</v>
      </c>
      <c r="C1549" t="s">
        <v>705</v>
      </c>
      <c r="D1549" t="s">
        <v>1634</v>
      </c>
      <c r="E1549" t="str">
        <f ca="1">TRIM(Sales_fact[[#This Row],[Store_ID]])</f>
        <v>STORE19</v>
      </c>
      <c r="F1549">
        <v>1</v>
      </c>
      <c r="G1549">
        <f>IF(ISBLANK(F1549),MODE($F$2:$F$2001),F1549)</f>
        <v>1</v>
      </c>
      <c r="H1549">
        <v>661.77</v>
      </c>
      <c r="I1549">
        <f>IF(ISBLANK(H1549),AVERAGE($H$2:$H$2001),H1549)</f>
        <v>661.77</v>
      </c>
      <c r="J1549">
        <v>0.03</v>
      </c>
      <c r="K1549">
        <f>IF(ISBLANK(J1549),MODE($J$2:$J$2001),J1549)</f>
        <v>0.03</v>
      </c>
      <c r="L1549" t="s">
        <v>1826</v>
      </c>
      <c r="M1549">
        <v>641.91689999999994</v>
      </c>
      <c r="N1549">
        <f t="shared" si="24"/>
        <v>641.91689999999994</v>
      </c>
      <c r="O1549" t="str">
        <f>_xlfn.XLOOKUP(Sales_fact[[#This Row],[Customer_ID]],'Customer_Dim'!A:A,'Customer_Dim'!K:K,"Not Found")</f>
        <v>Silver</v>
      </c>
      <c r="P1549">
        <f>_xlfn.XLOOKUP(Sales_fact[[#This Row],[Customer_ID]],'Customer_Dim'!A:A, 'Customer_Dim'!E:E, "Not Found")</f>
        <v>42</v>
      </c>
      <c r="Q1549" t="str">
        <f>VLOOKUP(Sales_fact[[#This Row],[Customer_ID]], 'Customer_Dim'!A:F, 6, FALSE)</f>
        <v>Male</v>
      </c>
      <c r="R1549" s="13" t="str">
        <f>_xlfn.XLOOKUP(Sales_fact[[#This Row],[Product_ID]],Product_Dim!A:A,Product_Dim!C:C,"OTHERS")</f>
        <v>Electronics</v>
      </c>
    </row>
    <row r="1550" spans="1:18" x14ac:dyDescent="0.3">
      <c r="A1550" t="s">
        <v>3374</v>
      </c>
      <c r="B1550" s="2">
        <v>45819</v>
      </c>
      <c r="C1550" t="s">
        <v>381</v>
      </c>
      <c r="D1550" t="s">
        <v>1736</v>
      </c>
      <c r="E1550" t="str">
        <f ca="1">TRIM(Sales_fact[[#This Row],[Store_ID]])</f>
        <v>STORE7</v>
      </c>
      <c r="F1550">
        <v>3</v>
      </c>
      <c r="G1550">
        <f>IF(ISBLANK(F1550),MODE($F$2:$F$2001),F1550)</f>
        <v>3</v>
      </c>
      <c r="H1550">
        <v>99.67</v>
      </c>
      <c r="I1550">
        <f>IF(ISBLANK(H1550),AVERAGE($H$2:$H$2001),H1550)</f>
        <v>99.67</v>
      </c>
      <c r="J1550">
        <v>0.17</v>
      </c>
      <c r="K1550">
        <f>IF(ISBLANK(J1550),MODE($J$2:$J$2001),J1550)</f>
        <v>0.17</v>
      </c>
      <c r="L1550" t="s">
        <v>1824</v>
      </c>
      <c r="M1550">
        <v>248.17830000000001</v>
      </c>
      <c r="N1550">
        <f t="shared" si="24"/>
        <v>248.17829999999998</v>
      </c>
      <c r="O1550" t="str">
        <f>_xlfn.XLOOKUP(Sales_fact[[#This Row],[Customer_ID]],'Customer_Dim'!A:A,'Customer_Dim'!K:K,"Not Found")</f>
        <v>Bronze</v>
      </c>
      <c r="P1550">
        <f>_xlfn.XLOOKUP(Sales_fact[[#This Row],[Customer_ID]],'Customer_Dim'!A:A, 'Customer_Dim'!E:E, "Not Found")</f>
        <v>38</v>
      </c>
      <c r="Q1550" t="str">
        <f>VLOOKUP(Sales_fact[[#This Row],[Customer_ID]], 'Customer_Dim'!A:F, 6, FALSE)</f>
        <v>Male</v>
      </c>
      <c r="R1550" s="13" t="str">
        <f>_xlfn.XLOOKUP(Sales_fact[[#This Row],[Product_ID]],Product_Dim!A:A,Product_Dim!C:C,"OTHERS")</f>
        <v>Beauty</v>
      </c>
    </row>
    <row r="1551" spans="1:18" x14ac:dyDescent="0.3">
      <c r="A1551" t="s">
        <v>3375</v>
      </c>
      <c r="B1551" s="2">
        <v>45553</v>
      </c>
      <c r="C1551" t="s">
        <v>716</v>
      </c>
      <c r="D1551" t="s">
        <v>1672</v>
      </c>
      <c r="E1551" t="str">
        <f ca="1">TRIM(Sales_fact[[#This Row],[Store_ID]])</f>
        <v>STORE1</v>
      </c>
      <c r="F1551">
        <v>3</v>
      </c>
      <c r="G1551">
        <f>IF(ISBLANK(F1551),MODE($F$2:$F$2001),F1551)</f>
        <v>3</v>
      </c>
      <c r="H1551">
        <v>103.66</v>
      </c>
      <c r="I1551">
        <f>IF(ISBLANK(H1551),AVERAGE($H$2:$H$2001),H1551)</f>
        <v>103.66</v>
      </c>
      <c r="J1551">
        <v>0.26</v>
      </c>
      <c r="K1551">
        <f>IF(ISBLANK(J1551),MODE($J$2:$J$2001),J1551)</f>
        <v>0.26</v>
      </c>
      <c r="L1551" t="s">
        <v>1829</v>
      </c>
      <c r="M1551">
        <v>230.12520000000001</v>
      </c>
      <c r="N1551">
        <f t="shared" si="24"/>
        <v>230.12520000000001</v>
      </c>
      <c r="O1551" t="str">
        <f>_xlfn.XLOOKUP(Sales_fact[[#This Row],[Customer_ID]],'Customer_Dim'!A:A,'Customer_Dim'!K:K,"Not Found")</f>
        <v>Platinum</v>
      </c>
      <c r="P1551">
        <f>_xlfn.XLOOKUP(Sales_fact[[#This Row],[Customer_ID]],'Customer_Dim'!A:A, 'Customer_Dim'!E:E, "Not Found")</f>
        <v>38</v>
      </c>
      <c r="Q1551" t="str">
        <f>VLOOKUP(Sales_fact[[#This Row],[Customer_ID]], 'Customer_Dim'!A:F, 6, FALSE)</f>
        <v>Male</v>
      </c>
      <c r="R1551" s="13" t="str">
        <f>_xlfn.XLOOKUP(Sales_fact[[#This Row],[Product_ID]],Product_Dim!A:A,Product_Dim!C:C,"OTHERS")</f>
        <v>Electronics</v>
      </c>
    </row>
    <row r="1552" spans="1:18" x14ac:dyDescent="0.3">
      <c r="A1552" t="s">
        <v>3376</v>
      </c>
      <c r="B1552" s="2">
        <v>45258</v>
      </c>
      <c r="C1552" t="s">
        <v>1352</v>
      </c>
      <c r="D1552" t="s">
        <v>1628</v>
      </c>
      <c r="E1552" t="str">
        <f ca="1">TRIM(Sales_fact[[#This Row],[Store_ID]])</f>
        <v>STORE2</v>
      </c>
      <c r="F1552">
        <v>4</v>
      </c>
      <c r="G1552">
        <f>IF(ISBLANK(F1552),MODE($F$2:$F$2001),F1552)</f>
        <v>4</v>
      </c>
      <c r="H1552">
        <v>54.4</v>
      </c>
      <c r="I1552">
        <f>IF(ISBLANK(H1552),AVERAGE($H$2:$H$2001),H1552)</f>
        <v>54.4</v>
      </c>
      <c r="J1552">
        <v>0.22</v>
      </c>
      <c r="K1552">
        <f>IF(ISBLANK(J1552),MODE($J$2:$J$2001),J1552)</f>
        <v>0.22</v>
      </c>
      <c r="L1552" t="s">
        <v>1824</v>
      </c>
      <c r="M1552">
        <v>169.72800000000001</v>
      </c>
      <c r="N1552">
        <f t="shared" si="24"/>
        <v>169.72800000000001</v>
      </c>
      <c r="O1552" t="str">
        <f>_xlfn.XLOOKUP(Sales_fact[[#This Row],[Customer_ID]],'Customer_Dim'!A:A,'Customer_Dim'!K:K,"Not Found")</f>
        <v>Gold</v>
      </c>
      <c r="P1552">
        <f>_xlfn.XLOOKUP(Sales_fact[[#This Row],[Customer_ID]],'Customer_Dim'!A:A, 'Customer_Dim'!E:E, "Not Found")</f>
        <v>61</v>
      </c>
      <c r="Q1552" t="str">
        <f>VLOOKUP(Sales_fact[[#This Row],[Customer_ID]], 'Customer_Dim'!A:F, 6, FALSE)</f>
        <v>Male</v>
      </c>
      <c r="R1552" s="13" t="str">
        <f>_xlfn.XLOOKUP(Sales_fact[[#This Row],[Product_ID]],Product_Dim!A:A,Product_Dim!C:C,"OTHERS")</f>
        <v>Electronics</v>
      </c>
    </row>
    <row r="1553" spans="1:18" x14ac:dyDescent="0.3">
      <c r="A1553" t="s">
        <v>3377</v>
      </c>
      <c r="B1553" s="2">
        <v>45435</v>
      </c>
      <c r="C1553" t="s">
        <v>1507</v>
      </c>
      <c r="D1553" t="s">
        <v>1716</v>
      </c>
      <c r="E1553" t="str">
        <f ca="1">TRIM(Sales_fact[[#This Row],[Store_ID]])</f>
        <v>STORE14</v>
      </c>
      <c r="F1553">
        <v>1</v>
      </c>
      <c r="G1553">
        <f>IF(ISBLANK(F1553),MODE($F$2:$F$2001),F1553)</f>
        <v>1</v>
      </c>
      <c r="H1553">
        <v>46.66</v>
      </c>
      <c r="I1553">
        <f>IF(ISBLANK(H1553),AVERAGE($H$2:$H$2001),H1553)</f>
        <v>46.66</v>
      </c>
      <c r="J1553">
        <v>0.2</v>
      </c>
      <c r="K1553">
        <f>IF(ISBLANK(J1553),MODE($J$2:$J$2001),J1553)</f>
        <v>0.2</v>
      </c>
      <c r="L1553" t="s">
        <v>1824</v>
      </c>
      <c r="M1553">
        <v>37.328000000000003</v>
      </c>
      <c r="N1553">
        <f t="shared" si="24"/>
        <v>37.327999999999996</v>
      </c>
      <c r="O1553" t="str">
        <f>_xlfn.XLOOKUP(Sales_fact[[#This Row],[Customer_ID]],'Customer_Dim'!A:A,'Customer_Dim'!K:K,"Not Found")</f>
        <v>Platinum</v>
      </c>
      <c r="P1553">
        <f>_xlfn.XLOOKUP(Sales_fact[[#This Row],[Customer_ID]],'Customer_Dim'!A:A, 'Customer_Dim'!E:E, "Not Found")</f>
        <v>23</v>
      </c>
      <c r="Q1553" t="str">
        <f>VLOOKUP(Sales_fact[[#This Row],[Customer_ID]], 'Customer_Dim'!A:F, 6, FALSE)</f>
        <v>Male</v>
      </c>
      <c r="R1553" s="13" t="str">
        <f>_xlfn.XLOOKUP(Sales_fact[[#This Row],[Product_ID]],Product_Dim!A:A,Product_Dim!C:C,"OTHERS")</f>
        <v>Home</v>
      </c>
    </row>
    <row r="1554" spans="1:18" x14ac:dyDescent="0.3">
      <c r="A1554" t="s">
        <v>3378</v>
      </c>
      <c r="B1554" s="2">
        <v>45447</v>
      </c>
      <c r="C1554" t="s">
        <v>40</v>
      </c>
      <c r="D1554" t="s">
        <v>1694</v>
      </c>
      <c r="E1554" t="str">
        <f ca="1">TRIM(Sales_fact[[#This Row],[Store_ID]])</f>
        <v>STORE11</v>
      </c>
      <c r="F1554">
        <v>4</v>
      </c>
      <c r="G1554">
        <f>IF(ISBLANK(F1554),MODE($F$2:$F$2001),F1554)</f>
        <v>4</v>
      </c>
      <c r="H1554">
        <v>871.2</v>
      </c>
      <c r="I1554">
        <f>IF(ISBLANK(H1554),AVERAGE($H$2:$H$2001),H1554)</f>
        <v>871.2</v>
      </c>
      <c r="J1554">
        <v>0.28999999999999998</v>
      </c>
      <c r="K1554">
        <f>IF(ISBLANK(J1554),MODE($J$2:$J$2001),J1554)</f>
        <v>0.28999999999999998</v>
      </c>
      <c r="L1554" t="s">
        <v>1824</v>
      </c>
      <c r="M1554">
        <v>2474.2080000000001</v>
      </c>
      <c r="N1554">
        <f t="shared" si="24"/>
        <v>2474.2080000000001</v>
      </c>
      <c r="O1554" t="str">
        <f>_xlfn.XLOOKUP(Sales_fact[[#This Row],[Customer_ID]],'Customer_Dim'!A:A,'Customer_Dim'!K:K,"Not Found")</f>
        <v>Bronze</v>
      </c>
      <c r="P1554">
        <f>_xlfn.XLOOKUP(Sales_fact[[#This Row],[Customer_ID]],'Customer_Dim'!A:A, 'Customer_Dim'!E:E, "Not Found")</f>
        <v>29</v>
      </c>
      <c r="Q1554" t="str">
        <f>VLOOKUP(Sales_fact[[#This Row],[Customer_ID]], 'Customer_Dim'!A:F, 6, FALSE)</f>
        <v>Female</v>
      </c>
      <c r="R1554" s="13" t="str">
        <f>_xlfn.XLOOKUP(Sales_fact[[#This Row],[Product_ID]],Product_Dim!A:A,Product_Dim!C:C,"OTHERS")</f>
        <v>Sports</v>
      </c>
    </row>
    <row r="1555" spans="1:18" x14ac:dyDescent="0.3">
      <c r="A1555" t="s">
        <v>3379</v>
      </c>
      <c r="B1555" s="2">
        <v>45724</v>
      </c>
      <c r="C1555" t="s">
        <v>1184</v>
      </c>
      <c r="D1555" t="s">
        <v>1584</v>
      </c>
      <c r="E1555" t="str">
        <f ca="1">TRIM(Sales_fact[[#This Row],[Store_ID]])</f>
        <v>STORE14</v>
      </c>
      <c r="F1555">
        <v>4</v>
      </c>
      <c r="G1555">
        <f>IF(ISBLANK(F1555),MODE($F$2:$F$2001),F1555)</f>
        <v>4</v>
      </c>
      <c r="H1555">
        <v>317.11</v>
      </c>
      <c r="I1555">
        <f>IF(ISBLANK(H1555),AVERAGE($H$2:$H$2001),H1555)</f>
        <v>317.11</v>
      </c>
      <c r="J1555">
        <v>0.16</v>
      </c>
      <c r="K1555">
        <f>IF(ISBLANK(J1555),MODE($J$2:$J$2001),J1555)</f>
        <v>0.16</v>
      </c>
      <c r="L1555" t="s">
        <v>1826</v>
      </c>
      <c r="M1555">
        <v>1065.4896000000001</v>
      </c>
      <c r="N1555">
        <f t="shared" si="24"/>
        <v>1065.4896000000001</v>
      </c>
      <c r="O1555" t="str">
        <f>_xlfn.XLOOKUP(Sales_fact[[#This Row],[Customer_ID]],'Customer_Dim'!A:A,'Customer_Dim'!K:K,"Not Found")</f>
        <v>Gold</v>
      </c>
      <c r="P1555">
        <f>_xlfn.XLOOKUP(Sales_fact[[#This Row],[Customer_ID]],'Customer_Dim'!A:A, 'Customer_Dim'!E:E, "Not Found")</f>
        <v>34</v>
      </c>
      <c r="Q1555" t="str">
        <f>VLOOKUP(Sales_fact[[#This Row],[Customer_ID]], 'Customer_Dim'!A:F, 6, FALSE)</f>
        <v>Female</v>
      </c>
      <c r="R1555" s="13" t="str">
        <f>_xlfn.XLOOKUP(Sales_fact[[#This Row],[Product_ID]],Product_Dim!A:A,Product_Dim!C:C,"OTHERS")</f>
        <v>Clothing</v>
      </c>
    </row>
    <row r="1556" spans="1:18" x14ac:dyDescent="0.3">
      <c r="A1556" t="s">
        <v>3380</v>
      </c>
      <c r="B1556" s="2">
        <v>45338</v>
      </c>
      <c r="C1556" t="s">
        <v>824</v>
      </c>
      <c r="D1556" t="s">
        <v>1598</v>
      </c>
      <c r="E1556" t="str">
        <f ca="1">TRIM(Sales_fact[[#This Row],[Store_ID]])</f>
        <v>STORE13</v>
      </c>
      <c r="F1556">
        <v>2</v>
      </c>
      <c r="G1556">
        <f>IF(ISBLANK(F1556),MODE($F$2:$F$2001),F1556)</f>
        <v>2</v>
      </c>
      <c r="H1556">
        <v>388.34</v>
      </c>
      <c r="I1556">
        <f>IF(ISBLANK(H1556),AVERAGE($H$2:$H$2001),H1556)</f>
        <v>388.34</v>
      </c>
      <c r="J1556">
        <v>0.09</v>
      </c>
      <c r="K1556">
        <f>IF(ISBLANK(J1556),MODE($J$2:$J$2001),J1556)</f>
        <v>0.09</v>
      </c>
      <c r="L1556" t="s">
        <v>1826</v>
      </c>
      <c r="M1556">
        <v>706.77879999999993</v>
      </c>
      <c r="N1556">
        <f t="shared" si="24"/>
        <v>706.77879999999993</v>
      </c>
      <c r="O1556" t="str">
        <f>_xlfn.XLOOKUP(Sales_fact[[#This Row],[Customer_ID]],'Customer_Dim'!A:A,'Customer_Dim'!K:K,"Not Found")</f>
        <v>Platinum</v>
      </c>
      <c r="P1556">
        <f>_xlfn.XLOOKUP(Sales_fact[[#This Row],[Customer_ID]],'Customer_Dim'!A:A, 'Customer_Dim'!E:E, "Not Found")</f>
        <v>24</v>
      </c>
      <c r="Q1556" t="str">
        <f>VLOOKUP(Sales_fact[[#This Row],[Customer_ID]], 'Customer_Dim'!A:F, 6, FALSE)</f>
        <v>Female</v>
      </c>
      <c r="R1556" s="13" t="str">
        <f>_xlfn.XLOOKUP(Sales_fact[[#This Row],[Product_ID]],Product_Dim!A:A,Product_Dim!C:C,"OTHERS")</f>
        <v>Clothing</v>
      </c>
    </row>
    <row r="1557" spans="1:18" x14ac:dyDescent="0.3">
      <c r="A1557" t="s">
        <v>3381</v>
      </c>
      <c r="B1557" s="2">
        <v>45252</v>
      </c>
      <c r="C1557" t="s">
        <v>1005</v>
      </c>
      <c r="D1557" t="s">
        <v>1608</v>
      </c>
      <c r="E1557" t="str">
        <f ca="1">TRIM(Sales_fact[[#This Row],[Store_ID]])</f>
        <v>STORE6</v>
      </c>
      <c r="F1557">
        <v>4</v>
      </c>
      <c r="G1557">
        <f>IF(ISBLANK(F1557),MODE($F$2:$F$2001),F1557)</f>
        <v>4</v>
      </c>
      <c r="H1557">
        <v>998.2</v>
      </c>
      <c r="I1557">
        <f>IF(ISBLANK(H1557),AVERAGE($H$2:$H$2001),H1557)</f>
        <v>998.2</v>
      </c>
      <c r="J1557">
        <v>0.15</v>
      </c>
      <c r="K1557">
        <f>IF(ISBLANK(J1557),MODE($J$2:$J$2001),J1557)</f>
        <v>0.15</v>
      </c>
      <c r="L1557" t="s">
        <v>1824</v>
      </c>
      <c r="M1557">
        <v>3393.88</v>
      </c>
      <c r="N1557">
        <f t="shared" si="24"/>
        <v>3393.88</v>
      </c>
      <c r="O1557" t="str">
        <f>_xlfn.XLOOKUP(Sales_fact[[#This Row],[Customer_ID]],'Customer_Dim'!A:A,'Customer_Dim'!K:K,"Not Found")</f>
        <v>Platinum</v>
      </c>
      <c r="P1557">
        <f>_xlfn.XLOOKUP(Sales_fact[[#This Row],[Customer_ID]],'Customer_Dim'!A:A, 'Customer_Dim'!E:E, "Not Found")</f>
        <v>54</v>
      </c>
      <c r="Q1557" t="str">
        <f>VLOOKUP(Sales_fact[[#This Row],[Customer_ID]], 'Customer_Dim'!A:F, 6, FALSE)</f>
        <v>Male</v>
      </c>
      <c r="R1557" s="13" t="str">
        <f>_xlfn.XLOOKUP(Sales_fact[[#This Row],[Product_ID]],Product_Dim!A:A,Product_Dim!C:C,"OTHERS")</f>
        <v>Home</v>
      </c>
    </row>
    <row r="1558" spans="1:18" x14ac:dyDescent="0.3">
      <c r="A1558" t="s">
        <v>3382</v>
      </c>
      <c r="B1558" s="2">
        <v>45606</v>
      </c>
      <c r="C1558" t="s">
        <v>1516</v>
      </c>
      <c r="D1558" t="s">
        <v>1620</v>
      </c>
      <c r="E1558" t="str">
        <f ca="1">TRIM(Sales_fact[[#This Row],[Store_ID]])</f>
        <v>STORE0</v>
      </c>
      <c r="F1558">
        <v>1</v>
      </c>
      <c r="G1558">
        <f>IF(ISBLANK(F1558),MODE($F$2:$F$2001),F1558)</f>
        <v>1</v>
      </c>
      <c r="H1558">
        <v>887.38</v>
      </c>
      <c r="I1558">
        <f>IF(ISBLANK(H1558),AVERAGE($H$2:$H$2001),H1558)</f>
        <v>887.38</v>
      </c>
      <c r="J1558">
        <v>0.01</v>
      </c>
      <c r="K1558">
        <f>IF(ISBLANK(J1558),MODE($J$2:$J$2001),J1558)</f>
        <v>0.01</v>
      </c>
      <c r="L1558" t="s">
        <v>1829</v>
      </c>
      <c r="M1558">
        <v>878.50620000000004</v>
      </c>
      <c r="N1558">
        <f t="shared" si="24"/>
        <v>878.50620000000004</v>
      </c>
      <c r="O1558" t="str">
        <f>_xlfn.XLOOKUP(Sales_fact[[#This Row],[Customer_ID]],'Customer_Dim'!A:A,'Customer_Dim'!K:K,"Not Found")</f>
        <v>Silver</v>
      </c>
      <c r="P1558">
        <f>_xlfn.XLOOKUP(Sales_fact[[#This Row],[Customer_ID]],'Customer_Dim'!A:A, 'Customer_Dim'!E:E, "Not Found")</f>
        <v>28</v>
      </c>
      <c r="Q1558" t="str">
        <f>VLOOKUP(Sales_fact[[#This Row],[Customer_ID]], 'Customer_Dim'!A:F, 6, FALSE)</f>
        <v>Male</v>
      </c>
      <c r="R1558" s="13" t="str">
        <f>_xlfn.XLOOKUP(Sales_fact[[#This Row],[Product_ID]],Product_Dim!A:A,Product_Dim!C:C,"OTHERS")</f>
        <v>Clothing</v>
      </c>
    </row>
    <row r="1559" spans="1:18" x14ac:dyDescent="0.3">
      <c r="A1559" t="s">
        <v>3383</v>
      </c>
      <c r="B1559" s="2">
        <v>45524</v>
      </c>
      <c r="C1559" t="s">
        <v>984</v>
      </c>
      <c r="D1559" t="s">
        <v>1622</v>
      </c>
      <c r="E1559" t="str">
        <f ca="1">TRIM(Sales_fact[[#This Row],[Store_ID]])</f>
        <v>STORE12</v>
      </c>
      <c r="F1559">
        <v>4</v>
      </c>
      <c r="G1559">
        <f>IF(ISBLANK(F1559),MODE($F$2:$F$2001),F1559)</f>
        <v>4</v>
      </c>
      <c r="H1559">
        <v>332.97</v>
      </c>
      <c r="I1559">
        <f>IF(ISBLANK(H1559),AVERAGE($H$2:$H$2001),H1559)</f>
        <v>332.97</v>
      </c>
      <c r="J1559">
        <v>0.28000000000000003</v>
      </c>
      <c r="K1559">
        <f>IF(ISBLANK(J1559),MODE($J$2:$J$2001),J1559)</f>
        <v>0.28000000000000003</v>
      </c>
      <c r="L1559" t="s">
        <v>1824</v>
      </c>
      <c r="M1559">
        <v>958.95360000000005</v>
      </c>
      <c r="N1559">
        <f t="shared" si="24"/>
        <v>958.95360000000005</v>
      </c>
      <c r="O1559" t="str">
        <f>_xlfn.XLOOKUP(Sales_fact[[#This Row],[Customer_ID]],'Customer_Dim'!A:A,'Customer_Dim'!K:K,"Not Found")</f>
        <v>Silver</v>
      </c>
      <c r="P1559">
        <f>_xlfn.XLOOKUP(Sales_fact[[#This Row],[Customer_ID]],'Customer_Dim'!A:A, 'Customer_Dim'!E:E, "Not Found")</f>
        <v>47</v>
      </c>
      <c r="Q1559" t="str">
        <f>VLOOKUP(Sales_fact[[#This Row],[Customer_ID]], 'Customer_Dim'!A:F, 6, FALSE)</f>
        <v>Female</v>
      </c>
      <c r="R1559" s="13" t="str">
        <f>_xlfn.XLOOKUP(Sales_fact[[#This Row],[Product_ID]],Product_Dim!A:A,Product_Dim!C:C,"OTHERS")</f>
        <v>Clothing</v>
      </c>
    </row>
    <row r="1560" spans="1:18" x14ac:dyDescent="0.3">
      <c r="A1560" t="s">
        <v>3384</v>
      </c>
      <c r="B1560" s="2">
        <v>45934</v>
      </c>
      <c r="C1560" t="s">
        <v>93</v>
      </c>
      <c r="D1560" t="s">
        <v>1640</v>
      </c>
      <c r="E1560" t="str">
        <f ca="1">TRIM(Sales_fact[[#This Row],[Store_ID]])</f>
        <v>STORE0</v>
      </c>
      <c r="F1560">
        <v>2</v>
      </c>
      <c r="G1560">
        <f>IF(ISBLANK(F1560),MODE($F$2:$F$2001),F1560)</f>
        <v>2</v>
      </c>
      <c r="H1560">
        <v>157.91</v>
      </c>
      <c r="I1560">
        <f>IF(ISBLANK(H1560),AVERAGE($H$2:$H$2001),H1560)</f>
        <v>157.91</v>
      </c>
      <c r="J1560">
        <v>0.09</v>
      </c>
      <c r="K1560">
        <f>IF(ISBLANK(J1560),MODE($J$2:$J$2001),J1560)</f>
        <v>0.09</v>
      </c>
      <c r="L1560" t="s">
        <v>1829</v>
      </c>
      <c r="M1560">
        <v>287.39620000000002</v>
      </c>
      <c r="N1560">
        <f t="shared" si="24"/>
        <v>287.39620000000002</v>
      </c>
      <c r="O1560" t="str">
        <f>_xlfn.XLOOKUP(Sales_fact[[#This Row],[Customer_ID]],'Customer_Dim'!A:A,'Customer_Dim'!K:K,"Not Found")</f>
        <v>Gold</v>
      </c>
      <c r="P1560">
        <f>_xlfn.XLOOKUP(Sales_fact[[#This Row],[Customer_ID]],'Customer_Dim'!A:A, 'Customer_Dim'!E:E, "Not Found")</f>
        <v>36</v>
      </c>
      <c r="Q1560" t="str">
        <f>VLOOKUP(Sales_fact[[#This Row],[Customer_ID]], 'Customer_Dim'!A:F, 6, FALSE)</f>
        <v>Female</v>
      </c>
      <c r="R1560" s="13" t="str">
        <f>_xlfn.XLOOKUP(Sales_fact[[#This Row],[Product_ID]],Product_Dim!A:A,Product_Dim!C:C,"OTHERS")</f>
        <v>Clothing</v>
      </c>
    </row>
    <row r="1561" spans="1:18" x14ac:dyDescent="0.3">
      <c r="A1561" t="s">
        <v>3385</v>
      </c>
      <c r="B1561" s="2">
        <v>45539</v>
      </c>
      <c r="C1561" t="s">
        <v>1115</v>
      </c>
      <c r="D1561" t="s">
        <v>1572</v>
      </c>
      <c r="E1561" t="str">
        <f ca="1">TRIM(Sales_fact[[#This Row],[Store_ID]])</f>
        <v>STORE18</v>
      </c>
      <c r="F1561">
        <v>1</v>
      </c>
      <c r="G1561">
        <f>IF(ISBLANK(F1561),MODE($F$2:$F$2001),F1561)</f>
        <v>1</v>
      </c>
      <c r="H1561">
        <v>548.15</v>
      </c>
      <c r="I1561">
        <f>IF(ISBLANK(H1561),AVERAGE($H$2:$H$2001),H1561)</f>
        <v>548.15</v>
      </c>
      <c r="J1561">
        <v>0.11</v>
      </c>
      <c r="K1561">
        <f>IF(ISBLANK(J1561),MODE($J$2:$J$2001),J1561)</f>
        <v>0.11</v>
      </c>
      <c r="L1561" t="s">
        <v>1824</v>
      </c>
      <c r="M1561">
        <v>487.8535</v>
      </c>
      <c r="N1561">
        <f t="shared" si="24"/>
        <v>487.8535</v>
      </c>
      <c r="O1561" t="str">
        <f>_xlfn.XLOOKUP(Sales_fact[[#This Row],[Customer_ID]],'Customer_Dim'!A:A,'Customer_Dim'!K:K,"Not Found")</f>
        <v>Bronze</v>
      </c>
      <c r="P1561">
        <f>_xlfn.XLOOKUP(Sales_fact[[#This Row],[Customer_ID]],'Customer_Dim'!A:A, 'Customer_Dim'!E:E, "Not Found")</f>
        <v>54</v>
      </c>
      <c r="Q1561" t="str">
        <f>VLOOKUP(Sales_fact[[#This Row],[Customer_ID]], 'Customer_Dim'!A:F, 6, FALSE)</f>
        <v>Male</v>
      </c>
      <c r="R1561" s="13" t="str">
        <f>_xlfn.XLOOKUP(Sales_fact[[#This Row],[Product_ID]],Product_Dim!A:A,Product_Dim!C:C,"OTHERS")</f>
        <v>Beauty</v>
      </c>
    </row>
    <row r="1562" spans="1:18" x14ac:dyDescent="0.3">
      <c r="A1562" t="s">
        <v>3386</v>
      </c>
      <c r="B1562" s="2">
        <v>45555</v>
      </c>
      <c r="C1562" t="s">
        <v>681</v>
      </c>
      <c r="D1562" t="s">
        <v>1644</v>
      </c>
      <c r="E1562" t="str">
        <f ca="1">TRIM(Sales_fact[[#This Row],[Store_ID]])</f>
        <v>STORE15</v>
      </c>
      <c r="F1562">
        <v>1</v>
      </c>
      <c r="G1562">
        <f>IF(ISBLANK(F1562),MODE($F$2:$F$2001),F1562)</f>
        <v>1</v>
      </c>
      <c r="H1562">
        <v>135.13</v>
      </c>
      <c r="I1562">
        <f>IF(ISBLANK(H1562),AVERAGE($H$2:$H$2001),H1562)</f>
        <v>135.13</v>
      </c>
      <c r="J1562">
        <v>0.04</v>
      </c>
      <c r="K1562">
        <f>IF(ISBLANK(J1562),MODE($J$2:$J$2001),J1562)</f>
        <v>0.04</v>
      </c>
      <c r="L1562" t="s">
        <v>1824</v>
      </c>
      <c r="M1562">
        <v>129.72479999999999</v>
      </c>
      <c r="N1562">
        <f t="shared" si="24"/>
        <v>129.72479999999999</v>
      </c>
      <c r="O1562" t="str">
        <f>_xlfn.XLOOKUP(Sales_fact[[#This Row],[Customer_ID]],'Customer_Dim'!A:A,'Customer_Dim'!K:K,"Not Found")</f>
        <v>Platinum</v>
      </c>
      <c r="P1562">
        <f>_xlfn.XLOOKUP(Sales_fact[[#This Row],[Customer_ID]],'Customer_Dim'!A:A, 'Customer_Dim'!E:E, "Not Found")</f>
        <v>50</v>
      </c>
      <c r="Q1562" t="str">
        <f>VLOOKUP(Sales_fact[[#This Row],[Customer_ID]], 'Customer_Dim'!A:F, 6, FALSE)</f>
        <v>Female</v>
      </c>
      <c r="R1562" s="13" t="str">
        <f>_xlfn.XLOOKUP(Sales_fact[[#This Row],[Product_ID]],Product_Dim!A:A,Product_Dim!C:C,"OTHERS")</f>
        <v>Electronics</v>
      </c>
    </row>
    <row r="1563" spans="1:18" x14ac:dyDescent="0.3">
      <c r="A1563" t="s">
        <v>3387</v>
      </c>
      <c r="B1563" s="2">
        <v>45281</v>
      </c>
      <c r="C1563" t="s">
        <v>711</v>
      </c>
      <c r="D1563" t="s">
        <v>1660</v>
      </c>
      <c r="E1563" t="str">
        <f ca="1">TRIM(Sales_fact[[#This Row],[Store_ID]])</f>
        <v>STORE3</v>
      </c>
      <c r="F1563">
        <v>3</v>
      </c>
      <c r="G1563">
        <f>IF(ISBLANK(F1563),MODE($F$2:$F$2001),F1563)</f>
        <v>3</v>
      </c>
      <c r="H1563">
        <v>579.26</v>
      </c>
      <c r="I1563">
        <f>IF(ISBLANK(H1563),AVERAGE($H$2:$H$2001),H1563)</f>
        <v>579.26</v>
      </c>
      <c r="J1563">
        <v>0.19</v>
      </c>
      <c r="K1563">
        <f>IF(ISBLANK(J1563),MODE($J$2:$J$2001),J1563)</f>
        <v>0.19</v>
      </c>
      <c r="L1563" t="s">
        <v>1824</v>
      </c>
      <c r="M1563">
        <v>1407.6017999999999</v>
      </c>
      <c r="N1563">
        <f t="shared" si="24"/>
        <v>1407.6018000000001</v>
      </c>
      <c r="O1563" t="str">
        <f>_xlfn.XLOOKUP(Sales_fact[[#This Row],[Customer_ID]],'Customer_Dim'!A:A,'Customer_Dim'!K:K,"Not Found")</f>
        <v>Gold</v>
      </c>
      <c r="P1563">
        <f>_xlfn.XLOOKUP(Sales_fact[[#This Row],[Customer_ID]],'Customer_Dim'!A:A, 'Customer_Dim'!E:E, "Not Found")</f>
        <v>47</v>
      </c>
      <c r="Q1563" t="str">
        <f>VLOOKUP(Sales_fact[[#This Row],[Customer_ID]], 'Customer_Dim'!A:F, 6, FALSE)</f>
        <v>Female</v>
      </c>
      <c r="R1563" s="13" t="str">
        <f>_xlfn.XLOOKUP(Sales_fact[[#This Row],[Product_ID]],Product_Dim!A:A,Product_Dim!C:C,"OTHERS")</f>
        <v>Home</v>
      </c>
    </row>
    <row r="1564" spans="1:18" x14ac:dyDescent="0.3">
      <c r="A1564" t="s">
        <v>3388</v>
      </c>
      <c r="B1564" s="2">
        <v>45582</v>
      </c>
      <c r="C1564" t="s">
        <v>1214</v>
      </c>
      <c r="D1564" t="s">
        <v>1582</v>
      </c>
      <c r="E1564" t="str">
        <f ca="1">TRIM(Sales_fact[[#This Row],[Store_ID]])</f>
        <v>STORE0</v>
      </c>
      <c r="F1564">
        <v>1</v>
      </c>
      <c r="G1564">
        <f>IF(ISBLANK(F1564),MODE($F$2:$F$2001),F1564)</f>
        <v>1</v>
      </c>
      <c r="H1564">
        <v>465.63</v>
      </c>
      <c r="I1564">
        <f>IF(ISBLANK(H1564),AVERAGE($H$2:$H$2001),H1564)</f>
        <v>465.63</v>
      </c>
      <c r="J1564">
        <v>0.25</v>
      </c>
      <c r="K1564">
        <f>IF(ISBLANK(J1564),MODE($J$2:$J$2001),J1564)</f>
        <v>0.25</v>
      </c>
      <c r="L1564" t="s">
        <v>1824</v>
      </c>
      <c r="M1564">
        <v>349.22250000000003</v>
      </c>
      <c r="N1564">
        <f t="shared" si="24"/>
        <v>349.22249999999997</v>
      </c>
      <c r="O1564" t="str">
        <f>_xlfn.XLOOKUP(Sales_fact[[#This Row],[Customer_ID]],'Customer_Dim'!A:A,'Customer_Dim'!K:K,"Not Found")</f>
        <v>Platinum</v>
      </c>
      <c r="P1564">
        <f>_xlfn.XLOOKUP(Sales_fact[[#This Row],[Customer_ID]],'Customer_Dim'!A:A, 'Customer_Dim'!E:E, "Not Found")</f>
        <v>50</v>
      </c>
      <c r="Q1564" t="str">
        <f>VLOOKUP(Sales_fact[[#This Row],[Customer_ID]], 'Customer_Dim'!A:F, 6, FALSE)</f>
        <v>Male</v>
      </c>
      <c r="R1564" s="13" t="str">
        <f>_xlfn.XLOOKUP(Sales_fact[[#This Row],[Product_ID]],Product_Dim!A:A,Product_Dim!C:C,"OTHERS")</f>
        <v>Sports</v>
      </c>
    </row>
    <row r="1565" spans="1:18" x14ac:dyDescent="0.3">
      <c r="A1565" t="s">
        <v>3389</v>
      </c>
      <c r="B1565" s="2">
        <v>45372</v>
      </c>
      <c r="C1565" t="s">
        <v>181</v>
      </c>
      <c r="D1565" t="s">
        <v>1700</v>
      </c>
      <c r="E1565" t="str">
        <f ca="1">TRIM(Sales_fact[[#This Row],[Store_ID]])</f>
        <v>STORE16</v>
      </c>
      <c r="F1565">
        <v>2</v>
      </c>
      <c r="G1565">
        <f>IF(ISBLANK(F1565),MODE($F$2:$F$2001),F1565)</f>
        <v>2</v>
      </c>
      <c r="H1565">
        <v>675.61</v>
      </c>
      <c r="I1565">
        <f>IF(ISBLANK(H1565),AVERAGE($H$2:$H$2001),H1565)</f>
        <v>675.61</v>
      </c>
      <c r="J1565">
        <v>0.08</v>
      </c>
      <c r="K1565">
        <f>IF(ISBLANK(J1565),MODE($J$2:$J$2001),J1565)</f>
        <v>0.08</v>
      </c>
      <c r="L1565" t="s">
        <v>1829</v>
      </c>
      <c r="M1565">
        <v>1243.1224</v>
      </c>
      <c r="N1565">
        <f t="shared" si="24"/>
        <v>1243.1224</v>
      </c>
      <c r="O1565" t="str">
        <f>_xlfn.XLOOKUP(Sales_fact[[#This Row],[Customer_ID]],'Customer_Dim'!A:A,'Customer_Dim'!K:K,"Not Found")</f>
        <v>Silver</v>
      </c>
      <c r="P1565">
        <f>_xlfn.XLOOKUP(Sales_fact[[#This Row],[Customer_ID]],'Customer_Dim'!A:A, 'Customer_Dim'!E:E, "Not Found")</f>
        <v>54</v>
      </c>
      <c r="Q1565" t="str">
        <f>VLOOKUP(Sales_fact[[#This Row],[Customer_ID]], 'Customer_Dim'!A:F, 6, FALSE)</f>
        <v>Female</v>
      </c>
      <c r="R1565" s="13" t="str">
        <f>_xlfn.XLOOKUP(Sales_fact[[#This Row],[Product_ID]],Product_Dim!A:A,Product_Dim!C:C,"OTHERS")</f>
        <v>Electronics</v>
      </c>
    </row>
    <row r="1566" spans="1:18" x14ac:dyDescent="0.3">
      <c r="A1566" t="s">
        <v>3390</v>
      </c>
      <c r="B1566" s="2">
        <v>45458</v>
      </c>
      <c r="C1566" t="s">
        <v>1292</v>
      </c>
      <c r="D1566" t="s">
        <v>1614</v>
      </c>
      <c r="E1566" t="str">
        <f ca="1">TRIM(Sales_fact[[#This Row],[Store_ID]])</f>
        <v>STORE6</v>
      </c>
      <c r="F1566">
        <v>1</v>
      </c>
      <c r="G1566">
        <f>IF(ISBLANK(F1566),MODE($F$2:$F$2001),F1566)</f>
        <v>1</v>
      </c>
      <c r="H1566">
        <v>718.99</v>
      </c>
      <c r="I1566">
        <f>IF(ISBLANK(H1566),AVERAGE($H$2:$H$2001),H1566)</f>
        <v>718.99</v>
      </c>
      <c r="J1566">
        <v>0.08</v>
      </c>
      <c r="K1566">
        <f>IF(ISBLANK(J1566),MODE($J$2:$J$2001),J1566)</f>
        <v>0.08</v>
      </c>
      <c r="L1566" t="s">
        <v>1826</v>
      </c>
      <c r="M1566">
        <v>661.47080000000005</v>
      </c>
      <c r="N1566">
        <f t="shared" si="24"/>
        <v>661.47080000000005</v>
      </c>
      <c r="O1566" t="str">
        <f>_xlfn.XLOOKUP(Sales_fact[[#This Row],[Customer_ID]],'Customer_Dim'!A:A,'Customer_Dim'!K:K,"Not Found")</f>
        <v>Platinum</v>
      </c>
      <c r="P1566">
        <f>_xlfn.XLOOKUP(Sales_fact[[#This Row],[Customer_ID]],'Customer_Dim'!A:A, 'Customer_Dim'!E:E, "Not Found")</f>
        <v>46</v>
      </c>
      <c r="Q1566" t="str">
        <f>VLOOKUP(Sales_fact[[#This Row],[Customer_ID]], 'Customer_Dim'!A:F, 6, FALSE)</f>
        <v>Male</v>
      </c>
      <c r="R1566" s="13" t="str">
        <f>_xlfn.XLOOKUP(Sales_fact[[#This Row],[Product_ID]],Product_Dim!A:A,Product_Dim!C:C,"OTHERS")</f>
        <v>Home</v>
      </c>
    </row>
    <row r="1567" spans="1:18" x14ac:dyDescent="0.3">
      <c r="A1567" t="s">
        <v>3391</v>
      </c>
      <c r="B1567" s="2">
        <v>45943</v>
      </c>
      <c r="C1567" t="s">
        <v>1175</v>
      </c>
      <c r="D1567" t="s">
        <v>1576</v>
      </c>
      <c r="E1567" t="str">
        <f ca="1">TRIM(Sales_fact[[#This Row],[Store_ID]])</f>
        <v>STORE10</v>
      </c>
      <c r="F1567">
        <v>2</v>
      </c>
      <c r="G1567">
        <f>IF(ISBLANK(F1567),MODE($F$2:$F$2001),F1567)</f>
        <v>2</v>
      </c>
      <c r="H1567">
        <v>675.65</v>
      </c>
      <c r="I1567">
        <f>IF(ISBLANK(H1567),AVERAGE($H$2:$H$2001),H1567)</f>
        <v>675.65</v>
      </c>
      <c r="J1567">
        <v>0.2</v>
      </c>
      <c r="K1567">
        <f>IF(ISBLANK(J1567),MODE($J$2:$J$2001),J1567)</f>
        <v>0.2</v>
      </c>
      <c r="L1567" t="s">
        <v>1829</v>
      </c>
      <c r="M1567">
        <v>1081.04</v>
      </c>
      <c r="N1567">
        <f t="shared" si="24"/>
        <v>1081.04</v>
      </c>
      <c r="O1567" t="str">
        <f>_xlfn.XLOOKUP(Sales_fact[[#This Row],[Customer_ID]],'Customer_Dim'!A:A,'Customer_Dim'!K:K,"Not Found")</f>
        <v>Bronze</v>
      </c>
      <c r="P1567">
        <f>_xlfn.XLOOKUP(Sales_fact[[#This Row],[Customer_ID]],'Customer_Dim'!A:A, 'Customer_Dim'!E:E, "Not Found")</f>
        <v>30</v>
      </c>
      <c r="Q1567" t="str">
        <f>VLOOKUP(Sales_fact[[#This Row],[Customer_ID]], 'Customer_Dim'!A:F, 6, FALSE)</f>
        <v>Male</v>
      </c>
      <c r="R1567" s="13" t="str">
        <f>_xlfn.XLOOKUP(Sales_fact[[#This Row],[Product_ID]],Product_Dim!A:A,Product_Dim!C:C,"OTHERS")</f>
        <v>Home</v>
      </c>
    </row>
    <row r="1568" spans="1:18" x14ac:dyDescent="0.3">
      <c r="A1568" t="s">
        <v>3392</v>
      </c>
      <c r="B1568" s="2">
        <v>45374</v>
      </c>
      <c r="C1568" t="s">
        <v>1056</v>
      </c>
      <c r="D1568" t="s">
        <v>1738</v>
      </c>
      <c r="E1568" t="str">
        <f ca="1">TRIM(Sales_fact[[#This Row],[Store_ID]])</f>
        <v>STORE15</v>
      </c>
      <c r="F1568">
        <v>4</v>
      </c>
      <c r="G1568">
        <f>IF(ISBLANK(F1568),MODE($F$2:$F$2001),F1568)</f>
        <v>4</v>
      </c>
      <c r="H1568">
        <v>284.24</v>
      </c>
      <c r="I1568">
        <f>IF(ISBLANK(H1568),AVERAGE($H$2:$H$2001),H1568)</f>
        <v>284.24</v>
      </c>
      <c r="J1568">
        <v>0.1</v>
      </c>
      <c r="K1568">
        <f>IF(ISBLANK(J1568),MODE($J$2:$J$2001),J1568)</f>
        <v>0.1</v>
      </c>
      <c r="L1568" t="s">
        <v>1824</v>
      </c>
      <c r="M1568">
        <v>1023.264</v>
      </c>
      <c r="N1568">
        <f t="shared" si="24"/>
        <v>1023.264</v>
      </c>
      <c r="O1568" t="str">
        <f>_xlfn.XLOOKUP(Sales_fact[[#This Row],[Customer_ID]],'Customer_Dim'!A:A,'Customer_Dim'!K:K,"Not Found")</f>
        <v>Silver</v>
      </c>
      <c r="P1568">
        <f>_xlfn.XLOOKUP(Sales_fact[[#This Row],[Customer_ID]],'Customer_Dim'!A:A, 'Customer_Dim'!E:E, "Not Found")</f>
        <v>58</v>
      </c>
      <c r="Q1568" t="str">
        <f>VLOOKUP(Sales_fact[[#This Row],[Customer_ID]], 'Customer_Dim'!A:F, 6, FALSE)</f>
        <v>Female</v>
      </c>
      <c r="R1568" s="13" t="str">
        <f>_xlfn.XLOOKUP(Sales_fact[[#This Row],[Product_ID]],Product_Dim!A:A,Product_Dim!C:C,"OTHERS")</f>
        <v>Sports</v>
      </c>
    </row>
    <row r="1569" spans="1:18" x14ac:dyDescent="0.3">
      <c r="A1569" t="s">
        <v>3393</v>
      </c>
      <c r="B1569" s="2">
        <v>45374</v>
      </c>
      <c r="C1569" t="s">
        <v>693</v>
      </c>
      <c r="D1569" t="s">
        <v>1546</v>
      </c>
      <c r="E1569" t="str">
        <f ca="1">TRIM(Sales_fact[[#This Row],[Store_ID]])</f>
        <v>STORE3</v>
      </c>
      <c r="F1569">
        <v>1</v>
      </c>
      <c r="G1569">
        <f>IF(ISBLANK(F1569),MODE($F$2:$F$2001),F1569)</f>
        <v>1</v>
      </c>
      <c r="H1569">
        <v>94.26</v>
      </c>
      <c r="I1569">
        <f>IF(ISBLANK(H1569),AVERAGE($H$2:$H$2001),H1569)</f>
        <v>94.26</v>
      </c>
      <c r="J1569">
        <v>0.18</v>
      </c>
      <c r="K1569">
        <f>IF(ISBLANK(J1569),MODE($J$2:$J$2001),J1569)</f>
        <v>0.18</v>
      </c>
      <c r="L1569" t="s">
        <v>1826</v>
      </c>
      <c r="M1569">
        <v>77.293200000000013</v>
      </c>
      <c r="N1569">
        <f t="shared" si="24"/>
        <v>77.293200000000013</v>
      </c>
      <c r="O1569" t="str">
        <f>_xlfn.XLOOKUP(Sales_fact[[#This Row],[Customer_ID]],'Customer_Dim'!A:A,'Customer_Dim'!K:K,"Not Found")</f>
        <v>Platinum</v>
      </c>
      <c r="P1569">
        <f>_xlfn.XLOOKUP(Sales_fact[[#This Row],[Customer_ID]],'Customer_Dim'!A:A, 'Customer_Dim'!E:E, "Not Found")</f>
        <v>42</v>
      </c>
      <c r="Q1569" t="str">
        <f>VLOOKUP(Sales_fact[[#This Row],[Customer_ID]], 'Customer_Dim'!A:F, 6, FALSE)</f>
        <v>Female</v>
      </c>
      <c r="R1569" s="13" t="str">
        <f>_xlfn.XLOOKUP(Sales_fact[[#This Row],[Product_ID]],Product_Dim!A:A,Product_Dim!C:C,"OTHERS")</f>
        <v>Clothing</v>
      </c>
    </row>
    <row r="1570" spans="1:18" x14ac:dyDescent="0.3">
      <c r="A1570" t="s">
        <v>3394</v>
      </c>
      <c r="B1570" s="2">
        <v>45789</v>
      </c>
      <c r="C1570" t="s">
        <v>1292</v>
      </c>
      <c r="D1570" t="s">
        <v>1557</v>
      </c>
      <c r="E1570" t="str">
        <f ca="1">TRIM(Sales_fact[[#This Row],[Store_ID]])</f>
        <v>STORE10</v>
      </c>
      <c r="F1570">
        <v>4</v>
      </c>
      <c r="G1570">
        <f>IF(ISBLANK(F1570),MODE($F$2:$F$2001),F1570)</f>
        <v>4</v>
      </c>
      <c r="H1570">
        <v>458.58</v>
      </c>
      <c r="I1570">
        <f>IF(ISBLANK(H1570),AVERAGE($H$2:$H$2001),H1570)</f>
        <v>458.58</v>
      </c>
      <c r="J1570">
        <v>0.28999999999999998</v>
      </c>
      <c r="K1570">
        <f>IF(ISBLANK(J1570),MODE($J$2:$J$2001),J1570)</f>
        <v>0.28999999999999998</v>
      </c>
      <c r="L1570" t="s">
        <v>1829</v>
      </c>
      <c r="M1570">
        <v>1302.3671999999999</v>
      </c>
      <c r="N1570">
        <f t="shared" si="24"/>
        <v>1302.3671999999999</v>
      </c>
      <c r="O1570" t="str">
        <f>_xlfn.XLOOKUP(Sales_fact[[#This Row],[Customer_ID]],'Customer_Dim'!A:A,'Customer_Dim'!K:K,"Not Found")</f>
        <v>Platinum</v>
      </c>
      <c r="P1570">
        <f>_xlfn.XLOOKUP(Sales_fact[[#This Row],[Customer_ID]],'Customer_Dim'!A:A, 'Customer_Dim'!E:E, "Not Found")</f>
        <v>46</v>
      </c>
      <c r="Q1570" t="str">
        <f>VLOOKUP(Sales_fact[[#This Row],[Customer_ID]], 'Customer_Dim'!A:F, 6, FALSE)</f>
        <v>Male</v>
      </c>
      <c r="R1570" s="13" t="str">
        <f>_xlfn.XLOOKUP(Sales_fact[[#This Row],[Product_ID]],Product_Dim!A:A,Product_Dim!C:C,"OTHERS")</f>
        <v>Beauty</v>
      </c>
    </row>
    <row r="1571" spans="1:18" x14ac:dyDescent="0.3">
      <c r="A1571" t="s">
        <v>3395</v>
      </c>
      <c r="B1571" s="2">
        <v>45452</v>
      </c>
      <c r="C1571" t="s">
        <v>396</v>
      </c>
      <c r="D1571" t="s">
        <v>1678</v>
      </c>
      <c r="E1571" t="str">
        <f ca="1">TRIM(Sales_fact[[#This Row],[Store_ID]])</f>
        <v>STORE10</v>
      </c>
      <c r="F1571">
        <v>4</v>
      </c>
      <c r="G1571">
        <f>IF(ISBLANK(F1571),MODE($F$2:$F$2001),F1571)</f>
        <v>4</v>
      </c>
      <c r="H1571">
        <v>704.49</v>
      </c>
      <c r="I1571">
        <f>IF(ISBLANK(H1571),AVERAGE($H$2:$H$2001),H1571)</f>
        <v>704.49</v>
      </c>
      <c r="J1571">
        <v>0.05</v>
      </c>
      <c r="K1571">
        <f>IF(ISBLANK(J1571),MODE($J$2:$J$2001),J1571)</f>
        <v>0.05</v>
      </c>
      <c r="L1571" t="s">
        <v>1829</v>
      </c>
      <c r="M1571">
        <v>2677.0619999999999</v>
      </c>
      <c r="N1571">
        <f t="shared" si="24"/>
        <v>2677.0619999999999</v>
      </c>
      <c r="O1571" t="str">
        <f>_xlfn.XLOOKUP(Sales_fact[[#This Row],[Customer_ID]],'Customer_Dim'!A:A,'Customer_Dim'!K:K,"Not Found")</f>
        <v>Gold</v>
      </c>
      <c r="P1571">
        <f>_xlfn.XLOOKUP(Sales_fact[[#This Row],[Customer_ID]],'Customer_Dim'!A:A, 'Customer_Dim'!E:E, "Not Found")</f>
        <v>51</v>
      </c>
      <c r="Q1571" t="str">
        <f>VLOOKUP(Sales_fact[[#This Row],[Customer_ID]], 'Customer_Dim'!A:F, 6, FALSE)</f>
        <v>Male</v>
      </c>
      <c r="R1571" s="13" t="str">
        <f>_xlfn.XLOOKUP(Sales_fact[[#This Row],[Product_ID]],Product_Dim!A:A,Product_Dim!C:C,"OTHERS")</f>
        <v>Sports</v>
      </c>
    </row>
    <row r="1572" spans="1:18" x14ac:dyDescent="0.3">
      <c r="A1572" t="s">
        <v>3396</v>
      </c>
      <c r="B1572" s="2">
        <v>45284</v>
      </c>
      <c r="C1572" t="s">
        <v>130</v>
      </c>
      <c r="D1572" t="s">
        <v>1602</v>
      </c>
      <c r="E1572" t="str">
        <f ca="1">TRIM(Sales_fact[[#This Row],[Store_ID]])</f>
        <v>STORE19</v>
      </c>
      <c r="F1572">
        <v>4</v>
      </c>
      <c r="G1572">
        <f>IF(ISBLANK(F1572),MODE($F$2:$F$2001),F1572)</f>
        <v>4</v>
      </c>
      <c r="H1572">
        <v>822.32</v>
      </c>
      <c r="I1572">
        <f>IF(ISBLANK(H1572),AVERAGE($H$2:$H$2001),H1572)</f>
        <v>822.32</v>
      </c>
      <c r="J1572">
        <v>0.26</v>
      </c>
      <c r="K1572">
        <f>IF(ISBLANK(J1572),MODE($J$2:$J$2001),J1572)</f>
        <v>0.26</v>
      </c>
      <c r="L1572" t="s">
        <v>1826</v>
      </c>
      <c r="M1572">
        <v>2434.0672</v>
      </c>
      <c r="N1572">
        <f t="shared" si="24"/>
        <v>2434.0672</v>
      </c>
      <c r="O1572" t="str">
        <f>_xlfn.XLOOKUP(Sales_fact[[#This Row],[Customer_ID]],'Customer_Dim'!A:A,'Customer_Dim'!K:K,"Not Found")</f>
        <v>Gold</v>
      </c>
      <c r="P1572">
        <f>_xlfn.XLOOKUP(Sales_fact[[#This Row],[Customer_ID]],'Customer_Dim'!A:A, 'Customer_Dim'!E:E, "Not Found")</f>
        <v>48</v>
      </c>
      <c r="Q1572" t="str">
        <f>VLOOKUP(Sales_fact[[#This Row],[Customer_ID]], 'Customer_Dim'!A:F, 6, FALSE)</f>
        <v>Female</v>
      </c>
      <c r="R1572" s="13" t="str">
        <f>_xlfn.XLOOKUP(Sales_fact[[#This Row],[Product_ID]],Product_Dim!A:A,Product_Dim!C:C,"OTHERS")</f>
        <v>Home</v>
      </c>
    </row>
    <row r="1573" spans="1:18" x14ac:dyDescent="0.3">
      <c r="A1573" t="s">
        <v>3397</v>
      </c>
      <c r="B1573" s="2">
        <v>45325</v>
      </c>
      <c r="C1573" t="s">
        <v>785</v>
      </c>
      <c r="D1573" t="s">
        <v>1551</v>
      </c>
      <c r="E1573" t="str">
        <f ca="1">TRIM(Sales_fact[[#This Row],[Store_ID]])</f>
        <v>STORE13</v>
      </c>
      <c r="F1573">
        <v>4</v>
      </c>
      <c r="G1573">
        <f>IF(ISBLANK(F1573),MODE($F$2:$F$2001),F1573)</f>
        <v>4</v>
      </c>
      <c r="H1573">
        <v>785.41</v>
      </c>
      <c r="I1573">
        <f>IF(ISBLANK(H1573),AVERAGE($H$2:$H$2001),H1573)</f>
        <v>785.41</v>
      </c>
      <c r="J1573">
        <v>0.13</v>
      </c>
      <c r="K1573">
        <f>IF(ISBLANK(J1573),MODE($J$2:$J$2001),J1573)</f>
        <v>0.13</v>
      </c>
      <c r="L1573" t="s">
        <v>1829</v>
      </c>
      <c r="M1573">
        <v>2733.2267999999999</v>
      </c>
      <c r="N1573">
        <f t="shared" si="24"/>
        <v>2733.2267999999999</v>
      </c>
      <c r="O1573" t="str">
        <f>_xlfn.XLOOKUP(Sales_fact[[#This Row],[Customer_ID]],'Customer_Dim'!A:A,'Customer_Dim'!K:K,"Not Found")</f>
        <v>Platinum</v>
      </c>
      <c r="P1573">
        <f>_xlfn.XLOOKUP(Sales_fact[[#This Row],[Customer_ID]],'Customer_Dim'!A:A, 'Customer_Dim'!E:E, "Not Found")</f>
        <v>57</v>
      </c>
      <c r="Q1573" t="str">
        <f>VLOOKUP(Sales_fact[[#This Row],[Customer_ID]], 'Customer_Dim'!A:F, 6, FALSE)</f>
        <v>Female</v>
      </c>
      <c r="R1573" s="13" t="str">
        <f>_xlfn.XLOOKUP(Sales_fact[[#This Row],[Product_ID]],Product_Dim!A:A,Product_Dim!C:C,"OTHERS")</f>
        <v>OTHERS</v>
      </c>
    </row>
    <row r="1574" spans="1:18" x14ac:dyDescent="0.3">
      <c r="A1574" t="s">
        <v>3398</v>
      </c>
      <c r="B1574" s="2">
        <v>45465</v>
      </c>
      <c r="C1574" t="s">
        <v>127</v>
      </c>
      <c r="D1574" t="s">
        <v>1626</v>
      </c>
      <c r="E1574" t="str">
        <f ca="1">TRIM(Sales_fact[[#This Row],[Store_ID]])</f>
        <v>STORE14</v>
      </c>
      <c r="F1574">
        <v>1</v>
      </c>
      <c r="G1574">
        <f>IF(ISBLANK(F1574),MODE($F$2:$F$2001),F1574)</f>
        <v>1</v>
      </c>
      <c r="H1574">
        <v>405.8</v>
      </c>
      <c r="I1574">
        <f>IF(ISBLANK(H1574),AVERAGE($H$2:$H$2001),H1574)</f>
        <v>405.8</v>
      </c>
      <c r="J1574">
        <v>0.11</v>
      </c>
      <c r="K1574">
        <f>IF(ISBLANK(J1574),MODE($J$2:$J$2001),J1574)</f>
        <v>0.11</v>
      </c>
      <c r="L1574" t="s">
        <v>1826</v>
      </c>
      <c r="M1574">
        <v>361.16199999999998</v>
      </c>
      <c r="N1574">
        <f t="shared" si="24"/>
        <v>361.16200000000003</v>
      </c>
      <c r="O1574" t="str">
        <f>_xlfn.XLOOKUP(Sales_fact[[#This Row],[Customer_ID]],'Customer_Dim'!A:A,'Customer_Dim'!K:K,"Not Found")</f>
        <v>Silver</v>
      </c>
      <c r="P1574">
        <f>_xlfn.XLOOKUP(Sales_fact[[#This Row],[Customer_ID]],'Customer_Dim'!A:A, 'Customer_Dim'!E:E, "Not Found")</f>
        <v>41</v>
      </c>
      <c r="Q1574" t="str">
        <f>VLOOKUP(Sales_fact[[#This Row],[Customer_ID]], 'Customer_Dim'!A:F, 6, FALSE)</f>
        <v>Male</v>
      </c>
      <c r="R1574" s="13" t="str">
        <f>_xlfn.XLOOKUP(Sales_fact[[#This Row],[Product_ID]],Product_Dim!A:A,Product_Dim!C:C,"OTHERS")</f>
        <v>Electronics</v>
      </c>
    </row>
    <row r="1575" spans="1:18" x14ac:dyDescent="0.3">
      <c r="A1575" t="s">
        <v>3399</v>
      </c>
      <c r="B1575" s="2">
        <v>45612</v>
      </c>
      <c r="C1575" t="s">
        <v>1343</v>
      </c>
      <c r="D1575" t="s">
        <v>1730</v>
      </c>
      <c r="E1575" t="str">
        <f ca="1">TRIM(Sales_fact[[#This Row],[Store_ID]])</f>
        <v>STORE9</v>
      </c>
      <c r="F1575">
        <v>2</v>
      </c>
      <c r="G1575">
        <f>IF(ISBLANK(F1575),MODE($F$2:$F$2001),F1575)</f>
        <v>2</v>
      </c>
      <c r="H1575">
        <v>976.83</v>
      </c>
      <c r="I1575">
        <f>IF(ISBLANK(H1575),AVERAGE($H$2:$H$2001),H1575)</f>
        <v>976.83</v>
      </c>
      <c r="J1575">
        <v>0.1</v>
      </c>
      <c r="K1575">
        <f>IF(ISBLANK(J1575),MODE($J$2:$J$2001),J1575)</f>
        <v>0.1</v>
      </c>
      <c r="L1575" t="s">
        <v>1826</v>
      </c>
      <c r="M1575">
        <v>1758.2940000000001</v>
      </c>
      <c r="N1575">
        <f t="shared" si="24"/>
        <v>1758.2940000000001</v>
      </c>
      <c r="O1575" t="str">
        <f>_xlfn.XLOOKUP(Sales_fact[[#This Row],[Customer_ID]],'Customer_Dim'!A:A,'Customer_Dim'!K:K,"Not Found")</f>
        <v>Silver</v>
      </c>
      <c r="P1575">
        <f>_xlfn.XLOOKUP(Sales_fact[[#This Row],[Customer_ID]],'Customer_Dim'!A:A, 'Customer_Dim'!E:E, "Not Found")</f>
        <v>51</v>
      </c>
      <c r="Q1575" t="str">
        <f>VLOOKUP(Sales_fact[[#This Row],[Customer_ID]], 'Customer_Dim'!A:F, 6, FALSE)</f>
        <v>Female</v>
      </c>
      <c r="R1575" s="13" t="str">
        <f>_xlfn.XLOOKUP(Sales_fact[[#This Row],[Product_ID]],Product_Dim!A:A,Product_Dim!C:C,"OTHERS")</f>
        <v>Clothing</v>
      </c>
    </row>
    <row r="1576" spans="1:18" x14ac:dyDescent="0.3">
      <c r="A1576" t="s">
        <v>3400</v>
      </c>
      <c r="B1576" s="2">
        <v>45472</v>
      </c>
      <c r="C1576" t="s">
        <v>869</v>
      </c>
      <c r="D1576" t="s">
        <v>1676</v>
      </c>
      <c r="E1576" t="str">
        <f ca="1">TRIM(Sales_fact[[#This Row],[Store_ID]])</f>
        <v>STORE2</v>
      </c>
      <c r="F1576">
        <v>1</v>
      </c>
      <c r="G1576">
        <f>IF(ISBLANK(F1576),MODE($F$2:$F$2001),F1576)</f>
        <v>1</v>
      </c>
      <c r="H1576">
        <v>644.15</v>
      </c>
      <c r="I1576">
        <f>IF(ISBLANK(H1576),AVERAGE($H$2:$H$2001),H1576)</f>
        <v>644.15</v>
      </c>
      <c r="J1576">
        <v>0.06</v>
      </c>
      <c r="K1576">
        <f>IF(ISBLANK(J1576),MODE($J$2:$J$2001),J1576)</f>
        <v>0.06</v>
      </c>
      <c r="L1576" t="s">
        <v>1824</v>
      </c>
      <c r="M1576">
        <v>605.50099999999998</v>
      </c>
      <c r="N1576">
        <f t="shared" si="24"/>
        <v>605.50099999999998</v>
      </c>
      <c r="O1576" t="str">
        <f>_xlfn.XLOOKUP(Sales_fact[[#This Row],[Customer_ID]],'Customer_Dim'!A:A,'Customer_Dim'!K:K,"Not Found")</f>
        <v>Bronze</v>
      </c>
      <c r="P1576">
        <f>_xlfn.XLOOKUP(Sales_fact[[#This Row],[Customer_ID]],'Customer_Dim'!A:A, 'Customer_Dim'!E:E, "Not Found")</f>
        <v>23</v>
      </c>
      <c r="Q1576" t="str">
        <f>VLOOKUP(Sales_fact[[#This Row],[Customer_ID]], 'Customer_Dim'!A:F, 6, FALSE)</f>
        <v>Male</v>
      </c>
      <c r="R1576" s="13" t="str">
        <f>_xlfn.XLOOKUP(Sales_fact[[#This Row],[Product_ID]],Product_Dim!A:A,Product_Dim!C:C,"OTHERS")</f>
        <v>Beauty</v>
      </c>
    </row>
    <row r="1577" spans="1:18" x14ac:dyDescent="0.3">
      <c r="A1577" t="s">
        <v>3401</v>
      </c>
      <c r="B1577" s="2">
        <v>45897</v>
      </c>
      <c r="C1577" t="s">
        <v>1059</v>
      </c>
      <c r="D1577" t="s">
        <v>1682</v>
      </c>
      <c r="E1577" t="str">
        <f ca="1">TRIM(Sales_fact[[#This Row],[Store_ID]])</f>
        <v>STORE13</v>
      </c>
      <c r="F1577">
        <v>1</v>
      </c>
      <c r="G1577">
        <f>IF(ISBLANK(F1577),MODE($F$2:$F$2001),F1577)</f>
        <v>1</v>
      </c>
      <c r="H1577">
        <v>470.55</v>
      </c>
      <c r="I1577">
        <f>IF(ISBLANK(H1577),AVERAGE($H$2:$H$2001),H1577)</f>
        <v>470.55</v>
      </c>
      <c r="J1577">
        <v>0.23</v>
      </c>
      <c r="K1577">
        <f>IF(ISBLANK(J1577),MODE($J$2:$J$2001),J1577)</f>
        <v>0.23</v>
      </c>
      <c r="L1577" t="s">
        <v>1826</v>
      </c>
      <c r="M1577">
        <v>362.32350000000002</v>
      </c>
      <c r="N1577">
        <f t="shared" si="24"/>
        <v>362.32350000000002</v>
      </c>
      <c r="O1577" t="str">
        <f>_xlfn.XLOOKUP(Sales_fact[[#This Row],[Customer_ID]],'Customer_Dim'!A:A,'Customer_Dim'!K:K,"Not Found")</f>
        <v>Bronze</v>
      </c>
      <c r="P1577">
        <f>_xlfn.XLOOKUP(Sales_fact[[#This Row],[Customer_ID]],'Customer_Dim'!A:A, 'Customer_Dim'!E:E, "Not Found")</f>
        <v>40</v>
      </c>
      <c r="Q1577" t="str">
        <f>VLOOKUP(Sales_fact[[#This Row],[Customer_ID]], 'Customer_Dim'!A:F, 6, FALSE)</f>
        <v>Female</v>
      </c>
      <c r="R1577" s="13" t="str">
        <f>_xlfn.XLOOKUP(Sales_fact[[#This Row],[Product_ID]],Product_Dim!A:A,Product_Dim!C:C,"OTHERS")</f>
        <v>Electronics</v>
      </c>
    </row>
    <row r="1578" spans="1:18" x14ac:dyDescent="0.3">
      <c r="A1578" t="s">
        <v>3402</v>
      </c>
      <c r="B1578" s="2">
        <v>45241</v>
      </c>
      <c r="C1578" t="s">
        <v>1472</v>
      </c>
      <c r="D1578" t="s">
        <v>1560</v>
      </c>
      <c r="E1578" t="str">
        <f ca="1">TRIM(Sales_fact[[#This Row],[Store_ID]])</f>
        <v>STORE6</v>
      </c>
      <c r="F1578">
        <v>3</v>
      </c>
      <c r="G1578">
        <f>IF(ISBLANK(F1578),MODE($F$2:$F$2001),F1578)</f>
        <v>3</v>
      </c>
      <c r="H1578">
        <v>598.82000000000005</v>
      </c>
      <c r="I1578">
        <f>IF(ISBLANK(H1578),AVERAGE($H$2:$H$2001),H1578)</f>
        <v>598.82000000000005</v>
      </c>
      <c r="J1578">
        <v>0.19</v>
      </c>
      <c r="K1578">
        <f>IF(ISBLANK(J1578),MODE($J$2:$J$2001),J1578)</f>
        <v>0.19</v>
      </c>
      <c r="L1578" t="s">
        <v>1829</v>
      </c>
      <c r="M1578">
        <v>1455.1325999999999</v>
      </c>
      <c r="N1578">
        <f t="shared" si="24"/>
        <v>1455.1326000000001</v>
      </c>
      <c r="O1578" t="str">
        <f>_xlfn.XLOOKUP(Sales_fact[[#This Row],[Customer_ID]],'Customer_Dim'!A:A,'Customer_Dim'!K:K,"Not Found")</f>
        <v>Gold</v>
      </c>
      <c r="P1578">
        <f>_xlfn.XLOOKUP(Sales_fact[[#This Row],[Customer_ID]],'Customer_Dim'!A:A, 'Customer_Dim'!E:E, "Not Found")</f>
        <v>59</v>
      </c>
      <c r="Q1578" t="str">
        <f>VLOOKUP(Sales_fact[[#This Row],[Customer_ID]], 'Customer_Dim'!A:F, 6, FALSE)</f>
        <v>Male</v>
      </c>
      <c r="R1578" s="13" t="str">
        <f>_xlfn.XLOOKUP(Sales_fact[[#This Row],[Product_ID]],Product_Dim!A:A,Product_Dim!C:C,"OTHERS")</f>
        <v>Home</v>
      </c>
    </row>
    <row r="1579" spans="1:18" x14ac:dyDescent="0.3">
      <c r="A1579" t="s">
        <v>3403</v>
      </c>
      <c r="B1579" s="2">
        <v>45851</v>
      </c>
      <c r="C1579" t="s">
        <v>360</v>
      </c>
      <c r="D1579" t="s">
        <v>1588</v>
      </c>
      <c r="E1579" t="str">
        <f ca="1">TRIM(Sales_fact[[#This Row],[Store_ID]])</f>
        <v>STORE12</v>
      </c>
      <c r="F1579">
        <v>4</v>
      </c>
      <c r="G1579">
        <f>IF(ISBLANK(F1579),MODE($F$2:$F$2001),F1579)</f>
        <v>4</v>
      </c>
      <c r="H1579">
        <v>659.17</v>
      </c>
      <c r="I1579">
        <f>IF(ISBLANK(H1579),AVERAGE($H$2:$H$2001),H1579)</f>
        <v>659.17</v>
      </c>
      <c r="J1579">
        <v>0.12</v>
      </c>
      <c r="K1579">
        <f>IF(ISBLANK(J1579),MODE($J$2:$J$2001),J1579)</f>
        <v>0.12</v>
      </c>
      <c r="L1579" t="s">
        <v>1824</v>
      </c>
      <c r="M1579">
        <v>2320.2784000000001</v>
      </c>
      <c r="N1579">
        <f t="shared" si="24"/>
        <v>2320.2783999999997</v>
      </c>
      <c r="O1579" t="str">
        <f>_xlfn.XLOOKUP(Sales_fact[[#This Row],[Customer_ID]],'Customer_Dim'!A:A,'Customer_Dim'!K:K,"Not Found")</f>
        <v>Gold</v>
      </c>
      <c r="P1579">
        <f>_xlfn.XLOOKUP(Sales_fact[[#This Row],[Customer_ID]],'Customer_Dim'!A:A, 'Customer_Dim'!E:E, "Not Found")</f>
        <v>29</v>
      </c>
      <c r="Q1579" t="str">
        <f>VLOOKUP(Sales_fact[[#This Row],[Customer_ID]], 'Customer_Dim'!A:F, 6, FALSE)</f>
        <v>Male</v>
      </c>
      <c r="R1579" s="13" t="str">
        <f>_xlfn.XLOOKUP(Sales_fact[[#This Row],[Product_ID]],Product_Dim!A:A,Product_Dim!C:C,"OTHERS")</f>
        <v>Sports</v>
      </c>
    </row>
    <row r="1580" spans="1:18" x14ac:dyDescent="0.3">
      <c r="A1580" t="s">
        <v>3404</v>
      </c>
      <c r="B1580" s="2">
        <v>45572</v>
      </c>
      <c r="C1580" t="s">
        <v>369</v>
      </c>
      <c r="D1580" t="s">
        <v>1640</v>
      </c>
      <c r="E1580" t="str">
        <f ca="1">TRIM(Sales_fact[[#This Row],[Store_ID]])</f>
        <v>STORE1</v>
      </c>
      <c r="F1580">
        <v>2</v>
      </c>
      <c r="G1580">
        <f>IF(ISBLANK(F1580),MODE($F$2:$F$2001),F1580)</f>
        <v>2</v>
      </c>
      <c r="H1580">
        <v>216.02</v>
      </c>
      <c r="I1580">
        <f>IF(ISBLANK(H1580),AVERAGE($H$2:$H$2001),H1580)</f>
        <v>216.02</v>
      </c>
      <c r="J1580">
        <v>0.25</v>
      </c>
      <c r="K1580">
        <f>IF(ISBLANK(J1580),MODE($J$2:$J$2001),J1580)</f>
        <v>0.25</v>
      </c>
      <c r="L1580" t="s">
        <v>1824</v>
      </c>
      <c r="M1580">
        <v>324.02999999999997</v>
      </c>
      <c r="N1580">
        <f t="shared" si="24"/>
        <v>324.03000000000003</v>
      </c>
      <c r="O1580" t="str">
        <f>_xlfn.XLOOKUP(Sales_fact[[#This Row],[Customer_ID]],'Customer_Dim'!A:A,'Customer_Dim'!K:K,"Not Found")</f>
        <v>Silver</v>
      </c>
      <c r="P1580">
        <f>_xlfn.XLOOKUP(Sales_fact[[#This Row],[Customer_ID]],'Customer_Dim'!A:A, 'Customer_Dim'!E:E, "Not Found")</f>
        <v>64</v>
      </c>
      <c r="Q1580" t="str">
        <f>VLOOKUP(Sales_fact[[#This Row],[Customer_ID]], 'Customer_Dim'!A:F, 6, FALSE)</f>
        <v>Male</v>
      </c>
      <c r="R1580" s="13" t="str">
        <f>_xlfn.XLOOKUP(Sales_fact[[#This Row],[Product_ID]],Product_Dim!A:A,Product_Dim!C:C,"OTHERS")</f>
        <v>Clothing</v>
      </c>
    </row>
    <row r="1581" spans="1:18" x14ac:dyDescent="0.3">
      <c r="A1581" t="s">
        <v>3405</v>
      </c>
      <c r="B1581" s="2">
        <v>45774</v>
      </c>
      <c r="C1581" t="s">
        <v>124</v>
      </c>
      <c r="D1581" t="s">
        <v>1610</v>
      </c>
      <c r="E1581" t="str">
        <f ca="1">TRIM(Sales_fact[[#This Row],[Store_ID]])</f>
        <v>STORE10</v>
      </c>
      <c r="F1581">
        <v>2</v>
      </c>
      <c r="G1581">
        <f>IF(ISBLANK(F1581),MODE($F$2:$F$2001),F1581)</f>
        <v>2</v>
      </c>
      <c r="H1581">
        <v>613.47</v>
      </c>
      <c r="I1581">
        <f>IF(ISBLANK(H1581),AVERAGE($H$2:$H$2001),H1581)</f>
        <v>613.47</v>
      </c>
      <c r="J1581">
        <v>0.02</v>
      </c>
      <c r="K1581">
        <f>IF(ISBLANK(J1581),MODE($J$2:$J$2001),J1581)</f>
        <v>0.02</v>
      </c>
      <c r="L1581" t="s">
        <v>1826</v>
      </c>
      <c r="M1581">
        <v>1202.4012</v>
      </c>
      <c r="N1581">
        <f t="shared" si="24"/>
        <v>1202.4012</v>
      </c>
      <c r="O1581" t="str">
        <f>_xlfn.XLOOKUP(Sales_fact[[#This Row],[Customer_ID]],'Customer_Dim'!A:A,'Customer_Dim'!K:K,"Not Found")</f>
        <v>Bronze</v>
      </c>
      <c r="P1581">
        <f>_xlfn.XLOOKUP(Sales_fact[[#This Row],[Customer_ID]],'Customer_Dim'!A:A, 'Customer_Dim'!E:E, "Not Found")</f>
        <v>64</v>
      </c>
      <c r="Q1581" t="str">
        <f>VLOOKUP(Sales_fact[[#This Row],[Customer_ID]], 'Customer_Dim'!A:F, 6, FALSE)</f>
        <v>Female</v>
      </c>
      <c r="R1581" s="13" t="str">
        <f>_xlfn.XLOOKUP(Sales_fact[[#This Row],[Product_ID]],Product_Dim!A:A,Product_Dim!C:C,"OTHERS")</f>
        <v>Sports</v>
      </c>
    </row>
    <row r="1582" spans="1:18" x14ac:dyDescent="0.3">
      <c r="A1582" t="s">
        <v>3406</v>
      </c>
      <c r="B1582" s="2">
        <v>45921</v>
      </c>
      <c r="C1582" t="s">
        <v>350</v>
      </c>
      <c r="D1582" t="s">
        <v>1664</v>
      </c>
      <c r="E1582" t="str">
        <f ca="1">TRIM(Sales_fact[[#This Row],[Store_ID]])</f>
        <v>STORE12</v>
      </c>
      <c r="F1582">
        <v>2</v>
      </c>
      <c r="G1582">
        <f>IF(ISBLANK(F1582),MODE($F$2:$F$2001),F1582)</f>
        <v>2</v>
      </c>
      <c r="H1582">
        <v>485.17</v>
      </c>
      <c r="I1582">
        <f>IF(ISBLANK(H1582),AVERAGE($H$2:$H$2001),H1582)</f>
        <v>485.17</v>
      </c>
      <c r="J1582">
        <v>0.11</v>
      </c>
      <c r="K1582">
        <f>IF(ISBLANK(J1582),MODE($J$2:$J$2001),J1582)</f>
        <v>0.11</v>
      </c>
      <c r="L1582" t="s">
        <v>1826</v>
      </c>
      <c r="M1582">
        <v>863.60260000000005</v>
      </c>
      <c r="N1582">
        <f t="shared" si="24"/>
        <v>863.60260000000005</v>
      </c>
      <c r="O1582" t="str">
        <f>_xlfn.XLOOKUP(Sales_fact[[#This Row],[Customer_ID]],'Customer_Dim'!A:A,'Customer_Dim'!K:K,"Not Found")</f>
        <v>Gold</v>
      </c>
      <c r="P1582">
        <f>_xlfn.XLOOKUP(Sales_fact[[#This Row],[Customer_ID]],'Customer_Dim'!A:A, 'Customer_Dim'!E:E, "Not Found")</f>
        <v>24</v>
      </c>
      <c r="Q1582" t="str">
        <f>VLOOKUP(Sales_fact[[#This Row],[Customer_ID]], 'Customer_Dim'!A:F, 6, FALSE)</f>
        <v>Male</v>
      </c>
      <c r="R1582" s="13" t="str">
        <f>_xlfn.XLOOKUP(Sales_fact[[#This Row],[Product_ID]],Product_Dim!A:A,Product_Dim!C:C,"OTHERS")</f>
        <v>Clothing</v>
      </c>
    </row>
    <row r="1583" spans="1:18" x14ac:dyDescent="0.3">
      <c r="A1583" t="s">
        <v>3407</v>
      </c>
      <c r="B1583" s="2">
        <v>45268</v>
      </c>
      <c r="C1583" t="s">
        <v>969</v>
      </c>
      <c r="D1583" t="s">
        <v>1640</v>
      </c>
      <c r="E1583" t="str">
        <f ca="1">TRIM(Sales_fact[[#This Row],[Store_ID]])</f>
        <v>STORE10</v>
      </c>
      <c r="F1583">
        <v>1</v>
      </c>
      <c r="G1583">
        <f>IF(ISBLANK(F1583),MODE($F$2:$F$2001),F1583)</f>
        <v>1</v>
      </c>
      <c r="H1583">
        <v>209.7</v>
      </c>
      <c r="I1583">
        <f>IF(ISBLANK(H1583),AVERAGE($H$2:$H$2001),H1583)</f>
        <v>209.7</v>
      </c>
      <c r="J1583">
        <v>0.2</v>
      </c>
      <c r="K1583">
        <f>IF(ISBLANK(J1583),MODE($J$2:$J$2001),J1583)</f>
        <v>0.2</v>
      </c>
      <c r="L1583" t="s">
        <v>1826</v>
      </c>
      <c r="M1583">
        <v>167.76</v>
      </c>
      <c r="N1583">
        <f t="shared" si="24"/>
        <v>167.76</v>
      </c>
      <c r="O1583" t="str">
        <f>_xlfn.XLOOKUP(Sales_fact[[#This Row],[Customer_ID]],'Customer_Dim'!A:A,'Customer_Dim'!K:K,"Not Found")</f>
        <v>Bronze</v>
      </c>
      <c r="P1583">
        <f>_xlfn.XLOOKUP(Sales_fact[[#This Row],[Customer_ID]],'Customer_Dim'!A:A, 'Customer_Dim'!E:E, "Not Found")</f>
        <v>56</v>
      </c>
      <c r="Q1583" t="str">
        <f>VLOOKUP(Sales_fact[[#This Row],[Customer_ID]], 'Customer_Dim'!A:F, 6, FALSE)</f>
        <v>Female</v>
      </c>
      <c r="R1583" s="13" t="str">
        <f>_xlfn.XLOOKUP(Sales_fact[[#This Row],[Product_ID]],Product_Dim!A:A,Product_Dim!C:C,"OTHERS")</f>
        <v>Clothing</v>
      </c>
    </row>
    <row r="1584" spans="1:18" x14ac:dyDescent="0.3">
      <c r="A1584" t="s">
        <v>3408</v>
      </c>
      <c r="B1584" s="2">
        <v>45402</v>
      </c>
      <c r="C1584" t="s">
        <v>1026</v>
      </c>
      <c r="D1584" t="s">
        <v>1732</v>
      </c>
      <c r="E1584" t="str">
        <f ca="1">TRIM(Sales_fact[[#This Row],[Store_ID]])</f>
        <v>STORE0</v>
      </c>
      <c r="F1584">
        <v>1</v>
      </c>
      <c r="G1584">
        <f>IF(ISBLANK(F1584),MODE($F$2:$F$2001),F1584)</f>
        <v>1</v>
      </c>
      <c r="H1584">
        <v>681.47</v>
      </c>
      <c r="I1584">
        <f>IF(ISBLANK(H1584),AVERAGE($H$2:$H$2001),H1584)</f>
        <v>681.47</v>
      </c>
      <c r="J1584">
        <v>0.15</v>
      </c>
      <c r="K1584">
        <f>IF(ISBLANK(J1584),MODE($J$2:$J$2001),J1584)</f>
        <v>0.15</v>
      </c>
      <c r="L1584" t="s">
        <v>1824</v>
      </c>
      <c r="M1584">
        <v>579.24950000000001</v>
      </c>
      <c r="N1584">
        <f t="shared" si="24"/>
        <v>579.24950000000001</v>
      </c>
      <c r="O1584" t="str">
        <f>_xlfn.XLOOKUP(Sales_fact[[#This Row],[Customer_ID]],'Customer_Dim'!A:A,'Customer_Dim'!K:K,"Not Found")</f>
        <v>Gold</v>
      </c>
      <c r="P1584">
        <f>_xlfn.XLOOKUP(Sales_fact[[#This Row],[Customer_ID]],'Customer_Dim'!A:A, 'Customer_Dim'!E:E, "Not Found")</f>
        <v>58</v>
      </c>
      <c r="Q1584" t="str">
        <f>VLOOKUP(Sales_fact[[#This Row],[Customer_ID]], 'Customer_Dim'!A:F, 6, FALSE)</f>
        <v>Female</v>
      </c>
      <c r="R1584" s="13" t="str">
        <f>_xlfn.XLOOKUP(Sales_fact[[#This Row],[Product_ID]],Product_Dim!A:A,Product_Dim!C:C,"OTHERS")</f>
        <v>Home</v>
      </c>
    </row>
    <row r="1585" spans="1:18" x14ac:dyDescent="0.3">
      <c r="A1585" t="s">
        <v>3409</v>
      </c>
      <c r="B1585" s="2">
        <v>45667</v>
      </c>
      <c r="C1585" t="s">
        <v>1362</v>
      </c>
      <c r="D1585" t="s">
        <v>1700</v>
      </c>
      <c r="E1585" t="str">
        <f ca="1">TRIM(Sales_fact[[#This Row],[Store_ID]])</f>
        <v>STORE17</v>
      </c>
      <c r="F1585">
        <v>2</v>
      </c>
      <c r="G1585">
        <f>IF(ISBLANK(F1585),MODE($F$2:$F$2001),F1585)</f>
        <v>2</v>
      </c>
      <c r="H1585">
        <v>877.21</v>
      </c>
      <c r="I1585">
        <f>IF(ISBLANK(H1585),AVERAGE($H$2:$H$2001),H1585)</f>
        <v>877.21</v>
      </c>
      <c r="J1585">
        <v>0.1</v>
      </c>
      <c r="K1585">
        <f>IF(ISBLANK(J1585),MODE($J$2:$J$2001),J1585)</f>
        <v>0.1</v>
      </c>
      <c r="L1585" t="s">
        <v>1824</v>
      </c>
      <c r="M1585">
        <v>1578.9780000000001</v>
      </c>
      <c r="N1585">
        <f t="shared" si="24"/>
        <v>1578.9780000000001</v>
      </c>
      <c r="O1585" t="str">
        <f>_xlfn.XLOOKUP(Sales_fact[[#This Row],[Customer_ID]],'Customer_Dim'!A:A,'Customer_Dim'!K:K,"Not Found")</f>
        <v>Silver</v>
      </c>
      <c r="P1585">
        <f>_xlfn.XLOOKUP(Sales_fact[[#This Row],[Customer_ID]],'Customer_Dim'!A:A, 'Customer_Dim'!E:E, "Not Found")</f>
        <v>60</v>
      </c>
      <c r="Q1585" t="str">
        <f>VLOOKUP(Sales_fact[[#This Row],[Customer_ID]], 'Customer_Dim'!A:F, 6, FALSE)</f>
        <v>Male</v>
      </c>
      <c r="R1585" s="13" t="str">
        <f>_xlfn.XLOOKUP(Sales_fact[[#This Row],[Product_ID]],Product_Dim!A:A,Product_Dim!C:C,"OTHERS")</f>
        <v>Electronics</v>
      </c>
    </row>
    <row r="1586" spans="1:18" x14ac:dyDescent="0.3">
      <c r="A1586" t="s">
        <v>3410</v>
      </c>
      <c r="B1586" s="2">
        <v>45902</v>
      </c>
      <c r="C1586" t="s">
        <v>1002</v>
      </c>
      <c r="D1586" t="s">
        <v>1704</v>
      </c>
      <c r="E1586" t="str">
        <f ca="1">TRIM(Sales_fact[[#This Row],[Store_ID]])</f>
        <v>STORE5</v>
      </c>
      <c r="F1586">
        <v>2</v>
      </c>
      <c r="G1586">
        <f>IF(ISBLANK(F1586),MODE($F$2:$F$2001),F1586)</f>
        <v>2</v>
      </c>
      <c r="H1586">
        <v>479.77</v>
      </c>
      <c r="I1586">
        <f>IF(ISBLANK(H1586),AVERAGE($H$2:$H$2001),H1586)</f>
        <v>479.77</v>
      </c>
      <c r="J1586">
        <v>0.21</v>
      </c>
      <c r="K1586">
        <f>IF(ISBLANK(J1586),MODE($J$2:$J$2001),J1586)</f>
        <v>0.21</v>
      </c>
      <c r="L1586" t="s">
        <v>1826</v>
      </c>
      <c r="M1586">
        <v>758.03660000000002</v>
      </c>
      <c r="N1586">
        <f t="shared" si="24"/>
        <v>758.03660000000002</v>
      </c>
      <c r="O1586" t="str">
        <f>_xlfn.XLOOKUP(Sales_fact[[#This Row],[Customer_ID]],'Customer_Dim'!A:A,'Customer_Dim'!K:K,"Not Found")</f>
        <v>Platinum</v>
      </c>
      <c r="P1586">
        <f>_xlfn.XLOOKUP(Sales_fact[[#This Row],[Customer_ID]],'Customer_Dim'!A:A, 'Customer_Dim'!E:E, "Not Found")</f>
        <v>25</v>
      </c>
      <c r="Q1586" t="str">
        <f>VLOOKUP(Sales_fact[[#This Row],[Customer_ID]], 'Customer_Dim'!A:F, 6, FALSE)</f>
        <v>Male</v>
      </c>
      <c r="R1586" s="13" t="str">
        <f>_xlfn.XLOOKUP(Sales_fact[[#This Row],[Product_ID]],Product_Dim!A:A,Product_Dim!C:C,"OTHERS")</f>
        <v>Home</v>
      </c>
    </row>
    <row r="1587" spans="1:18" x14ac:dyDescent="0.3">
      <c r="A1587" t="s">
        <v>3411</v>
      </c>
      <c r="B1587" s="2">
        <v>45589</v>
      </c>
      <c r="C1587" t="s">
        <v>1014</v>
      </c>
      <c r="D1587" t="s">
        <v>1714</v>
      </c>
      <c r="E1587" t="str">
        <f ca="1">TRIM(Sales_fact[[#This Row],[Store_ID]])</f>
        <v>STORE15</v>
      </c>
      <c r="F1587">
        <v>1</v>
      </c>
      <c r="G1587">
        <f>IF(ISBLANK(F1587),MODE($F$2:$F$2001),F1587)</f>
        <v>1</v>
      </c>
      <c r="H1587">
        <v>140.72</v>
      </c>
      <c r="I1587">
        <f>IF(ISBLANK(H1587),AVERAGE($H$2:$H$2001),H1587)</f>
        <v>140.72</v>
      </c>
      <c r="J1587">
        <v>0</v>
      </c>
      <c r="K1587">
        <f>IF(ISBLANK(J1587),MODE($J$2:$J$2001),J1587)</f>
        <v>0</v>
      </c>
      <c r="L1587" t="s">
        <v>1829</v>
      </c>
      <c r="M1587">
        <v>140.72</v>
      </c>
      <c r="N1587">
        <f t="shared" si="24"/>
        <v>140.72</v>
      </c>
      <c r="O1587" t="str">
        <f>_xlfn.XLOOKUP(Sales_fact[[#This Row],[Customer_ID]],'Customer_Dim'!A:A,'Customer_Dim'!K:K,"Not Found")</f>
        <v>Bronze</v>
      </c>
      <c r="P1587">
        <f>_xlfn.XLOOKUP(Sales_fact[[#This Row],[Customer_ID]],'Customer_Dim'!A:A, 'Customer_Dim'!E:E, "Not Found")</f>
        <v>54</v>
      </c>
      <c r="Q1587" t="str">
        <f>VLOOKUP(Sales_fact[[#This Row],[Customer_ID]], 'Customer_Dim'!A:F, 6, FALSE)</f>
        <v>Male</v>
      </c>
      <c r="R1587" s="13" t="str">
        <f>_xlfn.XLOOKUP(Sales_fact[[#This Row],[Product_ID]],Product_Dim!A:A,Product_Dim!C:C,"OTHERS")</f>
        <v>Beauty</v>
      </c>
    </row>
    <row r="1588" spans="1:18" x14ac:dyDescent="0.3">
      <c r="A1588" t="s">
        <v>3412</v>
      </c>
      <c r="B1588" s="2">
        <v>45668</v>
      </c>
      <c r="C1588" t="s">
        <v>114</v>
      </c>
      <c r="D1588" t="s">
        <v>1586</v>
      </c>
      <c r="E1588" t="str">
        <f ca="1">TRIM(Sales_fact[[#This Row],[Store_ID]])</f>
        <v>STORE6</v>
      </c>
      <c r="F1588">
        <v>2</v>
      </c>
      <c r="G1588">
        <f>IF(ISBLANK(F1588),MODE($F$2:$F$2001),F1588)</f>
        <v>2</v>
      </c>
      <c r="H1588">
        <v>764.25</v>
      </c>
      <c r="I1588">
        <f>IF(ISBLANK(H1588),AVERAGE($H$2:$H$2001),H1588)</f>
        <v>764.25</v>
      </c>
      <c r="J1588">
        <v>0.23</v>
      </c>
      <c r="K1588">
        <f>IF(ISBLANK(J1588),MODE($J$2:$J$2001),J1588)</f>
        <v>0.23</v>
      </c>
      <c r="L1588" t="s">
        <v>1826</v>
      </c>
      <c r="M1588">
        <v>1176.9449999999999</v>
      </c>
      <c r="N1588">
        <f t="shared" si="24"/>
        <v>1176.9449999999999</v>
      </c>
      <c r="O1588" t="str">
        <f>_xlfn.XLOOKUP(Sales_fact[[#This Row],[Customer_ID]],'Customer_Dim'!A:A,'Customer_Dim'!K:K,"Not Found")</f>
        <v>UNKNOWN</v>
      </c>
      <c r="P1588">
        <f>_xlfn.XLOOKUP(Sales_fact[[#This Row],[Customer_ID]],'Customer_Dim'!A:A, 'Customer_Dim'!E:E, "Not Found")</f>
        <v>31</v>
      </c>
      <c r="Q1588" t="str">
        <f>VLOOKUP(Sales_fact[[#This Row],[Customer_ID]], 'Customer_Dim'!A:F, 6, FALSE)</f>
        <v>Male</v>
      </c>
      <c r="R1588" s="13" t="str">
        <f>_xlfn.XLOOKUP(Sales_fact[[#This Row],[Product_ID]],Product_Dim!A:A,Product_Dim!C:C,"OTHERS")</f>
        <v>Sports</v>
      </c>
    </row>
    <row r="1589" spans="1:18" x14ac:dyDescent="0.3">
      <c r="A1589" t="s">
        <v>3413</v>
      </c>
      <c r="B1589" s="2">
        <v>45300</v>
      </c>
      <c r="C1589" t="s">
        <v>719</v>
      </c>
      <c r="D1589" t="s">
        <v>1714</v>
      </c>
      <c r="E1589" t="str">
        <f ca="1">TRIM(Sales_fact[[#This Row],[Store_ID]])</f>
        <v>STORE5</v>
      </c>
      <c r="F1589">
        <v>3</v>
      </c>
      <c r="G1589">
        <f>IF(ISBLANK(F1589),MODE($F$2:$F$2001),F1589)</f>
        <v>3</v>
      </c>
      <c r="H1589">
        <v>107.8</v>
      </c>
      <c r="I1589">
        <f>IF(ISBLANK(H1589),AVERAGE($H$2:$H$2001),H1589)</f>
        <v>107.8</v>
      </c>
      <c r="J1589">
        <v>0.28999999999999998</v>
      </c>
      <c r="K1589">
        <f>IF(ISBLANK(J1589),MODE($J$2:$J$2001),J1589)</f>
        <v>0.28999999999999998</v>
      </c>
      <c r="L1589" t="s">
        <v>1826</v>
      </c>
      <c r="M1589">
        <v>229.614</v>
      </c>
      <c r="N1589">
        <f t="shared" si="24"/>
        <v>229.61399999999998</v>
      </c>
      <c r="O1589" t="str">
        <f>_xlfn.XLOOKUP(Sales_fact[[#This Row],[Customer_ID]],'Customer_Dim'!A:A,'Customer_Dim'!K:K,"Not Found")</f>
        <v>Platinum</v>
      </c>
      <c r="P1589">
        <f>_xlfn.XLOOKUP(Sales_fact[[#This Row],[Customer_ID]],'Customer_Dim'!A:A, 'Customer_Dim'!E:E, "Not Found")</f>
        <v>35</v>
      </c>
      <c r="Q1589" t="str">
        <f>VLOOKUP(Sales_fact[[#This Row],[Customer_ID]], 'Customer_Dim'!A:F, 6, FALSE)</f>
        <v>Male</v>
      </c>
      <c r="R1589" s="13" t="str">
        <f>_xlfn.XLOOKUP(Sales_fact[[#This Row],[Product_ID]],Product_Dim!A:A,Product_Dim!C:C,"OTHERS")</f>
        <v>Beauty</v>
      </c>
    </row>
    <row r="1590" spans="1:18" x14ac:dyDescent="0.3">
      <c r="A1590" t="s">
        <v>3414</v>
      </c>
      <c r="B1590" s="2">
        <v>45757</v>
      </c>
      <c r="C1590" t="s">
        <v>496</v>
      </c>
      <c r="D1590" t="s">
        <v>1592</v>
      </c>
      <c r="E1590" t="str">
        <f ca="1">TRIM(Sales_fact[[#This Row],[Store_ID]])</f>
        <v>STORE8</v>
      </c>
      <c r="F1590">
        <v>4</v>
      </c>
      <c r="G1590">
        <f>IF(ISBLANK(F1590),MODE($F$2:$F$2001),F1590)</f>
        <v>4</v>
      </c>
      <c r="H1590">
        <v>565.37</v>
      </c>
      <c r="I1590">
        <f>IF(ISBLANK(H1590),AVERAGE($H$2:$H$2001),H1590)</f>
        <v>565.37</v>
      </c>
      <c r="J1590">
        <v>7.0000000000000007E-2</v>
      </c>
      <c r="K1590">
        <f>IF(ISBLANK(J1590),MODE($J$2:$J$2001),J1590)</f>
        <v>7.0000000000000007E-2</v>
      </c>
      <c r="L1590" t="s">
        <v>1826</v>
      </c>
      <c r="M1590">
        <v>2103.1763999999998</v>
      </c>
      <c r="N1590">
        <f t="shared" si="24"/>
        <v>2103.1763999999998</v>
      </c>
      <c r="O1590" t="str">
        <f>_xlfn.XLOOKUP(Sales_fact[[#This Row],[Customer_ID]],'Customer_Dim'!A:A,'Customer_Dim'!K:K,"Not Found")</f>
        <v>Platinum</v>
      </c>
      <c r="P1590">
        <f>_xlfn.XLOOKUP(Sales_fact[[#This Row],[Customer_ID]],'Customer_Dim'!A:A, 'Customer_Dim'!E:E, "Not Found")</f>
        <v>49</v>
      </c>
      <c r="Q1590" t="str">
        <f>VLOOKUP(Sales_fact[[#This Row],[Customer_ID]], 'Customer_Dim'!A:F, 6, FALSE)</f>
        <v>Female</v>
      </c>
      <c r="R1590" s="13" t="str">
        <f>_xlfn.XLOOKUP(Sales_fact[[#This Row],[Product_ID]],Product_Dim!A:A,Product_Dim!C:C,"OTHERS")</f>
        <v>Sports</v>
      </c>
    </row>
    <row r="1591" spans="1:18" x14ac:dyDescent="0.3">
      <c r="A1591" t="s">
        <v>3415</v>
      </c>
      <c r="B1591" s="2">
        <v>45235</v>
      </c>
      <c r="C1591" t="s">
        <v>137</v>
      </c>
      <c r="D1591" t="s">
        <v>1620</v>
      </c>
      <c r="E1591" t="str">
        <f ca="1">TRIM(Sales_fact[[#This Row],[Store_ID]])</f>
        <v>STORE4</v>
      </c>
      <c r="F1591">
        <v>3</v>
      </c>
      <c r="G1591">
        <f>IF(ISBLANK(F1591),MODE($F$2:$F$2001),F1591)</f>
        <v>3</v>
      </c>
      <c r="H1591">
        <v>811.45</v>
      </c>
      <c r="I1591">
        <f>IF(ISBLANK(H1591),AVERAGE($H$2:$H$2001),H1591)</f>
        <v>811.45</v>
      </c>
      <c r="J1591">
        <v>0.26</v>
      </c>
      <c r="K1591">
        <f>IF(ISBLANK(J1591),MODE($J$2:$J$2001),J1591)</f>
        <v>0.26</v>
      </c>
      <c r="L1591" t="s">
        <v>1824</v>
      </c>
      <c r="M1591">
        <v>1801.4190000000001</v>
      </c>
      <c r="N1591">
        <f t="shared" si="24"/>
        <v>1801.4190000000003</v>
      </c>
      <c r="O1591" t="str">
        <f>_xlfn.XLOOKUP(Sales_fact[[#This Row],[Customer_ID]],'Customer_Dim'!A:A,'Customer_Dim'!K:K,"Not Found")</f>
        <v>Platinum</v>
      </c>
      <c r="P1591">
        <f>_xlfn.XLOOKUP(Sales_fact[[#This Row],[Customer_ID]],'Customer_Dim'!A:A, 'Customer_Dim'!E:E, "Not Found")</f>
        <v>27</v>
      </c>
      <c r="Q1591" t="str">
        <f>VLOOKUP(Sales_fact[[#This Row],[Customer_ID]], 'Customer_Dim'!A:F, 6, FALSE)</f>
        <v>Female</v>
      </c>
      <c r="R1591" s="13" t="str">
        <f>_xlfn.XLOOKUP(Sales_fact[[#This Row],[Product_ID]],Product_Dim!A:A,Product_Dim!C:C,"OTHERS")</f>
        <v>Clothing</v>
      </c>
    </row>
    <row r="1592" spans="1:18" x14ac:dyDescent="0.3">
      <c r="A1592" t="s">
        <v>3416</v>
      </c>
      <c r="B1592" s="2">
        <v>45749</v>
      </c>
      <c r="C1592" t="s">
        <v>1275</v>
      </c>
      <c r="D1592" t="s">
        <v>1614</v>
      </c>
      <c r="E1592" t="str">
        <f ca="1">TRIM(Sales_fact[[#This Row],[Store_ID]])</f>
        <v>STORE19</v>
      </c>
      <c r="F1592">
        <v>4</v>
      </c>
      <c r="G1592">
        <f>IF(ISBLANK(F1592),MODE($F$2:$F$2001),F1592)</f>
        <v>4</v>
      </c>
      <c r="H1592">
        <v>62.25</v>
      </c>
      <c r="I1592">
        <f>IF(ISBLANK(H1592),AVERAGE($H$2:$H$2001),H1592)</f>
        <v>62.25</v>
      </c>
      <c r="J1592">
        <v>0.11</v>
      </c>
      <c r="K1592">
        <f>IF(ISBLANK(J1592),MODE($J$2:$J$2001),J1592)</f>
        <v>0.11</v>
      </c>
      <c r="L1592" t="s">
        <v>1826</v>
      </c>
      <c r="M1592">
        <v>221.61</v>
      </c>
      <c r="N1592">
        <f t="shared" si="24"/>
        <v>221.61</v>
      </c>
      <c r="O1592" t="str">
        <f>_xlfn.XLOOKUP(Sales_fact[[#This Row],[Customer_ID]],'Customer_Dim'!A:A,'Customer_Dim'!K:K,"Not Found")</f>
        <v>Bronze</v>
      </c>
      <c r="P1592">
        <f>_xlfn.XLOOKUP(Sales_fact[[#This Row],[Customer_ID]],'Customer_Dim'!A:A, 'Customer_Dim'!E:E, "Not Found")</f>
        <v>48</v>
      </c>
      <c r="Q1592" t="str">
        <f>VLOOKUP(Sales_fact[[#This Row],[Customer_ID]], 'Customer_Dim'!A:F, 6, FALSE)</f>
        <v>Female</v>
      </c>
      <c r="R1592" s="13" t="str">
        <f>_xlfn.XLOOKUP(Sales_fact[[#This Row],[Product_ID]],Product_Dim!A:A,Product_Dim!C:C,"OTHERS")</f>
        <v>Home</v>
      </c>
    </row>
    <row r="1593" spans="1:18" x14ac:dyDescent="0.3">
      <c r="A1593" t="s">
        <v>3417</v>
      </c>
      <c r="B1593" s="2">
        <v>45807</v>
      </c>
      <c r="C1593" t="s">
        <v>107</v>
      </c>
      <c r="D1593" t="s">
        <v>1738</v>
      </c>
      <c r="E1593" t="str">
        <f ca="1">TRIM(Sales_fact[[#This Row],[Store_ID]])</f>
        <v>STORE10</v>
      </c>
      <c r="F1593">
        <v>1</v>
      </c>
      <c r="G1593">
        <f>IF(ISBLANK(F1593),MODE($F$2:$F$2001),F1593)</f>
        <v>1</v>
      </c>
      <c r="H1593">
        <v>749.78</v>
      </c>
      <c r="I1593">
        <f>IF(ISBLANK(H1593),AVERAGE($H$2:$H$2001),H1593)</f>
        <v>749.78</v>
      </c>
      <c r="J1593">
        <v>0.03</v>
      </c>
      <c r="K1593">
        <f>IF(ISBLANK(J1593),MODE($J$2:$J$2001),J1593)</f>
        <v>0.03</v>
      </c>
      <c r="L1593" t="s">
        <v>1824</v>
      </c>
      <c r="M1593">
        <v>727.28659999999991</v>
      </c>
      <c r="N1593">
        <f t="shared" si="24"/>
        <v>727.28659999999991</v>
      </c>
      <c r="O1593" t="str">
        <f>_xlfn.XLOOKUP(Sales_fact[[#This Row],[Customer_ID]],'Customer_Dim'!A:A,'Customer_Dim'!K:K,"Not Found")</f>
        <v>Bronze</v>
      </c>
      <c r="P1593">
        <f>_xlfn.XLOOKUP(Sales_fact[[#This Row],[Customer_ID]],'Customer_Dim'!A:A, 'Customer_Dim'!E:E, "Not Found")</f>
        <v>59</v>
      </c>
      <c r="Q1593" t="str">
        <f>VLOOKUP(Sales_fact[[#This Row],[Customer_ID]], 'Customer_Dim'!A:F, 6, FALSE)</f>
        <v>Female</v>
      </c>
      <c r="R1593" s="13" t="str">
        <f>_xlfn.XLOOKUP(Sales_fact[[#This Row],[Product_ID]],Product_Dim!A:A,Product_Dim!C:C,"OTHERS")</f>
        <v>Sports</v>
      </c>
    </row>
    <row r="1594" spans="1:18" x14ac:dyDescent="0.3">
      <c r="A1594" t="s">
        <v>3418</v>
      </c>
      <c r="B1594" s="2">
        <v>45496</v>
      </c>
      <c r="C1594" t="s">
        <v>1098</v>
      </c>
      <c r="D1594" t="s">
        <v>1666</v>
      </c>
      <c r="E1594" t="str">
        <f ca="1">TRIM(Sales_fact[[#This Row],[Store_ID]])</f>
        <v>STORE5</v>
      </c>
      <c r="F1594">
        <v>3</v>
      </c>
      <c r="G1594">
        <f>IF(ISBLANK(F1594),MODE($F$2:$F$2001),F1594)</f>
        <v>3</v>
      </c>
      <c r="H1594">
        <v>630.28</v>
      </c>
      <c r="I1594">
        <f>IF(ISBLANK(H1594),AVERAGE($H$2:$H$2001),H1594)</f>
        <v>630.28</v>
      </c>
      <c r="J1594">
        <v>7.0000000000000007E-2</v>
      </c>
      <c r="K1594">
        <f>IF(ISBLANK(J1594),MODE($J$2:$J$2001),J1594)</f>
        <v>7.0000000000000007E-2</v>
      </c>
      <c r="L1594" t="s">
        <v>1829</v>
      </c>
      <c r="M1594">
        <v>1758.4811999999999</v>
      </c>
      <c r="N1594">
        <f t="shared" si="24"/>
        <v>1758.4811999999997</v>
      </c>
      <c r="O1594" t="str">
        <f>_xlfn.XLOOKUP(Sales_fact[[#This Row],[Customer_ID]],'Customer_Dim'!A:A,'Customer_Dim'!K:K,"Not Found")</f>
        <v>Silver</v>
      </c>
      <c r="P1594">
        <f>_xlfn.XLOOKUP(Sales_fact[[#This Row],[Customer_ID]],'Customer_Dim'!A:A, 'Customer_Dim'!E:E, "Not Found")</f>
        <v>26</v>
      </c>
      <c r="Q1594" t="str">
        <f>VLOOKUP(Sales_fact[[#This Row],[Customer_ID]], 'Customer_Dim'!A:F, 6, FALSE)</f>
        <v>Male</v>
      </c>
      <c r="R1594" s="13" t="str">
        <f>_xlfn.XLOOKUP(Sales_fact[[#This Row],[Product_ID]],Product_Dim!A:A,Product_Dim!C:C,"OTHERS")</f>
        <v>Beauty</v>
      </c>
    </row>
    <row r="1595" spans="1:18" x14ac:dyDescent="0.3">
      <c r="A1595" t="s">
        <v>3419</v>
      </c>
      <c r="B1595" s="2">
        <v>45355</v>
      </c>
      <c r="C1595" t="s">
        <v>484</v>
      </c>
      <c r="D1595" t="s">
        <v>1608</v>
      </c>
      <c r="E1595" t="str">
        <f ca="1">TRIM(Sales_fact[[#This Row],[Store_ID]])</f>
        <v>STORE16</v>
      </c>
      <c r="F1595">
        <v>1</v>
      </c>
      <c r="G1595">
        <f>IF(ISBLANK(F1595),MODE($F$2:$F$2001),F1595)</f>
        <v>1</v>
      </c>
      <c r="H1595">
        <v>101.84</v>
      </c>
      <c r="I1595">
        <f>IF(ISBLANK(H1595),AVERAGE($H$2:$H$2001),H1595)</f>
        <v>101.84</v>
      </c>
      <c r="J1595">
        <v>0.17</v>
      </c>
      <c r="K1595">
        <f>IF(ISBLANK(J1595),MODE($J$2:$J$2001),J1595)</f>
        <v>0.17</v>
      </c>
      <c r="L1595" t="s">
        <v>1824</v>
      </c>
      <c r="M1595">
        <v>84.527199999999993</v>
      </c>
      <c r="N1595">
        <f t="shared" si="24"/>
        <v>84.527199999999993</v>
      </c>
      <c r="O1595" t="str">
        <f>_xlfn.XLOOKUP(Sales_fact[[#This Row],[Customer_ID]],'Customer_Dim'!A:A,'Customer_Dim'!K:K,"Not Found")</f>
        <v>Bronze</v>
      </c>
      <c r="P1595">
        <f>_xlfn.XLOOKUP(Sales_fact[[#This Row],[Customer_ID]],'Customer_Dim'!A:A, 'Customer_Dim'!E:E, "Not Found")</f>
        <v>46</v>
      </c>
      <c r="Q1595" t="str">
        <f>VLOOKUP(Sales_fact[[#This Row],[Customer_ID]], 'Customer_Dim'!A:F, 6, FALSE)</f>
        <v>Male</v>
      </c>
      <c r="R1595" s="13" t="str">
        <f>_xlfn.XLOOKUP(Sales_fact[[#This Row],[Product_ID]],Product_Dim!A:A,Product_Dim!C:C,"OTHERS")</f>
        <v>Home</v>
      </c>
    </row>
    <row r="1596" spans="1:18" x14ac:dyDescent="0.3">
      <c r="A1596" t="s">
        <v>3420</v>
      </c>
      <c r="B1596" s="2">
        <v>45256</v>
      </c>
      <c r="C1596" t="s">
        <v>208</v>
      </c>
      <c r="D1596" t="s">
        <v>1596</v>
      </c>
      <c r="E1596" t="str">
        <f ca="1">TRIM(Sales_fact[[#This Row],[Store_ID]])</f>
        <v>STORE18</v>
      </c>
      <c r="F1596">
        <v>4</v>
      </c>
      <c r="G1596">
        <f>IF(ISBLANK(F1596),MODE($F$2:$F$2001),F1596)</f>
        <v>4</v>
      </c>
      <c r="H1596">
        <v>641.45000000000005</v>
      </c>
      <c r="I1596">
        <f>IF(ISBLANK(H1596),AVERAGE($H$2:$H$2001),H1596)</f>
        <v>641.45000000000005</v>
      </c>
      <c r="J1596">
        <v>0.16</v>
      </c>
      <c r="K1596">
        <f>IF(ISBLANK(J1596),MODE($J$2:$J$2001),J1596)</f>
        <v>0.16</v>
      </c>
      <c r="L1596" t="s">
        <v>1829</v>
      </c>
      <c r="M1596">
        <v>2155.2719999999999</v>
      </c>
      <c r="N1596">
        <f t="shared" si="24"/>
        <v>2155.2719999999999</v>
      </c>
      <c r="O1596" t="str">
        <f>_xlfn.XLOOKUP(Sales_fact[[#This Row],[Customer_ID]],'Customer_Dim'!A:A,'Customer_Dim'!K:K,"Not Found")</f>
        <v>Bronze</v>
      </c>
      <c r="P1596">
        <f>_xlfn.XLOOKUP(Sales_fact[[#This Row],[Customer_ID]],'Customer_Dim'!A:A, 'Customer_Dim'!E:E, "Not Found")</f>
        <v>56</v>
      </c>
      <c r="Q1596" t="str">
        <f>VLOOKUP(Sales_fact[[#This Row],[Customer_ID]], 'Customer_Dim'!A:F, 6, FALSE)</f>
        <v>Female</v>
      </c>
      <c r="R1596" s="13" t="str">
        <f>_xlfn.XLOOKUP(Sales_fact[[#This Row],[Product_ID]],Product_Dim!A:A,Product_Dim!C:C,"OTHERS")</f>
        <v>Sports</v>
      </c>
    </row>
    <row r="1597" spans="1:18" x14ac:dyDescent="0.3">
      <c r="A1597" t="s">
        <v>3421</v>
      </c>
      <c r="B1597" s="2">
        <v>45849</v>
      </c>
      <c r="C1597" t="s">
        <v>1452</v>
      </c>
      <c r="D1597" t="s">
        <v>1634</v>
      </c>
      <c r="E1597" t="str">
        <f ca="1">TRIM(Sales_fact[[#This Row],[Store_ID]])</f>
        <v>STORE1</v>
      </c>
      <c r="F1597">
        <v>1</v>
      </c>
      <c r="G1597">
        <f>IF(ISBLANK(F1597),MODE($F$2:$F$2001),F1597)</f>
        <v>1</v>
      </c>
      <c r="H1597">
        <v>135.87</v>
      </c>
      <c r="I1597">
        <f>IF(ISBLANK(H1597),AVERAGE($H$2:$H$2001),H1597)</f>
        <v>135.87</v>
      </c>
      <c r="J1597">
        <v>0.23</v>
      </c>
      <c r="K1597">
        <f>IF(ISBLANK(J1597),MODE($J$2:$J$2001),J1597)</f>
        <v>0.23</v>
      </c>
      <c r="L1597" t="s">
        <v>1826</v>
      </c>
      <c r="M1597">
        <v>104.6199</v>
      </c>
      <c r="N1597">
        <f t="shared" si="24"/>
        <v>104.6199</v>
      </c>
      <c r="O1597" t="str">
        <f>_xlfn.XLOOKUP(Sales_fact[[#This Row],[Customer_ID]],'Customer_Dim'!A:A,'Customer_Dim'!K:K,"Not Found")</f>
        <v>Platinum</v>
      </c>
      <c r="P1597">
        <f>_xlfn.XLOOKUP(Sales_fact[[#This Row],[Customer_ID]],'Customer_Dim'!A:A, 'Customer_Dim'!E:E, "Not Found")</f>
        <v>42</v>
      </c>
      <c r="Q1597" t="str">
        <f>VLOOKUP(Sales_fact[[#This Row],[Customer_ID]], 'Customer_Dim'!A:F, 6, FALSE)</f>
        <v>Male</v>
      </c>
      <c r="R1597" s="13" t="str">
        <f>_xlfn.XLOOKUP(Sales_fact[[#This Row],[Product_ID]],Product_Dim!A:A,Product_Dim!C:C,"OTHERS")</f>
        <v>Electronics</v>
      </c>
    </row>
    <row r="1598" spans="1:18" x14ac:dyDescent="0.3">
      <c r="A1598" t="s">
        <v>3422</v>
      </c>
      <c r="B1598" s="2">
        <v>45344</v>
      </c>
      <c r="C1598" t="s">
        <v>341</v>
      </c>
      <c r="D1598" t="s">
        <v>1590</v>
      </c>
      <c r="E1598" t="str">
        <f ca="1">TRIM(Sales_fact[[#This Row],[Store_ID]])</f>
        <v>STORE6</v>
      </c>
      <c r="F1598">
        <v>1</v>
      </c>
      <c r="G1598">
        <f>IF(ISBLANK(F1598),MODE($F$2:$F$2001),F1598)</f>
        <v>1</v>
      </c>
      <c r="H1598">
        <v>388.35</v>
      </c>
      <c r="I1598">
        <f>IF(ISBLANK(H1598),AVERAGE($H$2:$H$2001),H1598)</f>
        <v>388.35</v>
      </c>
      <c r="J1598">
        <v>0.01</v>
      </c>
      <c r="K1598">
        <f>IF(ISBLANK(J1598),MODE($J$2:$J$2001),J1598)</f>
        <v>0.01</v>
      </c>
      <c r="L1598" t="s">
        <v>1826</v>
      </c>
      <c r="M1598">
        <v>384.4665</v>
      </c>
      <c r="N1598">
        <f t="shared" si="24"/>
        <v>384.4665</v>
      </c>
      <c r="O1598" t="str">
        <f>_xlfn.XLOOKUP(Sales_fact[[#This Row],[Customer_ID]],'Customer_Dim'!A:A,'Customer_Dim'!K:K,"Not Found")</f>
        <v>Platinum</v>
      </c>
      <c r="P1598">
        <f>_xlfn.XLOOKUP(Sales_fact[[#This Row],[Customer_ID]],'Customer_Dim'!A:A, 'Customer_Dim'!E:E, "Not Found")</f>
        <v>62</v>
      </c>
      <c r="Q1598" t="str">
        <f>VLOOKUP(Sales_fact[[#This Row],[Customer_ID]], 'Customer_Dim'!A:F, 6, FALSE)</f>
        <v>Female</v>
      </c>
      <c r="R1598" s="13" t="str">
        <f>_xlfn.XLOOKUP(Sales_fact[[#This Row],[Product_ID]],Product_Dim!A:A,Product_Dim!C:C,"OTHERS")</f>
        <v>Home</v>
      </c>
    </row>
    <row r="1599" spans="1:18" x14ac:dyDescent="0.3">
      <c r="A1599" t="s">
        <v>3423</v>
      </c>
      <c r="B1599" s="2">
        <v>45367</v>
      </c>
      <c r="C1599" t="s">
        <v>1495</v>
      </c>
      <c r="D1599" t="s">
        <v>1624</v>
      </c>
      <c r="E1599" t="str">
        <f ca="1">TRIM(Sales_fact[[#This Row],[Store_ID]])</f>
        <v>STORE9</v>
      </c>
      <c r="F1599">
        <v>2</v>
      </c>
      <c r="G1599">
        <f>IF(ISBLANK(F1599),MODE($F$2:$F$2001),F1599)</f>
        <v>2</v>
      </c>
      <c r="H1599">
        <v>999.08</v>
      </c>
      <c r="I1599">
        <f>IF(ISBLANK(H1599),AVERAGE($H$2:$H$2001),H1599)</f>
        <v>999.08</v>
      </c>
      <c r="J1599">
        <v>0.3</v>
      </c>
      <c r="K1599">
        <f>IF(ISBLANK(J1599),MODE($J$2:$J$2001),J1599)</f>
        <v>0.3</v>
      </c>
      <c r="L1599" t="s">
        <v>1826</v>
      </c>
      <c r="M1599">
        <v>1398.712</v>
      </c>
      <c r="N1599">
        <f t="shared" si="24"/>
        <v>1398.712</v>
      </c>
      <c r="O1599" t="str">
        <f>_xlfn.XLOOKUP(Sales_fact[[#This Row],[Customer_ID]],'Customer_Dim'!A:A,'Customer_Dim'!K:K,"Not Found")</f>
        <v>Not Found</v>
      </c>
      <c r="P1599" t="str">
        <f>_xlfn.XLOOKUP(Sales_fact[[#This Row],[Customer_ID]],'Customer_Dim'!A:A, 'Customer_Dim'!E:E, "Not Found")</f>
        <v>Not Found</v>
      </c>
      <c r="Q1599" t="e">
        <f>VLOOKUP(Sales_fact[[#This Row],[Customer_ID]], 'Customer_Dim'!A:F, 6, FALSE)</f>
        <v>#N/A</v>
      </c>
      <c r="R1599" s="13" t="str">
        <f>_xlfn.XLOOKUP(Sales_fact[[#This Row],[Product_ID]],Product_Dim!A:A,Product_Dim!C:C,"OTHERS")</f>
        <v>Sports</v>
      </c>
    </row>
    <row r="1600" spans="1:18" x14ac:dyDescent="0.3">
      <c r="A1600" t="s">
        <v>3424</v>
      </c>
      <c r="B1600" s="2">
        <v>45887</v>
      </c>
      <c r="C1600" t="s">
        <v>565</v>
      </c>
      <c r="D1600" t="s">
        <v>1624</v>
      </c>
      <c r="E1600" t="str">
        <f ca="1">TRIM(Sales_fact[[#This Row],[Store_ID]])</f>
        <v>STORE17</v>
      </c>
      <c r="F1600">
        <v>3</v>
      </c>
      <c r="G1600">
        <f>IF(ISBLANK(F1600),MODE($F$2:$F$2001),F1600)</f>
        <v>3</v>
      </c>
      <c r="H1600">
        <v>453.19</v>
      </c>
      <c r="I1600">
        <f>IF(ISBLANK(H1600),AVERAGE($H$2:$H$2001),H1600)</f>
        <v>453.19</v>
      </c>
      <c r="J1600">
        <v>0.08</v>
      </c>
      <c r="K1600">
        <f>IF(ISBLANK(J1600),MODE($J$2:$J$2001),J1600)</f>
        <v>0.08</v>
      </c>
      <c r="L1600" t="s">
        <v>1829</v>
      </c>
      <c r="M1600">
        <v>1250.8044</v>
      </c>
      <c r="N1600">
        <f t="shared" si="24"/>
        <v>1250.8044</v>
      </c>
      <c r="O1600" t="str">
        <f>_xlfn.XLOOKUP(Sales_fact[[#This Row],[Customer_ID]],'Customer_Dim'!A:A,'Customer_Dim'!K:K,"Not Found")</f>
        <v>Gold</v>
      </c>
      <c r="P1600">
        <f>_xlfn.XLOOKUP(Sales_fact[[#This Row],[Customer_ID]],'Customer_Dim'!A:A, 'Customer_Dim'!E:E, "Not Found")</f>
        <v>18</v>
      </c>
      <c r="Q1600" t="str">
        <f>VLOOKUP(Sales_fact[[#This Row],[Customer_ID]], 'Customer_Dim'!A:F, 6, FALSE)</f>
        <v>Male</v>
      </c>
      <c r="R1600" s="13" t="str">
        <f>_xlfn.XLOOKUP(Sales_fact[[#This Row],[Product_ID]],Product_Dim!A:A,Product_Dim!C:C,"OTHERS")</f>
        <v>Sports</v>
      </c>
    </row>
    <row r="1601" spans="1:18" x14ac:dyDescent="0.3">
      <c r="A1601" t="s">
        <v>3425</v>
      </c>
      <c r="B1601" s="2">
        <v>45567</v>
      </c>
      <c r="C1601" t="s">
        <v>755</v>
      </c>
      <c r="D1601" t="s">
        <v>1708</v>
      </c>
      <c r="E1601" t="str">
        <f ca="1">TRIM(Sales_fact[[#This Row],[Store_ID]])</f>
        <v>STORE10</v>
      </c>
      <c r="F1601">
        <v>2</v>
      </c>
      <c r="G1601">
        <f>IF(ISBLANK(F1601),MODE($F$2:$F$2001),F1601)</f>
        <v>2</v>
      </c>
      <c r="H1601">
        <v>61.31</v>
      </c>
      <c r="I1601">
        <f>IF(ISBLANK(H1601),AVERAGE($H$2:$H$2001),H1601)</f>
        <v>61.31</v>
      </c>
      <c r="J1601">
        <v>0.15</v>
      </c>
      <c r="K1601">
        <f>IF(ISBLANK(J1601),MODE($J$2:$J$2001),J1601)</f>
        <v>0.15</v>
      </c>
      <c r="L1601" t="s">
        <v>1829</v>
      </c>
      <c r="M1601">
        <v>104.227</v>
      </c>
      <c r="N1601">
        <f t="shared" si="24"/>
        <v>104.227</v>
      </c>
      <c r="O1601" t="str">
        <f>_xlfn.XLOOKUP(Sales_fact[[#This Row],[Customer_ID]],'Customer_Dim'!A:A,'Customer_Dim'!K:K,"Not Found")</f>
        <v>Bronze</v>
      </c>
      <c r="P1601">
        <f>_xlfn.XLOOKUP(Sales_fact[[#This Row],[Customer_ID]],'Customer_Dim'!A:A, 'Customer_Dim'!E:E, "Not Found")</f>
        <v>28</v>
      </c>
      <c r="Q1601" t="str">
        <f>VLOOKUP(Sales_fact[[#This Row],[Customer_ID]], 'Customer_Dim'!A:F, 6, FALSE)</f>
        <v>Female</v>
      </c>
      <c r="R1601" s="13" t="str">
        <f>_xlfn.XLOOKUP(Sales_fact[[#This Row],[Product_ID]],Product_Dim!A:A,Product_Dim!C:C,"OTHERS")</f>
        <v>Home</v>
      </c>
    </row>
    <row r="1602" spans="1:18" x14ac:dyDescent="0.3">
      <c r="A1602" t="s">
        <v>3426</v>
      </c>
      <c r="B1602" s="2">
        <v>45223</v>
      </c>
      <c r="C1602" t="s">
        <v>1074</v>
      </c>
      <c r="D1602" t="s">
        <v>1710</v>
      </c>
      <c r="E1602" t="str">
        <f ca="1">TRIM(Sales_fact[[#This Row],[Store_ID]])</f>
        <v>STORE10</v>
      </c>
      <c r="F1602">
        <v>2</v>
      </c>
      <c r="G1602">
        <f>IF(ISBLANK(F1602),MODE($F$2:$F$2001),F1602)</f>
        <v>2</v>
      </c>
      <c r="H1602">
        <v>870.13</v>
      </c>
      <c r="I1602">
        <f>IF(ISBLANK(H1602),AVERAGE($H$2:$H$2001),H1602)</f>
        <v>870.13</v>
      </c>
      <c r="J1602">
        <v>0.23</v>
      </c>
      <c r="K1602">
        <f>IF(ISBLANK(J1602),MODE($J$2:$J$2001),J1602)</f>
        <v>0.23</v>
      </c>
      <c r="L1602" t="s">
        <v>1824</v>
      </c>
      <c r="M1602">
        <v>1340.0001999999999</v>
      </c>
      <c r="N1602">
        <f t="shared" si="24"/>
        <v>1340.0001999999999</v>
      </c>
      <c r="O1602" t="str">
        <f>_xlfn.XLOOKUP(Sales_fact[[#This Row],[Customer_ID]],'Customer_Dim'!A:A,'Customer_Dim'!K:K,"Not Found")</f>
        <v>Bronze</v>
      </c>
      <c r="P1602">
        <f>_xlfn.XLOOKUP(Sales_fact[[#This Row],[Customer_ID]],'Customer_Dim'!A:A, 'Customer_Dim'!E:E, "Not Found")</f>
        <v>30</v>
      </c>
      <c r="Q1602" t="str">
        <f>VLOOKUP(Sales_fact[[#This Row],[Customer_ID]], 'Customer_Dim'!A:F, 6, FALSE)</f>
        <v>Female</v>
      </c>
      <c r="R1602" s="13" t="str">
        <f>_xlfn.XLOOKUP(Sales_fact[[#This Row],[Product_ID]],Product_Dim!A:A,Product_Dim!C:C,"OTHERS")</f>
        <v>Sports</v>
      </c>
    </row>
    <row r="1603" spans="1:18" x14ac:dyDescent="0.3">
      <c r="A1603" t="s">
        <v>3427</v>
      </c>
      <c r="B1603" s="2">
        <v>45664</v>
      </c>
      <c r="C1603" t="s">
        <v>247</v>
      </c>
      <c r="D1603" t="s">
        <v>1578</v>
      </c>
      <c r="E1603" t="str">
        <f ca="1">TRIM(Sales_fact[[#This Row],[Store_ID]])</f>
        <v>STORE19</v>
      </c>
      <c r="F1603">
        <v>1</v>
      </c>
      <c r="G1603">
        <f>IF(ISBLANK(F1603),MODE($F$2:$F$2001),F1603)</f>
        <v>1</v>
      </c>
      <c r="H1603">
        <v>336.51</v>
      </c>
      <c r="I1603">
        <f>IF(ISBLANK(H1603),AVERAGE($H$2:$H$2001),H1603)</f>
        <v>336.51</v>
      </c>
      <c r="J1603">
        <v>0.11</v>
      </c>
      <c r="K1603">
        <f>IF(ISBLANK(J1603),MODE($J$2:$J$2001),J1603)</f>
        <v>0.11</v>
      </c>
      <c r="L1603" t="s">
        <v>1826</v>
      </c>
      <c r="M1603">
        <v>299.4939</v>
      </c>
      <c r="N1603">
        <f t="shared" ref="N1603:N1666" si="25">G1603*I1603*(1-K1603)</f>
        <v>299.4939</v>
      </c>
      <c r="O1603" t="str">
        <f>_xlfn.XLOOKUP(Sales_fact[[#This Row],[Customer_ID]],'Customer_Dim'!A:A,'Customer_Dim'!K:K,"Not Found")</f>
        <v>Silver</v>
      </c>
      <c r="P1603">
        <f>_xlfn.XLOOKUP(Sales_fact[[#This Row],[Customer_ID]],'Customer_Dim'!A:A, 'Customer_Dim'!E:E, "Not Found")</f>
        <v>58</v>
      </c>
      <c r="Q1603" t="str">
        <f>VLOOKUP(Sales_fact[[#This Row],[Customer_ID]], 'Customer_Dim'!A:F, 6, FALSE)</f>
        <v>Male</v>
      </c>
      <c r="R1603" s="13" t="str">
        <f>_xlfn.XLOOKUP(Sales_fact[[#This Row],[Product_ID]],Product_Dim!A:A,Product_Dim!C:C,"OTHERS")</f>
        <v>Electronics</v>
      </c>
    </row>
    <row r="1604" spans="1:18" x14ac:dyDescent="0.3">
      <c r="A1604" t="s">
        <v>3428</v>
      </c>
      <c r="B1604" s="2">
        <v>45313</v>
      </c>
      <c r="C1604" t="s">
        <v>598</v>
      </c>
      <c r="D1604" t="s">
        <v>1682</v>
      </c>
      <c r="E1604" t="str">
        <f ca="1">TRIM(Sales_fact[[#This Row],[Store_ID]])</f>
        <v>STORE0</v>
      </c>
      <c r="F1604">
        <v>1</v>
      </c>
      <c r="G1604">
        <f>IF(ISBLANK(F1604),MODE($F$2:$F$2001),F1604)</f>
        <v>1</v>
      </c>
      <c r="H1604">
        <v>305.70999999999998</v>
      </c>
      <c r="I1604">
        <f>IF(ISBLANK(H1604),AVERAGE($H$2:$H$2001),H1604)</f>
        <v>305.70999999999998</v>
      </c>
      <c r="J1604">
        <v>0.26</v>
      </c>
      <c r="K1604">
        <f>IF(ISBLANK(J1604),MODE($J$2:$J$2001),J1604)</f>
        <v>0.26</v>
      </c>
      <c r="L1604" t="s">
        <v>1829</v>
      </c>
      <c r="M1604">
        <v>226.22540000000001</v>
      </c>
      <c r="N1604">
        <f t="shared" si="25"/>
        <v>226.22539999999998</v>
      </c>
      <c r="O1604" t="str">
        <f>_xlfn.XLOOKUP(Sales_fact[[#This Row],[Customer_ID]],'Customer_Dim'!A:A,'Customer_Dim'!K:K,"Not Found")</f>
        <v>Bronze</v>
      </c>
      <c r="P1604">
        <f>_xlfn.XLOOKUP(Sales_fact[[#This Row],[Customer_ID]],'Customer_Dim'!A:A, 'Customer_Dim'!E:E, "Not Found")</f>
        <v>60</v>
      </c>
      <c r="Q1604" t="str">
        <f>VLOOKUP(Sales_fact[[#This Row],[Customer_ID]], 'Customer_Dim'!A:F, 6, FALSE)</f>
        <v>Male</v>
      </c>
      <c r="R1604" s="13" t="str">
        <f>_xlfn.XLOOKUP(Sales_fact[[#This Row],[Product_ID]],Product_Dim!A:A,Product_Dim!C:C,"OTHERS")</f>
        <v>Electronics</v>
      </c>
    </row>
    <row r="1605" spans="1:18" x14ac:dyDescent="0.3">
      <c r="A1605" t="s">
        <v>3429</v>
      </c>
      <c r="B1605" s="2">
        <v>45224</v>
      </c>
      <c r="C1605" t="s">
        <v>419</v>
      </c>
      <c r="D1605" t="s">
        <v>1568</v>
      </c>
      <c r="E1605" t="str">
        <f ca="1">TRIM(Sales_fact[[#This Row],[Store_ID]])</f>
        <v>STORE18</v>
      </c>
      <c r="F1605">
        <v>2</v>
      </c>
      <c r="G1605">
        <f>IF(ISBLANK(F1605),MODE($F$2:$F$2001),F1605)</f>
        <v>2</v>
      </c>
      <c r="H1605">
        <v>635.39</v>
      </c>
      <c r="I1605">
        <f>IF(ISBLANK(H1605),AVERAGE($H$2:$H$2001),H1605)</f>
        <v>635.39</v>
      </c>
      <c r="J1605">
        <v>0.28999999999999998</v>
      </c>
      <c r="K1605">
        <f>IF(ISBLANK(J1605),MODE($J$2:$J$2001),J1605)</f>
        <v>0.28999999999999998</v>
      </c>
      <c r="L1605" t="s">
        <v>1829</v>
      </c>
      <c r="M1605">
        <v>902.25379999999996</v>
      </c>
      <c r="N1605">
        <f t="shared" si="25"/>
        <v>902.25379999999996</v>
      </c>
      <c r="O1605" t="str">
        <f>_xlfn.XLOOKUP(Sales_fact[[#This Row],[Customer_ID]],'Customer_Dim'!A:A,'Customer_Dim'!K:K,"Not Found")</f>
        <v>Platinum</v>
      </c>
      <c r="P1605">
        <f>_xlfn.XLOOKUP(Sales_fact[[#This Row],[Customer_ID]],'Customer_Dim'!A:A, 'Customer_Dim'!E:E, "Not Found")</f>
        <v>62</v>
      </c>
      <c r="Q1605" t="str">
        <f>VLOOKUP(Sales_fact[[#This Row],[Customer_ID]], 'Customer_Dim'!A:F, 6, FALSE)</f>
        <v>Male</v>
      </c>
      <c r="R1605" s="13" t="str">
        <f>_xlfn.XLOOKUP(Sales_fact[[#This Row],[Product_ID]],Product_Dim!A:A,Product_Dim!C:C,"OTHERS")</f>
        <v>Home</v>
      </c>
    </row>
    <row r="1606" spans="1:18" x14ac:dyDescent="0.3">
      <c r="A1606" t="s">
        <v>3430</v>
      </c>
      <c r="B1606" s="2">
        <v>45491</v>
      </c>
      <c r="C1606" t="s">
        <v>405</v>
      </c>
      <c r="D1606" t="s">
        <v>1732</v>
      </c>
      <c r="E1606" t="str">
        <f ca="1">TRIM(Sales_fact[[#This Row],[Store_ID]])</f>
        <v>STORE19</v>
      </c>
      <c r="F1606">
        <v>2</v>
      </c>
      <c r="G1606">
        <f>IF(ISBLANK(F1606),MODE($F$2:$F$2001),F1606)</f>
        <v>2</v>
      </c>
      <c r="H1606">
        <v>253.87</v>
      </c>
      <c r="I1606">
        <f>IF(ISBLANK(H1606),AVERAGE($H$2:$H$2001),H1606)</f>
        <v>253.87</v>
      </c>
      <c r="J1606">
        <v>0.23</v>
      </c>
      <c r="K1606">
        <f>IF(ISBLANK(J1606),MODE($J$2:$J$2001),J1606)</f>
        <v>0.23</v>
      </c>
      <c r="L1606" t="s">
        <v>1829</v>
      </c>
      <c r="M1606">
        <v>390.95979999999997</v>
      </c>
      <c r="N1606">
        <f t="shared" si="25"/>
        <v>390.95980000000003</v>
      </c>
      <c r="O1606" t="str">
        <f>_xlfn.XLOOKUP(Sales_fact[[#This Row],[Customer_ID]],'Customer_Dim'!A:A,'Customer_Dim'!K:K,"Not Found")</f>
        <v>Platinum</v>
      </c>
      <c r="P1606">
        <f>_xlfn.XLOOKUP(Sales_fact[[#This Row],[Customer_ID]],'Customer_Dim'!A:A, 'Customer_Dim'!E:E, "Not Found")</f>
        <v>18</v>
      </c>
      <c r="Q1606" t="str">
        <f>VLOOKUP(Sales_fact[[#This Row],[Customer_ID]], 'Customer_Dim'!A:F, 6, FALSE)</f>
        <v>Female</v>
      </c>
      <c r="R1606" s="13" t="str">
        <f>_xlfn.XLOOKUP(Sales_fact[[#This Row],[Product_ID]],Product_Dim!A:A,Product_Dim!C:C,"OTHERS")</f>
        <v>Home</v>
      </c>
    </row>
    <row r="1607" spans="1:18" x14ac:dyDescent="0.3">
      <c r="A1607" t="s">
        <v>3431</v>
      </c>
      <c r="B1607" s="2">
        <v>45472</v>
      </c>
      <c r="C1607" t="s">
        <v>1489</v>
      </c>
      <c r="D1607" t="s">
        <v>1700</v>
      </c>
      <c r="E1607" t="str">
        <f ca="1">TRIM(Sales_fact[[#This Row],[Store_ID]])</f>
        <v>STORE17</v>
      </c>
      <c r="F1607">
        <v>3</v>
      </c>
      <c r="G1607">
        <f>IF(ISBLANK(F1607),MODE($F$2:$F$2001),F1607)</f>
        <v>3</v>
      </c>
      <c r="H1607">
        <v>915.81</v>
      </c>
      <c r="I1607">
        <f>IF(ISBLANK(H1607),AVERAGE($H$2:$H$2001),H1607)</f>
        <v>915.81</v>
      </c>
      <c r="J1607">
        <v>0.17</v>
      </c>
      <c r="K1607">
        <f>IF(ISBLANK(J1607),MODE($J$2:$J$2001),J1607)</f>
        <v>0.17</v>
      </c>
      <c r="L1607" t="s">
        <v>1829</v>
      </c>
      <c r="M1607">
        <v>2280.3669</v>
      </c>
      <c r="N1607">
        <f t="shared" si="25"/>
        <v>2280.3668999999995</v>
      </c>
      <c r="O1607" t="str">
        <f>_xlfn.XLOOKUP(Sales_fact[[#This Row],[Customer_ID]],'Customer_Dim'!A:A,'Customer_Dim'!K:K,"Not Found")</f>
        <v>Bronze</v>
      </c>
      <c r="P1607">
        <f>_xlfn.XLOOKUP(Sales_fact[[#This Row],[Customer_ID]],'Customer_Dim'!A:A, 'Customer_Dim'!E:E, "Not Found")</f>
        <v>32</v>
      </c>
      <c r="Q1607" t="str">
        <f>VLOOKUP(Sales_fact[[#This Row],[Customer_ID]], 'Customer_Dim'!A:F, 6, FALSE)</f>
        <v>Male</v>
      </c>
      <c r="R1607" s="13" t="str">
        <f>_xlfn.XLOOKUP(Sales_fact[[#This Row],[Product_ID]],Product_Dim!A:A,Product_Dim!C:C,"OTHERS")</f>
        <v>Electronics</v>
      </c>
    </row>
    <row r="1608" spans="1:18" x14ac:dyDescent="0.3">
      <c r="A1608" t="s">
        <v>3432</v>
      </c>
      <c r="B1608" s="2">
        <v>45795</v>
      </c>
      <c r="C1608" t="s">
        <v>681</v>
      </c>
      <c r="D1608" t="s">
        <v>1632</v>
      </c>
      <c r="E1608" t="str">
        <f ca="1">TRIM(Sales_fact[[#This Row],[Store_ID]])</f>
        <v>STORE8</v>
      </c>
      <c r="F1608">
        <v>3</v>
      </c>
      <c r="G1608">
        <f>IF(ISBLANK(F1608),MODE($F$2:$F$2001),F1608)</f>
        <v>3</v>
      </c>
      <c r="H1608">
        <v>779.5</v>
      </c>
      <c r="I1608">
        <f>IF(ISBLANK(H1608),AVERAGE($H$2:$H$2001),H1608)</f>
        <v>779.5</v>
      </c>
      <c r="J1608">
        <v>0.02</v>
      </c>
      <c r="K1608">
        <f>IF(ISBLANK(J1608),MODE($J$2:$J$2001),J1608)</f>
        <v>0.02</v>
      </c>
      <c r="L1608" t="s">
        <v>1824</v>
      </c>
      <c r="M1608">
        <v>2291.73</v>
      </c>
      <c r="N1608">
        <f t="shared" si="25"/>
        <v>2291.73</v>
      </c>
      <c r="O1608" t="str">
        <f>_xlfn.XLOOKUP(Sales_fact[[#This Row],[Customer_ID]],'Customer_Dim'!A:A,'Customer_Dim'!K:K,"Not Found")</f>
        <v>Platinum</v>
      </c>
      <c r="P1608">
        <f>_xlfn.XLOOKUP(Sales_fact[[#This Row],[Customer_ID]],'Customer_Dim'!A:A, 'Customer_Dim'!E:E, "Not Found")</f>
        <v>50</v>
      </c>
      <c r="Q1608" t="str">
        <f>VLOOKUP(Sales_fact[[#This Row],[Customer_ID]], 'Customer_Dim'!A:F, 6, FALSE)</f>
        <v>Female</v>
      </c>
      <c r="R1608" s="13" t="str">
        <f>_xlfn.XLOOKUP(Sales_fact[[#This Row],[Product_ID]],Product_Dim!A:A,Product_Dim!C:C,"OTHERS")</f>
        <v>Electronics</v>
      </c>
    </row>
    <row r="1609" spans="1:18" x14ac:dyDescent="0.3">
      <c r="A1609" t="s">
        <v>3433</v>
      </c>
      <c r="B1609" s="2">
        <v>45470</v>
      </c>
      <c r="C1609" t="s">
        <v>1446</v>
      </c>
      <c r="D1609" t="s">
        <v>1670</v>
      </c>
      <c r="E1609" t="str">
        <f ca="1">TRIM(Sales_fact[[#This Row],[Store_ID]])</f>
        <v>STORE16</v>
      </c>
      <c r="F1609">
        <v>2</v>
      </c>
      <c r="G1609">
        <f>IF(ISBLANK(F1609),MODE($F$2:$F$2001),F1609)</f>
        <v>2</v>
      </c>
      <c r="H1609">
        <v>780.57</v>
      </c>
      <c r="I1609">
        <f>IF(ISBLANK(H1609),AVERAGE($H$2:$H$2001),H1609)</f>
        <v>780.57</v>
      </c>
      <c r="J1609">
        <v>0.26</v>
      </c>
      <c r="K1609">
        <f>IF(ISBLANK(J1609),MODE($J$2:$J$2001),J1609)</f>
        <v>0.26</v>
      </c>
      <c r="L1609" t="s">
        <v>1824</v>
      </c>
      <c r="M1609">
        <v>1155.2436</v>
      </c>
      <c r="N1609">
        <f t="shared" si="25"/>
        <v>1155.2436</v>
      </c>
      <c r="O1609" t="str">
        <f>_xlfn.XLOOKUP(Sales_fact[[#This Row],[Customer_ID]],'Customer_Dim'!A:A,'Customer_Dim'!K:K,"Not Found")</f>
        <v>Gold</v>
      </c>
      <c r="P1609">
        <f>_xlfn.XLOOKUP(Sales_fact[[#This Row],[Customer_ID]],'Customer_Dim'!A:A, 'Customer_Dim'!E:E, "Not Found")</f>
        <v>19</v>
      </c>
      <c r="Q1609" t="str">
        <f>VLOOKUP(Sales_fact[[#This Row],[Customer_ID]], 'Customer_Dim'!A:F, 6, FALSE)</f>
        <v>Male</v>
      </c>
      <c r="R1609" s="13" t="str">
        <f>_xlfn.XLOOKUP(Sales_fact[[#This Row],[Product_ID]],Product_Dim!A:A,Product_Dim!C:C,"OTHERS")</f>
        <v>Sports</v>
      </c>
    </row>
    <row r="1610" spans="1:18" x14ac:dyDescent="0.3">
      <c r="A1610" t="s">
        <v>3434</v>
      </c>
      <c r="B1610" s="2">
        <v>45390</v>
      </c>
      <c r="C1610" t="s">
        <v>1196</v>
      </c>
      <c r="D1610" t="s">
        <v>1738</v>
      </c>
      <c r="E1610" t="str">
        <f ca="1">TRIM(Sales_fact[[#This Row],[Store_ID]])</f>
        <v>STORE19</v>
      </c>
      <c r="F1610">
        <v>1</v>
      </c>
      <c r="G1610">
        <f>IF(ISBLANK(F1610),MODE($F$2:$F$2001),F1610)</f>
        <v>1</v>
      </c>
      <c r="H1610">
        <v>511.35</v>
      </c>
      <c r="I1610">
        <f>IF(ISBLANK(H1610),AVERAGE($H$2:$H$2001),H1610)</f>
        <v>511.35</v>
      </c>
      <c r="J1610">
        <v>0</v>
      </c>
      <c r="K1610">
        <f>IF(ISBLANK(J1610),MODE($J$2:$J$2001),J1610)</f>
        <v>0</v>
      </c>
      <c r="L1610" t="s">
        <v>1824</v>
      </c>
      <c r="M1610">
        <v>511.35</v>
      </c>
      <c r="N1610">
        <f t="shared" si="25"/>
        <v>511.35</v>
      </c>
      <c r="O1610" t="str">
        <f>_xlfn.XLOOKUP(Sales_fact[[#This Row],[Customer_ID]],'Customer_Dim'!A:A,'Customer_Dim'!K:K,"Not Found")</f>
        <v>Silver</v>
      </c>
      <c r="P1610">
        <f>_xlfn.XLOOKUP(Sales_fact[[#This Row],[Customer_ID]],'Customer_Dim'!A:A, 'Customer_Dim'!E:E, "Not Found")</f>
        <v>27</v>
      </c>
      <c r="Q1610" t="str">
        <f>VLOOKUP(Sales_fact[[#This Row],[Customer_ID]], 'Customer_Dim'!A:F, 6, FALSE)</f>
        <v>Female</v>
      </c>
      <c r="R1610" s="13" t="str">
        <f>_xlfn.XLOOKUP(Sales_fact[[#This Row],[Product_ID]],Product_Dim!A:A,Product_Dim!C:C,"OTHERS")</f>
        <v>Sports</v>
      </c>
    </row>
    <row r="1611" spans="1:18" x14ac:dyDescent="0.3">
      <c r="A1611" t="s">
        <v>3435</v>
      </c>
      <c r="B1611" s="2">
        <v>45803</v>
      </c>
      <c r="C1611" t="s">
        <v>75</v>
      </c>
      <c r="D1611" t="s">
        <v>1742</v>
      </c>
      <c r="E1611" t="str">
        <f ca="1">TRIM(Sales_fact[[#This Row],[Store_ID]])</f>
        <v>STORE3</v>
      </c>
      <c r="F1611">
        <v>4</v>
      </c>
      <c r="G1611">
        <f>IF(ISBLANK(F1611),MODE($F$2:$F$2001),F1611)</f>
        <v>4</v>
      </c>
      <c r="H1611">
        <v>44.07</v>
      </c>
      <c r="I1611">
        <f>IF(ISBLANK(H1611),AVERAGE($H$2:$H$2001),H1611)</f>
        <v>44.07</v>
      </c>
      <c r="J1611">
        <v>0.28999999999999998</v>
      </c>
      <c r="K1611">
        <f>IF(ISBLANK(J1611),MODE($J$2:$J$2001),J1611)</f>
        <v>0.28999999999999998</v>
      </c>
      <c r="L1611" t="s">
        <v>1829</v>
      </c>
      <c r="M1611">
        <v>125.1588</v>
      </c>
      <c r="N1611">
        <f t="shared" si="25"/>
        <v>125.1588</v>
      </c>
      <c r="O1611" t="str">
        <f>_xlfn.XLOOKUP(Sales_fact[[#This Row],[Customer_ID]],'Customer_Dim'!A:A,'Customer_Dim'!K:K,"Not Found")</f>
        <v>Bronze</v>
      </c>
      <c r="P1611">
        <f>_xlfn.XLOOKUP(Sales_fact[[#This Row],[Customer_ID]],'Customer_Dim'!A:A, 'Customer_Dim'!E:E, "Not Found")</f>
        <v>24</v>
      </c>
      <c r="Q1611" t="str">
        <f>VLOOKUP(Sales_fact[[#This Row],[Customer_ID]], 'Customer_Dim'!A:F, 6, FALSE)</f>
        <v>Female</v>
      </c>
      <c r="R1611" s="13" t="str">
        <f>_xlfn.XLOOKUP(Sales_fact[[#This Row],[Product_ID]],Product_Dim!A:A,Product_Dim!C:C,"OTHERS")</f>
        <v>Sports</v>
      </c>
    </row>
    <row r="1612" spans="1:18" x14ac:dyDescent="0.3">
      <c r="A1612" t="s">
        <v>3436</v>
      </c>
      <c r="B1612" s="2">
        <v>45320</v>
      </c>
      <c r="C1612" t="s">
        <v>646</v>
      </c>
      <c r="D1612" t="s">
        <v>1686</v>
      </c>
      <c r="E1612" t="str">
        <f ca="1">TRIM(Sales_fact[[#This Row],[Store_ID]])</f>
        <v>STORE11</v>
      </c>
      <c r="F1612">
        <v>2</v>
      </c>
      <c r="G1612">
        <f>IF(ISBLANK(F1612),MODE($F$2:$F$2001),F1612)</f>
        <v>2</v>
      </c>
      <c r="H1612">
        <v>895.92</v>
      </c>
      <c r="I1612">
        <f>IF(ISBLANK(H1612),AVERAGE($H$2:$H$2001),H1612)</f>
        <v>895.92</v>
      </c>
      <c r="J1612">
        <v>0.15</v>
      </c>
      <c r="K1612">
        <f>IF(ISBLANK(J1612),MODE($J$2:$J$2001),J1612)</f>
        <v>0.15</v>
      </c>
      <c r="L1612" t="s">
        <v>1824</v>
      </c>
      <c r="M1612">
        <v>1523.0640000000001</v>
      </c>
      <c r="N1612">
        <f t="shared" si="25"/>
        <v>1523.0639999999999</v>
      </c>
      <c r="O1612" t="str">
        <f>_xlfn.XLOOKUP(Sales_fact[[#This Row],[Customer_ID]],'Customer_Dim'!A:A,'Customer_Dim'!K:K,"Not Found")</f>
        <v>Platinum</v>
      </c>
      <c r="P1612">
        <f>_xlfn.XLOOKUP(Sales_fact[[#This Row],[Customer_ID]],'Customer_Dim'!A:A, 'Customer_Dim'!E:E, "Not Found")</f>
        <v>45</v>
      </c>
      <c r="Q1612" t="str">
        <f>VLOOKUP(Sales_fact[[#This Row],[Customer_ID]], 'Customer_Dim'!A:F, 6, FALSE)</f>
        <v>Female</v>
      </c>
      <c r="R1612" s="13" t="str">
        <f>_xlfn.XLOOKUP(Sales_fact[[#This Row],[Product_ID]],Product_Dim!A:A,Product_Dim!C:C,"OTHERS")</f>
        <v>Clothing</v>
      </c>
    </row>
    <row r="1613" spans="1:18" x14ac:dyDescent="0.3">
      <c r="A1613" t="s">
        <v>3437</v>
      </c>
      <c r="B1613" s="2">
        <v>45619</v>
      </c>
      <c r="C1613" t="s">
        <v>963</v>
      </c>
      <c r="D1613" t="s">
        <v>1654</v>
      </c>
      <c r="E1613" t="str">
        <f ca="1">TRIM(Sales_fact[[#This Row],[Store_ID]])</f>
        <v>STORE2</v>
      </c>
      <c r="F1613">
        <v>4</v>
      </c>
      <c r="G1613">
        <f>IF(ISBLANK(F1613),MODE($F$2:$F$2001),F1613)</f>
        <v>4</v>
      </c>
      <c r="H1613">
        <v>456.32</v>
      </c>
      <c r="I1613">
        <f>IF(ISBLANK(H1613),AVERAGE($H$2:$H$2001),H1613)</f>
        <v>456.32</v>
      </c>
      <c r="J1613">
        <v>0.22</v>
      </c>
      <c r="K1613">
        <f>IF(ISBLANK(J1613),MODE($J$2:$J$2001),J1613)</f>
        <v>0.22</v>
      </c>
      <c r="L1613" t="s">
        <v>1829</v>
      </c>
      <c r="M1613">
        <v>1423.7184</v>
      </c>
      <c r="N1613">
        <f t="shared" si="25"/>
        <v>1423.7184</v>
      </c>
      <c r="O1613" t="str">
        <f>_xlfn.XLOOKUP(Sales_fact[[#This Row],[Customer_ID]],'Customer_Dim'!A:A,'Customer_Dim'!K:K,"Not Found")</f>
        <v>Platinum</v>
      </c>
      <c r="P1613">
        <f>_xlfn.XLOOKUP(Sales_fact[[#This Row],[Customer_ID]],'Customer_Dim'!A:A, 'Customer_Dim'!E:E, "Not Found")</f>
        <v>64</v>
      </c>
      <c r="Q1613" t="str">
        <f>VLOOKUP(Sales_fact[[#This Row],[Customer_ID]], 'Customer_Dim'!A:F, 6, FALSE)</f>
        <v>Male</v>
      </c>
      <c r="R1613" s="13" t="str">
        <f>_xlfn.XLOOKUP(Sales_fact[[#This Row],[Product_ID]],Product_Dim!A:A,Product_Dim!C:C,"OTHERS")</f>
        <v>Clothing</v>
      </c>
    </row>
    <row r="1614" spans="1:18" x14ac:dyDescent="0.3">
      <c r="A1614" t="s">
        <v>3438</v>
      </c>
      <c r="B1614" s="2">
        <v>45777</v>
      </c>
      <c r="C1614" t="s">
        <v>1304</v>
      </c>
      <c r="D1614" t="s">
        <v>1616</v>
      </c>
      <c r="E1614" t="str">
        <f ca="1">TRIM(Sales_fact[[#This Row],[Store_ID]])</f>
        <v>STORE0</v>
      </c>
      <c r="F1614">
        <v>1</v>
      </c>
      <c r="G1614">
        <f>IF(ISBLANK(F1614),MODE($F$2:$F$2001),F1614)</f>
        <v>1</v>
      </c>
      <c r="H1614">
        <v>905.5</v>
      </c>
      <c r="I1614">
        <f>IF(ISBLANK(H1614),AVERAGE($H$2:$H$2001),H1614)</f>
        <v>905.5</v>
      </c>
      <c r="J1614">
        <v>0.28999999999999998</v>
      </c>
      <c r="K1614">
        <f>IF(ISBLANK(J1614),MODE($J$2:$J$2001),J1614)</f>
        <v>0.28999999999999998</v>
      </c>
      <c r="L1614" t="s">
        <v>1829</v>
      </c>
      <c r="M1614">
        <v>642.90499999999997</v>
      </c>
      <c r="N1614">
        <f t="shared" si="25"/>
        <v>642.90499999999997</v>
      </c>
      <c r="O1614" t="str">
        <f>_xlfn.XLOOKUP(Sales_fact[[#This Row],[Customer_ID]],'Customer_Dim'!A:A,'Customer_Dim'!K:K,"Not Found")</f>
        <v>Bronze</v>
      </c>
      <c r="P1614">
        <f>_xlfn.XLOOKUP(Sales_fact[[#This Row],[Customer_ID]],'Customer_Dim'!A:A, 'Customer_Dim'!E:E, "Not Found")</f>
        <v>60</v>
      </c>
      <c r="Q1614" t="str">
        <f>VLOOKUP(Sales_fact[[#This Row],[Customer_ID]], 'Customer_Dim'!A:F, 6, FALSE)</f>
        <v>Male</v>
      </c>
      <c r="R1614" s="13" t="str">
        <f>_xlfn.XLOOKUP(Sales_fact[[#This Row],[Product_ID]],Product_Dim!A:A,Product_Dim!C:C,"OTHERS")</f>
        <v>Electronics</v>
      </c>
    </row>
    <row r="1615" spans="1:18" x14ac:dyDescent="0.3">
      <c r="A1615" t="s">
        <v>3439</v>
      </c>
      <c r="B1615" s="2">
        <v>45523</v>
      </c>
      <c r="C1615" t="s">
        <v>666</v>
      </c>
      <c r="D1615" t="s">
        <v>1580</v>
      </c>
      <c r="E1615" t="str">
        <f ca="1">TRIM(Sales_fact[[#This Row],[Store_ID]])</f>
        <v>STORE13</v>
      </c>
      <c r="F1615">
        <v>3</v>
      </c>
      <c r="G1615">
        <f>IF(ISBLANK(F1615),MODE($F$2:$F$2001),F1615)</f>
        <v>3</v>
      </c>
      <c r="H1615">
        <v>63.19</v>
      </c>
      <c r="I1615">
        <f>IF(ISBLANK(H1615),AVERAGE($H$2:$H$2001),H1615)</f>
        <v>63.19</v>
      </c>
      <c r="J1615">
        <v>0.08</v>
      </c>
      <c r="K1615">
        <f>IF(ISBLANK(J1615),MODE($J$2:$J$2001),J1615)</f>
        <v>0.08</v>
      </c>
      <c r="L1615" t="s">
        <v>1824</v>
      </c>
      <c r="M1615">
        <v>174.40440000000001</v>
      </c>
      <c r="N1615">
        <f t="shared" si="25"/>
        <v>174.40440000000001</v>
      </c>
      <c r="O1615" t="str">
        <f>_xlfn.XLOOKUP(Sales_fact[[#This Row],[Customer_ID]],'Customer_Dim'!A:A,'Customer_Dim'!K:K,"Not Found")</f>
        <v>Platinum</v>
      </c>
      <c r="P1615">
        <f>_xlfn.XLOOKUP(Sales_fact[[#This Row],[Customer_ID]],'Customer_Dim'!A:A, 'Customer_Dim'!E:E, "Not Found")</f>
        <v>52</v>
      </c>
      <c r="Q1615" t="str">
        <f>VLOOKUP(Sales_fact[[#This Row],[Customer_ID]], 'Customer_Dim'!A:F, 6, FALSE)</f>
        <v>Male</v>
      </c>
      <c r="R1615" s="13" t="str">
        <f>_xlfn.XLOOKUP(Sales_fact[[#This Row],[Product_ID]],Product_Dim!A:A,Product_Dim!C:C,"OTHERS")</f>
        <v>OTHERS</v>
      </c>
    </row>
    <row r="1616" spans="1:18" x14ac:dyDescent="0.3">
      <c r="A1616" t="s">
        <v>3440</v>
      </c>
      <c r="B1616" s="2">
        <v>45628</v>
      </c>
      <c r="C1616" t="s">
        <v>191</v>
      </c>
      <c r="D1616" t="s">
        <v>1688</v>
      </c>
      <c r="E1616" t="str">
        <f ca="1">TRIM(Sales_fact[[#This Row],[Store_ID]])</f>
        <v>STORE7</v>
      </c>
      <c r="F1616">
        <v>3</v>
      </c>
      <c r="G1616">
        <f>IF(ISBLANK(F1616),MODE($F$2:$F$2001),F1616)</f>
        <v>3</v>
      </c>
      <c r="H1616">
        <v>687.66</v>
      </c>
      <c r="I1616">
        <f>IF(ISBLANK(H1616),AVERAGE($H$2:$H$2001),H1616)</f>
        <v>687.66</v>
      </c>
      <c r="J1616">
        <v>0.06</v>
      </c>
      <c r="K1616">
        <f>IF(ISBLANK(J1616),MODE($J$2:$J$2001),J1616)</f>
        <v>0.06</v>
      </c>
      <c r="L1616" t="s">
        <v>1826</v>
      </c>
      <c r="M1616">
        <v>1939.2012</v>
      </c>
      <c r="N1616">
        <f t="shared" si="25"/>
        <v>1939.2012</v>
      </c>
      <c r="O1616" t="str">
        <f>_xlfn.XLOOKUP(Sales_fact[[#This Row],[Customer_ID]],'Customer_Dim'!A:A,'Customer_Dim'!K:K,"Not Found")</f>
        <v>Gold</v>
      </c>
      <c r="P1616">
        <f>_xlfn.XLOOKUP(Sales_fact[[#This Row],[Customer_ID]],'Customer_Dim'!A:A, 'Customer_Dim'!E:E, "Not Found")</f>
        <v>61</v>
      </c>
      <c r="Q1616" t="str">
        <f>VLOOKUP(Sales_fact[[#This Row],[Customer_ID]], 'Customer_Dim'!A:F, 6, FALSE)</f>
        <v>Female</v>
      </c>
      <c r="R1616" s="13" t="str">
        <f>_xlfn.XLOOKUP(Sales_fact[[#This Row],[Product_ID]],Product_Dim!A:A,Product_Dim!C:C,"OTHERS")</f>
        <v>Home</v>
      </c>
    </row>
    <row r="1617" spans="1:18" x14ac:dyDescent="0.3">
      <c r="A1617" t="s">
        <v>3441</v>
      </c>
      <c r="B1617" s="2">
        <v>45742</v>
      </c>
      <c r="C1617" t="s">
        <v>711</v>
      </c>
      <c r="D1617" t="s">
        <v>1634</v>
      </c>
      <c r="E1617" t="str">
        <f ca="1">TRIM(Sales_fact[[#This Row],[Store_ID]])</f>
        <v>STORE9</v>
      </c>
      <c r="F1617">
        <v>4</v>
      </c>
      <c r="G1617">
        <f>IF(ISBLANK(F1617),MODE($F$2:$F$2001),F1617)</f>
        <v>4</v>
      </c>
      <c r="H1617">
        <v>639.05999999999995</v>
      </c>
      <c r="I1617">
        <f>IF(ISBLANK(H1617),AVERAGE($H$2:$H$2001),H1617)</f>
        <v>639.05999999999995</v>
      </c>
      <c r="J1617">
        <v>0.12</v>
      </c>
      <c r="K1617">
        <f>IF(ISBLANK(J1617),MODE($J$2:$J$2001),J1617)</f>
        <v>0.12</v>
      </c>
      <c r="L1617" t="s">
        <v>1826</v>
      </c>
      <c r="M1617">
        <v>2249.4911999999999</v>
      </c>
      <c r="N1617">
        <f t="shared" si="25"/>
        <v>2249.4911999999999</v>
      </c>
      <c r="O1617" t="str">
        <f>_xlfn.XLOOKUP(Sales_fact[[#This Row],[Customer_ID]],'Customer_Dim'!A:A,'Customer_Dim'!K:K,"Not Found")</f>
        <v>Gold</v>
      </c>
      <c r="P1617">
        <f>_xlfn.XLOOKUP(Sales_fact[[#This Row],[Customer_ID]],'Customer_Dim'!A:A, 'Customer_Dim'!E:E, "Not Found")</f>
        <v>47</v>
      </c>
      <c r="Q1617" t="str">
        <f>VLOOKUP(Sales_fact[[#This Row],[Customer_ID]], 'Customer_Dim'!A:F, 6, FALSE)</f>
        <v>Female</v>
      </c>
      <c r="R1617" s="13" t="str">
        <f>_xlfn.XLOOKUP(Sales_fact[[#This Row],[Product_ID]],Product_Dim!A:A,Product_Dim!C:C,"OTHERS")</f>
        <v>Electronics</v>
      </c>
    </row>
    <row r="1618" spans="1:18" x14ac:dyDescent="0.3">
      <c r="A1618" t="s">
        <v>3442</v>
      </c>
      <c r="B1618" s="2">
        <v>45456</v>
      </c>
      <c r="C1618" t="s">
        <v>247</v>
      </c>
      <c r="D1618" t="s">
        <v>1690</v>
      </c>
      <c r="E1618" t="str">
        <f ca="1">TRIM(Sales_fact[[#This Row],[Store_ID]])</f>
        <v>STORE7</v>
      </c>
      <c r="F1618">
        <v>1</v>
      </c>
      <c r="G1618">
        <f>IF(ISBLANK(F1618),MODE($F$2:$F$2001),F1618)</f>
        <v>1</v>
      </c>
      <c r="H1618">
        <v>475.15</v>
      </c>
      <c r="I1618">
        <f>IF(ISBLANK(H1618),AVERAGE($H$2:$H$2001),H1618)</f>
        <v>475.15</v>
      </c>
      <c r="J1618">
        <v>0.04</v>
      </c>
      <c r="K1618">
        <f>IF(ISBLANK(J1618),MODE($J$2:$J$2001),J1618)</f>
        <v>0.04</v>
      </c>
      <c r="L1618" t="s">
        <v>1829</v>
      </c>
      <c r="M1618">
        <v>456.14399999999989</v>
      </c>
      <c r="N1618">
        <f t="shared" si="25"/>
        <v>456.14399999999995</v>
      </c>
      <c r="O1618" t="str">
        <f>_xlfn.XLOOKUP(Sales_fact[[#This Row],[Customer_ID]],'Customer_Dim'!A:A,'Customer_Dim'!K:K,"Not Found")</f>
        <v>Silver</v>
      </c>
      <c r="P1618">
        <f>_xlfn.XLOOKUP(Sales_fact[[#This Row],[Customer_ID]],'Customer_Dim'!A:A, 'Customer_Dim'!E:E, "Not Found")</f>
        <v>58</v>
      </c>
      <c r="Q1618" t="str">
        <f>VLOOKUP(Sales_fact[[#This Row],[Customer_ID]], 'Customer_Dim'!A:F, 6, FALSE)</f>
        <v>Male</v>
      </c>
      <c r="R1618" s="13" t="str">
        <f>_xlfn.XLOOKUP(Sales_fact[[#This Row],[Product_ID]],Product_Dim!A:A,Product_Dim!C:C,"OTHERS")</f>
        <v>Beauty</v>
      </c>
    </row>
    <row r="1619" spans="1:18" x14ac:dyDescent="0.3">
      <c r="A1619" t="s">
        <v>3443</v>
      </c>
      <c r="B1619" s="2">
        <v>45534</v>
      </c>
      <c r="C1619" t="s">
        <v>625</v>
      </c>
      <c r="D1619" t="s">
        <v>1636</v>
      </c>
      <c r="E1619" t="str">
        <f ca="1">TRIM(Sales_fact[[#This Row],[Store_ID]])</f>
        <v>STORE6</v>
      </c>
      <c r="F1619">
        <v>1</v>
      </c>
      <c r="G1619">
        <f>IF(ISBLANK(F1619),MODE($F$2:$F$2001),F1619)</f>
        <v>1</v>
      </c>
      <c r="H1619">
        <v>62.38</v>
      </c>
      <c r="I1619">
        <f>IF(ISBLANK(H1619),AVERAGE($H$2:$H$2001),H1619)</f>
        <v>62.38</v>
      </c>
      <c r="J1619">
        <v>0.08</v>
      </c>
      <c r="K1619">
        <f>IF(ISBLANK(J1619),MODE($J$2:$J$2001),J1619)</f>
        <v>0.08</v>
      </c>
      <c r="L1619" t="s">
        <v>1829</v>
      </c>
      <c r="M1619">
        <v>57.389600000000002</v>
      </c>
      <c r="N1619">
        <f t="shared" si="25"/>
        <v>57.389600000000002</v>
      </c>
      <c r="O1619" t="str">
        <f>_xlfn.XLOOKUP(Sales_fact[[#This Row],[Customer_ID]],'Customer_Dim'!A:A,'Customer_Dim'!K:K,"Not Found")</f>
        <v>Bronze</v>
      </c>
      <c r="P1619">
        <f>_xlfn.XLOOKUP(Sales_fact[[#This Row],[Customer_ID]],'Customer_Dim'!A:A, 'Customer_Dim'!E:E, "Not Found")</f>
        <v>21</v>
      </c>
      <c r="Q1619" t="str">
        <f>VLOOKUP(Sales_fact[[#This Row],[Customer_ID]], 'Customer_Dim'!A:F, 6, FALSE)</f>
        <v>Male</v>
      </c>
      <c r="R1619" s="13" t="str">
        <f>_xlfn.XLOOKUP(Sales_fact[[#This Row],[Product_ID]],Product_Dim!A:A,Product_Dim!C:C,"OTHERS")</f>
        <v>Sports</v>
      </c>
    </row>
    <row r="1620" spans="1:18" x14ac:dyDescent="0.3">
      <c r="A1620" t="s">
        <v>3444</v>
      </c>
      <c r="B1620" s="2">
        <v>45375</v>
      </c>
      <c r="C1620" t="s">
        <v>1109</v>
      </c>
      <c r="D1620" t="s">
        <v>1578</v>
      </c>
      <c r="E1620" t="str">
        <f ca="1">TRIM(Sales_fact[[#This Row],[Store_ID]])</f>
        <v>STORE7</v>
      </c>
      <c r="F1620">
        <v>1</v>
      </c>
      <c r="G1620">
        <f>IF(ISBLANK(F1620),MODE($F$2:$F$2001),F1620)</f>
        <v>1</v>
      </c>
      <c r="H1620">
        <v>977.02</v>
      </c>
      <c r="I1620">
        <f>IF(ISBLANK(H1620),AVERAGE($H$2:$H$2001),H1620)</f>
        <v>977.02</v>
      </c>
      <c r="J1620">
        <v>0.2</v>
      </c>
      <c r="K1620">
        <f>IF(ISBLANK(J1620),MODE($J$2:$J$2001),J1620)</f>
        <v>0.2</v>
      </c>
      <c r="L1620" t="s">
        <v>1829</v>
      </c>
      <c r="M1620">
        <v>781.61599999999999</v>
      </c>
      <c r="N1620">
        <f t="shared" si="25"/>
        <v>781.61599999999999</v>
      </c>
      <c r="O1620" t="str">
        <f>_xlfn.XLOOKUP(Sales_fact[[#This Row],[Customer_ID]],'Customer_Dim'!A:A,'Customer_Dim'!K:K,"Not Found")</f>
        <v>Silver</v>
      </c>
      <c r="P1620">
        <f>_xlfn.XLOOKUP(Sales_fact[[#This Row],[Customer_ID]],'Customer_Dim'!A:A, 'Customer_Dim'!E:E, "Not Found")</f>
        <v>38</v>
      </c>
      <c r="Q1620" t="str">
        <f>VLOOKUP(Sales_fact[[#This Row],[Customer_ID]], 'Customer_Dim'!A:F, 6, FALSE)</f>
        <v>Male</v>
      </c>
      <c r="R1620" s="13" t="str">
        <f>_xlfn.XLOOKUP(Sales_fact[[#This Row],[Product_ID]],Product_Dim!A:A,Product_Dim!C:C,"OTHERS")</f>
        <v>Electronics</v>
      </c>
    </row>
    <row r="1621" spans="1:18" x14ac:dyDescent="0.3">
      <c r="A1621" t="s">
        <v>3445</v>
      </c>
      <c r="B1621" s="2">
        <v>45546</v>
      </c>
      <c r="C1621" t="s">
        <v>271</v>
      </c>
      <c r="D1621" t="s">
        <v>1714</v>
      </c>
      <c r="E1621" t="str">
        <f ca="1">TRIM(Sales_fact[[#This Row],[Store_ID]])</f>
        <v>STORE4</v>
      </c>
      <c r="F1621">
        <v>2</v>
      </c>
      <c r="G1621">
        <f>IF(ISBLANK(F1621),MODE($F$2:$F$2001),F1621)</f>
        <v>2</v>
      </c>
      <c r="H1621">
        <v>898.81</v>
      </c>
      <c r="I1621">
        <f>IF(ISBLANK(H1621),AVERAGE($H$2:$H$2001),H1621)</f>
        <v>898.81</v>
      </c>
      <c r="J1621">
        <v>0.25</v>
      </c>
      <c r="K1621">
        <f>IF(ISBLANK(J1621),MODE($J$2:$J$2001),J1621)</f>
        <v>0.25</v>
      </c>
      <c r="L1621" t="s">
        <v>1824</v>
      </c>
      <c r="M1621">
        <v>1348.2149999999999</v>
      </c>
      <c r="N1621">
        <f t="shared" si="25"/>
        <v>1348.2149999999999</v>
      </c>
      <c r="O1621" t="str">
        <f>_xlfn.XLOOKUP(Sales_fact[[#This Row],[Customer_ID]],'Customer_Dim'!A:A,'Customer_Dim'!K:K,"Not Found")</f>
        <v>Bronze</v>
      </c>
      <c r="P1621">
        <f>_xlfn.XLOOKUP(Sales_fact[[#This Row],[Customer_ID]],'Customer_Dim'!A:A, 'Customer_Dim'!E:E, "Not Found")</f>
        <v>58</v>
      </c>
      <c r="Q1621" t="str">
        <f>VLOOKUP(Sales_fact[[#This Row],[Customer_ID]], 'Customer_Dim'!A:F, 6, FALSE)</f>
        <v>Male</v>
      </c>
      <c r="R1621" s="13" t="str">
        <f>_xlfn.XLOOKUP(Sales_fact[[#This Row],[Product_ID]],Product_Dim!A:A,Product_Dim!C:C,"OTHERS")</f>
        <v>Beauty</v>
      </c>
    </row>
    <row r="1622" spans="1:18" x14ac:dyDescent="0.3">
      <c r="A1622" t="s">
        <v>3446</v>
      </c>
      <c r="B1622" s="2">
        <v>45769</v>
      </c>
      <c r="C1622" t="s">
        <v>1101</v>
      </c>
      <c r="D1622" t="s">
        <v>1662</v>
      </c>
      <c r="E1622" t="str">
        <f ca="1">TRIM(Sales_fact[[#This Row],[Store_ID]])</f>
        <v>STORE3</v>
      </c>
      <c r="F1622">
        <v>2</v>
      </c>
      <c r="G1622">
        <f>IF(ISBLANK(F1622),MODE($F$2:$F$2001),F1622)</f>
        <v>2</v>
      </c>
      <c r="H1622">
        <v>422.13</v>
      </c>
      <c r="I1622">
        <f>IF(ISBLANK(H1622),AVERAGE($H$2:$H$2001),H1622)</f>
        <v>422.13</v>
      </c>
      <c r="J1622">
        <v>0.28000000000000003</v>
      </c>
      <c r="K1622">
        <f>IF(ISBLANK(J1622),MODE($J$2:$J$2001),J1622)</f>
        <v>0.28000000000000003</v>
      </c>
      <c r="L1622" t="s">
        <v>1824</v>
      </c>
      <c r="M1622">
        <v>607.86720000000003</v>
      </c>
      <c r="N1622">
        <f t="shared" si="25"/>
        <v>607.86720000000003</v>
      </c>
      <c r="O1622" t="str">
        <f>_xlfn.XLOOKUP(Sales_fact[[#This Row],[Customer_ID]],'Customer_Dim'!A:A,'Customer_Dim'!K:K,"Not Found")</f>
        <v>Bronze</v>
      </c>
      <c r="P1622">
        <f>_xlfn.XLOOKUP(Sales_fact[[#This Row],[Customer_ID]],'Customer_Dim'!A:A, 'Customer_Dim'!E:E, "Not Found")</f>
        <v>25</v>
      </c>
      <c r="Q1622" t="str">
        <f>VLOOKUP(Sales_fact[[#This Row],[Customer_ID]], 'Customer_Dim'!A:F, 6, FALSE)</f>
        <v>Female</v>
      </c>
      <c r="R1622" s="13" t="str">
        <f>_xlfn.XLOOKUP(Sales_fact[[#This Row],[Product_ID]],Product_Dim!A:A,Product_Dim!C:C,"OTHERS")</f>
        <v>Sports</v>
      </c>
    </row>
    <row r="1623" spans="1:18" x14ac:dyDescent="0.3">
      <c r="A1623" t="s">
        <v>3447</v>
      </c>
      <c r="B1623" s="2">
        <v>45524</v>
      </c>
      <c r="C1623" t="s">
        <v>191</v>
      </c>
      <c r="D1623" t="s">
        <v>1616</v>
      </c>
      <c r="E1623" t="str">
        <f ca="1">TRIM(Sales_fact[[#This Row],[Store_ID]])</f>
        <v>STORE11</v>
      </c>
      <c r="F1623">
        <v>1</v>
      </c>
      <c r="G1623">
        <f>IF(ISBLANK(F1623),MODE($F$2:$F$2001),F1623)</f>
        <v>1</v>
      </c>
      <c r="H1623">
        <v>324.56</v>
      </c>
      <c r="I1623">
        <f>IF(ISBLANK(H1623),AVERAGE($H$2:$H$2001),H1623)</f>
        <v>324.56</v>
      </c>
      <c r="J1623">
        <v>0.03</v>
      </c>
      <c r="K1623">
        <f>IF(ISBLANK(J1623),MODE($J$2:$J$2001),J1623)</f>
        <v>0.03</v>
      </c>
      <c r="L1623" t="s">
        <v>1829</v>
      </c>
      <c r="M1623">
        <v>314.82319999999999</v>
      </c>
      <c r="N1623">
        <f t="shared" si="25"/>
        <v>314.82319999999999</v>
      </c>
      <c r="O1623" t="str">
        <f>_xlfn.XLOOKUP(Sales_fact[[#This Row],[Customer_ID]],'Customer_Dim'!A:A,'Customer_Dim'!K:K,"Not Found")</f>
        <v>Gold</v>
      </c>
      <c r="P1623">
        <f>_xlfn.XLOOKUP(Sales_fact[[#This Row],[Customer_ID]],'Customer_Dim'!A:A, 'Customer_Dim'!E:E, "Not Found")</f>
        <v>61</v>
      </c>
      <c r="Q1623" t="str">
        <f>VLOOKUP(Sales_fact[[#This Row],[Customer_ID]], 'Customer_Dim'!A:F, 6, FALSE)</f>
        <v>Female</v>
      </c>
      <c r="R1623" s="13" t="str">
        <f>_xlfn.XLOOKUP(Sales_fact[[#This Row],[Product_ID]],Product_Dim!A:A,Product_Dim!C:C,"OTHERS")</f>
        <v>Electronics</v>
      </c>
    </row>
    <row r="1624" spans="1:18" x14ac:dyDescent="0.3">
      <c r="A1624" t="s">
        <v>3448</v>
      </c>
      <c r="B1624" s="2">
        <v>45531</v>
      </c>
      <c r="C1624" t="s">
        <v>1443</v>
      </c>
      <c r="D1624" t="s">
        <v>1658</v>
      </c>
      <c r="E1624" t="str">
        <f ca="1">TRIM(Sales_fact[[#This Row],[Store_ID]])</f>
        <v>STORE16</v>
      </c>
      <c r="F1624">
        <v>4</v>
      </c>
      <c r="G1624">
        <f>IF(ISBLANK(F1624),MODE($F$2:$F$2001),F1624)</f>
        <v>4</v>
      </c>
      <c r="H1624">
        <v>570.38</v>
      </c>
      <c r="I1624">
        <f>IF(ISBLANK(H1624),AVERAGE($H$2:$H$2001),H1624)</f>
        <v>570.38</v>
      </c>
      <c r="J1624">
        <v>0.26</v>
      </c>
      <c r="K1624">
        <f>IF(ISBLANK(J1624),MODE($J$2:$J$2001),J1624)</f>
        <v>0.26</v>
      </c>
      <c r="L1624" t="s">
        <v>1826</v>
      </c>
      <c r="M1624">
        <v>1688.3248000000001</v>
      </c>
      <c r="N1624">
        <f t="shared" si="25"/>
        <v>1688.3247999999999</v>
      </c>
      <c r="O1624" t="str">
        <f>_xlfn.XLOOKUP(Sales_fact[[#This Row],[Customer_ID]],'Customer_Dim'!A:A,'Customer_Dim'!K:K,"Not Found")</f>
        <v>Bronze</v>
      </c>
      <c r="P1624">
        <f>_xlfn.XLOOKUP(Sales_fact[[#This Row],[Customer_ID]],'Customer_Dim'!A:A, 'Customer_Dim'!E:E, "Not Found")</f>
        <v>45</v>
      </c>
      <c r="Q1624" t="str">
        <f>VLOOKUP(Sales_fact[[#This Row],[Customer_ID]], 'Customer_Dim'!A:F, 6, FALSE)</f>
        <v>Male</v>
      </c>
      <c r="R1624" s="13" t="str">
        <f>_xlfn.XLOOKUP(Sales_fact[[#This Row],[Product_ID]],Product_Dim!A:A,Product_Dim!C:C,"OTHERS")</f>
        <v>Home</v>
      </c>
    </row>
    <row r="1625" spans="1:18" x14ac:dyDescent="0.3">
      <c r="A1625" t="s">
        <v>3449</v>
      </c>
      <c r="B1625" s="2">
        <v>45479</v>
      </c>
      <c r="C1625" t="s">
        <v>1229</v>
      </c>
      <c r="D1625" t="s">
        <v>1616</v>
      </c>
      <c r="E1625" t="str">
        <f ca="1">TRIM(Sales_fact[[#This Row],[Store_ID]])</f>
        <v>STORE15</v>
      </c>
      <c r="F1625">
        <v>2</v>
      </c>
      <c r="G1625">
        <f>IF(ISBLANK(F1625),MODE($F$2:$F$2001),F1625)</f>
        <v>2</v>
      </c>
      <c r="H1625">
        <v>223.73</v>
      </c>
      <c r="I1625">
        <f>IF(ISBLANK(H1625),AVERAGE($H$2:$H$2001),H1625)</f>
        <v>223.73</v>
      </c>
      <c r="J1625">
        <v>0.11</v>
      </c>
      <c r="K1625">
        <f>IF(ISBLANK(J1625),MODE($J$2:$J$2001),J1625)</f>
        <v>0.11</v>
      </c>
      <c r="L1625" t="s">
        <v>1826</v>
      </c>
      <c r="M1625">
        <v>398.23939999999999</v>
      </c>
      <c r="N1625">
        <f t="shared" si="25"/>
        <v>398.23939999999999</v>
      </c>
      <c r="O1625" t="str">
        <f>_xlfn.XLOOKUP(Sales_fact[[#This Row],[Customer_ID]],'Customer_Dim'!A:A,'Customer_Dim'!K:K,"Not Found")</f>
        <v>Bronze</v>
      </c>
      <c r="P1625">
        <f>_xlfn.XLOOKUP(Sales_fact[[#This Row],[Customer_ID]],'Customer_Dim'!A:A, 'Customer_Dim'!E:E, "Not Found")</f>
        <v>43</v>
      </c>
      <c r="Q1625" t="str">
        <f>VLOOKUP(Sales_fact[[#This Row],[Customer_ID]], 'Customer_Dim'!A:F, 6, FALSE)</f>
        <v>Female</v>
      </c>
      <c r="R1625" s="13" t="str">
        <f>_xlfn.XLOOKUP(Sales_fact[[#This Row],[Product_ID]],Product_Dim!A:A,Product_Dim!C:C,"OTHERS")</f>
        <v>Electronics</v>
      </c>
    </row>
    <row r="1626" spans="1:18" x14ac:dyDescent="0.3">
      <c r="A1626" t="s">
        <v>3450</v>
      </c>
      <c r="B1626" s="2">
        <v>45868</v>
      </c>
      <c r="C1626" t="s">
        <v>1101</v>
      </c>
      <c r="D1626" t="s">
        <v>1720</v>
      </c>
      <c r="E1626" t="str">
        <f ca="1">TRIM(Sales_fact[[#This Row],[Store_ID]])</f>
        <v>STORE16</v>
      </c>
      <c r="F1626">
        <v>4</v>
      </c>
      <c r="G1626">
        <f>IF(ISBLANK(F1626),MODE($F$2:$F$2001),F1626)</f>
        <v>4</v>
      </c>
      <c r="H1626">
        <v>164.93</v>
      </c>
      <c r="I1626">
        <f>IF(ISBLANK(H1626),AVERAGE($H$2:$H$2001),H1626)</f>
        <v>164.93</v>
      </c>
      <c r="J1626">
        <v>0.11</v>
      </c>
      <c r="K1626">
        <f>IF(ISBLANK(J1626),MODE($J$2:$J$2001),J1626)</f>
        <v>0.11</v>
      </c>
      <c r="L1626" t="s">
        <v>1824</v>
      </c>
      <c r="M1626">
        <v>587.1508</v>
      </c>
      <c r="N1626">
        <f t="shared" si="25"/>
        <v>587.1508</v>
      </c>
      <c r="O1626" t="str">
        <f>_xlfn.XLOOKUP(Sales_fact[[#This Row],[Customer_ID]],'Customer_Dim'!A:A,'Customer_Dim'!K:K,"Not Found")</f>
        <v>Bronze</v>
      </c>
      <c r="P1626">
        <f>_xlfn.XLOOKUP(Sales_fact[[#This Row],[Customer_ID]],'Customer_Dim'!A:A, 'Customer_Dim'!E:E, "Not Found")</f>
        <v>25</v>
      </c>
      <c r="Q1626" t="str">
        <f>VLOOKUP(Sales_fact[[#This Row],[Customer_ID]], 'Customer_Dim'!A:F, 6, FALSE)</f>
        <v>Female</v>
      </c>
      <c r="R1626" s="13" t="str">
        <f>_xlfn.XLOOKUP(Sales_fact[[#This Row],[Product_ID]],Product_Dim!A:A,Product_Dim!C:C,"OTHERS")</f>
        <v>Home</v>
      </c>
    </row>
    <row r="1627" spans="1:18" x14ac:dyDescent="0.3">
      <c r="A1627" t="s">
        <v>3451</v>
      </c>
      <c r="B1627" s="2">
        <v>45569</v>
      </c>
      <c r="C1627" t="s">
        <v>797</v>
      </c>
      <c r="D1627" t="s">
        <v>1578</v>
      </c>
      <c r="E1627" t="str">
        <f ca="1">TRIM(Sales_fact[[#This Row],[Store_ID]])</f>
        <v>STORE7</v>
      </c>
      <c r="F1627">
        <v>3</v>
      </c>
      <c r="G1627">
        <f>IF(ISBLANK(F1627),MODE($F$2:$F$2001),F1627)</f>
        <v>3</v>
      </c>
      <c r="H1627">
        <v>326.66000000000003</v>
      </c>
      <c r="I1627">
        <f>IF(ISBLANK(H1627),AVERAGE($H$2:$H$2001),H1627)</f>
        <v>326.66000000000003</v>
      </c>
      <c r="J1627">
        <v>0.28000000000000003</v>
      </c>
      <c r="K1627">
        <f>IF(ISBLANK(J1627),MODE($J$2:$J$2001),J1627)</f>
        <v>0.28000000000000003</v>
      </c>
      <c r="L1627" t="s">
        <v>1829</v>
      </c>
      <c r="M1627">
        <v>705.5856</v>
      </c>
      <c r="N1627">
        <f t="shared" si="25"/>
        <v>705.5856</v>
      </c>
      <c r="O1627" t="str">
        <f>_xlfn.XLOOKUP(Sales_fact[[#This Row],[Customer_ID]],'Customer_Dim'!A:A,'Customer_Dim'!K:K,"Not Found")</f>
        <v>Gold</v>
      </c>
      <c r="P1627">
        <f>_xlfn.XLOOKUP(Sales_fact[[#This Row],[Customer_ID]],'Customer_Dim'!A:A, 'Customer_Dim'!E:E, "Not Found")</f>
        <v>41</v>
      </c>
      <c r="Q1627" t="str">
        <f>VLOOKUP(Sales_fact[[#This Row],[Customer_ID]], 'Customer_Dim'!A:F, 6, FALSE)</f>
        <v>Female</v>
      </c>
      <c r="R1627" s="13" t="str">
        <f>_xlfn.XLOOKUP(Sales_fact[[#This Row],[Product_ID]],Product_Dim!A:A,Product_Dim!C:C,"OTHERS")</f>
        <v>Electronics</v>
      </c>
    </row>
    <row r="1628" spans="1:18" x14ac:dyDescent="0.3">
      <c r="A1628" t="s">
        <v>3452</v>
      </c>
      <c r="B1628" s="2">
        <v>45382</v>
      </c>
      <c r="C1628" t="s">
        <v>601</v>
      </c>
      <c r="D1628" t="s">
        <v>1546</v>
      </c>
      <c r="E1628" t="str">
        <f ca="1">TRIM(Sales_fact[[#This Row],[Store_ID]])</f>
        <v>STORE15</v>
      </c>
      <c r="F1628">
        <v>2</v>
      </c>
      <c r="G1628">
        <f>IF(ISBLANK(F1628),MODE($F$2:$F$2001),F1628)</f>
        <v>2</v>
      </c>
      <c r="H1628">
        <v>462.93</v>
      </c>
      <c r="I1628">
        <f>IF(ISBLANK(H1628),AVERAGE($H$2:$H$2001),H1628)</f>
        <v>462.93</v>
      </c>
      <c r="J1628">
        <v>0.17</v>
      </c>
      <c r="K1628">
        <f>IF(ISBLANK(J1628),MODE($J$2:$J$2001),J1628)</f>
        <v>0.17</v>
      </c>
      <c r="L1628" t="s">
        <v>1826</v>
      </c>
      <c r="M1628">
        <v>768.46379999999999</v>
      </c>
      <c r="N1628">
        <f t="shared" si="25"/>
        <v>768.46379999999999</v>
      </c>
      <c r="O1628" t="str">
        <f>_xlfn.XLOOKUP(Sales_fact[[#This Row],[Customer_ID]],'Customer_Dim'!A:A,'Customer_Dim'!K:K,"Not Found")</f>
        <v>Silver</v>
      </c>
      <c r="P1628">
        <f>_xlfn.XLOOKUP(Sales_fact[[#This Row],[Customer_ID]],'Customer_Dim'!A:A, 'Customer_Dim'!E:E, "Not Found")</f>
        <v>23</v>
      </c>
      <c r="Q1628" t="str">
        <f>VLOOKUP(Sales_fact[[#This Row],[Customer_ID]], 'Customer_Dim'!A:F, 6, FALSE)</f>
        <v>Female</v>
      </c>
      <c r="R1628" s="13" t="str">
        <f>_xlfn.XLOOKUP(Sales_fact[[#This Row],[Product_ID]],Product_Dim!A:A,Product_Dim!C:C,"OTHERS")</f>
        <v>Clothing</v>
      </c>
    </row>
    <row r="1629" spans="1:18" x14ac:dyDescent="0.3">
      <c r="A1629" t="s">
        <v>3453</v>
      </c>
      <c r="B1629" s="2">
        <v>45885</v>
      </c>
      <c r="C1629" t="s">
        <v>496</v>
      </c>
      <c r="D1629" t="s">
        <v>1543</v>
      </c>
      <c r="E1629" t="str">
        <f ca="1">TRIM(Sales_fact[[#This Row],[Store_ID]])</f>
        <v>STORE16</v>
      </c>
      <c r="F1629">
        <v>3</v>
      </c>
      <c r="G1629">
        <f>IF(ISBLANK(F1629),MODE($F$2:$F$2001),F1629)</f>
        <v>3</v>
      </c>
      <c r="H1629">
        <v>60.26</v>
      </c>
      <c r="I1629">
        <f>IF(ISBLANK(H1629),AVERAGE($H$2:$H$2001),H1629)</f>
        <v>60.26</v>
      </c>
      <c r="J1629">
        <v>0.04</v>
      </c>
      <c r="K1629">
        <f>IF(ISBLANK(J1629),MODE($J$2:$J$2001),J1629)</f>
        <v>0.04</v>
      </c>
      <c r="L1629" t="s">
        <v>1824</v>
      </c>
      <c r="M1629">
        <v>173.5488</v>
      </c>
      <c r="N1629">
        <f t="shared" si="25"/>
        <v>173.5488</v>
      </c>
      <c r="O1629" t="str">
        <f>_xlfn.XLOOKUP(Sales_fact[[#This Row],[Customer_ID]],'Customer_Dim'!A:A,'Customer_Dim'!K:K,"Not Found")</f>
        <v>Platinum</v>
      </c>
      <c r="P1629">
        <f>_xlfn.XLOOKUP(Sales_fact[[#This Row],[Customer_ID]],'Customer_Dim'!A:A, 'Customer_Dim'!E:E, "Not Found")</f>
        <v>49</v>
      </c>
      <c r="Q1629" t="str">
        <f>VLOOKUP(Sales_fact[[#This Row],[Customer_ID]], 'Customer_Dim'!A:F, 6, FALSE)</f>
        <v>Female</v>
      </c>
      <c r="R1629" s="13" t="str">
        <f>_xlfn.XLOOKUP(Sales_fact[[#This Row],[Product_ID]],Product_Dim!A:A,Product_Dim!C:C,"OTHERS")</f>
        <v>Electronics</v>
      </c>
    </row>
    <row r="1630" spans="1:18" x14ac:dyDescent="0.3">
      <c r="A1630" t="s">
        <v>3454</v>
      </c>
      <c r="B1630" s="2">
        <v>45829</v>
      </c>
      <c r="C1630" t="s">
        <v>261</v>
      </c>
      <c r="D1630" t="s">
        <v>1616</v>
      </c>
      <c r="E1630" t="str">
        <f ca="1">TRIM(Sales_fact[[#This Row],[Store_ID]])</f>
        <v>STORE9</v>
      </c>
      <c r="F1630">
        <v>3</v>
      </c>
      <c r="G1630">
        <f>IF(ISBLANK(F1630),MODE($F$2:$F$2001),F1630)</f>
        <v>3</v>
      </c>
      <c r="H1630">
        <v>109.5</v>
      </c>
      <c r="I1630">
        <f>IF(ISBLANK(H1630),AVERAGE($H$2:$H$2001),H1630)</f>
        <v>109.5</v>
      </c>
      <c r="J1630">
        <v>0.06</v>
      </c>
      <c r="K1630">
        <f>IF(ISBLANK(J1630),MODE($J$2:$J$2001),J1630)</f>
        <v>0.06</v>
      </c>
      <c r="L1630" t="s">
        <v>1829</v>
      </c>
      <c r="M1630">
        <v>308.79000000000002</v>
      </c>
      <c r="N1630">
        <f t="shared" si="25"/>
        <v>308.78999999999996</v>
      </c>
      <c r="O1630" t="str">
        <f>_xlfn.XLOOKUP(Sales_fact[[#This Row],[Customer_ID]],'Customer_Dim'!A:A,'Customer_Dim'!K:K,"Not Found")</f>
        <v>Gold</v>
      </c>
      <c r="P1630">
        <f>_xlfn.XLOOKUP(Sales_fact[[#This Row],[Customer_ID]],'Customer_Dim'!A:A, 'Customer_Dim'!E:E, "Not Found")</f>
        <v>61</v>
      </c>
      <c r="Q1630" t="str">
        <f>VLOOKUP(Sales_fact[[#This Row],[Customer_ID]], 'Customer_Dim'!A:F, 6, FALSE)</f>
        <v>Female</v>
      </c>
      <c r="R1630" s="13" t="str">
        <f>_xlfn.XLOOKUP(Sales_fact[[#This Row],[Product_ID]],Product_Dim!A:A,Product_Dim!C:C,"OTHERS")</f>
        <v>Electronics</v>
      </c>
    </row>
    <row r="1631" spans="1:18" x14ac:dyDescent="0.3">
      <c r="A1631" t="s">
        <v>3455</v>
      </c>
      <c r="B1631" s="2">
        <v>45721</v>
      </c>
      <c r="C1631" t="s">
        <v>1193</v>
      </c>
      <c r="D1631" t="s">
        <v>1688</v>
      </c>
      <c r="E1631" t="str">
        <f ca="1">TRIM(Sales_fact[[#This Row],[Store_ID]])</f>
        <v>STORE16</v>
      </c>
      <c r="F1631">
        <v>1</v>
      </c>
      <c r="G1631">
        <f>IF(ISBLANK(F1631),MODE($F$2:$F$2001),F1631)</f>
        <v>1</v>
      </c>
      <c r="H1631">
        <v>505.83</v>
      </c>
      <c r="I1631">
        <f>IF(ISBLANK(H1631),AVERAGE($H$2:$H$2001),H1631)</f>
        <v>505.83</v>
      </c>
      <c r="J1631">
        <v>0.14000000000000001</v>
      </c>
      <c r="K1631">
        <f>IF(ISBLANK(J1631),MODE($J$2:$J$2001),J1631)</f>
        <v>0.14000000000000001</v>
      </c>
      <c r="L1631" t="s">
        <v>1829</v>
      </c>
      <c r="M1631">
        <v>435.0138</v>
      </c>
      <c r="N1631">
        <f t="shared" si="25"/>
        <v>435.0138</v>
      </c>
      <c r="O1631" t="str">
        <f>_xlfn.XLOOKUP(Sales_fact[[#This Row],[Customer_ID]],'Customer_Dim'!A:A,'Customer_Dim'!K:K,"Not Found")</f>
        <v>Gold</v>
      </c>
      <c r="P1631">
        <f>_xlfn.XLOOKUP(Sales_fact[[#This Row],[Customer_ID]],'Customer_Dim'!A:A, 'Customer_Dim'!E:E, "Not Found")</f>
        <v>20</v>
      </c>
      <c r="Q1631" t="str">
        <f>VLOOKUP(Sales_fact[[#This Row],[Customer_ID]], 'Customer_Dim'!A:F, 6, FALSE)</f>
        <v>Female</v>
      </c>
      <c r="R1631" s="13" t="str">
        <f>_xlfn.XLOOKUP(Sales_fact[[#This Row],[Product_ID]],Product_Dim!A:A,Product_Dim!C:C,"OTHERS")</f>
        <v>Home</v>
      </c>
    </row>
    <row r="1632" spans="1:18" x14ac:dyDescent="0.3">
      <c r="A1632" t="s">
        <v>3456</v>
      </c>
      <c r="B1632" s="2">
        <v>45511</v>
      </c>
      <c r="C1632" t="s">
        <v>544</v>
      </c>
      <c r="D1632" t="s">
        <v>1744</v>
      </c>
      <c r="E1632" t="str">
        <f ca="1">TRIM(Sales_fact[[#This Row],[Store_ID]])</f>
        <v>STORE10</v>
      </c>
      <c r="F1632">
        <v>2</v>
      </c>
      <c r="G1632">
        <f>IF(ISBLANK(F1632),MODE($F$2:$F$2001),F1632)</f>
        <v>2</v>
      </c>
      <c r="H1632">
        <v>443.15</v>
      </c>
      <c r="I1632">
        <f>IF(ISBLANK(H1632),AVERAGE($H$2:$H$2001),H1632)</f>
        <v>443.15</v>
      </c>
      <c r="J1632">
        <v>0.27</v>
      </c>
      <c r="K1632">
        <f>IF(ISBLANK(J1632),MODE($J$2:$J$2001),J1632)</f>
        <v>0.27</v>
      </c>
      <c r="L1632" t="s">
        <v>1826</v>
      </c>
      <c r="M1632">
        <v>646.99899999999991</v>
      </c>
      <c r="N1632">
        <f t="shared" si="25"/>
        <v>646.99899999999991</v>
      </c>
      <c r="O1632" t="str">
        <f>_xlfn.XLOOKUP(Sales_fact[[#This Row],[Customer_ID]],'Customer_Dim'!A:A,'Customer_Dim'!K:K,"Not Found")</f>
        <v>Bronze</v>
      </c>
      <c r="P1632">
        <f>_xlfn.XLOOKUP(Sales_fact[[#This Row],[Customer_ID]],'Customer_Dim'!A:A, 'Customer_Dim'!E:E, "Not Found")</f>
        <v>21</v>
      </c>
      <c r="Q1632" t="str">
        <f>VLOOKUP(Sales_fact[[#This Row],[Customer_ID]], 'Customer_Dim'!A:F, 6, FALSE)</f>
        <v>Male</v>
      </c>
      <c r="R1632" s="13" t="str">
        <f>_xlfn.XLOOKUP(Sales_fact[[#This Row],[Product_ID]],Product_Dim!A:A,Product_Dim!C:C,"OTHERS")</f>
        <v>Electronics</v>
      </c>
    </row>
    <row r="1633" spans="1:18" x14ac:dyDescent="0.3">
      <c r="A1633" t="s">
        <v>3457</v>
      </c>
      <c r="B1633" s="2">
        <v>45739</v>
      </c>
      <c r="C1633" t="s">
        <v>1527</v>
      </c>
      <c r="D1633" t="s">
        <v>1560</v>
      </c>
      <c r="E1633" t="str">
        <f ca="1">TRIM(Sales_fact[[#This Row],[Store_ID]])</f>
        <v>STORE7</v>
      </c>
      <c r="F1633">
        <v>2</v>
      </c>
      <c r="G1633">
        <f>IF(ISBLANK(F1633),MODE($F$2:$F$2001),F1633)</f>
        <v>2</v>
      </c>
      <c r="H1633">
        <v>784.26</v>
      </c>
      <c r="I1633">
        <f>IF(ISBLANK(H1633),AVERAGE($H$2:$H$2001),H1633)</f>
        <v>784.26</v>
      </c>
      <c r="J1633">
        <v>0.23</v>
      </c>
      <c r="K1633">
        <f>IF(ISBLANK(J1633),MODE($J$2:$J$2001),J1633)</f>
        <v>0.23</v>
      </c>
      <c r="L1633" t="s">
        <v>1826</v>
      </c>
      <c r="M1633">
        <v>1207.7603999999999</v>
      </c>
      <c r="N1633">
        <f t="shared" si="25"/>
        <v>1207.7604000000001</v>
      </c>
      <c r="O1633" t="str">
        <f>_xlfn.XLOOKUP(Sales_fact[[#This Row],[Customer_ID]],'Customer_Dim'!A:A,'Customer_Dim'!K:K,"Not Found")</f>
        <v>Gold</v>
      </c>
      <c r="P1633">
        <f>_xlfn.XLOOKUP(Sales_fact[[#This Row],[Customer_ID]],'Customer_Dim'!A:A, 'Customer_Dim'!E:E, "Not Found")</f>
        <v>47</v>
      </c>
      <c r="Q1633" t="str">
        <f>VLOOKUP(Sales_fact[[#This Row],[Customer_ID]], 'Customer_Dim'!A:F, 6, FALSE)</f>
        <v>Female</v>
      </c>
      <c r="R1633" s="13" t="str">
        <f>_xlfn.XLOOKUP(Sales_fact[[#This Row],[Product_ID]],Product_Dim!A:A,Product_Dim!C:C,"OTHERS")</f>
        <v>Home</v>
      </c>
    </row>
    <row r="1634" spans="1:18" x14ac:dyDescent="0.3">
      <c r="A1634" t="s">
        <v>3458</v>
      </c>
      <c r="B1634" s="2">
        <v>45533</v>
      </c>
      <c r="C1634" t="s">
        <v>1405</v>
      </c>
      <c r="D1634" t="s">
        <v>1626</v>
      </c>
      <c r="E1634" t="str">
        <f ca="1">TRIM(Sales_fact[[#This Row],[Store_ID]])</f>
        <v>STORE11</v>
      </c>
      <c r="F1634">
        <v>3</v>
      </c>
      <c r="G1634">
        <f>IF(ISBLANK(F1634),MODE($F$2:$F$2001),F1634)</f>
        <v>3</v>
      </c>
      <c r="H1634">
        <v>590.30999999999995</v>
      </c>
      <c r="I1634">
        <f>IF(ISBLANK(H1634),AVERAGE($H$2:$H$2001),H1634)</f>
        <v>590.30999999999995</v>
      </c>
      <c r="J1634">
        <v>0.17</v>
      </c>
      <c r="K1634">
        <f>IF(ISBLANK(J1634),MODE($J$2:$J$2001),J1634)</f>
        <v>0.17</v>
      </c>
      <c r="L1634" t="s">
        <v>1826</v>
      </c>
      <c r="M1634">
        <v>1469.8719000000001</v>
      </c>
      <c r="N1634">
        <f t="shared" si="25"/>
        <v>1469.8718999999999</v>
      </c>
      <c r="O1634" t="str">
        <f>_xlfn.XLOOKUP(Sales_fact[[#This Row],[Customer_ID]],'Customer_Dim'!A:A,'Customer_Dim'!K:K,"Not Found")</f>
        <v>Gold</v>
      </c>
      <c r="P1634">
        <f>_xlfn.XLOOKUP(Sales_fact[[#This Row],[Customer_ID]],'Customer_Dim'!A:A, 'Customer_Dim'!E:E, "Not Found")</f>
        <v>54</v>
      </c>
      <c r="Q1634" t="str">
        <f>VLOOKUP(Sales_fact[[#This Row],[Customer_ID]], 'Customer_Dim'!A:F, 6, FALSE)</f>
        <v>Male</v>
      </c>
      <c r="R1634" s="13" t="str">
        <f>_xlfn.XLOOKUP(Sales_fact[[#This Row],[Product_ID]],Product_Dim!A:A,Product_Dim!C:C,"OTHERS")</f>
        <v>Electronics</v>
      </c>
    </row>
    <row r="1635" spans="1:18" x14ac:dyDescent="0.3">
      <c r="A1635" t="s">
        <v>3459</v>
      </c>
      <c r="B1635" s="2">
        <v>45553</v>
      </c>
      <c r="C1635" t="s">
        <v>417</v>
      </c>
      <c r="D1635" t="s">
        <v>1686</v>
      </c>
      <c r="E1635" t="str">
        <f ca="1">TRIM(Sales_fact[[#This Row],[Store_ID]])</f>
        <v>STORE16</v>
      </c>
      <c r="F1635">
        <v>1</v>
      </c>
      <c r="G1635">
        <f>IF(ISBLANK(F1635),MODE($F$2:$F$2001),F1635)</f>
        <v>1</v>
      </c>
      <c r="H1635">
        <v>696.13</v>
      </c>
      <c r="I1635">
        <f>IF(ISBLANK(H1635),AVERAGE($H$2:$H$2001),H1635)</f>
        <v>696.13</v>
      </c>
      <c r="J1635">
        <v>0.06</v>
      </c>
      <c r="K1635">
        <f>IF(ISBLANK(J1635),MODE($J$2:$J$2001),J1635)</f>
        <v>0.06</v>
      </c>
      <c r="L1635" t="s">
        <v>1829</v>
      </c>
      <c r="M1635">
        <v>654.36219999999992</v>
      </c>
      <c r="N1635">
        <f t="shared" si="25"/>
        <v>654.36219999999992</v>
      </c>
      <c r="O1635" t="str">
        <f>_xlfn.XLOOKUP(Sales_fact[[#This Row],[Customer_ID]],'Customer_Dim'!A:A,'Customer_Dim'!K:K,"Not Found")</f>
        <v>Platinum</v>
      </c>
      <c r="P1635">
        <f>_xlfn.XLOOKUP(Sales_fact[[#This Row],[Customer_ID]],'Customer_Dim'!A:A, 'Customer_Dim'!E:E, "Not Found")</f>
        <v>44</v>
      </c>
      <c r="Q1635" t="str">
        <f>VLOOKUP(Sales_fact[[#This Row],[Customer_ID]], 'Customer_Dim'!A:F, 6, FALSE)</f>
        <v>Female</v>
      </c>
      <c r="R1635" s="13" t="str">
        <f>_xlfn.XLOOKUP(Sales_fact[[#This Row],[Product_ID]],Product_Dim!A:A,Product_Dim!C:C,"OTHERS")</f>
        <v>Clothing</v>
      </c>
    </row>
    <row r="1636" spans="1:18" x14ac:dyDescent="0.3">
      <c r="A1636" t="s">
        <v>3460</v>
      </c>
      <c r="B1636" s="2">
        <v>45341</v>
      </c>
      <c r="C1636" t="s">
        <v>369</v>
      </c>
      <c r="D1636" t="s">
        <v>1650</v>
      </c>
      <c r="E1636" t="str">
        <f ca="1">TRIM(Sales_fact[[#This Row],[Store_ID]])</f>
        <v>STORE6</v>
      </c>
      <c r="F1636">
        <v>4</v>
      </c>
      <c r="G1636">
        <f>IF(ISBLANK(F1636),MODE($F$2:$F$2001),F1636)</f>
        <v>4</v>
      </c>
      <c r="H1636">
        <v>194.39</v>
      </c>
      <c r="I1636">
        <f>IF(ISBLANK(H1636),AVERAGE($H$2:$H$2001),H1636)</f>
        <v>194.39</v>
      </c>
      <c r="J1636">
        <v>0.25</v>
      </c>
      <c r="K1636">
        <f>IF(ISBLANK(J1636),MODE($J$2:$J$2001),J1636)</f>
        <v>0.25</v>
      </c>
      <c r="L1636" t="s">
        <v>1824</v>
      </c>
      <c r="M1636">
        <v>583.16999999999996</v>
      </c>
      <c r="N1636">
        <f t="shared" si="25"/>
        <v>583.16999999999996</v>
      </c>
      <c r="O1636" t="str">
        <f>_xlfn.XLOOKUP(Sales_fact[[#This Row],[Customer_ID]],'Customer_Dim'!A:A,'Customer_Dim'!K:K,"Not Found")</f>
        <v>Silver</v>
      </c>
      <c r="P1636">
        <f>_xlfn.XLOOKUP(Sales_fact[[#This Row],[Customer_ID]],'Customer_Dim'!A:A, 'Customer_Dim'!E:E, "Not Found")</f>
        <v>64</v>
      </c>
      <c r="Q1636" t="str">
        <f>VLOOKUP(Sales_fact[[#This Row],[Customer_ID]], 'Customer_Dim'!A:F, 6, FALSE)</f>
        <v>Male</v>
      </c>
      <c r="R1636" s="13" t="str">
        <f>_xlfn.XLOOKUP(Sales_fact[[#This Row],[Product_ID]],Product_Dim!A:A,Product_Dim!C:C,"OTHERS")</f>
        <v>Electronics</v>
      </c>
    </row>
    <row r="1637" spans="1:18" x14ac:dyDescent="0.3">
      <c r="A1637" t="s">
        <v>3461</v>
      </c>
      <c r="B1637" s="2">
        <v>45430</v>
      </c>
      <c r="C1637" t="s">
        <v>1038</v>
      </c>
      <c r="D1637" t="s">
        <v>1614</v>
      </c>
      <c r="E1637" t="str">
        <f ca="1">TRIM(Sales_fact[[#This Row],[Store_ID]])</f>
        <v>STORE1</v>
      </c>
      <c r="F1637">
        <v>1</v>
      </c>
      <c r="G1637">
        <f>IF(ISBLANK(F1637),MODE($F$2:$F$2001),F1637)</f>
        <v>1</v>
      </c>
      <c r="H1637">
        <v>339.7</v>
      </c>
      <c r="I1637">
        <f>IF(ISBLANK(H1637),AVERAGE($H$2:$H$2001),H1637)</f>
        <v>339.7</v>
      </c>
      <c r="J1637">
        <v>0.1</v>
      </c>
      <c r="K1637">
        <f>IF(ISBLANK(J1637),MODE($J$2:$J$2001),J1637)</f>
        <v>0.1</v>
      </c>
      <c r="L1637" t="s">
        <v>1824</v>
      </c>
      <c r="M1637">
        <v>305.73</v>
      </c>
      <c r="N1637">
        <f t="shared" si="25"/>
        <v>305.73</v>
      </c>
      <c r="O1637" t="str">
        <f>_xlfn.XLOOKUP(Sales_fact[[#This Row],[Customer_ID]],'Customer_Dim'!A:A,'Customer_Dim'!K:K,"Not Found")</f>
        <v>Platinum</v>
      </c>
      <c r="P1637">
        <f>_xlfn.XLOOKUP(Sales_fact[[#This Row],[Customer_ID]],'Customer_Dim'!A:A, 'Customer_Dim'!E:E, "Not Found")</f>
        <v>54</v>
      </c>
      <c r="Q1637" t="str">
        <f>VLOOKUP(Sales_fact[[#This Row],[Customer_ID]], 'Customer_Dim'!A:F, 6, FALSE)</f>
        <v>Male</v>
      </c>
      <c r="R1637" s="13" t="str">
        <f>_xlfn.XLOOKUP(Sales_fact[[#This Row],[Product_ID]],Product_Dim!A:A,Product_Dim!C:C,"OTHERS")</f>
        <v>Home</v>
      </c>
    </row>
    <row r="1638" spans="1:18" x14ac:dyDescent="0.3">
      <c r="A1638" t="s">
        <v>3462</v>
      </c>
      <c r="B1638" s="2">
        <v>45912</v>
      </c>
      <c r="C1638" t="s">
        <v>185</v>
      </c>
      <c r="D1638" t="s">
        <v>1684</v>
      </c>
      <c r="E1638" t="str">
        <f ca="1">TRIM(Sales_fact[[#This Row],[Store_ID]])</f>
        <v>STORE13</v>
      </c>
      <c r="F1638">
        <v>4</v>
      </c>
      <c r="G1638">
        <f>IF(ISBLANK(F1638),MODE($F$2:$F$2001),F1638)</f>
        <v>4</v>
      </c>
      <c r="H1638">
        <v>463.16</v>
      </c>
      <c r="I1638">
        <f>IF(ISBLANK(H1638),AVERAGE($H$2:$H$2001),H1638)</f>
        <v>463.16</v>
      </c>
      <c r="J1638">
        <v>0.27</v>
      </c>
      <c r="K1638">
        <f>IF(ISBLANK(J1638),MODE($J$2:$J$2001),J1638)</f>
        <v>0.27</v>
      </c>
      <c r="L1638" t="s">
        <v>1826</v>
      </c>
      <c r="M1638">
        <v>1352.4272000000001</v>
      </c>
      <c r="N1638">
        <f t="shared" si="25"/>
        <v>1352.4272000000001</v>
      </c>
      <c r="O1638" t="str">
        <f>_xlfn.XLOOKUP(Sales_fact[[#This Row],[Customer_ID]],'Customer_Dim'!A:A,'Customer_Dim'!K:K,"Not Found")</f>
        <v>Platinum</v>
      </c>
      <c r="P1638">
        <f>_xlfn.XLOOKUP(Sales_fact[[#This Row],[Customer_ID]],'Customer_Dim'!A:A, 'Customer_Dim'!E:E, "Not Found")</f>
        <v>54</v>
      </c>
      <c r="Q1638" t="str">
        <f>VLOOKUP(Sales_fact[[#This Row],[Customer_ID]], 'Customer_Dim'!A:F, 6, FALSE)</f>
        <v>Male</v>
      </c>
      <c r="R1638" s="13" t="str">
        <f>_xlfn.XLOOKUP(Sales_fact[[#This Row],[Product_ID]],Product_Dim!A:A,Product_Dim!C:C,"OTHERS")</f>
        <v>Home</v>
      </c>
    </row>
    <row r="1639" spans="1:18" x14ac:dyDescent="0.3">
      <c r="A1639" t="s">
        <v>3463</v>
      </c>
      <c r="B1639" s="2">
        <v>45709</v>
      </c>
      <c r="C1639" t="s">
        <v>378</v>
      </c>
      <c r="D1639" t="s">
        <v>1555</v>
      </c>
      <c r="E1639" t="str">
        <f ca="1">TRIM(Sales_fact[[#This Row],[Store_ID]])</f>
        <v>STORE10</v>
      </c>
      <c r="F1639">
        <v>2</v>
      </c>
      <c r="G1639">
        <f>IF(ISBLANK(F1639),MODE($F$2:$F$2001),F1639)</f>
        <v>2</v>
      </c>
      <c r="H1639">
        <v>824.91</v>
      </c>
      <c r="I1639">
        <f>IF(ISBLANK(H1639),AVERAGE($H$2:$H$2001),H1639)</f>
        <v>824.91</v>
      </c>
      <c r="J1639">
        <v>0.09</v>
      </c>
      <c r="K1639">
        <f>IF(ISBLANK(J1639),MODE($J$2:$J$2001),J1639)</f>
        <v>0.09</v>
      </c>
      <c r="L1639" t="s">
        <v>1824</v>
      </c>
      <c r="M1639">
        <v>1501.3362</v>
      </c>
      <c r="N1639">
        <f t="shared" si="25"/>
        <v>1501.3362</v>
      </c>
      <c r="O1639" t="str">
        <f>_xlfn.XLOOKUP(Sales_fact[[#This Row],[Customer_ID]],'Customer_Dim'!A:A,'Customer_Dim'!K:K,"Not Found")</f>
        <v>Platinum</v>
      </c>
      <c r="P1639">
        <f>_xlfn.XLOOKUP(Sales_fact[[#This Row],[Customer_ID]],'Customer_Dim'!A:A, 'Customer_Dim'!E:E, "Not Found")</f>
        <v>62</v>
      </c>
      <c r="Q1639" t="str">
        <f>VLOOKUP(Sales_fact[[#This Row],[Customer_ID]], 'Customer_Dim'!A:F, 6, FALSE)</f>
        <v>Female</v>
      </c>
      <c r="R1639" s="13" t="str">
        <f>_xlfn.XLOOKUP(Sales_fact[[#This Row],[Product_ID]],Product_Dim!A:A,Product_Dim!C:C,"OTHERS")</f>
        <v>Clothing</v>
      </c>
    </row>
    <row r="1640" spans="1:18" x14ac:dyDescent="0.3">
      <c r="A1640" t="s">
        <v>3464</v>
      </c>
      <c r="B1640" s="2">
        <v>45520</v>
      </c>
      <c r="C1640" t="s">
        <v>258</v>
      </c>
      <c r="D1640" t="s">
        <v>1555</v>
      </c>
      <c r="E1640" t="str">
        <f ca="1">TRIM(Sales_fact[[#This Row],[Store_ID]])</f>
        <v>STORE2</v>
      </c>
      <c r="F1640">
        <v>4</v>
      </c>
      <c r="G1640">
        <f>IF(ISBLANK(F1640),MODE($F$2:$F$2001),F1640)</f>
        <v>4</v>
      </c>
      <c r="H1640">
        <v>796.89</v>
      </c>
      <c r="I1640">
        <f>IF(ISBLANK(H1640),AVERAGE($H$2:$H$2001),H1640)</f>
        <v>796.89</v>
      </c>
      <c r="J1640">
        <v>0.17</v>
      </c>
      <c r="K1640">
        <f>IF(ISBLANK(J1640),MODE($J$2:$J$2001),J1640)</f>
        <v>0.17</v>
      </c>
      <c r="L1640" t="s">
        <v>1824</v>
      </c>
      <c r="M1640">
        <v>2645.6747999999998</v>
      </c>
      <c r="N1640">
        <f t="shared" si="25"/>
        <v>2645.6747999999998</v>
      </c>
      <c r="O1640" t="str">
        <f>_xlfn.XLOOKUP(Sales_fact[[#This Row],[Customer_ID]],'Customer_Dim'!A:A,'Customer_Dim'!K:K,"Not Found")</f>
        <v>Gold</v>
      </c>
      <c r="P1640">
        <f>_xlfn.XLOOKUP(Sales_fact[[#This Row],[Customer_ID]],'Customer_Dim'!A:A, 'Customer_Dim'!E:E, "Not Found")</f>
        <v>29</v>
      </c>
      <c r="Q1640" t="str">
        <f>VLOOKUP(Sales_fact[[#This Row],[Customer_ID]], 'Customer_Dim'!A:F, 6, FALSE)</f>
        <v>Female</v>
      </c>
      <c r="R1640" s="13" t="str">
        <f>_xlfn.XLOOKUP(Sales_fact[[#This Row],[Product_ID]],Product_Dim!A:A,Product_Dim!C:C,"OTHERS")</f>
        <v>Clothing</v>
      </c>
    </row>
    <row r="1641" spans="1:18" x14ac:dyDescent="0.3">
      <c r="A1641" t="s">
        <v>3465</v>
      </c>
      <c r="B1641" s="2">
        <v>45478</v>
      </c>
      <c r="C1641" t="s">
        <v>770</v>
      </c>
      <c r="D1641" t="s">
        <v>1600</v>
      </c>
      <c r="E1641" t="str">
        <f ca="1">TRIM(Sales_fact[[#This Row],[Store_ID]])</f>
        <v>STORE17</v>
      </c>
      <c r="F1641">
        <v>3</v>
      </c>
      <c r="G1641">
        <f>IF(ISBLANK(F1641),MODE($F$2:$F$2001),F1641)</f>
        <v>3</v>
      </c>
      <c r="H1641">
        <v>543.92999999999995</v>
      </c>
      <c r="I1641">
        <f>IF(ISBLANK(H1641),AVERAGE($H$2:$H$2001),H1641)</f>
        <v>543.92999999999995</v>
      </c>
      <c r="J1641">
        <v>0.3</v>
      </c>
      <c r="K1641">
        <f>IF(ISBLANK(J1641),MODE($J$2:$J$2001),J1641)</f>
        <v>0.3</v>
      </c>
      <c r="L1641" t="s">
        <v>1829</v>
      </c>
      <c r="M1641">
        <v>1142.2529999999999</v>
      </c>
      <c r="N1641">
        <f t="shared" si="25"/>
        <v>1142.2529999999999</v>
      </c>
      <c r="O1641" t="str">
        <f>_xlfn.XLOOKUP(Sales_fact[[#This Row],[Customer_ID]],'Customer_Dim'!A:A,'Customer_Dim'!K:K,"Not Found")</f>
        <v>Platinum</v>
      </c>
      <c r="P1641">
        <f>_xlfn.XLOOKUP(Sales_fact[[#This Row],[Customer_ID]],'Customer_Dim'!A:A, 'Customer_Dim'!E:E, "Not Found")</f>
        <v>59</v>
      </c>
      <c r="Q1641" t="str">
        <f>VLOOKUP(Sales_fact[[#This Row],[Customer_ID]], 'Customer_Dim'!A:F, 6, FALSE)</f>
        <v>Female</v>
      </c>
      <c r="R1641" s="13" t="str">
        <f>_xlfn.XLOOKUP(Sales_fact[[#This Row],[Product_ID]],Product_Dim!A:A,Product_Dim!C:C,"OTHERS")</f>
        <v>Electronics</v>
      </c>
    </row>
    <row r="1642" spans="1:18" x14ac:dyDescent="0.3">
      <c r="A1642" t="s">
        <v>3466</v>
      </c>
      <c r="B1642" s="2">
        <v>45496</v>
      </c>
      <c r="C1642" t="s">
        <v>574</v>
      </c>
      <c r="D1642" t="s">
        <v>1576</v>
      </c>
      <c r="E1642" t="str">
        <f ca="1">TRIM(Sales_fact[[#This Row],[Store_ID]])</f>
        <v>STORE7</v>
      </c>
      <c r="F1642">
        <v>2</v>
      </c>
      <c r="G1642">
        <f>IF(ISBLANK(F1642),MODE($F$2:$F$2001),F1642)</f>
        <v>2</v>
      </c>
      <c r="H1642">
        <v>44.65</v>
      </c>
      <c r="I1642">
        <f>IF(ISBLANK(H1642),AVERAGE($H$2:$H$2001),H1642)</f>
        <v>44.65</v>
      </c>
      <c r="J1642">
        <v>0.03</v>
      </c>
      <c r="K1642">
        <f>IF(ISBLANK(J1642),MODE($J$2:$J$2001),J1642)</f>
        <v>0.03</v>
      </c>
      <c r="L1642" t="s">
        <v>1826</v>
      </c>
      <c r="M1642">
        <v>86.620999999999995</v>
      </c>
      <c r="N1642">
        <f t="shared" si="25"/>
        <v>86.620999999999995</v>
      </c>
      <c r="O1642" t="str">
        <f>_xlfn.XLOOKUP(Sales_fact[[#This Row],[Customer_ID]],'Customer_Dim'!A:A,'Customer_Dim'!K:K,"Not Found")</f>
        <v>Platinum</v>
      </c>
      <c r="P1642">
        <f>_xlfn.XLOOKUP(Sales_fact[[#This Row],[Customer_ID]],'Customer_Dim'!A:A, 'Customer_Dim'!E:E, "Not Found")</f>
        <v>41</v>
      </c>
      <c r="Q1642" t="str">
        <f>VLOOKUP(Sales_fact[[#This Row],[Customer_ID]], 'Customer_Dim'!A:F, 6, FALSE)</f>
        <v>Female</v>
      </c>
      <c r="R1642" s="13" t="str">
        <f>_xlfn.XLOOKUP(Sales_fact[[#This Row],[Product_ID]],Product_Dim!A:A,Product_Dim!C:C,"OTHERS")</f>
        <v>Home</v>
      </c>
    </row>
    <row r="1643" spans="1:18" x14ac:dyDescent="0.3">
      <c r="A1643" t="s">
        <v>3467</v>
      </c>
      <c r="B1643" s="2">
        <v>45742</v>
      </c>
      <c r="C1643" t="s">
        <v>800</v>
      </c>
      <c r="D1643" t="s">
        <v>1660</v>
      </c>
      <c r="E1643" t="str">
        <f ca="1">TRIM(Sales_fact[[#This Row],[Store_ID]])</f>
        <v>STORE0</v>
      </c>
      <c r="F1643">
        <v>4</v>
      </c>
      <c r="G1643">
        <f>IF(ISBLANK(F1643),MODE($F$2:$F$2001),F1643)</f>
        <v>4</v>
      </c>
      <c r="H1643">
        <v>827.39</v>
      </c>
      <c r="I1643">
        <f>IF(ISBLANK(H1643),AVERAGE($H$2:$H$2001),H1643)</f>
        <v>827.39</v>
      </c>
      <c r="J1643">
        <v>0.06</v>
      </c>
      <c r="K1643">
        <f>IF(ISBLANK(J1643),MODE($J$2:$J$2001),J1643)</f>
        <v>0.06</v>
      </c>
      <c r="L1643" t="s">
        <v>1829</v>
      </c>
      <c r="M1643">
        <v>3110.9863999999998</v>
      </c>
      <c r="N1643">
        <f t="shared" si="25"/>
        <v>3110.9863999999998</v>
      </c>
      <c r="O1643" t="str">
        <f>_xlfn.XLOOKUP(Sales_fact[[#This Row],[Customer_ID]],'Customer_Dim'!A:A,'Customer_Dim'!K:K,"Not Found")</f>
        <v>Platinum</v>
      </c>
      <c r="P1643">
        <f>_xlfn.XLOOKUP(Sales_fact[[#This Row],[Customer_ID]],'Customer_Dim'!A:A, 'Customer_Dim'!E:E, "Not Found")</f>
        <v>48</v>
      </c>
      <c r="Q1643" t="str">
        <f>VLOOKUP(Sales_fact[[#This Row],[Customer_ID]], 'Customer_Dim'!A:F, 6, FALSE)</f>
        <v>Male</v>
      </c>
      <c r="R1643" s="13" t="str">
        <f>_xlfn.XLOOKUP(Sales_fact[[#This Row],[Product_ID]],Product_Dim!A:A,Product_Dim!C:C,"OTHERS")</f>
        <v>Home</v>
      </c>
    </row>
    <row r="1644" spans="1:18" x14ac:dyDescent="0.3">
      <c r="A1644" t="s">
        <v>3468</v>
      </c>
      <c r="B1644" s="2">
        <v>45301</v>
      </c>
      <c r="C1644" t="s">
        <v>972</v>
      </c>
      <c r="D1644" t="s">
        <v>1576</v>
      </c>
      <c r="E1644" t="str">
        <f ca="1">TRIM(Sales_fact[[#This Row],[Store_ID]])</f>
        <v>STORE12</v>
      </c>
      <c r="F1644">
        <v>2</v>
      </c>
      <c r="G1644">
        <f>IF(ISBLANK(F1644),MODE($F$2:$F$2001),F1644)</f>
        <v>2</v>
      </c>
      <c r="H1644">
        <v>403.2</v>
      </c>
      <c r="I1644">
        <f>IF(ISBLANK(H1644),AVERAGE($H$2:$H$2001),H1644)</f>
        <v>403.2</v>
      </c>
      <c r="J1644">
        <v>0.21</v>
      </c>
      <c r="K1644">
        <f>IF(ISBLANK(J1644),MODE($J$2:$J$2001),J1644)</f>
        <v>0.21</v>
      </c>
      <c r="L1644" t="s">
        <v>1826</v>
      </c>
      <c r="M1644">
        <v>637.05600000000004</v>
      </c>
      <c r="N1644">
        <f t="shared" si="25"/>
        <v>637.05600000000004</v>
      </c>
      <c r="O1644" t="str">
        <f>_xlfn.XLOOKUP(Sales_fact[[#This Row],[Customer_ID]],'Customer_Dim'!A:A,'Customer_Dim'!K:K,"Not Found")</f>
        <v>Gold</v>
      </c>
      <c r="P1644">
        <f>_xlfn.XLOOKUP(Sales_fact[[#This Row],[Customer_ID]],'Customer_Dim'!A:A, 'Customer_Dim'!E:E, "Not Found")</f>
        <v>60</v>
      </c>
      <c r="Q1644" t="str">
        <f>VLOOKUP(Sales_fact[[#This Row],[Customer_ID]], 'Customer_Dim'!A:F, 6, FALSE)</f>
        <v>Female</v>
      </c>
      <c r="R1644" s="13" t="str">
        <f>_xlfn.XLOOKUP(Sales_fact[[#This Row],[Product_ID]],Product_Dim!A:A,Product_Dim!C:C,"OTHERS")</f>
        <v>Home</v>
      </c>
    </row>
    <row r="1645" spans="1:18" x14ac:dyDescent="0.3">
      <c r="A1645" t="s">
        <v>3469</v>
      </c>
      <c r="B1645" s="2">
        <v>45547</v>
      </c>
      <c r="C1645" t="s">
        <v>78</v>
      </c>
      <c r="D1645" t="s">
        <v>1720</v>
      </c>
      <c r="E1645" t="str">
        <f ca="1">TRIM(Sales_fact[[#This Row],[Store_ID]])</f>
        <v>STORE13</v>
      </c>
      <c r="F1645">
        <v>4</v>
      </c>
      <c r="G1645">
        <f>IF(ISBLANK(F1645),MODE($F$2:$F$2001),F1645)</f>
        <v>4</v>
      </c>
      <c r="H1645">
        <v>292.31</v>
      </c>
      <c r="I1645">
        <f>IF(ISBLANK(H1645),AVERAGE($H$2:$H$2001),H1645)</f>
        <v>292.31</v>
      </c>
      <c r="J1645">
        <v>0.27</v>
      </c>
      <c r="K1645">
        <f>IF(ISBLANK(J1645),MODE($J$2:$J$2001),J1645)</f>
        <v>0.27</v>
      </c>
      <c r="L1645" t="s">
        <v>1826</v>
      </c>
      <c r="M1645">
        <v>853.54520000000002</v>
      </c>
      <c r="N1645">
        <f t="shared" si="25"/>
        <v>853.54520000000002</v>
      </c>
      <c r="O1645" t="str">
        <f>_xlfn.XLOOKUP(Sales_fact[[#This Row],[Customer_ID]],'Customer_Dim'!A:A,'Customer_Dim'!K:K,"Not Found")</f>
        <v>Platinum</v>
      </c>
      <c r="P1645">
        <f>_xlfn.XLOOKUP(Sales_fact[[#This Row],[Customer_ID]],'Customer_Dim'!A:A, 'Customer_Dim'!E:E, "Not Found")</f>
        <v>60</v>
      </c>
      <c r="Q1645" t="str">
        <f>VLOOKUP(Sales_fact[[#This Row],[Customer_ID]], 'Customer_Dim'!A:F, 6, FALSE)</f>
        <v>Female</v>
      </c>
      <c r="R1645" s="13" t="str">
        <f>_xlfn.XLOOKUP(Sales_fact[[#This Row],[Product_ID]],Product_Dim!A:A,Product_Dim!C:C,"OTHERS")</f>
        <v>Home</v>
      </c>
    </row>
    <row r="1646" spans="1:18" x14ac:dyDescent="0.3">
      <c r="A1646" t="s">
        <v>3470</v>
      </c>
      <c r="B1646" s="2">
        <v>45806</v>
      </c>
      <c r="C1646" t="s">
        <v>1513</v>
      </c>
      <c r="D1646" t="s">
        <v>1549</v>
      </c>
      <c r="E1646" t="str">
        <f ca="1">TRIM(Sales_fact[[#This Row],[Store_ID]])</f>
        <v>STORE10</v>
      </c>
      <c r="F1646">
        <v>1</v>
      </c>
      <c r="G1646">
        <f>IF(ISBLANK(F1646),MODE($F$2:$F$2001),F1646)</f>
        <v>1</v>
      </c>
      <c r="H1646">
        <v>948.33</v>
      </c>
      <c r="I1646">
        <f>IF(ISBLANK(H1646),AVERAGE($H$2:$H$2001),H1646)</f>
        <v>948.33</v>
      </c>
      <c r="J1646">
        <v>0.11</v>
      </c>
      <c r="K1646">
        <f>IF(ISBLANK(J1646),MODE($J$2:$J$2001),J1646)</f>
        <v>0.11</v>
      </c>
      <c r="L1646" t="s">
        <v>1824</v>
      </c>
      <c r="M1646">
        <v>844.01370000000009</v>
      </c>
      <c r="N1646">
        <f t="shared" si="25"/>
        <v>844.01370000000009</v>
      </c>
      <c r="O1646" t="str">
        <f>_xlfn.XLOOKUP(Sales_fact[[#This Row],[Customer_ID]],'Customer_Dim'!A:A,'Customer_Dim'!K:K,"Not Found")</f>
        <v>Platinum</v>
      </c>
      <c r="P1646">
        <f>_xlfn.XLOOKUP(Sales_fact[[#This Row],[Customer_ID]],'Customer_Dim'!A:A, 'Customer_Dim'!E:E, "Not Found")</f>
        <v>59</v>
      </c>
      <c r="Q1646" t="str">
        <f>VLOOKUP(Sales_fact[[#This Row],[Customer_ID]], 'Customer_Dim'!A:F, 6, FALSE)</f>
        <v>Female</v>
      </c>
      <c r="R1646" s="13" t="str">
        <f>_xlfn.XLOOKUP(Sales_fact[[#This Row],[Product_ID]],Product_Dim!A:A,Product_Dim!C:C,"OTHERS")</f>
        <v>Clothing</v>
      </c>
    </row>
    <row r="1647" spans="1:18" x14ac:dyDescent="0.3">
      <c r="A1647" t="s">
        <v>3471</v>
      </c>
      <c r="B1647" s="2">
        <v>45294</v>
      </c>
      <c r="C1647" t="s">
        <v>1077</v>
      </c>
      <c r="D1647" t="s">
        <v>1626</v>
      </c>
      <c r="E1647" t="str">
        <f ca="1">TRIM(Sales_fact[[#This Row],[Store_ID]])</f>
        <v>STORE5</v>
      </c>
      <c r="F1647">
        <v>1</v>
      </c>
      <c r="G1647">
        <f>IF(ISBLANK(F1647),MODE($F$2:$F$2001),F1647)</f>
        <v>1</v>
      </c>
      <c r="H1647">
        <v>702.27</v>
      </c>
      <c r="I1647">
        <f>IF(ISBLANK(H1647),AVERAGE($H$2:$H$2001),H1647)</f>
        <v>702.27</v>
      </c>
      <c r="J1647">
        <v>0.17</v>
      </c>
      <c r="K1647">
        <f>IF(ISBLANK(J1647),MODE($J$2:$J$2001),J1647)</f>
        <v>0.17</v>
      </c>
      <c r="L1647" t="s">
        <v>1829</v>
      </c>
      <c r="M1647">
        <v>582.88409999999999</v>
      </c>
      <c r="N1647">
        <f t="shared" si="25"/>
        <v>582.88409999999999</v>
      </c>
      <c r="O1647" t="str">
        <f>_xlfn.XLOOKUP(Sales_fact[[#This Row],[Customer_ID]],'Customer_Dim'!A:A,'Customer_Dim'!K:K,"Not Found")</f>
        <v>Bronze</v>
      </c>
      <c r="P1647">
        <f>_xlfn.XLOOKUP(Sales_fact[[#This Row],[Customer_ID]],'Customer_Dim'!A:A, 'Customer_Dim'!E:E, "Not Found")</f>
        <v>38</v>
      </c>
      <c r="Q1647" t="str">
        <f>VLOOKUP(Sales_fact[[#This Row],[Customer_ID]], 'Customer_Dim'!A:F, 6, FALSE)</f>
        <v>Male</v>
      </c>
      <c r="R1647" s="13" t="str">
        <f>_xlfn.XLOOKUP(Sales_fact[[#This Row],[Product_ID]],Product_Dim!A:A,Product_Dim!C:C,"OTHERS")</f>
        <v>Electronics</v>
      </c>
    </row>
    <row r="1648" spans="1:18" x14ac:dyDescent="0.3">
      <c r="A1648" t="s">
        <v>3472</v>
      </c>
      <c r="B1648" s="2">
        <v>45875</v>
      </c>
      <c r="C1648" t="s">
        <v>160</v>
      </c>
      <c r="D1648" t="s">
        <v>1608</v>
      </c>
      <c r="E1648" t="str">
        <f ca="1">TRIM(Sales_fact[[#This Row],[Store_ID]])</f>
        <v>STORE3</v>
      </c>
      <c r="F1648">
        <v>2</v>
      </c>
      <c r="G1648">
        <f>IF(ISBLANK(F1648),MODE($F$2:$F$2001),F1648)</f>
        <v>2</v>
      </c>
      <c r="H1648">
        <v>379.28</v>
      </c>
      <c r="I1648">
        <f>IF(ISBLANK(H1648),AVERAGE($H$2:$H$2001),H1648)</f>
        <v>379.28</v>
      </c>
      <c r="J1648">
        <v>0.26</v>
      </c>
      <c r="K1648">
        <f>IF(ISBLANK(J1648),MODE($J$2:$J$2001),J1648)</f>
        <v>0.26</v>
      </c>
      <c r="L1648" t="s">
        <v>1824</v>
      </c>
      <c r="M1648">
        <v>561.33439999999996</v>
      </c>
      <c r="N1648">
        <f t="shared" si="25"/>
        <v>561.33439999999996</v>
      </c>
      <c r="O1648" t="str">
        <f>_xlfn.XLOOKUP(Sales_fact[[#This Row],[Customer_ID]],'Customer_Dim'!A:A,'Customer_Dim'!K:K,"Not Found")</f>
        <v>Platinum</v>
      </c>
      <c r="P1648">
        <f>_xlfn.XLOOKUP(Sales_fact[[#This Row],[Customer_ID]],'Customer_Dim'!A:A, 'Customer_Dim'!E:E, "Not Found")</f>
        <v>21</v>
      </c>
      <c r="Q1648" t="str">
        <f>VLOOKUP(Sales_fact[[#This Row],[Customer_ID]], 'Customer_Dim'!A:F, 6, FALSE)</f>
        <v>Male</v>
      </c>
      <c r="R1648" s="13" t="str">
        <f>_xlfn.XLOOKUP(Sales_fact[[#This Row],[Product_ID]],Product_Dim!A:A,Product_Dim!C:C,"OTHERS")</f>
        <v>Home</v>
      </c>
    </row>
    <row r="1649" spans="1:18" x14ac:dyDescent="0.3">
      <c r="A1649" t="s">
        <v>3473</v>
      </c>
      <c r="B1649" s="2">
        <v>45669</v>
      </c>
      <c r="C1649" t="s">
        <v>452</v>
      </c>
      <c r="D1649" t="s">
        <v>1642</v>
      </c>
      <c r="E1649" t="str">
        <f ca="1">TRIM(Sales_fact[[#This Row],[Store_ID]])</f>
        <v>STORE0</v>
      </c>
      <c r="F1649">
        <v>4</v>
      </c>
      <c r="G1649">
        <f>IF(ISBLANK(F1649),MODE($F$2:$F$2001),F1649)</f>
        <v>4</v>
      </c>
      <c r="H1649">
        <v>92.35</v>
      </c>
      <c r="I1649">
        <f>IF(ISBLANK(H1649),AVERAGE($H$2:$H$2001),H1649)</f>
        <v>92.35</v>
      </c>
      <c r="J1649">
        <v>0.15</v>
      </c>
      <c r="K1649">
        <f>IF(ISBLANK(J1649),MODE($J$2:$J$2001),J1649)</f>
        <v>0.15</v>
      </c>
      <c r="L1649" t="s">
        <v>1824</v>
      </c>
      <c r="M1649">
        <v>313.99</v>
      </c>
      <c r="N1649">
        <f t="shared" si="25"/>
        <v>313.98999999999995</v>
      </c>
      <c r="O1649" t="str">
        <f>_xlfn.XLOOKUP(Sales_fact[[#This Row],[Customer_ID]],'Customer_Dim'!A:A,'Customer_Dim'!K:K,"Not Found")</f>
        <v>Gold</v>
      </c>
      <c r="P1649">
        <f>_xlfn.XLOOKUP(Sales_fact[[#This Row],[Customer_ID]],'Customer_Dim'!A:A, 'Customer_Dim'!E:E, "Not Found")</f>
        <v>57</v>
      </c>
      <c r="Q1649" t="str">
        <f>VLOOKUP(Sales_fact[[#This Row],[Customer_ID]], 'Customer_Dim'!A:F, 6, FALSE)</f>
        <v>Female</v>
      </c>
      <c r="R1649" s="13" t="str">
        <f>_xlfn.XLOOKUP(Sales_fact[[#This Row],[Product_ID]],Product_Dim!A:A,Product_Dim!C:C,"OTHERS")</f>
        <v>Beauty</v>
      </c>
    </row>
    <row r="1650" spans="1:18" x14ac:dyDescent="0.3">
      <c r="A1650" t="s">
        <v>3474</v>
      </c>
      <c r="B1650" s="2">
        <v>45606</v>
      </c>
      <c r="C1650" t="s">
        <v>711</v>
      </c>
      <c r="D1650" t="s">
        <v>1626</v>
      </c>
      <c r="E1650" t="str">
        <f ca="1">TRIM(Sales_fact[[#This Row],[Store_ID]])</f>
        <v>STORE12</v>
      </c>
      <c r="F1650">
        <v>4</v>
      </c>
      <c r="G1650">
        <f>IF(ISBLANK(F1650),MODE($F$2:$F$2001),F1650)</f>
        <v>4</v>
      </c>
      <c r="H1650">
        <v>721.54</v>
      </c>
      <c r="I1650">
        <f>IF(ISBLANK(H1650),AVERAGE($H$2:$H$2001),H1650)</f>
        <v>721.54</v>
      </c>
      <c r="J1650">
        <v>0.21</v>
      </c>
      <c r="K1650">
        <f>IF(ISBLANK(J1650),MODE($J$2:$J$2001),J1650)</f>
        <v>0.21</v>
      </c>
      <c r="L1650" t="s">
        <v>1824</v>
      </c>
      <c r="M1650">
        <v>2280.0664000000002</v>
      </c>
      <c r="N1650">
        <f t="shared" si="25"/>
        <v>2280.0664000000002</v>
      </c>
      <c r="O1650" t="str">
        <f>_xlfn.XLOOKUP(Sales_fact[[#This Row],[Customer_ID]],'Customer_Dim'!A:A,'Customer_Dim'!K:K,"Not Found")</f>
        <v>Gold</v>
      </c>
      <c r="P1650">
        <f>_xlfn.XLOOKUP(Sales_fact[[#This Row],[Customer_ID]],'Customer_Dim'!A:A, 'Customer_Dim'!E:E, "Not Found")</f>
        <v>47</v>
      </c>
      <c r="Q1650" t="str">
        <f>VLOOKUP(Sales_fact[[#This Row],[Customer_ID]], 'Customer_Dim'!A:F, 6, FALSE)</f>
        <v>Female</v>
      </c>
      <c r="R1650" s="13" t="str">
        <f>_xlfn.XLOOKUP(Sales_fact[[#This Row],[Product_ID]],Product_Dim!A:A,Product_Dim!C:C,"OTHERS")</f>
        <v>Electronics</v>
      </c>
    </row>
    <row r="1651" spans="1:18" x14ac:dyDescent="0.3">
      <c r="A1651" t="s">
        <v>3475</v>
      </c>
      <c r="B1651" s="2">
        <v>45787</v>
      </c>
      <c r="C1651" t="s">
        <v>202</v>
      </c>
      <c r="D1651" t="s">
        <v>1624</v>
      </c>
      <c r="E1651" t="str">
        <f ca="1">TRIM(Sales_fact[[#This Row],[Store_ID]])</f>
        <v>STORE9</v>
      </c>
      <c r="F1651">
        <v>1</v>
      </c>
      <c r="G1651">
        <f>IF(ISBLANK(F1651),MODE($F$2:$F$2001),F1651)</f>
        <v>1</v>
      </c>
      <c r="H1651">
        <v>228.69</v>
      </c>
      <c r="I1651">
        <f>IF(ISBLANK(H1651),AVERAGE($H$2:$H$2001),H1651)</f>
        <v>228.69</v>
      </c>
      <c r="J1651">
        <v>0.14000000000000001</v>
      </c>
      <c r="K1651">
        <f>IF(ISBLANK(J1651),MODE($J$2:$J$2001),J1651)</f>
        <v>0.14000000000000001</v>
      </c>
      <c r="L1651" t="s">
        <v>1824</v>
      </c>
      <c r="M1651">
        <v>196.67339999999999</v>
      </c>
      <c r="N1651">
        <f t="shared" si="25"/>
        <v>196.67339999999999</v>
      </c>
      <c r="O1651" t="str">
        <f>_xlfn.XLOOKUP(Sales_fact[[#This Row],[Customer_ID]],'Customer_Dim'!A:A,'Customer_Dim'!K:K,"Not Found")</f>
        <v>Gold</v>
      </c>
      <c r="P1651">
        <f>_xlfn.XLOOKUP(Sales_fact[[#This Row],[Customer_ID]],'Customer_Dim'!A:A, 'Customer_Dim'!E:E, "Not Found")</f>
        <v>37</v>
      </c>
      <c r="Q1651" t="str">
        <f>VLOOKUP(Sales_fact[[#This Row],[Customer_ID]], 'Customer_Dim'!A:F, 6, FALSE)</f>
        <v>Female</v>
      </c>
      <c r="R1651" s="13" t="str">
        <f>_xlfn.XLOOKUP(Sales_fact[[#This Row],[Product_ID]],Product_Dim!A:A,Product_Dim!C:C,"OTHERS")</f>
        <v>Sports</v>
      </c>
    </row>
    <row r="1652" spans="1:18" x14ac:dyDescent="0.3">
      <c r="A1652" t="s">
        <v>3476</v>
      </c>
      <c r="B1652" s="2">
        <v>45929</v>
      </c>
      <c r="C1652" t="s">
        <v>1112</v>
      </c>
      <c r="D1652" t="s">
        <v>1654</v>
      </c>
      <c r="E1652" t="str">
        <f ca="1">TRIM(Sales_fact[[#This Row],[Store_ID]])</f>
        <v>STORE10</v>
      </c>
      <c r="F1652">
        <v>1</v>
      </c>
      <c r="G1652">
        <f>IF(ISBLANK(F1652),MODE($F$2:$F$2001),F1652)</f>
        <v>1</v>
      </c>
      <c r="H1652">
        <v>899.09</v>
      </c>
      <c r="I1652">
        <f>IF(ISBLANK(H1652),AVERAGE($H$2:$H$2001),H1652)</f>
        <v>899.09</v>
      </c>
      <c r="J1652">
        <v>0.2</v>
      </c>
      <c r="K1652">
        <f>IF(ISBLANK(J1652),MODE($J$2:$J$2001),J1652)</f>
        <v>0.2</v>
      </c>
      <c r="L1652" t="s">
        <v>1826</v>
      </c>
      <c r="M1652">
        <v>719.27200000000005</v>
      </c>
      <c r="N1652">
        <f t="shared" si="25"/>
        <v>719.27200000000005</v>
      </c>
      <c r="O1652" t="str">
        <f>_xlfn.XLOOKUP(Sales_fact[[#This Row],[Customer_ID]],'Customer_Dim'!A:A,'Customer_Dim'!K:K,"Not Found")</f>
        <v>Gold</v>
      </c>
      <c r="P1652">
        <f>_xlfn.XLOOKUP(Sales_fact[[#This Row],[Customer_ID]],'Customer_Dim'!A:A, 'Customer_Dim'!E:E, "Not Found")</f>
        <v>20</v>
      </c>
      <c r="Q1652" t="str">
        <f>VLOOKUP(Sales_fact[[#This Row],[Customer_ID]], 'Customer_Dim'!A:F, 6, FALSE)</f>
        <v>Male</v>
      </c>
      <c r="R1652" s="13" t="str">
        <f>_xlfn.XLOOKUP(Sales_fact[[#This Row],[Product_ID]],Product_Dim!A:A,Product_Dim!C:C,"OTHERS")</f>
        <v>Clothing</v>
      </c>
    </row>
    <row r="1653" spans="1:18" x14ac:dyDescent="0.3">
      <c r="A1653" t="s">
        <v>3477</v>
      </c>
      <c r="B1653" s="2">
        <v>45379</v>
      </c>
      <c r="C1653" t="s">
        <v>1199</v>
      </c>
      <c r="D1653" t="s">
        <v>1562</v>
      </c>
      <c r="E1653" t="str">
        <f ca="1">TRIM(Sales_fact[[#This Row],[Store_ID]])</f>
        <v>STORE8</v>
      </c>
      <c r="F1653">
        <v>4</v>
      </c>
      <c r="G1653">
        <f>IF(ISBLANK(F1653),MODE($F$2:$F$2001),F1653)</f>
        <v>4</v>
      </c>
      <c r="H1653">
        <v>195.75</v>
      </c>
      <c r="I1653">
        <f>IF(ISBLANK(H1653),AVERAGE($H$2:$H$2001),H1653)</f>
        <v>195.75</v>
      </c>
      <c r="J1653">
        <v>0.17</v>
      </c>
      <c r="K1653">
        <f>IF(ISBLANK(J1653),MODE($J$2:$J$2001),J1653)</f>
        <v>0.17</v>
      </c>
      <c r="L1653" t="s">
        <v>1824</v>
      </c>
      <c r="M1653">
        <v>649.89</v>
      </c>
      <c r="N1653">
        <f t="shared" si="25"/>
        <v>649.89</v>
      </c>
      <c r="O1653" t="str">
        <f>_xlfn.XLOOKUP(Sales_fact[[#This Row],[Customer_ID]],'Customer_Dim'!A:A,'Customer_Dim'!K:K,"Not Found")</f>
        <v>Bronze</v>
      </c>
      <c r="P1653">
        <f>_xlfn.XLOOKUP(Sales_fact[[#This Row],[Customer_ID]],'Customer_Dim'!A:A, 'Customer_Dim'!E:E, "Not Found")</f>
        <v>52</v>
      </c>
      <c r="Q1653" t="str">
        <f>VLOOKUP(Sales_fact[[#This Row],[Customer_ID]], 'Customer_Dim'!A:F, 6, FALSE)</f>
        <v>Female</v>
      </c>
      <c r="R1653" s="13" t="str">
        <f>_xlfn.XLOOKUP(Sales_fact[[#This Row],[Product_ID]],Product_Dim!A:A,Product_Dim!C:C,"OTHERS")</f>
        <v>Electronics</v>
      </c>
    </row>
    <row r="1654" spans="1:18" x14ac:dyDescent="0.3">
      <c r="A1654" t="s">
        <v>3478</v>
      </c>
      <c r="B1654" s="2">
        <v>45532</v>
      </c>
      <c r="C1654" t="s">
        <v>1322</v>
      </c>
      <c r="D1654" t="s">
        <v>1734</v>
      </c>
      <c r="E1654" t="str">
        <f ca="1">TRIM(Sales_fact[[#This Row],[Store_ID]])</f>
        <v>STORE15</v>
      </c>
      <c r="F1654">
        <v>3</v>
      </c>
      <c r="G1654">
        <f>IF(ISBLANK(F1654),MODE($F$2:$F$2001),F1654)</f>
        <v>3</v>
      </c>
      <c r="H1654">
        <v>199.13</v>
      </c>
      <c r="I1654">
        <f>IF(ISBLANK(H1654),AVERAGE($H$2:$H$2001),H1654)</f>
        <v>199.13</v>
      </c>
      <c r="J1654">
        <v>0.24</v>
      </c>
      <c r="K1654">
        <f>IF(ISBLANK(J1654),MODE($J$2:$J$2001),J1654)</f>
        <v>0.24</v>
      </c>
      <c r="L1654" t="s">
        <v>1824</v>
      </c>
      <c r="M1654">
        <v>454.01639999999998</v>
      </c>
      <c r="N1654">
        <f t="shared" si="25"/>
        <v>454.01639999999998</v>
      </c>
      <c r="O1654" t="str">
        <f>_xlfn.XLOOKUP(Sales_fact[[#This Row],[Customer_ID]],'Customer_Dim'!A:A,'Customer_Dim'!K:K,"Not Found")</f>
        <v>Platinum</v>
      </c>
      <c r="P1654">
        <f>_xlfn.XLOOKUP(Sales_fact[[#This Row],[Customer_ID]],'Customer_Dim'!A:A, 'Customer_Dim'!E:E, "Not Found")</f>
        <v>28</v>
      </c>
      <c r="Q1654" t="str">
        <f>VLOOKUP(Sales_fact[[#This Row],[Customer_ID]], 'Customer_Dim'!A:F, 6, FALSE)</f>
        <v>Male</v>
      </c>
      <c r="R1654" s="13" t="str">
        <f>_xlfn.XLOOKUP(Sales_fact[[#This Row],[Product_ID]],Product_Dim!A:A,Product_Dim!C:C,"OTHERS")</f>
        <v>Electronics</v>
      </c>
    </row>
    <row r="1655" spans="1:18" x14ac:dyDescent="0.3">
      <c r="A1655" t="s">
        <v>3479</v>
      </c>
      <c r="B1655" s="2">
        <v>45466</v>
      </c>
      <c r="C1655" t="s">
        <v>535</v>
      </c>
      <c r="D1655" t="s">
        <v>1592</v>
      </c>
      <c r="E1655" t="str">
        <f ca="1">TRIM(Sales_fact[[#This Row],[Store_ID]])</f>
        <v>STORE14</v>
      </c>
      <c r="F1655">
        <v>2</v>
      </c>
      <c r="G1655">
        <f>IF(ISBLANK(F1655),MODE($F$2:$F$2001),F1655)</f>
        <v>2</v>
      </c>
      <c r="H1655">
        <v>833.62</v>
      </c>
      <c r="I1655">
        <f>IF(ISBLANK(H1655),AVERAGE($H$2:$H$2001),H1655)</f>
        <v>833.62</v>
      </c>
      <c r="J1655">
        <v>0.18</v>
      </c>
      <c r="K1655">
        <f>IF(ISBLANK(J1655),MODE($J$2:$J$2001),J1655)</f>
        <v>0.18</v>
      </c>
      <c r="L1655" t="s">
        <v>1824</v>
      </c>
      <c r="M1655">
        <v>1367.1368</v>
      </c>
      <c r="N1655">
        <f t="shared" si="25"/>
        <v>1367.1368000000002</v>
      </c>
      <c r="O1655" t="str">
        <f>_xlfn.XLOOKUP(Sales_fact[[#This Row],[Customer_ID]],'Customer_Dim'!A:A,'Customer_Dim'!K:K,"Not Found")</f>
        <v>Platinum</v>
      </c>
      <c r="P1655">
        <f>_xlfn.XLOOKUP(Sales_fact[[#This Row],[Customer_ID]],'Customer_Dim'!A:A, 'Customer_Dim'!E:E, "Not Found")</f>
        <v>41</v>
      </c>
      <c r="Q1655" t="str">
        <f>VLOOKUP(Sales_fact[[#This Row],[Customer_ID]], 'Customer_Dim'!A:F, 6, FALSE)</f>
        <v>Female</v>
      </c>
      <c r="R1655" s="13" t="str">
        <f>_xlfn.XLOOKUP(Sales_fact[[#This Row],[Product_ID]],Product_Dim!A:A,Product_Dim!C:C,"OTHERS")</f>
        <v>Sports</v>
      </c>
    </row>
    <row r="1656" spans="1:18" x14ac:dyDescent="0.3">
      <c r="A1656" t="s">
        <v>3480</v>
      </c>
      <c r="B1656" s="2">
        <v>45395</v>
      </c>
      <c r="C1656" t="s">
        <v>1489</v>
      </c>
      <c r="D1656" t="s">
        <v>1698</v>
      </c>
      <c r="E1656" t="str">
        <f ca="1">TRIM(Sales_fact[[#This Row],[Store_ID]])</f>
        <v>STORE0</v>
      </c>
      <c r="F1656">
        <v>1</v>
      </c>
      <c r="G1656">
        <f>IF(ISBLANK(F1656),MODE($F$2:$F$2001),F1656)</f>
        <v>1</v>
      </c>
      <c r="H1656">
        <v>676.26</v>
      </c>
      <c r="I1656">
        <f>IF(ISBLANK(H1656),AVERAGE($H$2:$H$2001),H1656)</f>
        <v>676.26</v>
      </c>
      <c r="J1656">
        <v>0.14000000000000001</v>
      </c>
      <c r="K1656">
        <f>IF(ISBLANK(J1656),MODE($J$2:$J$2001),J1656)</f>
        <v>0.14000000000000001</v>
      </c>
      <c r="L1656" t="s">
        <v>1824</v>
      </c>
      <c r="M1656">
        <v>581.58359999999993</v>
      </c>
      <c r="N1656">
        <f t="shared" si="25"/>
        <v>581.58359999999993</v>
      </c>
      <c r="O1656" t="str">
        <f>_xlfn.XLOOKUP(Sales_fact[[#This Row],[Customer_ID]],'Customer_Dim'!A:A,'Customer_Dim'!K:K,"Not Found")</f>
        <v>Bronze</v>
      </c>
      <c r="P1656">
        <f>_xlfn.XLOOKUP(Sales_fact[[#This Row],[Customer_ID]],'Customer_Dim'!A:A, 'Customer_Dim'!E:E, "Not Found")</f>
        <v>32</v>
      </c>
      <c r="Q1656" t="str">
        <f>VLOOKUP(Sales_fact[[#This Row],[Customer_ID]], 'Customer_Dim'!A:F, 6, FALSE)</f>
        <v>Male</v>
      </c>
      <c r="R1656" s="13" t="str">
        <f>_xlfn.XLOOKUP(Sales_fact[[#This Row],[Product_ID]],Product_Dim!A:A,Product_Dim!C:C,"OTHERS")</f>
        <v>Clothing</v>
      </c>
    </row>
    <row r="1657" spans="1:18" x14ac:dyDescent="0.3">
      <c r="A1657" t="s">
        <v>3481</v>
      </c>
      <c r="B1657" s="2">
        <v>45708</v>
      </c>
      <c r="C1657" t="s">
        <v>130</v>
      </c>
      <c r="D1657" t="s">
        <v>1668</v>
      </c>
      <c r="E1657" t="str">
        <f ca="1">TRIM(Sales_fact[[#This Row],[Store_ID]])</f>
        <v>STORE9</v>
      </c>
      <c r="F1657">
        <v>2</v>
      </c>
      <c r="G1657">
        <f>IF(ISBLANK(F1657),MODE($F$2:$F$2001),F1657)</f>
        <v>2</v>
      </c>
      <c r="H1657">
        <v>666.49</v>
      </c>
      <c r="I1657">
        <f>IF(ISBLANK(H1657),AVERAGE($H$2:$H$2001),H1657)</f>
        <v>666.49</v>
      </c>
      <c r="J1657">
        <v>0.06</v>
      </c>
      <c r="K1657">
        <f>IF(ISBLANK(J1657),MODE($J$2:$J$2001),J1657)</f>
        <v>0.06</v>
      </c>
      <c r="L1657" t="s">
        <v>1824</v>
      </c>
      <c r="M1657">
        <v>1253.0011999999999</v>
      </c>
      <c r="N1657">
        <f t="shared" si="25"/>
        <v>1253.0011999999999</v>
      </c>
      <c r="O1657" t="str">
        <f>_xlfn.XLOOKUP(Sales_fact[[#This Row],[Customer_ID]],'Customer_Dim'!A:A,'Customer_Dim'!K:K,"Not Found")</f>
        <v>Gold</v>
      </c>
      <c r="P1657">
        <f>_xlfn.XLOOKUP(Sales_fact[[#This Row],[Customer_ID]],'Customer_Dim'!A:A, 'Customer_Dim'!E:E, "Not Found")</f>
        <v>48</v>
      </c>
      <c r="Q1657" t="str">
        <f>VLOOKUP(Sales_fact[[#This Row],[Customer_ID]], 'Customer_Dim'!A:F, 6, FALSE)</f>
        <v>Female</v>
      </c>
      <c r="R1657" s="13" t="str">
        <f>_xlfn.XLOOKUP(Sales_fact[[#This Row],[Product_ID]],Product_Dim!A:A,Product_Dim!C:C,"OTHERS")</f>
        <v>Beauty</v>
      </c>
    </row>
    <row r="1658" spans="1:18" x14ac:dyDescent="0.3">
      <c r="A1658" t="s">
        <v>3482</v>
      </c>
      <c r="B1658" s="2">
        <v>45735</v>
      </c>
      <c r="C1658" t="s">
        <v>1419</v>
      </c>
      <c r="D1658" t="s">
        <v>1578</v>
      </c>
      <c r="E1658" t="str">
        <f ca="1">TRIM(Sales_fact[[#This Row],[Store_ID]])</f>
        <v>STORE4</v>
      </c>
      <c r="F1658">
        <v>3</v>
      </c>
      <c r="G1658">
        <f>IF(ISBLANK(F1658),MODE($F$2:$F$2001),F1658)</f>
        <v>3</v>
      </c>
      <c r="H1658">
        <v>471.19</v>
      </c>
      <c r="I1658">
        <f>IF(ISBLANK(H1658),AVERAGE($H$2:$H$2001),H1658)</f>
        <v>471.19</v>
      </c>
      <c r="J1658">
        <v>0.28000000000000003</v>
      </c>
      <c r="K1658">
        <f>IF(ISBLANK(J1658),MODE($J$2:$J$2001),J1658)</f>
        <v>0.28000000000000003</v>
      </c>
      <c r="L1658" t="s">
        <v>1829</v>
      </c>
      <c r="M1658">
        <v>1017.7704</v>
      </c>
      <c r="N1658">
        <f t="shared" si="25"/>
        <v>1017.7703999999999</v>
      </c>
      <c r="O1658" t="str">
        <f>_xlfn.XLOOKUP(Sales_fact[[#This Row],[Customer_ID]],'Customer_Dim'!A:A,'Customer_Dim'!K:K,"Not Found")</f>
        <v>Gold</v>
      </c>
      <c r="P1658">
        <f>_xlfn.XLOOKUP(Sales_fact[[#This Row],[Customer_ID]],'Customer_Dim'!A:A, 'Customer_Dim'!E:E, "Not Found")</f>
        <v>35</v>
      </c>
      <c r="Q1658" t="str">
        <f>VLOOKUP(Sales_fact[[#This Row],[Customer_ID]], 'Customer_Dim'!A:F, 6, FALSE)</f>
        <v>Male</v>
      </c>
      <c r="R1658" s="13" t="str">
        <f>_xlfn.XLOOKUP(Sales_fact[[#This Row],[Product_ID]],Product_Dim!A:A,Product_Dim!C:C,"OTHERS")</f>
        <v>Electronics</v>
      </c>
    </row>
    <row r="1659" spans="1:18" x14ac:dyDescent="0.3">
      <c r="A1659" t="s">
        <v>3483</v>
      </c>
      <c r="B1659" s="2">
        <v>45237</v>
      </c>
      <c r="C1659" t="s">
        <v>414</v>
      </c>
      <c r="D1659" t="s">
        <v>1562</v>
      </c>
      <c r="E1659" t="str">
        <f ca="1">TRIM(Sales_fact[[#This Row],[Store_ID]])</f>
        <v>STORE3</v>
      </c>
      <c r="F1659">
        <v>4</v>
      </c>
      <c r="G1659">
        <f>IF(ISBLANK(F1659),MODE($F$2:$F$2001),F1659)</f>
        <v>4</v>
      </c>
      <c r="H1659">
        <v>555.65</v>
      </c>
      <c r="I1659">
        <f>IF(ISBLANK(H1659),AVERAGE($H$2:$H$2001),H1659)</f>
        <v>555.65</v>
      </c>
      <c r="J1659">
        <v>0.25</v>
      </c>
      <c r="K1659">
        <f>IF(ISBLANK(J1659),MODE($J$2:$J$2001),J1659)</f>
        <v>0.25</v>
      </c>
      <c r="L1659" t="s">
        <v>1829</v>
      </c>
      <c r="M1659">
        <v>1666.95</v>
      </c>
      <c r="N1659">
        <f t="shared" si="25"/>
        <v>1666.9499999999998</v>
      </c>
      <c r="O1659" t="str">
        <f>_xlfn.XLOOKUP(Sales_fact[[#This Row],[Customer_ID]],'Customer_Dim'!A:A,'Customer_Dim'!K:K,"Not Found")</f>
        <v>Bronze</v>
      </c>
      <c r="P1659">
        <f>_xlfn.XLOOKUP(Sales_fact[[#This Row],[Customer_ID]],'Customer_Dim'!A:A, 'Customer_Dim'!E:E, "Not Found")</f>
        <v>40</v>
      </c>
      <c r="Q1659" t="str">
        <f>VLOOKUP(Sales_fact[[#This Row],[Customer_ID]], 'Customer_Dim'!A:F, 6, FALSE)</f>
        <v>Male</v>
      </c>
      <c r="R1659" s="13" t="str">
        <f>_xlfn.XLOOKUP(Sales_fact[[#This Row],[Product_ID]],Product_Dim!A:A,Product_Dim!C:C,"OTHERS")</f>
        <v>Electronics</v>
      </c>
    </row>
    <row r="1660" spans="1:18" x14ac:dyDescent="0.3">
      <c r="A1660" t="s">
        <v>3484</v>
      </c>
      <c r="B1660" s="2">
        <v>45282</v>
      </c>
      <c r="C1660" t="s">
        <v>141</v>
      </c>
      <c r="D1660" t="s">
        <v>1738</v>
      </c>
      <c r="E1660" t="str">
        <f ca="1">TRIM(Sales_fact[[#This Row],[Store_ID]])</f>
        <v>STORE14</v>
      </c>
      <c r="F1660">
        <v>2</v>
      </c>
      <c r="G1660">
        <f>IF(ISBLANK(F1660),MODE($F$2:$F$2001),F1660)</f>
        <v>2</v>
      </c>
      <c r="H1660">
        <v>100.42</v>
      </c>
      <c r="I1660">
        <f>IF(ISBLANK(H1660),AVERAGE($H$2:$H$2001),H1660)</f>
        <v>100.42</v>
      </c>
      <c r="J1660">
        <v>0.06</v>
      </c>
      <c r="K1660">
        <f>IF(ISBLANK(J1660),MODE($J$2:$J$2001),J1660)</f>
        <v>0.06</v>
      </c>
      <c r="L1660" t="s">
        <v>1824</v>
      </c>
      <c r="M1660">
        <v>188.78960000000001</v>
      </c>
      <c r="N1660">
        <f t="shared" si="25"/>
        <v>188.78959999999998</v>
      </c>
      <c r="O1660" t="str">
        <f>_xlfn.XLOOKUP(Sales_fact[[#This Row],[Customer_ID]],'Customer_Dim'!A:A,'Customer_Dim'!K:K,"Not Found")</f>
        <v>Silver</v>
      </c>
      <c r="P1660">
        <f>_xlfn.XLOOKUP(Sales_fact[[#This Row],[Customer_ID]],'Customer_Dim'!A:A, 'Customer_Dim'!E:E, "Not Found")</f>
        <v>52</v>
      </c>
      <c r="Q1660" t="str">
        <f>VLOOKUP(Sales_fact[[#This Row],[Customer_ID]], 'Customer_Dim'!A:F, 6, FALSE)</f>
        <v>Male</v>
      </c>
      <c r="R1660" s="13" t="str">
        <f>_xlfn.XLOOKUP(Sales_fact[[#This Row],[Product_ID]],Product_Dim!A:A,Product_Dim!C:C,"OTHERS")</f>
        <v>Sports</v>
      </c>
    </row>
    <row r="1661" spans="1:18" x14ac:dyDescent="0.3">
      <c r="A1661" t="s">
        <v>3485</v>
      </c>
      <c r="B1661" s="2">
        <v>45337</v>
      </c>
      <c r="C1661" t="s">
        <v>191</v>
      </c>
      <c r="D1661" t="s">
        <v>1744</v>
      </c>
      <c r="E1661" t="str">
        <f ca="1">TRIM(Sales_fact[[#This Row],[Store_ID]])</f>
        <v>STORE18</v>
      </c>
      <c r="F1661">
        <v>3</v>
      </c>
      <c r="G1661">
        <f>IF(ISBLANK(F1661),MODE($F$2:$F$2001),F1661)</f>
        <v>3</v>
      </c>
      <c r="H1661">
        <v>981.69</v>
      </c>
      <c r="I1661">
        <f>IF(ISBLANK(H1661),AVERAGE($H$2:$H$2001),H1661)</f>
        <v>981.69</v>
      </c>
      <c r="J1661">
        <v>0.05</v>
      </c>
      <c r="K1661">
        <f>IF(ISBLANK(J1661),MODE($J$2:$J$2001),J1661)</f>
        <v>0.05</v>
      </c>
      <c r="L1661" t="s">
        <v>1829</v>
      </c>
      <c r="M1661">
        <v>2797.8164999999999</v>
      </c>
      <c r="N1661">
        <f t="shared" si="25"/>
        <v>2797.8164999999999</v>
      </c>
      <c r="O1661" t="str">
        <f>_xlfn.XLOOKUP(Sales_fact[[#This Row],[Customer_ID]],'Customer_Dim'!A:A,'Customer_Dim'!K:K,"Not Found")</f>
        <v>Gold</v>
      </c>
      <c r="P1661">
        <f>_xlfn.XLOOKUP(Sales_fact[[#This Row],[Customer_ID]],'Customer_Dim'!A:A, 'Customer_Dim'!E:E, "Not Found")</f>
        <v>61</v>
      </c>
      <c r="Q1661" t="str">
        <f>VLOOKUP(Sales_fact[[#This Row],[Customer_ID]], 'Customer_Dim'!A:F, 6, FALSE)</f>
        <v>Female</v>
      </c>
      <c r="R1661" s="13" t="str">
        <f>_xlfn.XLOOKUP(Sales_fact[[#This Row],[Product_ID]],Product_Dim!A:A,Product_Dim!C:C,"OTHERS")</f>
        <v>Electronics</v>
      </c>
    </row>
    <row r="1662" spans="1:18" x14ac:dyDescent="0.3">
      <c r="A1662" t="s">
        <v>3486</v>
      </c>
      <c r="B1662" s="2">
        <v>45310</v>
      </c>
      <c r="C1662" t="s">
        <v>1029</v>
      </c>
      <c r="D1662" t="s">
        <v>1568</v>
      </c>
      <c r="E1662" t="str">
        <f ca="1">TRIM(Sales_fact[[#This Row],[Store_ID]])</f>
        <v>STORE16</v>
      </c>
      <c r="F1662">
        <v>2</v>
      </c>
      <c r="G1662">
        <f>IF(ISBLANK(F1662),MODE($F$2:$F$2001),F1662)</f>
        <v>2</v>
      </c>
      <c r="H1662">
        <v>848.87</v>
      </c>
      <c r="I1662">
        <f>IF(ISBLANK(H1662),AVERAGE($H$2:$H$2001),H1662)</f>
        <v>848.87</v>
      </c>
      <c r="J1662">
        <v>0.09</v>
      </c>
      <c r="K1662">
        <f>IF(ISBLANK(J1662),MODE($J$2:$J$2001),J1662)</f>
        <v>0.09</v>
      </c>
      <c r="L1662" t="s">
        <v>1829</v>
      </c>
      <c r="M1662">
        <v>1544.9434000000001</v>
      </c>
      <c r="N1662">
        <f t="shared" si="25"/>
        <v>1544.9434000000001</v>
      </c>
      <c r="O1662" t="str">
        <f>_xlfn.XLOOKUP(Sales_fact[[#This Row],[Customer_ID]],'Customer_Dim'!A:A,'Customer_Dim'!K:K,"Not Found")</f>
        <v>Bronze</v>
      </c>
      <c r="P1662">
        <f>_xlfn.XLOOKUP(Sales_fact[[#This Row],[Customer_ID]],'Customer_Dim'!A:A, 'Customer_Dim'!E:E, "Not Found")</f>
        <v>62</v>
      </c>
      <c r="Q1662" t="str">
        <f>VLOOKUP(Sales_fact[[#This Row],[Customer_ID]], 'Customer_Dim'!A:F, 6, FALSE)</f>
        <v>Female</v>
      </c>
      <c r="R1662" s="13" t="str">
        <f>_xlfn.XLOOKUP(Sales_fact[[#This Row],[Product_ID]],Product_Dim!A:A,Product_Dim!C:C,"OTHERS")</f>
        <v>Home</v>
      </c>
    </row>
    <row r="1663" spans="1:18" x14ac:dyDescent="0.3">
      <c r="A1663" t="s">
        <v>3487</v>
      </c>
      <c r="B1663" s="2">
        <v>45230</v>
      </c>
      <c r="C1663" t="s">
        <v>1172</v>
      </c>
      <c r="D1663" t="s">
        <v>1740</v>
      </c>
      <c r="E1663" t="str">
        <f ca="1">TRIM(Sales_fact[[#This Row],[Store_ID]])</f>
        <v>STORE10</v>
      </c>
      <c r="F1663">
        <v>3</v>
      </c>
      <c r="G1663">
        <f>IF(ISBLANK(F1663),MODE($F$2:$F$2001),F1663)</f>
        <v>3</v>
      </c>
      <c r="H1663">
        <v>582.32000000000005</v>
      </c>
      <c r="I1663">
        <f>IF(ISBLANK(H1663),AVERAGE($H$2:$H$2001),H1663)</f>
        <v>582.32000000000005</v>
      </c>
      <c r="J1663">
        <v>0</v>
      </c>
      <c r="K1663">
        <f>IF(ISBLANK(J1663),MODE($J$2:$J$2001),J1663)</f>
        <v>0</v>
      </c>
      <c r="L1663" t="s">
        <v>1826</v>
      </c>
      <c r="M1663">
        <v>1746.96</v>
      </c>
      <c r="N1663">
        <f t="shared" si="25"/>
        <v>1746.96</v>
      </c>
      <c r="O1663" t="str">
        <f>_xlfn.XLOOKUP(Sales_fact[[#This Row],[Customer_ID]],'Customer_Dim'!A:A,'Customer_Dim'!K:K,"Not Found")</f>
        <v>Platinum</v>
      </c>
      <c r="P1663">
        <f>_xlfn.XLOOKUP(Sales_fact[[#This Row],[Customer_ID]],'Customer_Dim'!A:A, 'Customer_Dim'!E:E, "Not Found")</f>
        <v>26</v>
      </c>
      <c r="Q1663" t="str">
        <f>VLOOKUP(Sales_fact[[#This Row],[Customer_ID]], 'Customer_Dim'!A:F, 6, FALSE)</f>
        <v>Male</v>
      </c>
      <c r="R1663" s="13" t="str">
        <f>_xlfn.XLOOKUP(Sales_fact[[#This Row],[Product_ID]],Product_Dim!A:A,Product_Dim!C:C,"OTHERS")</f>
        <v>Clothing</v>
      </c>
    </row>
    <row r="1664" spans="1:18" x14ac:dyDescent="0.3">
      <c r="A1664" t="s">
        <v>3488</v>
      </c>
      <c r="B1664" s="2">
        <v>45341</v>
      </c>
      <c r="C1664" t="s">
        <v>568</v>
      </c>
      <c r="D1664" t="s">
        <v>1646</v>
      </c>
      <c r="E1664" t="str">
        <f ca="1">TRIM(Sales_fact[[#This Row],[Store_ID]])</f>
        <v>STORE17</v>
      </c>
      <c r="F1664">
        <v>2</v>
      </c>
      <c r="G1664">
        <f>IF(ISBLANK(F1664),MODE($F$2:$F$2001),F1664)</f>
        <v>2</v>
      </c>
      <c r="H1664">
        <v>869.43</v>
      </c>
      <c r="I1664">
        <f>IF(ISBLANK(H1664),AVERAGE($H$2:$H$2001),H1664)</f>
        <v>869.43</v>
      </c>
      <c r="J1664">
        <v>0.24</v>
      </c>
      <c r="K1664">
        <f>IF(ISBLANK(J1664),MODE($J$2:$J$2001),J1664)</f>
        <v>0.24</v>
      </c>
      <c r="L1664" t="s">
        <v>1829</v>
      </c>
      <c r="M1664">
        <v>1321.5336</v>
      </c>
      <c r="N1664">
        <f t="shared" si="25"/>
        <v>1321.5336</v>
      </c>
      <c r="O1664" t="str">
        <f>_xlfn.XLOOKUP(Sales_fact[[#This Row],[Customer_ID]],'Customer_Dim'!A:A,'Customer_Dim'!K:K,"Not Found")</f>
        <v>Platinum</v>
      </c>
      <c r="P1664">
        <f>_xlfn.XLOOKUP(Sales_fact[[#This Row],[Customer_ID]],'Customer_Dim'!A:A, 'Customer_Dim'!E:E, "Not Found")</f>
        <v>44</v>
      </c>
      <c r="Q1664" t="str">
        <f>VLOOKUP(Sales_fact[[#This Row],[Customer_ID]], 'Customer_Dim'!A:F, 6, FALSE)</f>
        <v>Female</v>
      </c>
      <c r="R1664" s="13" t="str">
        <f>_xlfn.XLOOKUP(Sales_fact[[#This Row],[Product_ID]],Product_Dim!A:A,Product_Dim!C:C,"OTHERS")</f>
        <v>Beauty</v>
      </c>
    </row>
    <row r="1665" spans="1:18" x14ac:dyDescent="0.3">
      <c r="A1665" t="s">
        <v>3489</v>
      </c>
      <c r="B1665" s="2">
        <v>45440</v>
      </c>
      <c r="C1665" t="s">
        <v>93</v>
      </c>
      <c r="D1665" t="s">
        <v>1656</v>
      </c>
      <c r="E1665" t="str">
        <f ca="1">TRIM(Sales_fact[[#This Row],[Store_ID]])</f>
        <v>STORE4</v>
      </c>
      <c r="F1665">
        <v>1</v>
      </c>
      <c r="G1665">
        <f>IF(ISBLANK(F1665),MODE($F$2:$F$2001),F1665)</f>
        <v>1</v>
      </c>
      <c r="H1665">
        <v>62.26</v>
      </c>
      <c r="I1665">
        <f>IF(ISBLANK(H1665),AVERAGE($H$2:$H$2001),H1665)</f>
        <v>62.26</v>
      </c>
      <c r="J1665">
        <v>0.03</v>
      </c>
      <c r="K1665">
        <f>IF(ISBLANK(J1665),MODE($J$2:$J$2001),J1665)</f>
        <v>0.03</v>
      </c>
      <c r="L1665" t="s">
        <v>1829</v>
      </c>
      <c r="M1665">
        <v>60.392200000000003</v>
      </c>
      <c r="N1665">
        <f t="shared" si="25"/>
        <v>60.392199999999995</v>
      </c>
      <c r="O1665" t="str">
        <f>_xlfn.XLOOKUP(Sales_fact[[#This Row],[Customer_ID]],'Customer_Dim'!A:A,'Customer_Dim'!K:K,"Not Found")</f>
        <v>Gold</v>
      </c>
      <c r="P1665">
        <f>_xlfn.XLOOKUP(Sales_fact[[#This Row],[Customer_ID]],'Customer_Dim'!A:A, 'Customer_Dim'!E:E, "Not Found")</f>
        <v>36</v>
      </c>
      <c r="Q1665" t="str">
        <f>VLOOKUP(Sales_fact[[#This Row],[Customer_ID]], 'Customer_Dim'!A:F, 6, FALSE)</f>
        <v>Female</v>
      </c>
      <c r="R1665" s="13" t="str">
        <f>_xlfn.XLOOKUP(Sales_fact[[#This Row],[Product_ID]],Product_Dim!A:A,Product_Dim!C:C,"OTHERS")</f>
        <v>Sports</v>
      </c>
    </row>
    <row r="1666" spans="1:18" x14ac:dyDescent="0.3">
      <c r="A1666" t="s">
        <v>3490</v>
      </c>
      <c r="B1666" s="2">
        <v>45798</v>
      </c>
      <c r="C1666" t="s">
        <v>511</v>
      </c>
      <c r="D1666" t="s">
        <v>1626</v>
      </c>
      <c r="E1666" t="str">
        <f ca="1">TRIM(Sales_fact[[#This Row],[Store_ID]])</f>
        <v>STORE14</v>
      </c>
      <c r="F1666">
        <v>3</v>
      </c>
      <c r="G1666">
        <f>IF(ISBLANK(F1666),MODE($F$2:$F$2001),F1666)</f>
        <v>3</v>
      </c>
      <c r="H1666">
        <v>343.97</v>
      </c>
      <c r="I1666">
        <f>IF(ISBLANK(H1666),AVERAGE($H$2:$H$2001),H1666)</f>
        <v>343.97</v>
      </c>
      <c r="J1666">
        <v>0.04</v>
      </c>
      <c r="K1666">
        <f>IF(ISBLANK(J1666),MODE($J$2:$J$2001),J1666)</f>
        <v>0.04</v>
      </c>
      <c r="L1666" t="s">
        <v>1829</v>
      </c>
      <c r="M1666">
        <v>990.6336</v>
      </c>
      <c r="N1666">
        <f t="shared" si="25"/>
        <v>990.6336</v>
      </c>
      <c r="O1666" t="str">
        <f>_xlfn.XLOOKUP(Sales_fact[[#This Row],[Customer_ID]],'Customer_Dim'!A:A,'Customer_Dim'!K:K,"Not Found")</f>
        <v>Platinum</v>
      </c>
      <c r="P1666">
        <f>_xlfn.XLOOKUP(Sales_fact[[#This Row],[Customer_ID]],'Customer_Dim'!A:A, 'Customer_Dim'!E:E, "Not Found")</f>
        <v>41</v>
      </c>
      <c r="Q1666" t="str">
        <f>VLOOKUP(Sales_fact[[#This Row],[Customer_ID]], 'Customer_Dim'!A:F, 6, FALSE)</f>
        <v>Female</v>
      </c>
      <c r="R1666" s="13" t="str">
        <f>_xlfn.XLOOKUP(Sales_fact[[#This Row],[Product_ID]],Product_Dim!A:A,Product_Dim!C:C,"OTHERS")</f>
        <v>Electronics</v>
      </c>
    </row>
    <row r="1667" spans="1:18" x14ac:dyDescent="0.3">
      <c r="A1667" t="s">
        <v>3491</v>
      </c>
      <c r="B1667" s="2">
        <v>45293</v>
      </c>
      <c r="C1667" t="s">
        <v>957</v>
      </c>
      <c r="D1667" t="s">
        <v>1596</v>
      </c>
      <c r="E1667" t="str">
        <f ca="1">TRIM(Sales_fact[[#This Row],[Store_ID]])</f>
        <v>STORE12</v>
      </c>
      <c r="F1667">
        <v>3</v>
      </c>
      <c r="G1667">
        <f>IF(ISBLANK(F1667),MODE($F$2:$F$2001),F1667)</f>
        <v>3</v>
      </c>
      <c r="H1667">
        <v>304.67</v>
      </c>
      <c r="I1667">
        <f>IF(ISBLANK(H1667),AVERAGE($H$2:$H$2001),H1667)</f>
        <v>304.67</v>
      </c>
      <c r="J1667">
        <v>0.11</v>
      </c>
      <c r="K1667">
        <f>IF(ISBLANK(J1667),MODE($J$2:$J$2001),J1667)</f>
        <v>0.11</v>
      </c>
      <c r="L1667" t="s">
        <v>1824</v>
      </c>
      <c r="M1667">
        <v>813.46889999999996</v>
      </c>
      <c r="N1667">
        <f t="shared" ref="N1667:N1730" si="26">G1667*I1667*(1-K1667)</f>
        <v>813.46889999999996</v>
      </c>
      <c r="O1667" t="str">
        <f>_xlfn.XLOOKUP(Sales_fact[[#This Row],[Customer_ID]],'Customer_Dim'!A:A,'Customer_Dim'!K:K,"Not Found")</f>
        <v>Platinum</v>
      </c>
      <c r="P1667">
        <f>_xlfn.XLOOKUP(Sales_fact[[#This Row],[Customer_ID]],'Customer_Dim'!A:A, 'Customer_Dim'!E:E, "Not Found")</f>
        <v>23</v>
      </c>
      <c r="Q1667" t="str">
        <f>VLOOKUP(Sales_fact[[#This Row],[Customer_ID]], 'Customer_Dim'!A:F, 6, FALSE)</f>
        <v>Female</v>
      </c>
      <c r="R1667" s="13" t="str">
        <f>_xlfn.XLOOKUP(Sales_fact[[#This Row],[Product_ID]],Product_Dim!A:A,Product_Dim!C:C,"OTHERS")</f>
        <v>Sports</v>
      </c>
    </row>
    <row r="1668" spans="1:18" x14ac:dyDescent="0.3">
      <c r="A1668" t="s">
        <v>3492</v>
      </c>
      <c r="B1668" s="2">
        <v>45296</v>
      </c>
      <c r="C1668" t="s">
        <v>1142</v>
      </c>
      <c r="D1668" t="s">
        <v>1602</v>
      </c>
      <c r="E1668" t="str">
        <f ca="1">TRIM(Sales_fact[[#This Row],[Store_ID]])</f>
        <v>STORE9</v>
      </c>
      <c r="F1668">
        <v>4</v>
      </c>
      <c r="G1668">
        <f>IF(ISBLANK(F1668),MODE($F$2:$F$2001),F1668)</f>
        <v>4</v>
      </c>
      <c r="H1668">
        <v>208.34</v>
      </c>
      <c r="I1668">
        <f>IF(ISBLANK(H1668),AVERAGE($H$2:$H$2001),H1668)</f>
        <v>208.34</v>
      </c>
      <c r="J1668">
        <v>0.01</v>
      </c>
      <c r="K1668">
        <f>IF(ISBLANK(J1668),MODE($J$2:$J$2001),J1668)</f>
        <v>0.01</v>
      </c>
      <c r="L1668" t="s">
        <v>1826</v>
      </c>
      <c r="M1668">
        <v>825.02639999999997</v>
      </c>
      <c r="N1668">
        <f t="shared" si="26"/>
        <v>825.02639999999997</v>
      </c>
      <c r="O1668" t="str">
        <f>_xlfn.XLOOKUP(Sales_fact[[#This Row],[Customer_ID]],'Customer_Dim'!A:A,'Customer_Dim'!K:K,"Not Found")</f>
        <v>Platinum</v>
      </c>
      <c r="P1668">
        <f>_xlfn.XLOOKUP(Sales_fact[[#This Row],[Customer_ID]],'Customer_Dim'!A:A, 'Customer_Dim'!E:E, "Not Found")</f>
        <v>63</v>
      </c>
      <c r="Q1668" t="str">
        <f>VLOOKUP(Sales_fact[[#This Row],[Customer_ID]], 'Customer_Dim'!A:F, 6, FALSE)</f>
        <v>Female</v>
      </c>
      <c r="R1668" s="13" t="str">
        <f>_xlfn.XLOOKUP(Sales_fact[[#This Row],[Product_ID]],Product_Dim!A:A,Product_Dim!C:C,"OTHERS")</f>
        <v>Home</v>
      </c>
    </row>
    <row r="1669" spans="1:18" x14ac:dyDescent="0.3">
      <c r="A1669" t="s">
        <v>3493</v>
      </c>
      <c r="B1669" s="2">
        <v>45860</v>
      </c>
      <c r="C1669" t="s">
        <v>984</v>
      </c>
      <c r="D1669" t="s">
        <v>1720</v>
      </c>
      <c r="E1669" t="str">
        <f ca="1">TRIM(Sales_fact[[#This Row],[Store_ID]])</f>
        <v>STORE1</v>
      </c>
      <c r="F1669">
        <v>1</v>
      </c>
      <c r="G1669">
        <f>IF(ISBLANK(F1669),MODE($F$2:$F$2001),F1669)</f>
        <v>1</v>
      </c>
      <c r="H1669">
        <v>119.04</v>
      </c>
      <c r="I1669">
        <f>IF(ISBLANK(H1669),AVERAGE($H$2:$H$2001),H1669)</f>
        <v>119.04</v>
      </c>
      <c r="J1669">
        <v>0.13</v>
      </c>
      <c r="K1669">
        <f>IF(ISBLANK(J1669),MODE($J$2:$J$2001),J1669)</f>
        <v>0.13</v>
      </c>
      <c r="L1669" t="s">
        <v>1829</v>
      </c>
      <c r="M1669">
        <v>103.56480000000001</v>
      </c>
      <c r="N1669">
        <f t="shared" si="26"/>
        <v>103.56480000000001</v>
      </c>
      <c r="O1669" t="str">
        <f>_xlfn.XLOOKUP(Sales_fact[[#This Row],[Customer_ID]],'Customer_Dim'!A:A,'Customer_Dim'!K:K,"Not Found")</f>
        <v>Silver</v>
      </c>
      <c r="P1669">
        <f>_xlfn.XLOOKUP(Sales_fact[[#This Row],[Customer_ID]],'Customer_Dim'!A:A, 'Customer_Dim'!E:E, "Not Found")</f>
        <v>47</v>
      </c>
      <c r="Q1669" t="str">
        <f>VLOOKUP(Sales_fact[[#This Row],[Customer_ID]], 'Customer_Dim'!A:F, 6, FALSE)</f>
        <v>Female</v>
      </c>
      <c r="R1669" s="13" t="str">
        <f>_xlfn.XLOOKUP(Sales_fact[[#This Row],[Product_ID]],Product_Dim!A:A,Product_Dim!C:C,"OTHERS")</f>
        <v>Home</v>
      </c>
    </row>
    <row r="1670" spans="1:18" x14ac:dyDescent="0.3">
      <c r="A1670" t="s">
        <v>3494</v>
      </c>
      <c r="B1670" s="2">
        <v>45843</v>
      </c>
      <c r="C1670" t="s">
        <v>1011</v>
      </c>
      <c r="D1670" t="s">
        <v>1636</v>
      </c>
      <c r="E1670" t="str">
        <f ca="1">TRIM(Sales_fact[[#This Row],[Store_ID]])</f>
        <v>STORE9</v>
      </c>
      <c r="F1670">
        <v>4</v>
      </c>
      <c r="G1670">
        <f>IF(ISBLANK(F1670),MODE($F$2:$F$2001),F1670)</f>
        <v>4</v>
      </c>
      <c r="H1670">
        <v>791.65</v>
      </c>
      <c r="I1670">
        <f>IF(ISBLANK(H1670),AVERAGE($H$2:$H$2001),H1670)</f>
        <v>791.65</v>
      </c>
      <c r="J1670">
        <v>0.06</v>
      </c>
      <c r="K1670">
        <f>IF(ISBLANK(J1670),MODE($J$2:$J$2001),J1670)</f>
        <v>0.06</v>
      </c>
      <c r="L1670" t="s">
        <v>1829</v>
      </c>
      <c r="M1670">
        <v>2976.6039999999998</v>
      </c>
      <c r="N1670">
        <f t="shared" si="26"/>
        <v>2976.6039999999998</v>
      </c>
      <c r="O1670" t="str">
        <f>_xlfn.XLOOKUP(Sales_fact[[#This Row],[Customer_ID]],'Customer_Dim'!A:A,'Customer_Dim'!K:K,"Not Found")</f>
        <v>Bronze</v>
      </c>
      <c r="P1670">
        <f>_xlfn.XLOOKUP(Sales_fact[[#This Row],[Customer_ID]],'Customer_Dim'!A:A, 'Customer_Dim'!E:E, "Not Found")</f>
        <v>21</v>
      </c>
      <c r="Q1670" t="str">
        <f>VLOOKUP(Sales_fact[[#This Row],[Customer_ID]], 'Customer_Dim'!A:F, 6, FALSE)</f>
        <v>Female</v>
      </c>
      <c r="R1670" s="13" t="str">
        <f>_xlfn.XLOOKUP(Sales_fact[[#This Row],[Product_ID]],Product_Dim!A:A,Product_Dim!C:C,"OTHERS")</f>
        <v>Sports</v>
      </c>
    </row>
    <row r="1671" spans="1:18" x14ac:dyDescent="0.3">
      <c r="A1671" t="s">
        <v>3495</v>
      </c>
      <c r="B1671" s="2">
        <v>45862</v>
      </c>
      <c r="C1671" t="s">
        <v>198</v>
      </c>
      <c r="D1671" t="s">
        <v>1576</v>
      </c>
      <c r="E1671" t="str">
        <f ca="1">TRIM(Sales_fact[[#This Row],[Store_ID]])</f>
        <v>STORE2</v>
      </c>
      <c r="F1671">
        <v>2</v>
      </c>
      <c r="G1671">
        <f>IF(ISBLANK(F1671),MODE($F$2:$F$2001),F1671)</f>
        <v>2</v>
      </c>
      <c r="H1671">
        <v>414.86</v>
      </c>
      <c r="I1671">
        <f>IF(ISBLANK(H1671),AVERAGE($H$2:$H$2001),H1671)</f>
        <v>414.86</v>
      </c>
      <c r="J1671">
        <v>0.23</v>
      </c>
      <c r="K1671">
        <f>IF(ISBLANK(J1671),MODE($J$2:$J$2001),J1671)</f>
        <v>0.23</v>
      </c>
      <c r="L1671" t="s">
        <v>1824</v>
      </c>
      <c r="M1671">
        <v>638.88440000000003</v>
      </c>
      <c r="N1671">
        <f t="shared" si="26"/>
        <v>638.88440000000003</v>
      </c>
      <c r="O1671" t="str">
        <f>_xlfn.XLOOKUP(Sales_fact[[#This Row],[Customer_ID]],'Customer_Dim'!A:A,'Customer_Dim'!K:K,"Not Found")</f>
        <v>Bronze</v>
      </c>
      <c r="P1671">
        <f>_xlfn.XLOOKUP(Sales_fact[[#This Row],[Customer_ID]],'Customer_Dim'!A:A, 'Customer_Dim'!E:E, "Not Found")</f>
        <v>55</v>
      </c>
      <c r="Q1671" t="str">
        <f>VLOOKUP(Sales_fact[[#This Row],[Customer_ID]], 'Customer_Dim'!A:F, 6, FALSE)</f>
        <v>Male</v>
      </c>
      <c r="R1671" s="13" t="str">
        <f>_xlfn.XLOOKUP(Sales_fact[[#This Row],[Product_ID]],Product_Dim!A:A,Product_Dim!C:C,"OTHERS")</f>
        <v>Home</v>
      </c>
    </row>
    <row r="1672" spans="1:18" x14ac:dyDescent="0.3">
      <c r="A1672" t="s">
        <v>3496</v>
      </c>
      <c r="B1672" s="2">
        <v>45385</v>
      </c>
      <c r="C1672" t="s">
        <v>1472</v>
      </c>
      <c r="D1672" t="s">
        <v>1624</v>
      </c>
      <c r="E1672" t="str">
        <f ca="1">TRIM(Sales_fact[[#This Row],[Store_ID]])</f>
        <v>STORE12</v>
      </c>
      <c r="F1672">
        <v>2</v>
      </c>
      <c r="G1672">
        <f>IF(ISBLANK(F1672),MODE($F$2:$F$2001),F1672)</f>
        <v>2</v>
      </c>
      <c r="H1672">
        <v>960.81</v>
      </c>
      <c r="I1672">
        <f>IF(ISBLANK(H1672),AVERAGE($H$2:$H$2001),H1672)</f>
        <v>960.81</v>
      </c>
      <c r="J1672">
        <v>0.28000000000000003</v>
      </c>
      <c r="K1672">
        <f>IF(ISBLANK(J1672),MODE($J$2:$J$2001),J1672)</f>
        <v>0.28000000000000003</v>
      </c>
      <c r="L1672" t="s">
        <v>1826</v>
      </c>
      <c r="M1672">
        <v>1383.5663999999999</v>
      </c>
      <c r="N1672">
        <f t="shared" si="26"/>
        <v>1383.5663999999999</v>
      </c>
      <c r="O1672" t="str">
        <f>_xlfn.XLOOKUP(Sales_fact[[#This Row],[Customer_ID]],'Customer_Dim'!A:A,'Customer_Dim'!K:K,"Not Found")</f>
        <v>Gold</v>
      </c>
      <c r="P1672">
        <f>_xlfn.XLOOKUP(Sales_fact[[#This Row],[Customer_ID]],'Customer_Dim'!A:A, 'Customer_Dim'!E:E, "Not Found")</f>
        <v>59</v>
      </c>
      <c r="Q1672" t="str">
        <f>VLOOKUP(Sales_fact[[#This Row],[Customer_ID]], 'Customer_Dim'!A:F, 6, FALSE)</f>
        <v>Male</v>
      </c>
      <c r="R1672" s="13" t="str">
        <f>_xlfn.XLOOKUP(Sales_fact[[#This Row],[Product_ID]],Product_Dim!A:A,Product_Dim!C:C,"OTHERS")</f>
        <v>Sports</v>
      </c>
    </row>
    <row r="1673" spans="1:18" x14ac:dyDescent="0.3">
      <c r="A1673" t="s">
        <v>3497</v>
      </c>
      <c r="B1673" s="2">
        <v>45668</v>
      </c>
      <c r="C1673" t="s">
        <v>690</v>
      </c>
      <c r="D1673" t="s">
        <v>1648</v>
      </c>
      <c r="E1673" t="str">
        <f ca="1">TRIM(Sales_fact[[#This Row],[Store_ID]])</f>
        <v>STORE4</v>
      </c>
      <c r="F1673">
        <v>4</v>
      </c>
      <c r="G1673">
        <f>IF(ISBLANK(F1673),MODE($F$2:$F$2001),F1673)</f>
        <v>4</v>
      </c>
      <c r="H1673">
        <v>943.36</v>
      </c>
      <c r="I1673">
        <f>IF(ISBLANK(H1673),AVERAGE($H$2:$H$2001),H1673)</f>
        <v>943.36</v>
      </c>
      <c r="J1673">
        <v>0.18</v>
      </c>
      <c r="K1673">
        <f>IF(ISBLANK(J1673),MODE($J$2:$J$2001),J1673)</f>
        <v>0.18</v>
      </c>
      <c r="L1673" t="s">
        <v>1826</v>
      </c>
      <c r="M1673">
        <v>3094.2208000000001</v>
      </c>
      <c r="N1673">
        <f t="shared" si="26"/>
        <v>3094.2208000000001</v>
      </c>
      <c r="O1673" t="str">
        <f>_xlfn.XLOOKUP(Sales_fact[[#This Row],[Customer_ID]],'Customer_Dim'!A:A,'Customer_Dim'!K:K,"Not Found")</f>
        <v>Platinum</v>
      </c>
      <c r="P1673">
        <f>_xlfn.XLOOKUP(Sales_fact[[#This Row],[Customer_ID]],'Customer_Dim'!A:A, 'Customer_Dim'!E:E, "Not Found")</f>
        <v>63</v>
      </c>
      <c r="Q1673" t="str">
        <f>VLOOKUP(Sales_fact[[#This Row],[Customer_ID]], 'Customer_Dim'!A:F, 6, FALSE)</f>
        <v>Female</v>
      </c>
      <c r="R1673" s="13" t="str">
        <f>_xlfn.XLOOKUP(Sales_fact[[#This Row],[Product_ID]],Product_Dim!A:A,Product_Dim!C:C,"OTHERS")</f>
        <v>Sports</v>
      </c>
    </row>
    <row r="1674" spans="1:18" x14ac:dyDescent="0.3">
      <c r="A1674" t="s">
        <v>3498</v>
      </c>
      <c r="B1674" s="2">
        <v>45561</v>
      </c>
      <c r="C1674" t="s">
        <v>693</v>
      </c>
      <c r="D1674" t="s">
        <v>1551</v>
      </c>
      <c r="E1674" t="str">
        <f ca="1">TRIM(Sales_fact[[#This Row],[Store_ID]])</f>
        <v>STORE13</v>
      </c>
      <c r="F1674">
        <v>1</v>
      </c>
      <c r="G1674">
        <f>IF(ISBLANK(F1674),MODE($F$2:$F$2001),F1674)</f>
        <v>1</v>
      </c>
      <c r="H1674">
        <v>830.42</v>
      </c>
      <c r="I1674">
        <f>IF(ISBLANK(H1674),AVERAGE($H$2:$H$2001),H1674)</f>
        <v>830.42</v>
      </c>
      <c r="J1674">
        <v>0.26</v>
      </c>
      <c r="K1674">
        <f>IF(ISBLANK(J1674),MODE($J$2:$J$2001),J1674)</f>
        <v>0.26</v>
      </c>
      <c r="L1674" t="s">
        <v>1829</v>
      </c>
      <c r="M1674">
        <v>614.51080000000002</v>
      </c>
      <c r="N1674">
        <f t="shared" si="26"/>
        <v>614.51080000000002</v>
      </c>
      <c r="O1674" t="str">
        <f>_xlfn.XLOOKUP(Sales_fact[[#This Row],[Customer_ID]],'Customer_Dim'!A:A,'Customer_Dim'!K:K,"Not Found")</f>
        <v>Platinum</v>
      </c>
      <c r="P1674">
        <f>_xlfn.XLOOKUP(Sales_fact[[#This Row],[Customer_ID]],'Customer_Dim'!A:A, 'Customer_Dim'!E:E, "Not Found")</f>
        <v>42</v>
      </c>
      <c r="Q1674" t="str">
        <f>VLOOKUP(Sales_fact[[#This Row],[Customer_ID]], 'Customer_Dim'!A:F, 6, FALSE)</f>
        <v>Female</v>
      </c>
      <c r="R1674" s="13" t="str">
        <f>_xlfn.XLOOKUP(Sales_fact[[#This Row],[Product_ID]],Product_Dim!A:A,Product_Dim!C:C,"OTHERS")</f>
        <v>OTHERS</v>
      </c>
    </row>
    <row r="1675" spans="1:18" x14ac:dyDescent="0.3">
      <c r="A1675" t="s">
        <v>3499</v>
      </c>
      <c r="B1675" s="2">
        <v>45637</v>
      </c>
      <c r="C1675" t="s">
        <v>1107</v>
      </c>
      <c r="D1675" t="s">
        <v>1682</v>
      </c>
      <c r="E1675" t="str">
        <f ca="1">TRIM(Sales_fact[[#This Row],[Store_ID]])</f>
        <v>STORE17</v>
      </c>
      <c r="F1675">
        <v>1</v>
      </c>
      <c r="G1675">
        <f>IF(ISBLANK(F1675),MODE($F$2:$F$2001),F1675)</f>
        <v>1</v>
      </c>
      <c r="H1675">
        <v>762.55</v>
      </c>
      <c r="I1675">
        <f>IF(ISBLANK(H1675),AVERAGE($H$2:$H$2001),H1675)</f>
        <v>762.55</v>
      </c>
      <c r="J1675">
        <v>0.19</v>
      </c>
      <c r="K1675">
        <f>IF(ISBLANK(J1675),MODE($J$2:$J$2001),J1675)</f>
        <v>0.19</v>
      </c>
      <c r="L1675" t="s">
        <v>1824</v>
      </c>
      <c r="M1675">
        <v>617.66549999999995</v>
      </c>
      <c r="N1675">
        <f t="shared" si="26"/>
        <v>617.66549999999995</v>
      </c>
      <c r="O1675" t="str">
        <f>_xlfn.XLOOKUP(Sales_fact[[#This Row],[Customer_ID]],'Customer_Dim'!A:A,'Customer_Dim'!K:K,"Not Found")</f>
        <v>Platinum</v>
      </c>
      <c r="P1675">
        <f>_xlfn.XLOOKUP(Sales_fact[[#This Row],[Customer_ID]],'Customer_Dim'!A:A, 'Customer_Dim'!E:E, "Not Found")</f>
        <v>56</v>
      </c>
      <c r="Q1675" t="str">
        <f>VLOOKUP(Sales_fact[[#This Row],[Customer_ID]], 'Customer_Dim'!A:F, 6, FALSE)</f>
        <v>Female</v>
      </c>
      <c r="R1675" s="13" t="str">
        <f>_xlfn.XLOOKUP(Sales_fact[[#This Row],[Product_ID]],Product_Dim!A:A,Product_Dim!C:C,"OTHERS")</f>
        <v>Electronics</v>
      </c>
    </row>
    <row r="1676" spans="1:18" x14ac:dyDescent="0.3">
      <c r="A1676" t="s">
        <v>3500</v>
      </c>
      <c r="B1676" s="2">
        <v>45839</v>
      </c>
      <c r="C1676" t="s">
        <v>1077</v>
      </c>
      <c r="D1676" t="s">
        <v>1696</v>
      </c>
      <c r="E1676" t="str">
        <f ca="1">TRIM(Sales_fact[[#This Row],[Store_ID]])</f>
        <v>STORE18</v>
      </c>
      <c r="F1676">
        <v>2</v>
      </c>
      <c r="G1676">
        <f>IF(ISBLANK(F1676),MODE($F$2:$F$2001),F1676)</f>
        <v>2</v>
      </c>
      <c r="H1676">
        <v>464.43</v>
      </c>
      <c r="I1676">
        <f>IF(ISBLANK(H1676),AVERAGE($H$2:$H$2001),H1676)</f>
        <v>464.43</v>
      </c>
      <c r="J1676">
        <v>0.24</v>
      </c>
      <c r="K1676">
        <f>IF(ISBLANK(J1676),MODE($J$2:$J$2001),J1676)</f>
        <v>0.24</v>
      </c>
      <c r="L1676" t="s">
        <v>1829</v>
      </c>
      <c r="M1676">
        <v>705.93360000000007</v>
      </c>
      <c r="N1676">
        <f t="shared" si="26"/>
        <v>705.93360000000007</v>
      </c>
      <c r="O1676" t="str">
        <f>_xlfn.XLOOKUP(Sales_fact[[#This Row],[Customer_ID]],'Customer_Dim'!A:A,'Customer_Dim'!K:K,"Not Found")</f>
        <v>Bronze</v>
      </c>
      <c r="P1676">
        <f>_xlfn.XLOOKUP(Sales_fact[[#This Row],[Customer_ID]],'Customer_Dim'!A:A, 'Customer_Dim'!E:E, "Not Found")</f>
        <v>38</v>
      </c>
      <c r="Q1676" t="str">
        <f>VLOOKUP(Sales_fact[[#This Row],[Customer_ID]], 'Customer_Dim'!A:F, 6, FALSE)</f>
        <v>Male</v>
      </c>
      <c r="R1676" s="13" t="str">
        <f>_xlfn.XLOOKUP(Sales_fact[[#This Row],[Product_ID]],Product_Dim!A:A,Product_Dim!C:C,"OTHERS")</f>
        <v>Electronics</v>
      </c>
    </row>
    <row r="1677" spans="1:18" x14ac:dyDescent="0.3">
      <c r="A1677" t="s">
        <v>3501</v>
      </c>
      <c r="B1677" s="2">
        <v>45851</v>
      </c>
      <c r="C1677" t="s">
        <v>75</v>
      </c>
      <c r="D1677" t="s">
        <v>1676</v>
      </c>
      <c r="E1677" t="str">
        <f ca="1">TRIM(Sales_fact[[#This Row],[Store_ID]])</f>
        <v>STORE18</v>
      </c>
      <c r="F1677">
        <v>1</v>
      </c>
      <c r="G1677">
        <f>IF(ISBLANK(F1677),MODE($F$2:$F$2001),F1677)</f>
        <v>1</v>
      </c>
      <c r="H1677">
        <v>711.08</v>
      </c>
      <c r="I1677">
        <f>IF(ISBLANK(H1677),AVERAGE($H$2:$H$2001),H1677)</f>
        <v>711.08</v>
      </c>
      <c r="J1677">
        <v>0.24</v>
      </c>
      <c r="K1677">
        <f>IF(ISBLANK(J1677),MODE($J$2:$J$2001),J1677)</f>
        <v>0.24</v>
      </c>
      <c r="L1677" t="s">
        <v>1826</v>
      </c>
      <c r="M1677">
        <v>540.42079999999999</v>
      </c>
      <c r="N1677">
        <f t="shared" si="26"/>
        <v>540.42079999999999</v>
      </c>
      <c r="O1677" t="str">
        <f>_xlfn.XLOOKUP(Sales_fact[[#This Row],[Customer_ID]],'Customer_Dim'!A:A,'Customer_Dim'!K:K,"Not Found")</f>
        <v>Bronze</v>
      </c>
      <c r="P1677">
        <f>_xlfn.XLOOKUP(Sales_fact[[#This Row],[Customer_ID]],'Customer_Dim'!A:A, 'Customer_Dim'!E:E, "Not Found")</f>
        <v>24</v>
      </c>
      <c r="Q1677" t="str">
        <f>VLOOKUP(Sales_fact[[#This Row],[Customer_ID]], 'Customer_Dim'!A:F, 6, FALSE)</f>
        <v>Female</v>
      </c>
      <c r="R1677" s="13" t="str">
        <f>_xlfn.XLOOKUP(Sales_fact[[#This Row],[Product_ID]],Product_Dim!A:A,Product_Dim!C:C,"OTHERS")</f>
        <v>Beauty</v>
      </c>
    </row>
    <row r="1678" spans="1:18" x14ac:dyDescent="0.3">
      <c r="A1678" t="s">
        <v>3502</v>
      </c>
      <c r="B1678" s="2">
        <v>45656</v>
      </c>
      <c r="C1678" t="s">
        <v>803</v>
      </c>
      <c r="D1678" t="s">
        <v>1638</v>
      </c>
      <c r="E1678" t="str">
        <f ca="1">TRIM(Sales_fact[[#This Row],[Store_ID]])</f>
        <v>STORE14</v>
      </c>
      <c r="F1678">
        <v>2</v>
      </c>
      <c r="G1678">
        <f>IF(ISBLANK(F1678),MODE($F$2:$F$2001),F1678)</f>
        <v>2</v>
      </c>
      <c r="H1678">
        <v>984.96</v>
      </c>
      <c r="I1678">
        <f>IF(ISBLANK(H1678),AVERAGE($H$2:$H$2001),H1678)</f>
        <v>984.96</v>
      </c>
      <c r="J1678">
        <v>0.16</v>
      </c>
      <c r="K1678">
        <f>IF(ISBLANK(J1678),MODE($J$2:$J$2001),J1678)</f>
        <v>0.16</v>
      </c>
      <c r="L1678" t="s">
        <v>1826</v>
      </c>
      <c r="M1678">
        <v>1654.7328</v>
      </c>
      <c r="N1678">
        <f t="shared" si="26"/>
        <v>1654.7328</v>
      </c>
      <c r="O1678" t="str">
        <f>_xlfn.XLOOKUP(Sales_fact[[#This Row],[Customer_ID]],'Customer_Dim'!A:A,'Customer_Dim'!K:K,"Not Found")</f>
        <v>Silver</v>
      </c>
      <c r="P1678">
        <f>_xlfn.XLOOKUP(Sales_fact[[#This Row],[Customer_ID]],'Customer_Dim'!A:A, 'Customer_Dim'!E:E, "Not Found")</f>
        <v>64</v>
      </c>
      <c r="Q1678" t="str">
        <f>VLOOKUP(Sales_fact[[#This Row],[Customer_ID]], 'Customer_Dim'!A:F, 6, FALSE)</f>
        <v>Male</v>
      </c>
      <c r="R1678" s="13" t="str">
        <f>_xlfn.XLOOKUP(Sales_fact[[#This Row],[Product_ID]],Product_Dim!A:A,Product_Dim!C:C,"OTHERS")</f>
        <v>Sports</v>
      </c>
    </row>
    <row r="1679" spans="1:18" x14ac:dyDescent="0.3">
      <c r="A1679" t="s">
        <v>3503</v>
      </c>
      <c r="B1679" s="2">
        <v>45759</v>
      </c>
      <c r="C1679" t="s">
        <v>1077</v>
      </c>
      <c r="D1679" t="s">
        <v>1624</v>
      </c>
      <c r="E1679" t="str">
        <f ca="1">TRIM(Sales_fact[[#This Row],[Store_ID]])</f>
        <v>STORE12</v>
      </c>
      <c r="F1679">
        <v>1</v>
      </c>
      <c r="G1679">
        <f>IF(ISBLANK(F1679),MODE($F$2:$F$2001),F1679)</f>
        <v>1</v>
      </c>
      <c r="H1679">
        <v>21.14</v>
      </c>
      <c r="I1679">
        <f>IF(ISBLANK(H1679),AVERAGE($H$2:$H$2001),H1679)</f>
        <v>21.14</v>
      </c>
      <c r="J1679">
        <v>0.06</v>
      </c>
      <c r="K1679">
        <f>IF(ISBLANK(J1679),MODE($J$2:$J$2001),J1679)</f>
        <v>0.06</v>
      </c>
      <c r="L1679" t="s">
        <v>1829</v>
      </c>
      <c r="M1679">
        <v>19.871600000000001</v>
      </c>
      <c r="N1679">
        <f t="shared" si="26"/>
        <v>19.871600000000001</v>
      </c>
      <c r="O1679" t="str">
        <f>_xlfn.XLOOKUP(Sales_fact[[#This Row],[Customer_ID]],'Customer_Dim'!A:A,'Customer_Dim'!K:K,"Not Found")</f>
        <v>Bronze</v>
      </c>
      <c r="P1679">
        <f>_xlfn.XLOOKUP(Sales_fact[[#This Row],[Customer_ID]],'Customer_Dim'!A:A, 'Customer_Dim'!E:E, "Not Found")</f>
        <v>38</v>
      </c>
      <c r="Q1679" t="str">
        <f>VLOOKUP(Sales_fact[[#This Row],[Customer_ID]], 'Customer_Dim'!A:F, 6, FALSE)</f>
        <v>Male</v>
      </c>
      <c r="R1679" s="13" t="str">
        <f>_xlfn.XLOOKUP(Sales_fact[[#This Row],[Product_ID]],Product_Dim!A:A,Product_Dim!C:C,"OTHERS")</f>
        <v>Sports</v>
      </c>
    </row>
    <row r="1680" spans="1:18" x14ac:dyDescent="0.3">
      <c r="A1680" t="s">
        <v>3504</v>
      </c>
      <c r="B1680" s="2">
        <v>45679</v>
      </c>
      <c r="C1680" t="s">
        <v>375</v>
      </c>
      <c r="D1680" t="s">
        <v>1744</v>
      </c>
      <c r="E1680" t="str">
        <f ca="1">TRIM(Sales_fact[[#This Row],[Store_ID]])</f>
        <v>STORE8</v>
      </c>
      <c r="F1680">
        <v>1</v>
      </c>
      <c r="G1680">
        <f>IF(ISBLANK(F1680),MODE($F$2:$F$2001),F1680)</f>
        <v>1</v>
      </c>
      <c r="H1680">
        <v>343.03</v>
      </c>
      <c r="I1680">
        <f>IF(ISBLANK(H1680),AVERAGE($H$2:$H$2001),H1680)</f>
        <v>343.03</v>
      </c>
      <c r="J1680">
        <v>0.16</v>
      </c>
      <c r="K1680">
        <f>IF(ISBLANK(J1680),MODE($J$2:$J$2001),J1680)</f>
        <v>0.16</v>
      </c>
      <c r="L1680" t="s">
        <v>1824</v>
      </c>
      <c r="M1680">
        <v>288.14519999999999</v>
      </c>
      <c r="N1680">
        <f t="shared" si="26"/>
        <v>288.14519999999999</v>
      </c>
      <c r="O1680" t="str">
        <f>_xlfn.XLOOKUP(Sales_fact[[#This Row],[Customer_ID]],'Customer_Dim'!A:A,'Customer_Dim'!K:K,"Not Found")</f>
        <v>Bronze</v>
      </c>
      <c r="P1680">
        <f>_xlfn.XLOOKUP(Sales_fact[[#This Row],[Customer_ID]],'Customer_Dim'!A:A, 'Customer_Dim'!E:E, "Not Found")</f>
        <v>53</v>
      </c>
      <c r="Q1680" t="str">
        <f>VLOOKUP(Sales_fact[[#This Row],[Customer_ID]], 'Customer_Dim'!A:F, 6, FALSE)</f>
        <v>Female</v>
      </c>
      <c r="R1680" s="13" t="str">
        <f>_xlfn.XLOOKUP(Sales_fact[[#This Row],[Product_ID]],Product_Dim!A:A,Product_Dim!C:C,"OTHERS")</f>
        <v>Electronics</v>
      </c>
    </row>
    <row r="1681" spans="1:18" x14ac:dyDescent="0.3">
      <c r="A1681" t="s">
        <v>3505</v>
      </c>
      <c r="B1681" s="2">
        <v>45237</v>
      </c>
      <c r="C1681" t="s">
        <v>791</v>
      </c>
      <c r="D1681" t="s">
        <v>1588</v>
      </c>
      <c r="E1681" t="str">
        <f ca="1">TRIM(Sales_fact[[#This Row],[Store_ID]])</f>
        <v>STORE18</v>
      </c>
      <c r="F1681">
        <v>3</v>
      </c>
      <c r="G1681">
        <f>IF(ISBLANK(F1681),MODE($F$2:$F$2001),F1681)</f>
        <v>3</v>
      </c>
      <c r="H1681">
        <v>94.83</v>
      </c>
      <c r="I1681">
        <f>IF(ISBLANK(H1681),AVERAGE($H$2:$H$2001),H1681)</f>
        <v>94.83</v>
      </c>
      <c r="J1681">
        <v>0.16</v>
      </c>
      <c r="K1681">
        <f>IF(ISBLANK(J1681),MODE($J$2:$J$2001),J1681)</f>
        <v>0.16</v>
      </c>
      <c r="L1681" t="s">
        <v>1829</v>
      </c>
      <c r="M1681">
        <v>238.9716</v>
      </c>
      <c r="N1681">
        <f t="shared" si="26"/>
        <v>238.9716</v>
      </c>
      <c r="O1681" t="str">
        <f>_xlfn.XLOOKUP(Sales_fact[[#This Row],[Customer_ID]],'Customer_Dim'!A:A,'Customer_Dim'!K:K,"Not Found")</f>
        <v>Platinum</v>
      </c>
      <c r="P1681">
        <f>_xlfn.XLOOKUP(Sales_fact[[#This Row],[Customer_ID]],'Customer_Dim'!A:A, 'Customer_Dim'!E:E, "Not Found")</f>
        <v>32</v>
      </c>
      <c r="Q1681" t="str">
        <f>VLOOKUP(Sales_fact[[#This Row],[Customer_ID]], 'Customer_Dim'!A:F, 6, FALSE)</f>
        <v>Male</v>
      </c>
      <c r="R1681" s="13" t="str">
        <f>_xlfn.XLOOKUP(Sales_fact[[#This Row],[Product_ID]],Product_Dim!A:A,Product_Dim!C:C,"OTHERS")</f>
        <v>Sports</v>
      </c>
    </row>
    <row r="1682" spans="1:18" x14ac:dyDescent="0.3">
      <c r="A1682" t="s">
        <v>3506</v>
      </c>
      <c r="B1682" s="2">
        <v>45790</v>
      </c>
      <c r="C1682" t="s">
        <v>82</v>
      </c>
      <c r="D1682" t="s">
        <v>1686</v>
      </c>
      <c r="E1682" t="str">
        <f ca="1">TRIM(Sales_fact[[#This Row],[Store_ID]])</f>
        <v>STORE19</v>
      </c>
      <c r="F1682">
        <v>3</v>
      </c>
      <c r="G1682">
        <f>IF(ISBLANK(F1682),MODE($F$2:$F$2001),F1682)</f>
        <v>3</v>
      </c>
      <c r="H1682">
        <v>74.66</v>
      </c>
      <c r="I1682">
        <f>IF(ISBLANK(H1682),AVERAGE($H$2:$H$2001),H1682)</f>
        <v>74.66</v>
      </c>
      <c r="J1682">
        <v>0.03</v>
      </c>
      <c r="K1682">
        <f>IF(ISBLANK(J1682),MODE($J$2:$J$2001),J1682)</f>
        <v>0.03</v>
      </c>
      <c r="L1682" t="s">
        <v>1826</v>
      </c>
      <c r="M1682">
        <v>217.26060000000001</v>
      </c>
      <c r="N1682">
        <f t="shared" si="26"/>
        <v>217.26059999999998</v>
      </c>
      <c r="O1682" t="str">
        <f>_xlfn.XLOOKUP(Sales_fact[[#This Row],[Customer_ID]],'Customer_Dim'!A:A,'Customer_Dim'!K:K,"Not Found")</f>
        <v>UNKNOWN</v>
      </c>
      <c r="P1682">
        <f>_xlfn.XLOOKUP(Sales_fact[[#This Row],[Customer_ID]],'Customer_Dim'!A:A, 'Customer_Dim'!E:E, "Not Found")</f>
        <v>43</v>
      </c>
      <c r="Q1682" t="str">
        <f>VLOOKUP(Sales_fact[[#This Row],[Customer_ID]], 'Customer_Dim'!A:F, 6, FALSE)</f>
        <v>Male</v>
      </c>
      <c r="R1682" s="13" t="str">
        <f>_xlfn.XLOOKUP(Sales_fact[[#This Row],[Product_ID]],Product_Dim!A:A,Product_Dim!C:C,"OTHERS")</f>
        <v>Clothing</v>
      </c>
    </row>
    <row r="1683" spans="1:18" x14ac:dyDescent="0.3">
      <c r="A1683" t="s">
        <v>3507</v>
      </c>
      <c r="B1683" s="2">
        <v>45268</v>
      </c>
      <c r="C1683" t="s">
        <v>464</v>
      </c>
      <c r="D1683" t="s">
        <v>1622</v>
      </c>
      <c r="E1683" t="str">
        <f ca="1">TRIM(Sales_fact[[#This Row],[Store_ID]])</f>
        <v>STORE15</v>
      </c>
      <c r="F1683">
        <v>3</v>
      </c>
      <c r="G1683">
        <f>IF(ISBLANK(F1683),MODE($F$2:$F$2001),F1683)</f>
        <v>3</v>
      </c>
      <c r="H1683">
        <v>281.95999999999998</v>
      </c>
      <c r="I1683">
        <f>IF(ISBLANK(H1683),AVERAGE($H$2:$H$2001),H1683)</f>
        <v>281.95999999999998</v>
      </c>
      <c r="J1683">
        <v>0.01</v>
      </c>
      <c r="K1683">
        <f>IF(ISBLANK(J1683),MODE($J$2:$J$2001),J1683)</f>
        <v>0.01</v>
      </c>
      <c r="L1683" t="s">
        <v>1829</v>
      </c>
      <c r="M1683">
        <v>837.42119999999989</v>
      </c>
      <c r="N1683">
        <f t="shared" si="26"/>
        <v>837.42119999999989</v>
      </c>
      <c r="O1683" t="str">
        <f>_xlfn.XLOOKUP(Sales_fact[[#This Row],[Customer_ID]],'Customer_Dim'!A:A,'Customer_Dim'!K:K,"Not Found")</f>
        <v>Silver</v>
      </c>
      <c r="P1683">
        <f>_xlfn.XLOOKUP(Sales_fact[[#This Row],[Customer_ID]],'Customer_Dim'!A:A, 'Customer_Dim'!E:E, "Not Found")</f>
        <v>29</v>
      </c>
      <c r="Q1683" t="str">
        <f>VLOOKUP(Sales_fact[[#This Row],[Customer_ID]], 'Customer_Dim'!A:F, 6, FALSE)</f>
        <v>Male</v>
      </c>
      <c r="R1683" s="13" t="str">
        <f>_xlfn.XLOOKUP(Sales_fact[[#This Row],[Product_ID]],Product_Dim!A:A,Product_Dim!C:C,"OTHERS")</f>
        <v>Clothing</v>
      </c>
    </row>
    <row r="1684" spans="1:18" x14ac:dyDescent="0.3">
      <c r="A1684" t="s">
        <v>3508</v>
      </c>
      <c r="B1684" s="2">
        <v>45664</v>
      </c>
      <c r="C1684" t="s">
        <v>758</v>
      </c>
      <c r="D1684" t="s">
        <v>1690</v>
      </c>
      <c r="E1684" t="str">
        <f ca="1">TRIM(Sales_fact[[#This Row],[Store_ID]])</f>
        <v>STORE18</v>
      </c>
      <c r="F1684">
        <v>4</v>
      </c>
      <c r="G1684">
        <f>IF(ISBLANK(F1684),MODE($F$2:$F$2001),F1684)</f>
        <v>4</v>
      </c>
      <c r="H1684">
        <v>622.27</v>
      </c>
      <c r="I1684">
        <f>IF(ISBLANK(H1684),AVERAGE($H$2:$H$2001),H1684)</f>
        <v>622.27</v>
      </c>
      <c r="J1684">
        <v>0.02</v>
      </c>
      <c r="K1684">
        <f>IF(ISBLANK(J1684),MODE($J$2:$J$2001),J1684)</f>
        <v>0.02</v>
      </c>
      <c r="L1684" t="s">
        <v>1826</v>
      </c>
      <c r="M1684">
        <v>2439.2984000000001</v>
      </c>
      <c r="N1684">
        <f t="shared" si="26"/>
        <v>2439.2983999999997</v>
      </c>
      <c r="O1684" t="str">
        <f>_xlfn.XLOOKUP(Sales_fact[[#This Row],[Customer_ID]],'Customer_Dim'!A:A,'Customer_Dim'!K:K,"Not Found")</f>
        <v>Bronze</v>
      </c>
      <c r="P1684">
        <f>_xlfn.XLOOKUP(Sales_fact[[#This Row],[Customer_ID]],'Customer_Dim'!A:A, 'Customer_Dim'!E:E, "Not Found")</f>
        <v>42</v>
      </c>
      <c r="Q1684" t="str">
        <f>VLOOKUP(Sales_fact[[#This Row],[Customer_ID]], 'Customer_Dim'!A:F, 6, FALSE)</f>
        <v>Female</v>
      </c>
      <c r="R1684" s="13" t="str">
        <f>_xlfn.XLOOKUP(Sales_fact[[#This Row],[Product_ID]],Product_Dim!A:A,Product_Dim!C:C,"OTHERS")</f>
        <v>Beauty</v>
      </c>
    </row>
    <row r="1685" spans="1:18" x14ac:dyDescent="0.3">
      <c r="A1685" t="s">
        <v>3509</v>
      </c>
      <c r="B1685" s="2">
        <v>45475</v>
      </c>
      <c r="C1685" t="s">
        <v>363</v>
      </c>
      <c r="D1685" t="s">
        <v>1622</v>
      </c>
      <c r="E1685" t="str">
        <f ca="1">TRIM(Sales_fact[[#This Row],[Store_ID]])</f>
        <v>STORE7</v>
      </c>
      <c r="F1685">
        <v>2</v>
      </c>
      <c r="G1685">
        <f>IF(ISBLANK(F1685),MODE($F$2:$F$2001),F1685)</f>
        <v>2</v>
      </c>
      <c r="H1685">
        <v>78.27</v>
      </c>
      <c r="I1685">
        <f>IF(ISBLANK(H1685),AVERAGE($H$2:$H$2001),H1685)</f>
        <v>78.27</v>
      </c>
      <c r="J1685">
        <v>0.28999999999999998</v>
      </c>
      <c r="K1685">
        <f>IF(ISBLANK(J1685),MODE($J$2:$J$2001),J1685)</f>
        <v>0.28999999999999998</v>
      </c>
      <c r="L1685" t="s">
        <v>1829</v>
      </c>
      <c r="M1685">
        <v>111.1434</v>
      </c>
      <c r="N1685">
        <f t="shared" si="26"/>
        <v>111.14339999999999</v>
      </c>
      <c r="O1685" t="str">
        <f>_xlfn.XLOOKUP(Sales_fact[[#This Row],[Customer_ID]],'Customer_Dim'!A:A,'Customer_Dim'!K:K,"Not Found")</f>
        <v>Bronze</v>
      </c>
      <c r="P1685">
        <f>_xlfn.XLOOKUP(Sales_fact[[#This Row],[Customer_ID]],'Customer_Dim'!A:A, 'Customer_Dim'!E:E, "Not Found")</f>
        <v>34</v>
      </c>
      <c r="Q1685" t="str">
        <f>VLOOKUP(Sales_fact[[#This Row],[Customer_ID]], 'Customer_Dim'!A:F, 6, FALSE)</f>
        <v>Female</v>
      </c>
      <c r="R1685" s="13" t="str">
        <f>_xlfn.XLOOKUP(Sales_fact[[#This Row],[Product_ID]],Product_Dim!A:A,Product_Dim!C:C,"OTHERS")</f>
        <v>Clothing</v>
      </c>
    </row>
    <row r="1686" spans="1:18" x14ac:dyDescent="0.3">
      <c r="A1686" t="s">
        <v>3510</v>
      </c>
      <c r="B1686" s="2">
        <v>45845</v>
      </c>
      <c r="C1686" t="s">
        <v>59</v>
      </c>
      <c r="D1686" t="s">
        <v>1672</v>
      </c>
      <c r="E1686" t="str">
        <f ca="1">TRIM(Sales_fact[[#This Row],[Store_ID]])</f>
        <v>STORE13</v>
      </c>
      <c r="F1686">
        <v>4</v>
      </c>
      <c r="G1686">
        <f>IF(ISBLANK(F1686),MODE($F$2:$F$2001),F1686)</f>
        <v>4</v>
      </c>
      <c r="H1686">
        <v>676.58</v>
      </c>
      <c r="I1686">
        <f>IF(ISBLANK(H1686),AVERAGE($H$2:$H$2001),H1686)</f>
        <v>676.58</v>
      </c>
      <c r="J1686">
        <v>0.23</v>
      </c>
      <c r="K1686">
        <f>IF(ISBLANK(J1686),MODE($J$2:$J$2001),J1686)</f>
        <v>0.23</v>
      </c>
      <c r="L1686" t="s">
        <v>1829</v>
      </c>
      <c r="M1686">
        <v>2083.8663999999999</v>
      </c>
      <c r="N1686">
        <f t="shared" si="26"/>
        <v>2083.8664000000003</v>
      </c>
      <c r="O1686" t="str">
        <f>_xlfn.XLOOKUP(Sales_fact[[#This Row],[Customer_ID]],'Customer_Dim'!A:A,'Customer_Dim'!K:K,"Not Found")</f>
        <v>Platinum</v>
      </c>
      <c r="P1686">
        <f>_xlfn.XLOOKUP(Sales_fact[[#This Row],[Customer_ID]],'Customer_Dim'!A:A, 'Customer_Dim'!E:E, "Not Found")</f>
        <v>55</v>
      </c>
      <c r="Q1686" t="str">
        <f>VLOOKUP(Sales_fact[[#This Row],[Customer_ID]], 'Customer_Dim'!A:F, 6, FALSE)</f>
        <v>Female</v>
      </c>
      <c r="R1686" s="13" t="str">
        <f>_xlfn.XLOOKUP(Sales_fact[[#This Row],[Product_ID]],Product_Dim!A:A,Product_Dim!C:C,"OTHERS")</f>
        <v>Electronics</v>
      </c>
    </row>
    <row r="1687" spans="1:18" x14ac:dyDescent="0.3">
      <c r="A1687" t="s">
        <v>3511</v>
      </c>
      <c r="B1687" s="2">
        <v>45446</v>
      </c>
      <c r="C1687" t="s">
        <v>1495</v>
      </c>
      <c r="D1687" t="s">
        <v>1610</v>
      </c>
      <c r="E1687" t="str">
        <f ca="1">TRIM(Sales_fact[[#This Row],[Store_ID]])</f>
        <v>STORE1</v>
      </c>
      <c r="F1687">
        <v>2</v>
      </c>
      <c r="G1687">
        <f>IF(ISBLANK(F1687),MODE($F$2:$F$2001),F1687)</f>
        <v>2</v>
      </c>
      <c r="H1687">
        <v>938.6</v>
      </c>
      <c r="I1687">
        <f>IF(ISBLANK(H1687),AVERAGE($H$2:$H$2001),H1687)</f>
        <v>938.6</v>
      </c>
      <c r="J1687">
        <v>0.04</v>
      </c>
      <c r="K1687">
        <f>IF(ISBLANK(J1687),MODE($J$2:$J$2001),J1687)</f>
        <v>0.04</v>
      </c>
      <c r="L1687" t="s">
        <v>1826</v>
      </c>
      <c r="M1687">
        <v>1802.1120000000001</v>
      </c>
      <c r="N1687">
        <f t="shared" si="26"/>
        <v>1802.1120000000001</v>
      </c>
      <c r="O1687" t="str">
        <f>_xlfn.XLOOKUP(Sales_fact[[#This Row],[Customer_ID]],'Customer_Dim'!A:A,'Customer_Dim'!K:K,"Not Found")</f>
        <v>Not Found</v>
      </c>
      <c r="P1687" t="str">
        <f>_xlfn.XLOOKUP(Sales_fact[[#This Row],[Customer_ID]],'Customer_Dim'!A:A, 'Customer_Dim'!E:E, "Not Found")</f>
        <v>Not Found</v>
      </c>
      <c r="Q1687" t="e">
        <f>VLOOKUP(Sales_fact[[#This Row],[Customer_ID]], 'Customer_Dim'!A:F, 6, FALSE)</f>
        <v>#N/A</v>
      </c>
      <c r="R1687" s="13" t="str">
        <f>_xlfn.XLOOKUP(Sales_fact[[#This Row],[Product_ID]],Product_Dim!A:A,Product_Dim!C:C,"OTHERS")</f>
        <v>Sports</v>
      </c>
    </row>
    <row r="1688" spans="1:18" x14ac:dyDescent="0.3">
      <c r="A1688" t="s">
        <v>3512</v>
      </c>
      <c r="B1688" s="2">
        <v>45761</v>
      </c>
      <c r="C1688" t="s">
        <v>1112</v>
      </c>
      <c r="D1688" t="s">
        <v>1574</v>
      </c>
      <c r="E1688" t="str">
        <f ca="1">TRIM(Sales_fact[[#This Row],[Store_ID]])</f>
        <v>STORE14</v>
      </c>
      <c r="F1688">
        <v>2</v>
      </c>
      <c r="G1688">
        <f>IF(ISBLANK(F1688),MODE($F$2:$F$2001),F1688)</f>
        <v>2</v>
      </c>
      <c r="H1688">
        <v>859.47</v>
      </c>
      <c r="I1688">
        <f>IF(ISBLANK(H1688),AVERAGE($H$2:$H$2001),H1688)</f>
        <v>859.47</v>
      </c>
      <c r="J1688">
        <v>0.01</v>
      </c>
      <c r="K1688">
        <f>IF(ISBLANK(J1688),MODE($J$2:$J$2001),J1688)</f>
        <v>0.01</v>
      </c>
      <c r="L1688" t="s">
        <v>1824</v>
      </c>
      <c r="M1688">
        <v>1701.7506000000001</v>
      </c>
      <c r="N1688">
        <f t="shared" si="26"/>
        <v>1701.7506000000001</v>
      </c>
      <c r="O1688" t="str">
        <f>_xlfn.XLOOKUP(Sales_fact[[#This Row],[Customer_ID]],'Customer_Dim'!A:A,'Customer_Dim'!K:K,"Not Found")</f>
        <v>Gold</v>
      </c>
      <c r="P1688">
        <f>_xlfn.XLOOKUP(Sales_fact[[#This Row],[Customer_ID]],'Customer_Dim'!A:A, 'Customer_Dim'!E:E, "Not Found")</f>
        <v>20</v>
      </c>
      <c r="Q1688" t="str">
        <f>VLOOKUP(Sales_fact[[#This Row],[Customer_ID]], 'Customer_Dim'!A:F, 6, FALSE)</f>
        <v>Male</v>
      </c>
      <c r="R1688" s="13" t="str">
        <f>_xlfn.XLOOKUP(Sales_fact[[#This Row],[Product_ID]],Product_Dim!A:A,Product_Dim!C:C,"OTHERS")</f>
        <v>Electronics</v>
      </c>
    </row>
    <row r="1689" spans="1:18" x14ac:dyDescent="0.3">
      <c r="A1689" t="s">
        <v>3513</v>
      </c>
      <c r="B1689" s="2">
        <v>45363</v>
      </c>
      <c r="C1689" t="s">
        <v>214</v>
      </c>
      <c r="D1689" t="s">
        <v>1602</v>
      </c>
      <c r="E1689" t="str">
        <f ca="1">TRIM(Sales_fact[[#This Row],[Store_ID]])</f>
        <v>STORE14</v>
      </c>
      <c r="F1689">
        <v>3</v>
      </c>
      <c r="G1689">
        <f>IF(ISBLANK(F1689),MODE($F$2:$F$2001),F1689)</f>
        <v>3</v>
      </c>
      <c r="H1689">
        <v>672.98</v>
      </c>
      <c r="I1689">
        <f>IF(ISBLANK(H1689),AVERAGE($H$2:$H$2001),H1689)</f>
        <v>672.98</v>
      </c>
      <c r="J1689">
        <v>0.23</v>
      </c>
      <c r="K1689">
        <f>IF(ISBLANK(J1689),MODE($J$2:$J$2001),J1689)</f>
        <v>0.23</v>
      </c>
      <c r="L1689" t="s">
        <v>1826</v>
      </c>
      <c r="M1689">
        <v>1554.5838000000001</v>
      </c>
      <c r="N1689">
        <f t="shared" si="26"/>
        <v>1554.5838000000001</v>
      </c>
      <c r="O1689" t="str">
        <f>_xlfn.XLOOKUP(Sales_fact[[#This Row],[Customer_ID]],'Customer_Dim'!A:A,'Customer_Dim'!K:K,"Not Found")</f>
        <v>Platinum</v>
      </c>
      <c r="P1689">
        <f>_xlfn.XLOOKUP(Sales_fact[[#This Row],[Customer_ID]],'Customer_Dim'!A:A, 'Customer_Dim'!E:E, "Not Found")</f>
        <v>43</v>
      </c>
      <c r="Q1689" t="str">
        <f>VLOOKUP(Sales_fact[[#This Row],[Customer_ID]], 'Customer_Dim'!A:F, 6, FALSE)</f>
        <v>Female</v>
      </c>
      <c r="R1689" s="13" t="str">
        <f>_xlfn.XLOOKUP(Sales_fact[[#This Row],[Product_ID]],Product_Dim!A:A,Product_Dim!C:C,"OTHERS")</f>
        <v>Home</v>
      </c>
    </row>
    <row r="1690" spans="1:18" x14ac:dyDescent="0.3">
      <c r="A1690" t="s">
        <v>3514</v>
      </c>
      <c r="B1690" s="2">
        <v>45420</v>
      </c>
      <c r="C1690" t="s">
        <v>672</v>
      </c>
      <c r="D1690" t="s">
        <v>1660</v>
      </c>
      <c r="E1690" t="str">
        <f ca="1">TRIM(Sales_fact[[#This Row],[Store_ID]])</f>
        <v>STORE18</v>
      </c>
      <c r="F1690">
        <v>1</v>
      </c>
      <c r="G1690">
        <f>IF(ISBLANK(F1690),MODE($F$2:$F$2001),F1690)</f>
        <v>1</v>
      </c>
      <c r="H1690">
        <v>75.8</v>
      </c>
      <c r="I1690">
        <f>IF(ISBLANK(H1690),AVERAGE($H$2:$H$2001),H1690)</f>
        <v>75.8</v>
      </c>
      <c r="J1690">
        <v>0.28999999999999998</v>
      </c>
      <c r="K1690">
        <f>IF(ISBLANK(J1690),MODE($J$2:$J$2001),J1690)</f>
        <v>0.28999999999999998</v>
      </c>
      <c r="L1690" t="s">
        <v>1826</v>
      </c>
      <c r="M1690">
        <v>53.817999999999998</v>
      </c>
      <c r="N1690">
        <f t="shared" si="26"/>
        <v>53.817999999999998</v>
      </c>
      <c r="O1690" t="str">
        <f>_xlfn.XLOOKUP(Sales_fact[[#This Row],[Customer_ID]],'Customer_Dim'!A:A,'Customer_Dim'!K:K,"Not Found")</f>
        <v>Silver</v>
      </c>
      <c r="P1690">
        <f>_xlfn.XLOOKUP(Sales_fact[[#This Row],[Customer_ID]],'Customer_Dim'!A:A, 'Customer_Dim'!E:E, "Not Found")</f>
        <v>26</v>
      </c>
      <c r="Q1690" t="str">
        <f>VLOOKUP(Sales_fact[[#This Row],[Customer_ID]], 'Customer_Dim'!A:F, 6, FALSE)</f>
        <v>Female</v>
      </c>
      <c r="R1690" s="13" t="str">
        <f>_xlfn.XLOOKUP(Sales_fact[[#This Row],[Product_ID]],Product_Dim!A:A,Product_Dim!C:C,"OTHERS")</f>
        <v>Home</v>
      </c>
    </row>
    <row r="1691" spans="1:18" x14ac:dyDescent="0.3">
      <c r="A1691" t="s">
        <v>3515</v>
      </c>
      <c r="B1691" s="2">
        <v>45536</v>
      </c>
      <c r="C1691" t="s">
        <v>137</v>
      </c>
      <c r="D1691" t="s">
        <v>1582</v>
      </c>
      <c r="E1691" t="str">
        <f ca="1">TRIM(Sales_fact[[#This Row],[Store_ID]])</f>
        <v>STORE15</v>
      </c>
      <c r="F1691">
        <v>4</v>
      </c>
      <c r="G1691">
        <f>IF(ISBLANK(F1691),MODE($F$2:$F$2001),F1691)</f>
        <v>4</v>
      </c>
      <c r="H1691">
        <v>742.15</v>
      </c>
      <c r="I1691">
        <f>IF(ISBLANK(H1691),AVERAGE($H$2:$H$2001),H1691)</f>
        <v>742.15</v>
      </c>
      <c r="J1691">
        <v>0.1</v>
      </c>
      <c r="K1691">
        <f>IF(ISBLANK(J1691),MODE($J$2:$J$2001),J1691)</f>
        <v>0.1</v>
      </c>
      <c r="L1691" t="s">
        <v>1829</v>
      </c>
      <c r="M1691">
        <v>2671.74</v>
      </c>
      <c r="N1691">
        <f t="shared" si="26"/>
        <v>2671.74</v>
      </c>
      <c r="O1691" t="str">
        <f>_xlfn.XLOOKUP(Sales_fact[[#This Row],[Customer_ID]],'Customer_Dim'!A:A,'Customer_Dim'!K:K,"Not Found")</f>
        <v>Platinum</v>
      </c>
      <c r="P1691">
        <f>_xlfn.XLOOKUP(Sales_fact[[#This Row],[Customer_ID]],'Customer_Dim'!A:A, 'Customer_Dim'!E:E, "Not Found")</f>
        <v>27</v>
      </c>
      <c r="Q1691" t="str">
        <f>VLOOKUP(Sales_fact[[#This Row],[Customer_ID]], 'Customer_Dim'!A:F, 6, FALSE)</f>
        <v>Female</v>
      </c>
      <c r="R1691" s="13" t="str">
        <f>_xlfn.XLOOKUP(Sales_fact[[#This Row],[Product_ID]],Product_Dim!A:A,Product_Dim!C:C,"OTHERS")</f>
        <v>Sports</v>
      </c>
    </row>
    <row r="1692" spans="1:18" x14ac:dyDescent="0.3">
      <c r="A1692" t="s">
        <v>3516</v>
      </c>
      <c r="B1692" s="2">
        <v>45445</v>
      </c>
      <c r="C1692" t="s">
        <v>264</v>
      </c>
      <c r="D1692" t="s">
        <v>1608</v>
      </c>
      <c r="E1692" t="str">
        <f ca="1">TRIM(Sales_fact[[#This Row],[Store_ID]])</f>
        <v>STORE7</v>
      </c>
      <c r="F1692">
        <v>1</v>
      </c>
      <c r="G1692">
        <f>IF(ISBLANK(F1692),MODE($F$2:$F$2001),F1692)</f>
        <v>1</v>
      </c>
      <c r="H1692">
        <v>637.39</v>
      </c>
      <c r="I1692">
        <f>IF(ISBLANK(H1692),AVERAGE($H$2:$H$2001),H1692)</f>
        <v>637.39</v>
      </c>
      <c r="J1692">
        <v>0.22</v>
      </c>
      <c r="K1692">
        <f>IF(ISBLANK(J1692),MODE($J$2:$J$2001),J1692)</f>
        <v>0.22</v>
      </c>
      <c r="L1692" t="s">
        <v>1826</v>
      </c>
      <c r="M1692">
        <v>497.16419999999999</v>
      </c>
      <c r="N1692">
        <f t="shared" si="26"/>
        <v>497.16419999999999</v>
      </c>
      <c r="O1692" t="str">
        <f>_xlfn.XLOOKUP(Sales_fact[[#This Row],[Customer_ID]],'Customer_Dim'!A:A,'Customer_Dim'!K:K,"Not Found")</f>
        <v>Gold</v>
      </c>
      <c r="P1692">
        <f>_xlfn.XLOOKUP(Sales_fact[[#This Row],[Customer_ID]],'Customer_Dim'!A:A, 'Customer_Dim'!E:E, "Not Found")</f>
        <v>39</v>
      </c>
      <c r="Q1692" t="str">
        <f>VLOOKUP(Sales_fact[[#This Row],[Customer_ID]], 'Customer_Dim'!A:F, 6, FALSE)</f>
        <v>Female</v>
      </c>
      <c r="R1692" s="13" t="str">
        <f>_xlfn.XLOOKUP(Sales_fact[[#This Row],[Product_ID]],Product_Dim!A:A,Product_Dim!C:C,"OTHERS")</f>
        <v>Home</v>
      </c>
    </row>
    <row r="1693" spans="1:18" x14ac:dyDescent="0.3">
      <c r="A1693" t="s">
        <v>3517</v>
      </c>
      <c r="B1693" s="2">
        <v>45230</v>
      </c>
      <c r="C1693" t="s">
        <v>1220</v>
      </c>
      <c r="D1693" t="s">
        <v>1557</v>
      </c>
      <c r="E1693" t="str">
        <f ca="1">TRIM(Sales_fact[[#This Row],[Store_ID]])</f>
        <v>STORE17</v>
      </c>
      <c r="F1693">
        <v>1</v>
      </c>
      <c r="G1693">
        <f>IF(ISBLANK(F1693),MODE($F$2:$F$2001),F1693)</f>
        <v>1</v>
      </c>
      <c r="H1693">
        <v>631</v>
      </c>
      <c r="I1693">
        <f>IF(ISBLANK(H1693),AVERAGE($H$2:$H$2001),H1693)</f>
        <v>631</v>
      </c>
      <c r="J1693">
        <v>0.04</v>
      </c>
      <c r="K1693">
        <f>IF(ISBLANK(J1693),MODE($J$2:$J$2001),J1693)</f>
        <v>0.04</v>
      </c>
      <c r="L1693" t="s">
        <v>1824</v>
      </c>
      <c r="M1693">
        <v>605.76</v>
      </c>
      <c r="N1693">
        <f t="shared" si="26"/>
        <v>605.76</v>
      </c>
      <c r="O1693" t="str">
        <f>_xlfn.XLOOKUP(Sales_fact[[#This Row],[Customer_ID]],'Customer_Dim'!A:A,'Customer_Dim'!K:K,"Not Found")</f>
        <v>Bronze</v>
      </c>
      <c r="P1693">
        <f>_xlfn.XLOOKUP(Sales_fact[[#This Row],[Customer_ID]],'Customer_Dim'!A:A, 'Customer_Dim'!E:E, "Not Found")</f>
        <v>40</v>
      </c>
      <c r="Q1693" t="str">
        <f>VLOOKUP(Sales_fact[[#This Row],[Customer_ID]], 'Customer_Dim'!A:F, 6, FALSE)</f>
        <v>Female</v>
      </c>
      <c r="R1693" s="13" t="str">
        <f>_xlfn.XLOOKUP(Sales_fact[[#This Row],[Product_ID]],Product_Dim!A:A,Product_Dim!C:C,"OTHERS")</f>
        <v>Beauty</v>
      </c>
    </row>
    <row r="1694" spans="1:18" x14ac:dyDescent="0.3">
      <c r="A1694" t="s">
        <v>3518</v>
      </c>
      <c r="B1694" s="2">
        <v>45916</v>
      </c>
      <c r="C1694" t="s">
        <v>1226</v>
      </c>
      <c r="D1694" t="s">
        <v>1708</v>
      </c>
      <c r="E1694" t="str">
        <f ca="1">TRIM(Sales_fact[[#This Row],[Store_ID]])</f>
        <v>STORE3</v>
      </c>
      <c r="F1694">
        <v>4</v>
      </c>
      <c r="G1694">
        <f>IF(ISBLANK(F1694),MODE($F$2:$F$2001),F1694)</f>
        <v>4</v>
      </c>
      <c r="H1694">
        <v>983.98</v>
      </c>
      <c r="I1694">
        <f>IF(ISBLANK(H1694),AVERAGE($H$2:$H$2001),H1694)</f>
        <v>983.98</v>
      </c>
      <c r="J1694">
        <v>0.11</v>
      </c>
      <c r="K1694">
        <f>IF(ISBLANK(J1694),MODE($J$2:$J$2001),J1694)</f>
        <v>0.11</v>
      </c>
      <c r="L1694" t="s">
        <v>1829</v>
      </c>
      <c r="M1694">
        <v>3502.9688000000001</v>
      </c>
      <c r="N1694">
        <f t="shared" si="26"/>
        <v>3502.9688000000001</v>
      </c>
      <c r="O1694" t="str">
        <f>_xlfn.XLOOKUP(Sales_fact[[#This Row],[Customer_ID]],'Customer_Dim'!A:A,'Customer_Dim'!K:K,"Not Found")</f>
        <v>Bronze</v>
      </c>
      <c r="P1694">
        <f>_xlfn.XLOOKUP(Sales_fact[[#This Row],[Customer_ID]],'Customer_Dim'!A:A, 'Customer_Dim'!E:E, "Not Found")</f>
        <v>46</v>
      </c>
      <c r="Q1694" t="str">
        <f>VLOOKUP(Sales_fact[[#This Row],[Customer_ID]], 'Customer_Dim'!A:F, 6, FALSE)</f>
        <v>Male</v>
      </c>
      <c r="R1694" s="13" t="str">
        <f>_xlfn.XLOOKUP(Sales_fact[[#This Row],[Product_ID]],Product_Dim!A:A,Product_Dim!C:C,"OTHERS")</f>
        <v>Home</v>
      </c>
    </row>
    <row r="1695" spans="1:18" x14ac:dyDescent="0.3">
      <c r="A1695" t="s">
        <v>3519</v>
      </c>
      <c r="B1695" s="2">
        <v>45353</v>
      </c>
      <c r="C1695" t="s">
        <v>205</v>
      </c>
      <c r="D1695" t="s">
        <v>1658</v>
      </c>
      <c r="E1695" t="str">
        <f ca="1">TRIM(Sales_fact[[#This Row],[Store_ID]])</f>
        <v>STORE11</v>
      </c>
      <c r="F1695">
        <v>4</v>
      </c>
      <c r="G1695">
        <f>IF(ISBLANK(F1695),MODE($F$2:$F$2001),F1695)</f>
        <v>4</v>
      </c>
      <c r="H1695">
        <v>73.69</v>
      </c>
      <c r="I1695">
        <f>IF(ISBLANK(H1695),AVERAGE($H$2:$H$2001),H1695)</f>
        <v>73.69</v>
      </c>
      <c r="J1695">
        <v>0.08</v>
      </c>
      <c r="K1695">
        <f>IF(ISBLANK(J1695),MODE($J$2:$J$2001),J1695)</f>
        <v>0.08</v>
      </c>
      <c r="L1695" t="s">
        <v>1824</v>
      </c>
      <c r="M1695">
        <v>271.17919999999998</v>
      </c>
      <c r="N1695">
        <f t="shared" si="26"/>
        <v>271.17919999999998</v>
      </c>
      <c r="O1695" t="str">
        <f>_xlfn.XLOOKUP(Sales_fact[[#This Row],[Customer_ID]],'Customer_Dim'!A:A,'Customer_Dim'!K:K,"Not Found")</f>
        <v>Platinum</v>
      </c>
      <c r="P1695">
        <f>_xlfn.XLOOKUP(Sales_fact[[#This Row],[Customer_ID]],'Customer_Dim'!A:A, 'Customer_Dim'!E:E, "Not Found")</f>
        <v>24</v>
      </c>
      <c r="Q1695" t="str">
        <f>VLOOKUP(Sales_fact[[#This Row],[Customer_ID]], 'Customer_Dim'!A:F, 6, FALSE)</f>
        <v>Male</v>
      </c>
      <c r="R1695" s="13" t="str">
        <f>_xlfn.XLOOKUP(Sales_fact[[#This Row],[Product_ID]],Product_Dim!A:A,Product_Dim!C:C,"OTHERS")</f>
        <v>Home</v>
      </c>
    </row>
    <row r="1696" spans="1:18" x14ac:dyDescent="0.3">
      <c r="A1696" t="s">
        <v>3520</v>
      </c>
      <c r="B1696" s="2">
        <v>45490</v>
      </c>
      <c r="C1696" t="s">
        <v>1343</v>
      </c>
      <c r="D1696" t="s">
        <v>1570</v>
      </c>
      <c r="E1696" t="str">
        <f ca="1">TRIM(Sales_fact[[#This Row],[Store_ID]])</f>
        <v>STORE7</v>
      </c>
      <c r="F1696">
        <v>3</v>
      </c>
      <c r="G1696">
        <f>IF(ISBLANK(F1696),MODE($F$2:$F$2001),F1696)</f>
        <v>3</v>
      </c>
      <c r="H1696">
        <v>110.99</v>
      </c>
      <c r="I1696">
        <f>IF(ISBLANK(H1696),AVERAGE($H$2:$H$2001),H1696)</f>
        <v>110.99</v>
      </c>
      <c r="J1696">
        <v>0.21</v>
      </c>
      <c r="K1696">
        <f>IF(ISBLANK(J1696),MODE($J$2:$J$2001),J1696)</f>
        <v>0.21</v>
      </c>
      <c r="L1696" t="s">
        <v>1824</v>
      </c>
      <c r="M1696">
        <v>263.04629999999997</v>
      </c>
      <c r="N1696">
        <f t="shared" si="26"/>
        <v>263.04629999999997</v>
      </c>
      <c r="O1696" t="str">
        <f>_xlfn.XLOOKUP(Sales_fact[[#This Row],[Customer_ID]],'Customer_Dim'!A:A,'Customer_Dim'!K:K,"Not Found")</f>
        <v>Silver</v>
      </c>
      <c r="P1696">
        <f>_xlfn.XLOOKUP(Sales_fact[[#This Row],[Customer_ID]],'Customer_Dim'!A:A, 'Customer_Dim'!E:E, "Not Found")</f>
        <v>51</v>
      </c>
      <c r="Q1696" t="str">
        <f>VLOOKUP(Sales_fact[[#This Row],[Customer_ID]], 'Customer_Dim'!A:F, 6, FALSE)</f>
        <v>Female</v>
      </c>
      <c r="R1696" s="13" t="str">
        <f>_xlfn.XLOOKUP(Sales_fact[[#This Row],[Product_ID]],Product_Dim!A:A,Product_Dim!C:C,"OTHERS")</f>
        <v>Electronics</v>
      </c>
    </row>
    <row r="1697" spans="1:18" x14ac:dyDescent="0.3">
      <c r="A1697" t="s">
        <v>3521</v>
      </c>
      <c r="B1697" s="2">
        <v>45850</v>
      </c>
      <c r="C1697" t="s">
        <v>301</v>
      </c>
      <c r="D1697" t="s">
        <v>1568</v>
      </c>
      <c r="E1697" t="str">
        <f ca="1">TRIM(Sales_fact[[#This Row],[Store_ID]])</f>
        <v>STORE7</v>
      </c>
      <c r="F1697">
        <v>1</v>
      </c>
      <c r="G1697">
        <f>IF(ISBLANK(F1697),MODE($F$2:$F$2001),F1697)</f>
        <v>1</v>
      </c>
      <c r="H1697">
        <v>66.86</v>
      </c>
      <c r="I1697">
        <f>IF(ISBLANK(H1697),AVERAGE($H$2:$H$2001),H1697)</f>
        <v>66.86</v>
      </c>
      <c r="J1697">
        <v>0.22</v>
      </c>
      <c r="K1697">
        <f>IF(ISBLANK(J1697),MODE($J$2:$J$2001),J1697)</f>
        <v>0.22</v>
      </c>
      <c r="L1697" t="s">
        <v>1829</v>
      </c>
      <c r="M1697">
        <v>52.150799999999997</v>
      </c>
      <c r="N1697">
        <f t="shared" si="26"/>
        <v>52.150800000000004</v>
      </c>
      <c r="O1697" t="str">
        <f>_xlfn.XLOOKUP(Sales_fact[[#This Row],[Customer_ID]],'Customer_Dim'!A:A,'Customer_Dim'!K:K,"Not Found")</f>
        <v>Bronze</v>
      </c>
      <c r="P1697">
        <f>_xlfn.XLOOKUP(Sales_fact[[#This Row],[Customer_ID]],'Customer_Dim'!A:A, 'Customer_Dim'!E:E, "Not Found")</f>
        <v>48</v>
      </c>
      <c r="Q1697" t="str">
        <f>VLOOKUP(Sales_fact[[#This Row],[Customer_ID]], 'Customer_Dim'!A:F, 6, FALSE)</f>
        <v>Female</v>
      </c>
      <c r="R1697" s="13" t="str">
        <f>_xlfn.XLOOKUP(Sales_fact[[#This Row],[Product_ID]],Product_Dim!A:A,Product_Dim!C:C,"OTHERS")</f>
        <v>Home</v>
      </c>
    </row>
    <row r="1698" spans="1:18" x14ac:dyDescent="0.3">
      <c r="A1698" t="s">
        <v>3522</v>
      </c>
      <c r="B1698" s="2">
        <v>45515</v>
      </c>
      <c r="C1698" t="s">
        <v>1295</v>
      </c>
      <c r="D1698" t="s">
        <v>1682</v>
      </c>
      <c r="E1698" t="str">
        <f ca="1">TRIM(Sales_fact[[#This Row],[Store_ID]])</f>
        <v>STORE18</v>
      </c>
      <c r="F1698">
        <v>1</v>
      </c>
      <c r="G1698">
        <f>IF(ISBLANK(F1698),MODE($F$2:$F$2001),F1698)</f>
        <v>1</v>
      </c>
      <c r="H1698">
        <v>980.26</v>
      </c>
      <c r="I1698">
        <f>IF(ISBLANK(H1698),AVERAGE($H$2:$H$2001),H1698)</f>
        <v>980.26</v>
      </c>
      <c r="J1698">
        <v>0.14000000000000001</v>
      </c>
      <c r="K1698">
        <f>IF(ISBLANK(J1698),MODE($J$2:$J$2001),J1698)</f>
        <v>0.14000000000000001</v>
      </c>
      <c r="L1698" t="s">
        <v>1826</v>
      </c>
      <c r="M1698">
        <v>843.02359999999999</v>
      </c>
      <c r="N1698">
        <f t="shared" si="26"/>
        <v>843.02359999999999</v>
      </c>
      <c r="O1698" t="str">
        <f>_xlfn.XLOOKUP(Sales_fact[[#This Row],[Customer_ID]],'Customer_Dim'!A:A,'Customer_Dim'!K:K,"Not Found")</f>
        <v>Bronze</v>
      </c>
      <c r="P1698">
        <f>_xlfn.XLOOKUP(Sales_fact[[#This Row],[Customer_ID]],'Customer_Dim'!A:A, 'Customer_Dim'!E:E, "Not Found")</f>
        <v>64</v>
      </c>
      <c r="Q1698" t="str">
        <f>VLOOKUP(Sales_fact[[#This Row],[Customer_ID]], 'Customer_Dim'!A:F, 6, FALSE)</f>
        <v>Female</v>
      </c>
      <c r="R1698" s="13" t="str">
        <f>_xlfn.XLOOKUP(Sales_fact[[#This Row],[Product_ID]],Product_Dim!A:A,Product_Dim!C:C,"OTHERS")</f>
        <v>Electronics</v>
      </c>
    </row>
    <row r="1699" spans="1:18" x14ac:dyDescent="0.3">
      <c r="A1699" t="s">
        <v>3523</v>
      </c>
      <c r="B1699" s="2">
        <v>45322</v>
      </c>
      <c r="C1699" t="s">
        <v>147</v>
      </c>
      <c r="D1699" t="s">
        <v>1584</v>
      </c>
      <c r="E1699" t="str">
        <f ca="1">TRIM(Sales_fact[[#This Row],[Store_ID]])</f>
        <v>STORE18</v>
      </c>
      <c r="F1699">
        <v>1</v>
      </c>
      <c r="G1699">
        <f>IF(ISBLANK(F1699),MODE($F$2:$F$2001),F1699)</f>
        <v>1</v>
      </c>
      <c r="H1699">
        <v>235.28</v>
      </c>
      <c r="I1699">
        <f>IF(ISBLANK(H1699),AVERAGE($H$2:$H$2001),H1699)</f>
        <v>235.28</v>
      </c>
      <c r="J1699">
        <v>0.05</v>
      </c>
      <c r="K1699">
        <f>IF(ISBLANK(J1699),MODE($J$2:$J$2001),J1699)</f>
        <v>0.05</v>
      </c>
      <c r="L1699" t="s">
        <v>1826</v>
      </c>
      <c r="M1699">
        <v>223.51599999999999</v>
      </c>
      <c r="N1699">
        <f t="shared" si="26"/>
        <v>223.51599999999999</v>
      </c>
      <c r="O1699" t="str">
        <f>_xlfn.XLOOKUP(Sales_fact[[#This Row],[Customer_ID]],'Customer_Dim'!A:A,'Customer_Dim'!K:K,"Not Found")</f>
        <v>UNKNOWN</v>
      </c>
      <c r="P1699">
        <f>_xlfn.XLOOKUP(Sales_fact[[#This Row],[Customer_ID]],'Customer_Dim'!A:A, 'Customer_Dim'!E:E, "Not Found")</f>
        <v>27</v>
      </c>
      <c r="Q1699" t="str">
        <f>VLOOKUP(Sales_fact[[#This Row],[Customer_ID]], 'Customer_Dim'!A:F, 6, FALSE)</f>
        <v>Female</v>
      </c>
      <c r="R1699" s="13" t="str">
        <f>_xlfn.XLOOKUP(Sales_fact[[#This Row],[Product_ID]],Product_Dim!A:A,Product_Dim!C:C,"OTHERS")</f>
        <v>Clothing</v>
      </c>
    </row>
    <row r="1700" spans="1:18" x14ac:dyDescent="0.3">
      <c r="A1700" t="s">
        <v>3524</v>
      </c>
      <c r="B1700" s="2">
        <v>45542</v>
      </c>
      <c r="C1700" t="s">
        <v>1292</v>
      </c>
      <c r="D1700" t="s">
        <v>1543</v>
      </c>
      <c r="E1700" t="str">
        <f ca="1">TRIM(Sales_fact[[#This Row],[Store_ID]])</f>
        <v>STORE15</v>
      </c>
      <c r="F1700">
        <v>3</v>
      </c>
      <c r="G1700">
        <f>IF(ISBLANK(F1700),MODE($F$2:$F$2001),F1700)</f>
        <v>3</v>
      </c>
      <c r="H1700">
        <v>407.39</v>
      </c>
      <c r="I1700">
        <f>IF(ISBLANK(H1700),AVERAGE($H$2:$H$2001),H1700)</f>
        <v>407.39</v>
      </c>
      <c r="J1700">
        <v>0.08</v>
      </c>
      <c r="K1700">
        <f>IF(ISBLANK(J1700),MODE($J$2:$J$2001),J1700)</f>
        <v>0.08</v>
      </c>
      <c r="L1700" t="s">
        <v>1826</v>
      </c>
      <c r="M1700">
        <v>1124.3964000000001</v>
      </c>
      <c r="N1700">
        <f t="shared" si="26"/>
        <v>1124.3964000000001</v>
      </c>
      <c r="O1700" t="str">
        <f>_xlfn.XLOOKUP(Sales_fact[[#This Row],[Customer_ID]],'Customer_Dim'!A:A,'Customer_Dim'!K:K,"Not Found")</f>
        <v>Platinum</v>
      </c>
      <c r="P1700">
        <f>_xlfn.XLOOKUP(Sales_fact[[#This Row],[Customer_ID]],'Customer_Dim'!A:A, 'Customer_Dim'!E:E, "Not Found")</f>
        <v>46</v>
      </c>
      <c r="Q1700" t="str">
        <f>VLOOKUP(Sales_fact[[#This Row],[Customer_ID]], 'Customer_Dim'!A:F, 6, FALSE)</f>
        <v>Male</v>
      </c>
      <c r="R1700" s="13" t="str">
        <f>_xlfn.XLOOKUP(Sales_fact[[#This Row],[Product_ID]],Product_Dim!A:A,Product_Dim!C:C,"OTHERS")</f>
        <v>Electronics</v>
      </c>
    </row>
    <row r="1701" spans="1:18" x14ac:dyDescent="0.3">
      <c r="A1701" t="s">
        <v>3525</v>
      </c>
      <c r="B1701" s="2">
        <v>45675</v>
      </c>
      <c r="C1701" t="s">
        <v>251</v>
      </c>
      <c r="D1701" t="s">
        <v>1602</v>
      </c>
      <c r="E1701" t="str">
        <f ca="1">TRIM(Sales_fact[[#This Row],[Store_ID]])</f>
        <v>STORE14</v>
      </c>
      <c r="F1701">
        <v>4</v>
      </c>
      <c r="G1701">
        <f>IF(ISBLANK(F1701),MODE($F$2:$F$2001),F1701)</f>
        <v>4</v>
      </c>
      <c r="H1701">
        <v>459.83</v>
      </c>
      <c r="I1701">
        <f>IF(ISBLANK(H1701),AVERAGE($H$2:$H$2001),H1701)</f>
        <v>459.83</v>
      </c>
      <c r="J1701">
        <v>0.12</v>
      </c>
      <c r="K1701">
        <f>IF(ISBLANK(J1701),MODE($J$2:$J$2001),J1701)</f>
        <v>0.12</v>
      </c>
      <c r="L1701" t="s">
        <v>1829</v>
      </c>
      <c r="M1701">
        <v>1618.6016</v>
      </c>
      <c r="N1701">
        <f t="shared" si="26"/>
        <v>1618.6016</v>
      </c>
      <c r="O1701" t="str">
        <f>_xlfn.XLOOKUP(Sales_fact[[#This Row],[Customer_ID]],'Customer_Dim'!A:A,'Customer_Dim'!K:K,"Not Found")</f>
        <v>Silver</v>
      </c>
      <c r="P1701">
        <f>_xlfn.XLOOKUP(Sales_fact[[#This Row],[Customer_ID]],'Customer_Dim'!A:A, 'Customer_Dim'!E:E, "Not Found")</f>
        <v>24</v>
      </c>
      <c r="Q1701" t="str">
        <f>VLOOKUP(Sales_fact[[#This Row],[Customer_ID]], 'Customer_Dim'!A:F, 6, FALSE)</f>
        <v>Female</v>
      </c>
      <c r="R1701" s="13" t="str">
        <f>_xlfn.XLOOKUP(Sales_fact[[#This Row],[Product_ID]],Product_Dim!A:A,Product_Dim!C:C,"OTHERS")</f>
        <v>Home</v>
      </c>
    </row>
    <row r="1702" spans="1:18" x14ac:dyDescent="0.3">
      <c r="A1702" t="s">
        <v>3526</v>
      </c>
      <c r="B1702" s="2">
        <v>45333</v>
      </c>
      <c r="C1702" t="s">
        <v>496</v>
      </c>
      <c r="D1702" t="s">
        <v>1734</v>
      </c>
      <c r="E1702" t="str">
        <f ca="1">TRIM(Sales_fact[[#This Row],[Store_ID]])</f>
        <v>STORE4</v>
      </c>
      <c r="F1702">
        <v>3</v>
      </c>
      <c r="G1702">
        <f>IF(ISBLANK(F1702),MODE($F$2:$F$2001),F1702)</f>
        <v>3</v>
      </c>
      <c r="H1702">
        <v>706.6</v>
      </c>
      <c r="I1702">
        <f>IF(ISBLANK(H1702),AVERAGE($H$2:$H$2001),H1702)</f>
        <v>706.6</v>
      </c>
      <c r="J1702">
        <v>0.17</v>
      </c>
      <c r="K1702">
        <f>IF(ISBLANK(J1702),MODE($J$2:$J$2001),J1702)</f>
        <v>0.17</v>
      </c>
      <c r="L1702" t="s">
        <v>1826</v>
      </c>
      <c r="M1702">
        <v>1759.434</v>
      </c>
      <c r="N1702">
        <f t="shared" si="26"/>
        <v>1759.434</v>
      </c>
      <c r="O1702" t="str">
        <f>_xlfn.XLOOKUP(Sales_fact[[#This Row],[Customer_ID]],'Customer_Dim'!A:A,'Customer_Dim'!K:K,"Not Found")</f>
        <v>Platinum</v>
      </c>
      <c r="P1702">
        <f>_xlfn.XLOOKUP(Sales_fact[[#This Row],[Customer_ID]],'Customer_Dim'!A:A, 'Customer_Dim'!E:E, "Not Found")</f>
        <v>49</v>
      </c>
      <c r="Q1702" t="str">
        <f>VLOOKUP(Sales_fact[[#This Row],[Customer_ID]], 'Customer_Dim'!A:F, 6, FALSE)</f>
        <v>Female</v>
      </c>
      <c r="R1702" s="13" t="str">
        <f>_xlfn.XLOOKUP(Sales_fact[[#This Row],[Product_ID]],Product_Dim!A:A,Product_Dim!C:C,"OTHERS")</f>
        <v>Electronics</v>
      </c>
    </row>
    <row r="1703" spans="1:18" x14ac:dyDescent="0.3">
      <c r="A1703" t="s">
        <v>3527</v>
      </c>
      <c r="B1703" s="2">
        <v>45819</v>
      </c>
      <c r="C1703" t="s">
        <v>1425</v>
      </c>
      <c r="D1703" t="s">
        <v>1730</v>
      </c>
      <c r="E1703" t="str">
        <f ca="1">TRIM(Sales_fact[[#This Row],[Store_ID]])</f>
        <v>STORE19</v>
      </c>
      <c r="F1703">
        <v>3</v>
      </c>
      <c r="G1703">
        <f>IF(ISBLANK(F1703),MODE($F$2:$F$2001),F1703)</f>
        <v>3</v>
      </c>
      <c r="H1703">
        <v>811.16</v>
      </c>
      <c r="I1703">
        <f>IF(ISBLANK(H1703),AVERAGE($H$2:$H$2001),H1703)</f>
        <v>811.16</v>
      </c>
      <c r="J1703">
        <v>0.1</v>
      </c>
      <c r="K1703">
        <f>IF(ISBLANK(J1703),MODE($J$2:$J$2001),J1703)</f>
        <v>0.1</v>
      </c>
      <c r="L1703" t="s">
        <v>1829</v>
      </c>
      <c r="M1703">
        <v>2190.1320000000001</v>
      </c>
      <c r="N1703">
        <f t="shared" si="26"/>
        <v>2190.1320000000001</v>
      </c>
      <c r="O1703" t="str">
        <f>_xlfn.XLOOKUP(Sales_fact[[#This Row],[Customer_ID]],'Customer_Dim'!A:A,'Customer_Dim'!K:K,"Not Found")</f>
        <v>Silver</v>
      </c>
      <c r="P1703">
        <f>_xlfn.XLOOKUP(Sales_fact[[#This Row],[Customer_ID]],'Customer_Dim'!A:A, 'Customer_Dim'!E:E, "Not Found")</f>
        <v>34</v>
      </c>
      <c r="Q1703" t="str">
        <f>VLOOKUP(Sales_fact[[#This Row],[Customer_ID]], 'Customer_Dim'!A:F, 6, FALSE)</f>
        <v>Female</v>
      </c>
      <c r="R1703" s="13" t="str">
        <f>_xlfn.XLOOKUP(Sales_fact[[#This Row],[Product_ID]],Product_Dim!A:A,Product_Dim!C:C,"OTHERS")</f>
        <v>Clothing</v>
      </c>
    </row>
    <row r="1704" spans="1:18" x14ac:dyDescent="0.3">
      <c r="A1704" t="s">
        <v>3528</v>
      </c>
      <c r="B1704" s="2">
        <v>45268</v>
      </c>
      <c r="C1704" t="s">
        <v>705</v>
      </c>
      <c r="D1704" t="s">
        <v>1622</v>
      </c>
      <c r="E1704" t="str">
        <f ca="1">TRIM(Sales_fact[[#This Row],[Store_ID]])</f>
        <v>STORE7</v>
      </c>
      <c r="F1704">
        <v>2</v>
      </c>
      <c r="G1704">
        <f>IF(ISBLANK(F1704),MODE($F$2:$F$2001),F1704)</f>
        <v>2</v>
      </c>
      <c r="H1704">
        <v>985.79</v>
      </c>
      <c r="I1704">
        <f>IF(ISBLANK(H1704),AVERAGE($H$2:$H$2001),H1704)</f>
        <v>985.79</v>
      </c>
      <c r="J1704">
        <v>0.04</v>
      </c>
      <c r="K1704">
        <f>IF(ISBLANK(J1704),MODE($J$2:$J$2001),J1704)</f>
        <v>0.04</v>
      </c>
      <c r="L1704" t="s">
        <v>1826</v>
      </c>
      <c r="M1704">
        <v>1892.7167999999999</v>
      </c>
      <c r="N1704">
        <f t="shared" si="26"/>
        <v>1892.7167999999999</v>
      </c>
      <c r="O1704" t="str">
        <f>_xlfn.XLOOKUP(Sales_fact[[#This Row],[Customer_ID]],'Customer_Dim'!A:A,'Customer_Dim'!K:K,"Not Found")</f>
        <v>Silver</v>
      </c>
      <c r="P1704">
        <f>_xlfn.XLOOKUP(Sales_fact[[#This Row],[Customer_ID]],'Customer_Dim'!A:A, 'Customer_Dim'!E:E, "Not Found")</f>
        <v>42</v>
      </c>
      <c r="Q1704" t="str">
        <f>VLOOKUP(Sales_fact[[#This Row],[Customer_ID]], 'Customer_Dim'!A:F, 6, FALSE)</f>
        <v>Male</v>
      </c>
      <c r="R1704" s="13" t="str">
        <f>_xlfn.XLOOKUP(Sales_fact[[#This Row],[Product_ID]],Product_Dim!A:A,Product_Dim!C:C,"OTHERS")</f>
        <v>Clothing</v>
      </c>
    </row>
    <row r="1705" spans="1:18" x14ac:dyDescent="0.3">
      <c r="A1705" t="s">
        <v>3529</v>
      </c>
      <c r="B1705" s="2">
        <v>45521</v>
      </c>
      <c r="C1705" t="s">
        <v>616</v>
      </c>
      <c r="D1705" t="s">
        <v>1614</v>
      </c>
      <c r="E1705" t="str">
        <f ca="1">TRIM(Sales_fact[[#This Row],[Store_ID]])</f>
        <v>STORE14</v>
      </c>
      <c r="F1705">
        <v>1</v>
      </c>
      <c r="G1705">
        <f>IF(ISBLANK(F1705),MODE($F$2:$F$2001),F1705)</f>
        <v>1</v>
      </c>
      <c r="H1705">
        <v>255.02</v>
      </c>
      <c r="I1705">
        <f>IF(ISBLANK(H1705),AVERAGE($H$2:$H$2001),H1705)</f>
        <v>255.02</v>
      </c>
      <c r="J1705">
        <v>0.3</v>
      </c>
      <c r="K1705">
        <f>IF(ISBLANK(J1705),MODE($J$2:$J$2001),J1705)</f>
        <v>0.3</v>
      </c>
      <c r="L1705" t="s">
        <v>1824</v>
      </c>
      <c r="M1705">
        <v>178.51400000000001</v>
      </c>
      <c r="N1705">
        <f t="shared" si="26"/>
        <v>178.51400000000001</v>
      </c>
      <c r="O1705" t="str">
        <f>_xlfn.XLOOKUP(Sales_fact[[#This Row],[Customer_ID]],'Customer_Dim'!A:A,'Customer_Dim'!K:K,"Not Found")</f>
        <v>Platinum</v>
      </c>
      <c r="P1705">
        <f>_xlfn.XLOOKUP(Sales_fact[[#This Row],[Customer_ID]],'Customer_Dim'!A:A, 'Customer_Dim'!E:E, "Not Found")</f>
        <v>60</v>
      </c>
      <c r="Q1705" t="str">
        <f>VLOOKUP(Sales_fact[[#This Row],[Customer_ID]], 'Customer_Dim'!A:F, 6, FALSE)</f>
        <v>Female</v>
      </c>
      <c r="R1705" s="13" t="str">
        <f>_xlfn.XLOOKUP(Sales_fact[[#This Row],[Product_ID]],Product_Dim!A:A,Product_Dim!C:C,"OTHERS")</f>
        <v>Home</v>
      </c>
    </row>
    <row r="1706" spans="1:18" x14ac:dyDescent="0.3">
      <c r="A1706" t="s">
        <v>3530</v>
      </c>
      <c r="B1706" s="2">
        <v>45693</v>
      </c>
      <c r="C1706" t="s">
        <v>341</v>
      </c>
      <c r="D1706" t="s">
        <v>1586</v>
      </c>
      <c r="E1706" t="str">
        <f ca="1">TRIM(Sales_fact[[#This Row],[Store_ID]])</f>
        <v>STORE8</v>
      </c>
      <c r="F1706">
        <v>1</v>
      </c>
      <c r="G1706">
        <f>IF(ISBLANK(F1706),MODE($F$2:$F$2001),F1706)</f>
        <v>1</v>
      </c>
      <c r="H1706">
        <v>153.57</v>
      </c>
      <c r="I1706">
        <f>IF(ISBLANK(H1706),AVERAGE($H$2:$H$2001),H1706)</f>
        <v>153.57</v>
      </c>
      <c r="J1706">
        <v>0.01</v>
      </c>
      <c r="K1706">
        <f>IF(ISBLANK(J1706),MODE($J$2:$J$2001),J1706)</f>
        <v>0.01</v>
      </c>
      <c r="L1706" t="s">
        <v>1826</v>
      </c>
      <c r="M1706">
        <v>152.0343</v>
      </c>
      <c r="N1706">
        <f t="shared" si="26"/>
        <v>152.0343</v>
      </c>
      <c r="O1706" t="str">
        <f>_xlfn.XLOOKUP(Sales_fact[[#This Row],[Customer_ID]],'Customer_Dim'!A:A,'Customer_Dim'!K:K,"Not Found")</f>
        <v>Platinum</v>
      </c>
      <c r="P1706">
        <f>_xlfn.XLOOKUP(Sales_fact[[#This Row],[Customer_ID]],'Customer_Dim'!A:A, 'Customer_Dim'!E:E, "Not Found")</f>
        <v>62</v>
      </c>
      <c r="Q1706" t="str">
        <f>VLOOKUP(Sales_fact[[#This Row],[Customer_ID]], 'Customer_Dim'!A:F, 6, FALSE)</f>
        <v>Female</v>
      </c>
      <c r="R1706" s="13" t="str">
        <f>_xlfn.XLOOKUP(Sales_fact[[#This Row],[Product_ID]],Product_Dim!A:A,Product_Dim!C:C,"OTHERS")</f>
        <v>Sports</v>
      </c>
    </row>
    <row r="1707" spans="1:18" x14ac:dyDescent="0.3">
      <c r="A1707" t="s">
        <v>3531</v>
      </c>
      <c r="B1707" s="2">
        <v>45734</v>
      </c>
      <c r="C1707" t="s">
        <v>809</v>
      </c>
      <c r="D1707" t="s">
        <v>1634</v>
      </c>
      <c r="E1707" t="str">
        <f ca="1">TRIM(Sales_fact[[#This Row],[Store_ID]])</f>
        <v>STORE18</v>
      </c>
      <c r="F1707">
        <v>3</v>
      </c>
      <c r="G1707">
        <f>IF(ISBLANK(F1707),MODE($F$2:$F$2001),F1707)</f>
        <v>3</v>
      </c>
      <c r="H1707">
        <v>962.98</v>
      </c>
      <c r="I1707">
        <f>IF(ISBLANK(H1707),AVERAGE($H$2:$H$2001),H1707)</f>
        <v>962.98</v>
      </c>
      <c r="J1707">
        <v>0.21</v>
      </c>
      <c r="K1707">
        <f>IF(ISBLANK(J1707),MODE($J$2:$J$2001),J1707)</f>
        <v>0.21</v>
      </c>
      <c r="L1707" t="s">
        <v>1824</v>
      </c>
      <c r="M1707">
        <v>2282.2626</v>
      </c>
      <c r="N1707">
        <f t="shared" si="26"/>
        <v>2282.2626</v>
      </c>
      <c r="O1707" t="str">
        <f>_xlfn.XLOOKUP(Sales_fact[[#This Row],[Customer_ID]],'Customer_Dim'!A:A,'Customer_Dim'!K:K,"Not Found")</f>
        <v>Bronze</v>
      </c>
      <c r="P1707">
        <f>_xlfn.XLOOKUP(Sales_fact[[#This Row],[Customer_ID]],'Customer_Dim'!A:A, 'Customer_Dim'!E:E, "Not Found")</f>
        <v>32</v>
      </c>
      <c r="Q1707" t="str">
        <f>VLOOKUP(Sales_fact[[#This Row],[Customer_ID]], 'Customer_Dim'!A:F, 6, FALSE)</f>
        <v>Male</v>
      </c>
      <c r="R1707" s="13" t="str">
        <f>_xlfn.XLOOKUP(Sales_fact[[#This Row],[Product_ID]],Product_Dim!A:A,Product_Dim!C:C,"OTHERS")</f>
        <v>Electronics</v>
      </c>
    </row>
    <row r="1708" spans="1:18" x14ac:dyDescent="0.3">
      <c r="A1708" t="s">
        <v>3532</v>
      </c>
      <c r="B1708" s="2">
        <v>45377</v>
      </c>
      <c r="C1708" t="s">
        <v>214</v>
      </c>
      <c r="D1708" t="s">
        <v>1636</v>
      </c>
      <c r="E1708" t="str">
        <f ca="1">TRIM(Sales_fact[[#This Row],[Store_ID]])</f>
        <v>STORE8</v>
      </c>
      <c r="F1708">
        <v>3</v>
      </c>
      <c r="G1708">
        <f>IF(ISBLANK(F1708),MODE($F$2:$F$2001),F1708)</f>
        <v>3</v>
      </c>
      <c r="H1708">
        <v>884.46</v>
      </c>
      <c r="I1708">
        <f>IF(ISBLANK(H1708),AVERAGE($H$2:$H$2001),H1708)</f>
        <v>884.46</v>
      </c>
      <c r="J1708">
        <v>0.25</v>
      </c>
      <c r="K1708">
        <f>IF(ISBLANK(J1708),MODE($J$2:$J$2001),J1708)</f>
        <v>0.25</v>
      </c>
      <c r="L1708" t="s">
        <v>1824</v>
      </c>
      <c r="M1708">
        <v>1990.0350000000001</v>
      </c>
      <c r="N1708">
        <f t="shared" si="26"/>
        <v>1990.0350000000001</v>
      </c>
      <c r="O1708" t="str">
        <f>_xlfn.XLOOKUP(Sales_fact[[#This Row],[Customer_ID]],'Customer_Dim'!A:A,'Customer_Dim'!K:K,"Not Found")</f>
        <v>Platinum</v>
      </c>
      <c r="P1708">
        <f>_xlfn.XLOOKUP(Sales_fact[[#This Row],[Customer_ID]],'Customer_Dim'!A:A, 'Customer_Dim'!E:E, "Not Found")</f>
        <v>43</v>
      </c>
      <c r="Q1708" t="str">
        <f>VLOOKUP(Sales_fact[[#This Row],[Customer_ID]], 'Customer_Dim'!A:F, 6, FALSE)</f>
        <v>Female</v>
      </c>
      <c r="R1708" s="13" t="str">
        <f>_xlfn.XLOOKUP(Sales_fact[[#This Row],[Product_ID]],Product_Dim!A:A,Product_Dim!C:C,"OTHERS")</f>
        <v>Sports</v>
      </c>
    </row>
    <row r="1709" spans="1:18" x14ac:dyDescent="0.3">
      <c r="A1709" t="s">
        <v>3533</v>
      </c>
      <c r="B1709" s="2">
        <v>45778</v>
      </c>
      <c r="C1709" t="s">
        <v>1355</v>
      </c>
      <c r="D1709" t="s">
        <v>1682</v>
      </c>
      <c r="E1709" t="str">
        <f ca="1">TRIM(Sales_fact[[#This Row],[Store_ID]])</f>
        <v>STORE10</v>
      </c>
      <c r="F1709">
        <v>4</v>
      </c>
      <c r="G1709">
        <f>IF(ISBLANK(F1709),MODE($F$2:$F$2001),F1709)</f>
        <v>4</v>
      </c>
      <c r="H1709">
        <v>359.71</v>
      </c>
      <c r="I1709">
        <f>IF(ISBLANK(H1709),AVERAGE($H$2:$H$2001),H1709)</f>
        <v>359.71</v>
      </c>
      <c r="J1709">
        <v>0.05</v>
      </c>
      <c r="K1709">
        <f>IF(ISBLANK(J1709),MODE($J$2:$J$2001),J1709)</f>
        <v>0.05</v>
      </c>
      <c r="L1709" t="s">
        <v>1826</v>
      </c>
      <c r="M1709">
        <v>1366.8979999999999</v>
      </c>
      <c r="N1709">
        <f t="shared" si="26"/>
        <v>1366.8979999999999</v>
      </c>
      <c r="O1709" t="str">
        <f>_xlfn.XLOOKUP(Sales_fact[[#This Row],[Customer_ID]],'Customer_Dim'!A:A,'Customer_Dim'!K:K,"Not Found")</f>
        <v>Platinum</v>
      </c>
      <c r="P1709">
        <f>_xlfn.XLOOKUP(Sales_fact[[#This Row],[Customer_ID]],'Customer_Dim'!A:A, 'Customer_Dim'!E:E, "Not Found")</f>
        <v>47</v>
      </c>
      <c r="Q1709" t="str">
        <f>VLOOKUP(Sales_fact[[#This Row],[Customer_ID]], 'Customer_Dim'!A:F, 6, FALSE)</f>
        <v>Female</v>
      </c>
      <c r="R1709" s="13" t="str">
        <f>_xlfn.XLOOKUP(Sales_fact[[#This Row],[Product_ID]],Product_Dim!A:A,Product_Dim!C:C,"OTHERS")</f>
        <v>Electronics</v>
      </c>
    </row>
    <row r="1710" spans="1:18" x14ac:dyDescent="0.3">
      <c r="A1710" t="s">
        <v>3534</v>
      </c>
      <c r="B1710" s="2">
        <v>45715</v>
      </c>
      <c r="C1710" t="s">
        <v>195</v>
      </c>
      <c r="D1710" t="s">
        <v>1648</v>
      </c>
      <c r="E1710" t="str">
        <f ca="1">TRIM(Sales_fact[[#This Row],[Store_ID]])</f>
        <v>STORE4</v>
      </c>
      <c r="F1710">
        <v>3</v>
      </c>
      <c r="G1710">
        <f>IF(ISBLANK(F1710),MODE($F$2:$F$2001),F1710)</f>
        <v>3</v>
      </c>
      <c r="H1710">
        <v>766.47</v>
      </c>
      <c r="I1710">
        <f>IF(ISBLANK(H1710),AVERAGE($H$2:$H$2001),H1710)</f>
        <v>766.47</v>
      </c>
      <c r="J1710">
        <v>0.18</v>
      </c>
      <c r="K1710">
        <f>IF(ISBLANK(J1710),MODE($J$2:$J$2001),J1710)</f>
        <v>0.18</v>
      </c>
      <c r="L1710" t="s">
        <v>1824</v>
      </c>
      <c r="M1710">
        <v>1885.5162</v>
      </c>
      <c r="N1710">
        <f t="shared" si="26"/>
        <v>1885.5162</v>
      </c>
      <c r="O1710" t="str">
        <f>_xlfn.XLOOKUP(Sales_fact[[#This Row],[Customer_ID]],'Customer_Dim'!A:A,'Customer_Dim'!K:K,"Not Found")</f>
        <v>Gold</v>
      </c>
      <c r="P1710">
        <f>_xlfn.XLOOKUP(Sales_fact[[#This Row],[Customer_ID]],'Customer_Dim'!A:A, 'Customer_Dim'!E:E, "Not Found")</f>
        <v>23</v>
      </c>
      <c r="Q1710" t="str">
        <f>VLOOKUP(Sales_fact[[#This Row],[Customer_ID]], 'Customer_Dim'!A:F, 6, FALSE)</f>
        <v>Female</v>
      </c>
      <c r="R1710" s="13" t="str">
        <f>_xlfn.XLOOKUP(Sales_fact[[#This Row],[Product_ID]],Product_Dim!A:A,Product_Dim!C:C,"OTHERS")</f>
        <v>Sports</v>
      </c>
    </row>
    <row r="1711" spans="1:18" x14ac:dyDescent="0.3">
      <c r="A1711" t="s">
        <v>3535</v>
      </c>
      <c r="B1711" s="2">
        <v>45492</v>
      </c>
      <c r="C1711" t="s">
        <v>722</v>
      </c>
      <c r="D1711" t="s">
        <v>1660</v>
      </c>
      <c r="E1711" t="str">
        <f ca="1">TRIM(Sales_fact[[#This Row],[Store_ID]])</f>
        <v>STORE18</v>
      </c>
      <c r="F1711">
        <v>1</v>
      </c>
      <c r="G1711">
        <f>IF(ISBLANK(F1711),MODE($F$2:$F$2001),F1711)</f>
        <v>1</v>
      </c>
      <c r="H1711">
        <v>772.07</v>
      </c>
      <c r="I1711">
        <f>IF(ISBLANK(H1711),AVERAGE($H$2:$H$2001),H1711)</f>
        <v>772.07</v>
      </c>
      <c r="J1711">
        <v>0.26</v>
      </c>
      <c r="K1711">
        <f>IF(ISBLANK(J1711),MODE($J$2:$J$2001),J1711)</f>
        <v>0.26</v>
      </c>
      <c r="L1711" t="s">
        <v>1826</v>
      </c>
      <c r="M1711">
        <v>571.33180000000004</v>
      </c>
      <c r="N1711">
        <f t="shared" si="26"/>
        <v>571.33180000000004</v>
      </c>
      <c r="O1711" t="str">
        <f>_xlfn.XLOOKUP(Sales_fact[[#This Row],[Customer_ID]],'Customer_Dim'!A:A,'Customer_Dim'!K:K,"Not Found")</f>
        <v>Platinum</v>
      </c>
      <c r="P1711">
        <f>_xlfn.XLOOKUP(Sales_fact[[#This Row],[Customer_ID]],'Customer_Dim'!A:A, 'Customer_Dim'!E:E, "Not Found")</f>
        <v>50</v>
      </c>
      <c r="Q1711" t="str">
        <f>VLOOKUP(Sales_fact[[#This Row],[Customer_ID]], 'Customer_Dim'!A:F, 6, FALSE)</f>
        <v>Male</v>
      </c>
      <c r="R1711" s="13" t="str">
        <f>_xlfn.XLOOKUP(Sales_fact[[#This Row],[Product_ID]],Product_Dim!A:A,Product_Dim!C:C,"OTHERS")</f>
        <v>Home</v>
      </c>
    </row>
    <row r="1712" spans="1:18" x14ac:dyDescent="0.3">
      <c r="A1712" t="s">
        <v>3536</v>
      </c>
      <c r="B1712" s="2">
        <v>45292</v>
      </c>
      <c r="C1712" t="s">
        <v>881</v>
      </c>
      <c r="D1712" t="s">
        <v>1586</v>
      </c>
      <c r="E1712" t="str">
        <f ca="1">TRIM(Sales_fact[[#This Row],[Store_ID]])</f>
        <v>STORE5</v>
      </c>
      <c r="F1712">
        <v>3</v>
      </c>
      <c r="G1712">
        <f>IF(ISBLANK(F1712),MODE($F$2:$F$2001),F1712)</f>
        <v>3</v>
      </c>
      <c r="H1712">
        <v>108.31</v>
      </c>
      <c r="I1712">
        <f>IF(ISBLANK(H1712),AVERAGE($H$2:$H$2001),H1712)</f>
        <v>108.31</v>
      </c>
      <c r="J1712">
        <v>0.26</v>
      </c>
      <c r="K1712">
        <f>IF(ISBLANK(J1712),MODE($J$2:$J$2001),J1712)</f>
        <v>0.26</v>
      </c>
      <c r="L1712" t="s">
        <v>1829</v>
      </c>
      <c r="M1712">
        <v>240.44820000000001</v>
      </c>
      <c r="N1712">
        <f t="shared" si="26"/>
        <v>240.44820000000001</v>
      </c>
      <c r="O1712" t="str">
        <f>_xlfn.XLOOKUP(Sales_fact[[#This Row],[Customer_ID]],'Customer_Dim'!A:A,'Customer_Dim'!K:K,"Not Found")</f>
        <v>Platinum</v>
      </c>
      <c r="P1712">
        <f>_xlfn.XLOOKUP(Sales_fact[[#This Row],[Customer_ID]],'Customer_Dim'!A:A, 'Customer_Dim'!E:E, "Not Found")</f>
        <v>22</v>
      </c>
      <c r="Q1712" t="str">
        <f>VLOOKUP(Sales_fact[[#This Row],[Customer_ID]], 'Customer_Dim'!A:F, 6, FALSE)</f>
        <v>Female</v>
      </c>
      <c r="R1712" s="13" t="str">
        <f>_xlfn.XLOOKUP(Sales_fact[[#This Row],[Product_ID]],Product_Dim!A:A,Product_Dim!C:C,"OTHERS")</f>
        <v>Sports</v>
      </c>
    </row>
    <row r="1713" spans="1:18" x14ac:dyDescent="0.3">
      <c r="A1713" t="s">
        <v>3537</v>
      </c>
      <c r="B1713" s="2">
        <v>45316</v>
      </c>
      <c r="C1713" t="s">
        <v>708</v>
      </c>
      <c r="D1713" t="s">
        <v>1706</v>
      </c>
      <c r="E1713" t="str">
        <f ca="1">TRIM(Sales_fact[[#This Row],[Store_ID]])</f>
        <v>STORE6</v>
      </c>
      <c r="F1713">
        <v>1</v>
      </c>
      <c r="G1713">
        <f>IF(ISBLANK(F1713),MODE($F$2:$F$2001),F1713)</f>
        <v>1</v>
      </c>
      <c r="H1713">
        <v>502.53</v>
      </c>
      <c r="I1713">
        <f>IF(ISBLANK(H1713),AVERAGE($H$2:$H$2001),H1713)</f>
        <v>502.53</v>
      </c>
      <c r="J1713">
        <v>0</v>
      </c>
      <c r="K1713">
        <f>IF(ISBLANK(J1713),MODE($J$2:$J$2001),J1713)</f>
        <v>0</v>
      </c>
      <c r="L1713" t="s">
        <v>1826</v>
      </c>
      <c r="M1713">
        <v>502.53</v>
      </c>
      <c r="N1713">
        <f t="shared" si="26"/>
        <v>502.53</v>
      </c>
      <c r="O1713" t="str">
        <f>_xlfn.XLOOKUP(Sales_fact[[#This Row],[Customer_ID]],'Customer_Dim'!A:A,'Customer_Dim'!K:K,"Not Found")</f>
        <v>Platinum</v>
      </c>
      <c r="P1713">
        <f>_xlfn.XLOOKUP(Sales_fact[[#This Row],[Customer_ID]],'Customer_Dim'!A:A, 'Customer_Dim'!E:E, "Not Found")</f>
        <v>46</v>
      </c>
      <c r="Q1713" t="str">
        <f>VLOOKUP(Sales_fact[[#This Row],[Customer_ID]], 'Customer_Dim'!A:F, 6, FALSE)</f>
        <v>Male</v>
      </c>
      <c r="R1713" s="13" t="str">
        <f>_xlfn.XLOOKUP(Sales_fact[[#This Row],[Product_ID]],Product_Dim!A:A,Product_Dim!C:C,"OTHERS")</f>
        <v>Home</v>
      </c>
    </row>
    <row r="1714" spans="1:18" x14ac:dyDescent="0.3">
      <c r="A1714" t="s">
        <v>3538</v>
      </c>
      <c r="B1714" s="2">
        <v>45548</v>
      </c>
      <c r="C1714" t="s">
        <v>278</v>
      </c>
      <c r="D1714" t="s">
        <v>1546</v>
      </c>
      <c r="E1714" t="str">
        <f ca="1">TRIM(Sales_fact[[#This Row],[Store_ID]])</f>
        <v>STORE16</v>
      </c>
      <c r="F1714">
        <v>2</v>
      </c>
      <c r="G1714">
        <f>IF(ISBLANK(F1714),MODE($F$2:$F$2001),F1714)</f>
        <v>2</v>
      </c>
      <c r="H1714">
        <v>508.52</v>
      </c>
      <c r="I1714">
        <f>IF(ISBLANK(H1714),AVERAGE($H$2:$H$2001),H1714)</f>
        <v>508.52</v>
      </c>
      <c r="J1714">
        <v>0.11</v>
      </c>
      <c r="K1714">
        <f>IF(ISBLANK(J1714),MODE($J$2:$J$2001),J1714)</f>
        <v>0.11</v>
      </c>
      <c r="L1714" t="s">
        <v>1829</v>
      </c>
      <c r="M1714">
        <v>905.16559999999993</v>
      </c>
      <c r="N1714">
        <f t="shared" si="26"/>
        <v>905.16559999999993</v>
      </c>
      <c r="O1714" t="str">
        <f>_xlfn.XLOOKUP(Sales_fact[[#This Row],[Customer_ID]],'Customer_Dim'!A:A,'Customer_Dim'!K:K,"Not Found")</f>
        <v>Gold</v>
      </c>
      <c r="P1714">
        <f>_xlfn.XLOOKUP(Sales_fact[[#This Row],[Customer_ID]],'Customer_Dim'!A:A, 'Customer_Dim'!E:E, "Not Found")</f>
        <v>37</v>
      </c>
      <c r="Q1714" t="str">
        <f>VLOOKUP(Sales_fact[[#This Row],[Customer_ID]], 'Customer_Dim'!A:F, 6, FALSE)</f>
        <v>Male</v>
      </c>
      <c r="R1714" s="13" t="str">
        <f>_xlfn.XLOOKUP(Sales_fact[[#This Row],[Product_ID]],Product_Dim!A:A,Product_Dim!C:C,"OTHERS")</f>
        <v>Clothing</v>
      </c>
    </row>
    <row r="1715" spans="1:18" x14ac:dyDescent="0.3">
      <c r="A1715" t="s">
        <v>3539</v>
      </c>
      <c r="B1715" s="2">
        <v>45572</v>
      </c>
      <c r="C1715" t="s">
        <v>1443</v>
      </c>
      <c r="D1715" t="s">
        <v>1696</v>
      </c>
      <c r="E1715" t="str">
        <f ca="1">TRIM(Sales_fact[[#This Row],[Store_ID]])</f>
        <v>STORE3</v>
      </c>
      <c r="F1715">
        <v>1</v>
      </c>
      <c r="G1715">
        <f>IF(ISBLANK(F1715),MODE($F$2:$F$2001),F1715)</f>
        <v>1</v>
      </c>
      <c r="H1715">
        <v>492</v>
      </c>
      <c r="I1715">
        <f>IF(ISBLANK(H1715),AVERAGE($H$2:$H$2001),H1715)</f>
        <v>492</v>
      </c>
      <c r="J1715">
        <v>0.26</v>
      </c>
      <c r="K1715">
        <f>IF(ISBLANK(J1715),MODE($J$2:$J$2001),J1715)</f>
        <v>0.26</v>
      </c>
      <c r="L1715" t="s">
        <v>1826</v>
      </c>
      <c r="M1715">
        <v>364.08</v>
      </c>
      <c r="N1715">
        <f t="shared" si="26"/>
        <v>364.08</v>
      </c>
      <c r="O1715" t="str">
        <f>_xlfn.XLOOKUP(Sales_fact[[#This Row],[Customer_ID]],'Customer_Dim'!A:A,'Customer_Dim'!K:K,"Not Found")</f>
        <v>Bronze</v>
      </c>
      <c r="P1715">
        <f>_xlfn.XLOOKUP(Sales_fact[[#This Row],[Customer_ID]],'Customer_Dim'!A:A, 'Customer_Dim'!E:E, "Not Found")</f>
        <v>45</v>
      </c>
      <c r="Q1715" t="str">
        <f>VLOOKUP(Sales_fact[[#This Row],[Customer_ID]], 'Customer_Dim'!A:F, 6, FALSE)</f>
        <v>Male</v>
      </c>
      <c r="R1715" s="13" t="str">
        <f>_xlfn.XLOOKUP(Sales_fact[[#This Row],[Product_ID]],Product_Dim!A:A,Product_Dim!C:C,"OTHERS")</f>
        <v>Electronics</v>
      </c>
    </row>
    <row r="1716" spans="1:18" x14ac:dyDescent="0.3">
      <c r="A1716" t="s">
        <v>3540</v>
      </c>
      <c r="B1716" s="2">
        <v>45347</v>
      </c>
      <c r="C1716" t="s">
        <v>1492</v>
      </c>
      <c r="D1716" t="s">
        <v>1622</v>
      </c>
      <c r="E1716" t="str">
        <f ca="1">TRIM(Sales_fact[[#This Row],[Store_ID]])</f>
        <v>STORE14</v>
      </c>
      <c r="F1716">
        <v>4</v>
      </c>
      <c r="G1716">
        <f>IF(ISBLANK(F1716),MODE($F$2:$F$2001),F1716)</f>
        <v>4</v>
      </c>
      <c r="H1716">
        <v>746.36</v>
      </c>
      <c r="I1716">
        <f>IF(ISBLANK(H1716),AVERAGE($H$2:$H$2001),H1716)</f>
        <v>746.36</v>
      </c>
      <c r="J1716">
        <v>0.02</v>
      </c>
      <c r="K1716">
        <f>IF(ISBLANK(J1716),MODE($J$2:$J$2001),J1716)</f>
        <v>0.02</v>
      </c>
      <c r="L1716" t="s">
        <v>1824</v>
      </c>
      <c r="M1716">
        <v>2925.7312000000002</v>
      </c>
      <c r="N1716">
        <f t="shared" si="26"/>
        <v>2925.7312000000002</v>
      </c>
      <c r="O1716" t="str">
        <f>_xlfn.XLOOKUP(Sales_fact[[#This Row],[Customer_ID]],'Customer_Dim'!A:A,'Customer_Dim'!K:K,"Not Found")</f>
        <v>Bronze</v>
      </c>
      <c r="P1716">
        <f>_xlfn.XLOOKUP(Sales_fact[[#This Row],[Customer_ID]],'Customer_Dim'!A:A, 'Customer_Dim'!E:E, "Not Found")</f>
        <v>46</v>
      </c>
      <c r="Q1716" t="str">
        <f>VLOOKUP(Sales_fact[[#This Row],[Customer_ID]], 'Customer_Dim'!A:F, 6, FALSE)</f>
        <v>Female</v>
      </c>
      <c r="R1716" s="13" t="str">
        <f>_xlfn.XLOOKUP(Sales_fact[[#This Row],[Product_ID]],Product_Dim!A:A,Product_Dim!C:C,"OTHERS")</f>
        <v>Clothing</v>
      </c>
    </row>
    <row r="1717" spans="1:18" x14ac:dyDescent="0.3">
      <c r="A1717" t="s">
        <v>3541</v>
      </c>
      <c r="B1717" s="2">
        <v>45823</v>
      </c>
      <c r="C1717" t="s">
        <v>1343</v>
      </c>
      <c r="D1717" t="s">
        <v>1572</v>
      </c>
      <c r="E1717" t="str">
        <f ca="1">TRIM(Sales_fact[[#This Row],[Store_ID]])</f>
        <v>STORE1</v>
      </c>
      <c r="F1717">
        <v>1</v>
      </c>
      <c r="G1717">
        <f>IF(ISBLANK(F1717),MODE($F$2:$F$2001),F1717)</f>
        <v>1</v>
      </c>
      <c r="H1717">
        <v>120.83</v>
      </c>
      <c r="I1717">
        <f>IF(ISBLANK(H1717),AVERAGE($H$2:$H$2001),H1717)</f>
        <v>120.83</v>
      </c>
      <c r="J1717">
        <v>0.08</v>
      </c>
      <c r="K1717">
        <f>IF(ISBLANK(J1717),MODE($J$2:$J$2001),J1717)</f>
        <v>0.08</v>
      </c>
      <c r="L1717" t="s">
        <v>1824</v>
      </c>
      <c r="M1717">
        <v>111.1636</v>
      </c>
      <c r="N1717">
        <f t="shared" si="26"/>
        <v>111.1636</v>
      </c>
      <c r="O1717" t="str">
        <f>_xlfn.XLOOKUP(Sales_fact[[#This Row],[Customer_ID]],'Customer_Dim'!A:A,'Customer_Dim'!K:K,"Not Found")</f>
        <v>Silver</v>
      </c>
      <c r="P1717">
        <f>_xlfn.XLOOKUP(Sales_fact[[#This Row],[Customer_ID]],'Customer_Dim'!A:A, 'Customer_Dim'!E:E, "Not Found")</f>
        <v>51</v>
      </c>
      <c r="Q1717" t="str">
        <f>VLOOKUP(Sales_fact[[#This Row],[Customer_ID]], 'Customer_Dim'!A:F, 6, FALSE)</f>
        <v>Female</v>
      </c>
      <c r="R1717" s="13" t="str">
        <f>_xlfn.XLOOKUP(Sales_fact[[#This Row],[Product_ID]],Product_Dim!A:A,Product_Dim!C:C,"OTHERS")</f>
        <v>Beauty</v>
      </c>
    </row>
    <row r="1718" spans="1:18" x14ac:dyDescent="0.3">
      <c r="A1718" t="s">
        <v>3542</v>
      </c>
      <c r="B1718" s="2">
        <v>45394</v>
      </c>
      <c r="C1718" t="s">
        <v>1243</v>
      </c>
      <c r="D1718" t="s">
        <v>1702</v>
      </c>
      <c r="E1718" t="str">
        <f ca="1">TRIM(Sales_fact[[#This Row],[Store_ID]])</f>
        <v>STORE18</v>
      </c>
      <c r="F1718">
        <v>2</v>
      </c>
      <c r="G1718">
        <f>IF(ISBLANK(F1718),MODE($F$2:$F$2001),F1718)</f>
        <v>2</v>
      </c>
      <c r="H1718">
        <v>68.31</v>
      </c>
      <c r="I1718">
        <f>IF(ISBLANK(H1718),AVERAGE($H$2:$H$2001),H1718)</f>
        <v>68.31</v>
      </c>
      <c r="J1718">
        <v>0.28999999999999998</v>
      </c>
      <c r="K1718">
        <f>IF(ISBLANK(J1718),MODE($J$2:$J$2001),J1718)</f>
        <v>0.28999999999999998</v>
      </c>
      <c r="L1718" t="s">
        <v>1829</v>
      </c>
      <c r="M1718">
        <v>97.000199999999992</v>
      </c>
      <c r="N1718">
        <f t="shared" si="26"/>
        <v>97.000199999999992</v>
      </c>
      <c r="O1718" t="str">
        <f>_xlfn.XLOOKUP(Sales_fact[[#This Row],[Customer_ID]],'Customer_Dim'!A:A,'Customer_Dim'!K:K,"Not Found")</f>
        <v>Bronze</v>
      </c>
      <c r="P1718">
        <f>_xlfn.XLOOKUP(Sales_fact[[#This Row],[Customer_ID]],'Customer_Dim'!A:A, 'Customer_Dim'!E:E, "Not Found")</f>
        <v>27</v>
      </c>
      <c r="Q1718" t="str">
        <f>VLOOKUP(Sales_fact[[#This Row],[Customer_ID]], 'Customer_Dim'!A:F, 6, FALSE)</f>
        <v>Male</v>
      </c>
      <c r="R1718" s="13" t="str">
        <f>_xlfn.XLOOKUP(Sales_fact[[#This Row],[Product_ID]],Product_Dim!A:A,Product_Dim!C:C,"OTHERS")</f>
        <v>Electronics</v>
      </c>
    </row>
    <row r="1719" spans="1:18" x14ac:dyDescent="0.3">
      <c r="A1719" t="s">
        <v>3543</v>
      </c>
      <c r="B1719" s="2">
        <v>45265</v>
      </c>
      <c r="C1719" t="s">
        <v>230</v>
      </c>
      <c r="D1719" t="s">
        <v>1592</v>
      </c>
      <c r="E1719" t="str">
        <f ca="1">TRIM(Sales_fact[[#This Row],[Store_ID]])</f>
        <v>STORE18</v>
      </c>
      <c r="F1719">
        <v>2</v>
      </c>
      <c r="G1719">
        <f>IF(ISBLANK(F1719),MODE($F$2:$F$2001),F1719)</f>
        <v>2</v>
      </c>
      <c r="H1719">
        <v>761.71</v>
      </c>
      <c r="I1719">
        <f>IF(ISBLANK(H1719),AVERAGE($H$2:$H$2001),H1719)</f>
        <v>761.71</v>
      </c>
      <c r="J1719">
        <v>0.02</v>
      </c>
      <c r="K1719">
        <f>IF(ISBLANK(J1719),MODE($J$2:$J$2001),J1719)</f>
        <v>0.02</v>
      </c>
      <c r="L1719" t="s">
        <v>1826</v>
      </c>
      <c r="M1719">
        <v>1492.9516000000001</v>
      </c>
      <c r="N1719">
        <f t="shared" si="26"/>
        <v>1492.9516000000001</v>
      </c>
      <c r="O1719" t="str">
        <f>_xlfn.XLOOKUP(Sales_fact[[#This Row],[Customer_ID]],'Customer_Dim'!A:A,'Customer_Dim'!K:K,"Not Found")</f>
        <v>Bronze</v>
      </c>
      <c r="P1719">
        <f>_xlfn.XLOOKUP(Sales_fact[[#This Row],[Customer_ID]],'Customer_Dim'!A:A, 'Customer_Dim'!E:E, "Not Found")</f>
        <v>50</v>
      </c>
      <c r="Q1719" t="str">
        <f>VLOOKUP(Sales_fact[[#This Row],[Customer_ID]], 'Customer_Dim'!A:F, 6, FALSE)</f>
        <v>Male</v>
      </c>
      <c r="R1719" s="13" t="str">
        <f>_xlfn.XLOOKUP(Sales_fact[[#This Row],[Product_ID]],Product_Dim!A:A,Product_Dim!C:C,"OTHERS")</f>
        <v>Sports</v>
      </c>
    </row>
    <row r="1720" spans="1:18" x14ac:dyDescent="0.3">
      <c r="A1720" t="s">
        <v>3544</v>
      </c>
      <c r="B1720" s="2">
        <v>45261</v>
      </c>
      <c r="C1720" t="s">
        <v>244</v>
      </c>
      <c r="D1720" t="s">
        <v>1704</v>
      </c>
      <c r="E1720" t="str">
        <f ca="1">TRIM(Sales_fact[[#This Row],[Store_ID]])</f>
        <v>STORE3</v>
      </c>
      <c r="F1720">
        <v>4</v>
      </c>
      <c r="G1720">
        <f>IF(ISBLANK(F1720),MODE($F$2:$F$2001),F1720)</f>
        <v>4</v>
      </c>
      <c r="H1720">
        <v>346.37</v>
      </c>
      <c r="I1720">
        <f>IF(ISBLANK(H1720),AVERAGE($H$2:$H$2001),H1720)</f>
        <v>346.37</v>
      </c>
      <c r="J1720">
        <v>0.18</v>
      </c>
      <c r="K1720">
        <f>IF(ISBLANK(J1720),MODE($J$2:$J$2001),J1720)</f>
        <v>0.18</v>
      </c>
      <c r="L1720" t="s">
        <v>1829</v>
      </c>
      <c r="M1720">
        <v>1136.0935999999999</v>
      </c>
      <c r="N1720">
        <f t="shared" si="26"/>
        <v>1136.0936000000002</v>
      </c>
      <c r="O1720" t="str">
        <f>_xlfn.XLOOKUP(Sales_fact[[#This Row],[Customer_ID]],'Customer_Dim'!A:A,'Customer_Dim'!K:K,"Not Found")</f>
        <v>Silver</v>
      </c>
      <c r="P1720">
        <f>_xlfn.XLOOKUP(Sales_fact[[#This Row],[Customer_ID]],'Customer_Dim'!A:A, 'Customer_Dim'!E:E, "Not Found")</f>
        <v>27</v>
      </c>
      <c r="Q1720" t="str">
        <f>VLOOKUP(Sales_fact[[#This Row],[Customer_ID]], 'Customer_Dim'!A:F, 6, FALSE)</f>
        <v>Female</v>
      </c>
      <c r="R1720" s="13" t="str">
        <f>_xlfn.XLOOKUP(Sales_fact[[#This Row],[Product_ID]],Product_Dim!A:A,Product_Dim!C:C,"OTHERS")</f>
        <v>Home</v>
      </c>
    </row>
    <row r="1721" spans="1:18" x14ac:dyDescent="0.3">
      <c r="A1721" t="s">
        <v>3545</v>
      </c>
      <c r="B1721" s="2">
        <v>45702</v>
      </c>
      <c r="C1721" t="s">
        <v>40</v>
      </c>
      <c r="D1721" t="s">
        <v>1658</v>
      </c>
      <c r="E1721" t="str">
        <f ca="1">TRIM(Sales_fact[[#This Row],[Store_ID]])</f>
        <v>STORE12</v>
      </c>
      <c r="F1721">
        <v>1</v>
      </c>
      <c r="G1721">
        <f>IF(ISBLANK(F1721),MODE($F$2:$F$2001),F1721)</f>
        <v>1</v>
      </c>
      <c r="H1721">
        <v>846.3</v>
      </c>
      <c r="I1721">
        <f>IF(ISBLANK(H1721),AVERAGE($H$2:$H$2001),H1721)</f>
        <v>846.3</v>
      </c>
      <c r="J1721">
        <v>0.14000000000000001</v>
      </c>
      <c r="K1721">
        <f>IF(ISBLANK(J1721),MODE($J$2:$J$2001),J1721)</f>
        <v>0.14000000000000001</v>
      </c>
      <c r="L1721" t="s">
        <v>1826</v>
      </c>
      <c r="M1721">
        <v>727.81799999999998</v>
      </c>
      <c r="N1721">
        <f t="shared" si="26"/>
        <v>727.81799999999998</v>
      </c>
      <c r="O1721" t="str">
        <f>_xlfn.XLOOKUP(Sales_fact[[#This Row],[Customer_ID]],'Customer_Dim'!A:A,'Customer_Dim'!K:K,"Not Found")</f>
        <v>Bronze</v>
      </c>
      <c r="P1721">
        <f>_xlfn.XLOOKUP(Sales_fact[[#This Row],[Customer_ID]],'Customer_Dim'!A:A, 'Customer_Dim'!E:E, "Not Found")</f>
        <v>29</v>
      </c>
      <c r="Q1721" t="str">
        <f>VLOOKUP(Sales_fact[[#This Row],[Customer_ID]], 'Customer_Dim'!A:F, 6, FALSE)</f>
        <v>Female</v>
      </c>
      <c r="R1721" s="13" t="str">
        <f>_xlfn.XLOOKUP(Sales_fact[[#This Row],[Product_ID]],Product_Dim!A:A,Product_Dim!C:C,"OTHERS")</f>
        <v>Home</v>
      </c>
    </row>
    <row r="1722" spans="1:18" x14ac:dyDescent="0.3">
      <c r="A1722" t="s">
        <v>3546</v>
      </c>
      <c r="B1722" s="2">
        <v>45624</v>
      </c>
      <c r="C1722" t="s">
        <v>1340</v>
      </c>
      <c r="D1722" t="s">
        <v>1543</v>
      </c>
      <c r="E1722" t="str">
        <f ca="1">TRIM(Sales_fact[[#This Row],[Store_ID]])</f>
        <v>STORE19</v>
      </c>
      <c r="F1722">
        <v>1</v>
      </c>
      <c r="G1722">
        <f>IF(ISBLANK(F1722),MODE($F$2:$F$2001),F1722)</f>
        <v>1</v>
      </c>
      <c r="H1722">
        <v>458.97</v>
      </c>
      <c r="I1722">
        <f>IF(ISBLANK(H1722),AVERAGE($H$2:$H$2001),H1722)</f>
        <v>458.97</v>
      </c>
      <c r="J1722">
        <v>0.1</v>
      </c>
      <c r="K1722">
        <f>IF(ISBLANK(J1722),MODE($J$2:$J$2001),J1722)</f>
        <v>0.1</v>
      </c>
      <c r="L1722" t="s">
        <v>1826</v>
      </c>
      <c r="M1722">
        <v>413.07299999999998</v>
      </c>
      <c r="N1722">
        <f t="shared" si="26"/>
        <v>413.07300000000004</v>
      </c>
      <c r="O1722" t="str">
        <f>_xlfn.XLOOKUP(Sales_fact[[#This Row],[Customer_ID]],'Customer_Dim'!A:A,'Customer_Dim'!K:K,"Not Found")</f>
        <v>Bronze</v>
      </c>
      <c r="P1722">
        <f>_xlfn.XLOOKUP(Sales_fact[[#This Row],[Customer_ID]],'Customer_Dim'!A:A, 'Customer_Dim'!E:E, "Not Found")</f>
        <v>37</v>
      </c>
      <c r="Q1722" t="str">
        <f>VLOOKUP(Sales_fact[[#This Row],[Customer_ID]], 'Customer_Dim'!A:F, 6, FALSE)</f>
        <v>Male</v>
      </c>
      <c r="R1722" s="13" t="str">
        <f>_xlfn.XLOOKUP(Sales_fact[[#This Row],[Product_ID]],Product_Dim!A:A,Product_Dim!C:C,"OTHERS")</f>
        <v>Electronics</v>
      </c>
    </row>
    <row r="1723" spans="1:18" x14ac:dyDescent="0.3">
      <c r="A1723" t="s">
        <v>3547</v>
      </c>
      <c r="B1723" s="2">
        <v>45736</v>
      </c>
      <c r="C1723" t="s">
        <v>917</v>
      </c>
      <c r="D1723" t="s">
        <v>1634</v>
      </c>
      <c r="E1723" t="str">
        <f ca="1">TRIM(Sales_fact[[#This Row],[Store_ID]])</f>
        <v>STORE7</v>
      </c>
      <c r="F1723">
        <v>2</v>
      </c>
      <c r="G1723">
        <f>IF(ISBLANK(F1723),MODE($F$2:$F$2001),F1723)</f>
        <v>2</v>
      </c>
      <c r="H1723">
        <v>536.61</v>
      </c>
      <c r="I1723">
        <f>IF(ISBLANK(H1723),AVERAGE($H$2:$H$2001),H1723)</f>
        <v>536.61</v>
      </c>
      <c r="J1723">
        <v>0.14000000000000001</v>
      </c>
      <c r="K1723">
        <f>IF(ISBLANK(J1723),MODE($J$2:$J$2001),J1723)</f>
        <v>0.14000000000000001</v>
      </c>
      <c r="L1723" t="s">
        <v>1824</v>
      </c>
      <c r="M1723">
        <v>922.9692</v>
      </c>
      <c r="N1723">
        <f t="shared" si="26"/>
        <v>922.9692</v>
      </c>
      <c r="O1723" t="str">
        <f>_xlfn.XLOOKUP(Sales_fact[[#This Row],[Customer_ID]],'Customer_Dim'!A:A,'Customer_Dim'!K:K,"Not Found")</f>
        <v>Bronze</v>
      </c>
      <c r="P1723">
        <f>_xlfn.XLOOKUP(Sales_fact[[#This Row],[Customer_ID]],'Customer_Dim'!A:A, 'Customer_Dim'!E:E, "Not Found")</f>
        <v>45</v>
      </c>
      <c r="Q1723" t="str">
        <f>VLOOKUP(Sales_fact[[#This Row],[Customer_ID]], 'Customer_Dim'!A:F, 6, FALSE)</f>
        <v>Male</v>
      </c>
      <c r="R1723" s="13" t="str">
        <f>_xlfn.XLOOKUP(Sales_fact[[#This Row],[Product_ID]],Product_Dim!A:A,Product_Dim!C:C,"OTHERS")</f>
        <v>Electronics</v>
      </c>
    </row>
    <row r="1724" spans="1:18" x14ac:dyDescent="0.3">
      <c r="A1724" t="s">
        <v>3548</v>
      </c>
      <c r="B1724" s="2">
        <v>45709</v>
      </c>
      <c r="C1724" t="s">
        <v>1304</v>
      </c>
      <c r="D1724" t="s">
        <v>1664</v>
      </c>
      <c r="E1724" t="str">
        <f ca="1">TRIM(Sales_fact[[#This Row],[Store_ID]])</f>
        <v>STORE0</v>
      </c>
      <c r="F1724">
        <v>3</v>
      </c>
      <c r="G1724">
        <f>IF(ISBLANK(F1724),MODE($F$2:$F$2001),F1724)</f>
        <v>3</v>
      </c>
      <c r="H1724">
        <v>130.41</v>
      </c>
      <c r="I1724">
        <f>IF(ISBLANK(H1724),AVERAGE($H$2:$H$2001),H1724)</f>
        <v>130.41</v>
      </c>
      <c r="J1724">
        <v>0.14000000000000001</v>
      </c>
      <c r="K1724">
        <f>IF(ISBLANK(J1724),MODE($J$2:$J$2001),J1724)</f>
        <v>0.14000000000000001</v>
      </c>
      <c r="L1724" t="s">
        <v>1826</v>
      </c>
      <c r="M1724">
        <v>336.45780000000002</v>
      </c>
      <c r="N1724">
        <f t="shared" si="26"/>
        <v>336.45780000000002</v>
      </c>
      <c r="O1724" t="str">
        <f>_xlfn.XLOOKUP(Sales_fact[[#This Row],[Customer_ID]],'Customer_Dim'!A:A,'Customer_Dim'!K:K,"Not Found")</f>
        <v>Bronze</v>
      </c>
      <c r="P1724">
        <f>_xlfn.XLOOKUP(Sales_fact[[#This Row],[Customer_ID]],'Customer_Dim'!A:A, 'Customer_Dim'!E:E, "Not Found")</f>
        <v>60</v>
      </c>
      <c r="Q1724" t="str">
        <f>VLOOKUP(Sales_fact[[#This Row],[Customer_ID]], 'Customer_Dim'!A:F, 6, FALSE)</f>
        <v>Male</v>
      </c>
      <c r="R1724" s="13" t="str">
        <f>_xlfn.XLOOKUP(Sales_fact[[#This Row],[Product_ID]],Product_Dim!A:A,Product_Dim!C:C,"OTHERS")</f>
        <v>Clothing</v>
      </c>
    </row>
    <row r="1725" spans="1:18" x14ac:dyDescent="0.3">
      <c r="A1725" t="s">
        <v>3549</v>
      </c>
      <c r="B1725" s="2">
        <v>45738</v>
      </c>
      <c r="C1725" t="s">
        <v>1524</v>
      </c>
      <c r="D1725" t="s">
        <v>1726</v>
      </c>
      <c r="E1725" t="str">
        <f ca="1">TRIM(Sales_fact[[#This Row],[Store_ID]])</f>
        <v>STORE12</v>
      </c>
      <c r="F1725">
        <v>4</v>
      </c>
      <c r="G1725">
        <f>IF(ISBLANK(F1725),MODE($F$2:$F$2001),F1725)</f>
        <v>4</v>
      </c>
      <c r="H1725">
        <v>706.67</v>
      </c>
      <c r="I1725">
        <f>IF(ISBLANK(H1725),AVERAGE($H$2:$H$2001),H1725)</f>
        <v>706.67</v>
      </c>
      <c r="J1725">
        <v>0.01</v>
      </c>
      <c r="K1725">
        <f>IF(ISBLANK(J1725),MODE($J$2:$J$2001),J1725)</f>
        <v>0.01</v>
      </c>
      <c r="L1725" t="s">
        <v>1824</v>
      </c>
      <c r="M1725">
        <v>2798.4132</v>
      </c>
      <c r="N1725">
        <f t="shared" si="26"/>
        <v>2798.4132</v>
      </c>
      <c r="O1725" t="str">
        <f>_xlfn.XLOOKUP(Sales_fact[[#This Row],[Customer_ID]],'Customer_Dim'!A:A,'Customer_Dim'!K:K,"Not Found")</f>
        <v>Bronze</v>
      </c>
      <c r="P1725">
        <f>_xlfn.XLOOKUP(Sales_fact[[#This Row],[Customer_ID]],'Customer_Dim'!A:A, 'Customer_Dim'!E:E, "Not Found")</f>
        <v>56</v>
      </c>
      <c r="Q1725" t="str">
        <f>VLOOKUP(Sales_fact[[#This Row],[Customer_ID]], 'Customer_Dim'!A:F, 6, FALSE)</f>
        <v>Male</v>
      </c>
      <c r="R1725" s="13" t="str">
        <f>_xlfn.XLOOKUP(Sales_fact[[#This Row],[Product_ID]],Product_Dim!A:A,Product_Dim!C:C,"OTHERS")</f>
        <v>Beauty</v>
      </c>
    </row>
    <row r="1726" spans="1:18" x14ac:dyDescent="0.3">
      <c r="A1726" t="s">
        <v>3550</v>
      </c>
      <c r="B1726" s="2">
        <v>45685</v>
      </c>
      <c r="C1726" t="s">
        <v>1223</v>
      </c>
      <c r="D1726" t="s">
        <v>1602</v>
      </c>
      <c r="E1726" t="str">
        <f ca="1">TRIM(Sales_fact[[#This Row],[Store_ID]])</f>
        <v>STORE3</v>
      </c>
      <c r="F1726">
        <v>3</v>
      </c>
      <c r="G1726">
        <f>IF(ISBLANK(F1726),MODE($F$2:$F$2001),F1726)</f>
        <v>3</v>
      </c>
      <c r="H1726">
        <v>523.45000000000005</v>
      </c>
      <c r="I1726">
        <f>IF(ISBLANK(H1726),AVERAGE($H$2:$H$2001),H1726)</f>
        <v>523.45000000000005</v>
      </c>
      <c r="J1726">
        <v>0.17</v>
      </c>
      <c r="K1726">
        <f>IF(ISBLANK(J1726),MODE($J$2:$J$2001),J1726)</f>
        <v>0.17</v>
      </c>
      <c r="L1726" t="s">
        <v>1824</v>
      </c>
      <c r="M1726">
        <v>1303.3905</v>
      </c>
      <c r="N1726">
        <f t="shared" si="26"/>
        <v>1303.3905</v>
      </c>
      <c r="O1726" t="str">
        <f>_xlfn.XLOOKUP(Sales_fact[[#This Row],[Customer_ID]],'Customer_Dim'!A:A,'Customer_Dim'!K:K,"Not Found")</f>
        <v>Gold</v>
      </c>
      <c r="P1726">
        <f>_xlfn.XLOOKUP(Sales_fact[[#This Row],[Customer_ID]],'Customer_Dim'!A:A, 'Customer_Dim'!E:E, "Not Found")</f>
        <v>46</v>
      </c>
      <c r="Q1726" t="str">
        <f>VLOOKUP(Sales_fact[[#This Row],[Customer_ID]], 'Customer_Dim'!A:F, 6, FALSE)</f>
        <v>Male</v>
      </c>
      <c r="R1726" s="13" t="str">
        <f>_xlfn.XLOOKUP(Sales_fact[[#This Row],[Product_ID]],Product_Dim!A:A,Product_Dim!C:C,"OTHERS")</f>
        <v>Home</v>
      </c>
    </row>
    <row r="1727" spans="1:18" x14ac:dyDescent="0.3">
      <c r="A1727" t="s">
        <v>3551</v>
      </c>
      <c r="B1727" s="2">
        <v>45701</v>
      </c>
      <c r="C1727" t="s">
        <v>48</v>
      </c>
      <c r="D1727" t="s">
        <v>1730</v>
      </c>
      <c r="E1727" t="str">
        <f ca="1">TRIM(Sales_fact[[#This Row],[Store_ID]])</f>
        <v>STORE18</v>
      </c>
      <c r="F1727">
        <v>3</v>
      </c>
      <c r="G1727">
        <f>IF(ISBLANK(F1727),MODE($F$2:$F$2001),F1727)</f>
        <v>3</v>
      </c>
      <c r="H1727">
        <v>482.2</v>
      </c>
      <c r="I1727">
        <f>IF(ISBLANK(H1727),AVERAGE($H$2:$H$2001),H1727)</f>
        <v>482.2</v>
      </c>
      <c r="J1727">
        <v>0.23</v>
      </c>
      <c r="K1727">
        <f>IF(ISBLANK(J1727),MODE($J$2:$J$2001),J1727)</f>
        <v>0.23</v>
      </c>
      <c r="L1727" t="s">
        <v>1829</v>
      </c>
      <c r="M1727">
        <v>1113.8820000000001</v>
      </c>
      <c r="N1727">
        <f t="shared" si="26"/>
        <v>1113.8820000000001</v>
      </c>
      <c r="O1727" t="str">
        <f>_xlfn.XLOOKUP(Sales_fact[[#This Row],[Customer_ID]],'Customer_Dim'!A:A,'Customer_Dim'!K:K,"Not Found")</f>
        <v>Platinum</v>
      </c>
      <c r="P1727">
        <f>_xlfn.XLOOKUP(Sales_fact[[#This Row],[Customer_ID]],'Customer_Dim'!A:A, 'Customer_Dim'!E:E, "Not Found")</f>
        <v>64</v>
      </c>
      <c r="Q1727" t="str">
        <f>VLOOKUP(Sales_fact[[#This Row],[Customer_ID]], 'Customer_Dim'!A:F, 6, FALSE)</f>
        <v>Male</v>
      </c>
      <c r="R1727" s="13" t="str">
        <f>_xlfn.XLOOKUP(Sales_fact[[#This Row],[Product_ID]],Product_Dim!A:A,Product_Dim!C:C,"OTHERS")</f>
        <v>Clothing</v>
      </c>
    </row>
    <row r="1728" spans="1:18" x14ac:dyDescent="0.3">
      <c r="A1728" t="s">
        <v>3552</v>
      </c>
      <c r="B1728" s="2">
        <v>45745</v>
      </c>
      <c r="C1728" t="s">
        <v>428</v>
      </c>
      <c r="D1728" t="s">
        <v>1674</v>
      </c>
      <c r="E1728" t="str">
        <f ca="1">TRIM(Sales_fact[[#This Row],[Store_ID]])</f>
        <v>STORE5</v>
      </c>
      <c r="F1728">
        <v>4</v>
      </c>
      <c r="G1728">
        <f>IF(ISBLANK(F1728),MODE($F$2:$F$2001),F1728)</f>
        <v>4</v>
      </c>
      <c r="H1728">
        <v>688.86</v>
      </c>
      <c r="I1728">
        <f>IF(ISBLANK(H1728),AVERAGE($H$2:$H$2001),H1728)</f>
        <v>688.86</v>
      </c>
      <c r="J1728">
        <v>0.02</v>
      </c>
      <c r="K1728">
        <f>IF(ISBLANK(J1728),MODE($J$2:$J$2001),J1728)</f>
        <v>0.02</v>
      </c>
      <c r="L1728" t="s">
        <v>1829</v>
      </c>
      <c r="M1728">
        <v>2700.3312000000001</v>
      </c>
      <c r="N1728">
        <f t="shared" si="26"/>
        <v>2700.3312000000001</v>
      </c>
      <c r="O1728" t="str">
        <f>_xlfn.XLOOKUP(Sales_fact[[#This Row],[Customer_ID]],'Customer_Dim'!A:A,'Customer_Dim'!K:K,"Not Found")</f>
        <v>Bronze</v>
      </c>
      <c r="P1728">
        <f>_xlfn.XLOOKUP(Sales_fact[[#This Row],[Customer_ID]],'Customer_Dim'!A:A, 'Customer_Dim'!E:E, "Not Found")</f>
        <v>26</v>
      </c>
      <c r="Q1728" t="str">
        <f>VLOOKUP(Sales_fact[[#This Row],[Customer_ID]], 'Customer_Dim'!A:F, 6, FALSE)</f>
        <v>Male</v>
      </c>
      <c r="R1728" s="13" t="str">
        <f>_xlfn.XLOOKUP(Sales_fact[[#This Row],[Product_ID]],Product_Dim!A:A,Product_Dim!C:C,"OTHERS")</f>
        <v>Beauty</v>
      </c>
    </row>
    <row r="1729" spans="1:18" x14ac:dyDescent="0.3">
      <c r="A1729" t="s">
        <v>3553</v>
      </c>
      <c r="B1729" s="2">
        <v>45214</v>
      </c>
      <c r="C1729" t="s">
        <v>100</v>
      </c>
      <c r="D1729" t="s">
        <v>1572</v>
      </c>
      <c r="E1729" t="str">
        <f ca="1">TRIM(Sales_fact[[#This Row],[Store_ID]])</f>
        <v>STORE0</v>
      </c>
      <c r="F1729">
        <v>1</v>
      </c>
      <c r="G1729">
        <f>IF(ISBLANK(F1729),MODE($F$2:$F$2001),F1729)</f>
        <v>1</v>
      </c>
      <c r="H1729">
        <v>145.47999999999999</v>
      </c>
      <c r="I1729">
        <f>IF(ISBLANK(H1729),AVERAGE($H$2:$H$2001),H1729)</f>
        <v>145.47999999999999</v>
      </c>
      <c r="J1729">
        <v>0.1</v>
      </c>
      <c r="K1729">
        <f>IF(ISBLANK(J1729),MODE($J$2:$J$2001),J1729)</f>
        <v>0.1</v>
      </c>
      <c r="L1729" t="s">
        <v>1829</v>
      </c>
      <c r="M1729">
        <v>130.93199999999999</v>
      </c>
      <c r="N1729">
        <f t="shared" si="26"/>
        <v>130.93199999999999</v>
      </c>
      <c r="O1729" t="str">
        <f>_xlfn.XLOOKUP(Sales_fact[[#This Row],[Customer_ID]],'Customer_Dim'!A:A,'Customer_Dim'!K:K,"Not Found")</f>
        <v>Silver</v>
      </c>
      <c r="P1729">
        <f>_xlfn.XLOOKUP(Sales_fact[[#This Row],[Customer_ID]],'Customer_Dim'!A:A, 'Customer_Dim'!E:E, "Not Found")</f>
        <v>52</v>
      </c>
      <c r="Q1729" t="str">
        <f>VLOOKUP(Sales_fact[[#This Row],[Customer_ID]], 'Customer_Dim'!A:F, 6, FALSE)</f>
        <v>Female</v>
      </c>
      <c r="R1729" s="13" t="str">
        <f>_xlfn.XLOOKUP(Sales_fact[[#This Row],[Product_ID]],Product_Dim!A:A,Product_Dim!C:C,"OTHERS")</f>
        <v>Beauty</v>
      </c>
    </row>
    <row r="1730" spans="1:18" x14ac:dyDescent="0.3">
      <c r="A1730" t="s">
        <v>3554</v>
      </c>
      <c r="B1730" s="2">
        <v>45547</v>
      </c>
      <c r="C1730" t="s">
        <v>198</v>
      </c>
      <c r="D1730" t="s">
        <v>1610</v>
      </c>
      <c r="E1730" t="str">
        <f ca="1">TRIM(Sales_fact[[#This Row],[Store_ID]])</f>
        <v>STORE11</v>
      </c>
      <c r="F1730">
        <v>4</v>
      </c>
      <c r="G1730">
        <f>IF(ISBLANK(F1730),MODE($F$2:$F$2001),F1730)</f>
        <v>4</v>
      </c>
      <c r="H1730">
        <v>862.25</v>
      </c>
      <c r="I1730">
        <f>IF(ISBLANK(H1730),AVERAGE($H$2:$H$2001),H1730)</f>
        <v>862.25</v>
      </c>
      <c r="J1730">
        <v>0.28000000000000003</v>
      </c>
      <c r="K1730">
        <f>IF(ISBLANK(J1730),MODE($J$2:$J$2001),J1730)</f>
        <v>0.28000000000000003</v>
      </c>
      <c r="L1730" t="s">
        <v>1826</v>
      </c>
      <c r="M1730">
        <v>2483.2800000000002</v>
      </c>
      <c r="N1730">
        <f t="shared" si="26"/>
        <v>2483.2799999999997</v>
      </c>
      <c r="O1730" t="str">
        <f>_xlfn.XLOOKUP(Sales_fact[[#This Row],[Customer_ID]],'Customer_Dim'!A:A,'Customer_Dim'!K:K,"Not Found")</f>
        <v>Bronze</v>
      </c>
      <c r="P1730">
        <f>_xlfn.XLOOKUP(Sales_fact[[#This Row],[Customer_ID]],'Customer_Dim'!A:A, 'Customer_Dim'!E:E, "Not Found")</f>
        <v>55</v>
      </c>
      <c r="Q1730" t="str">
        <f>VLOOKUP(Sales_fact[[#This Row],[Customer_ID]], 'Customer_Dim'!A:F, 6, FALSE)</f>
        <v>Male</v>
      </c>
      <c r="R1730" s="13" t="str">
        <f>_xlfn.XLOOKUP(Sales_fact[[#This Row],[Product_ID]],Product_Dim!A:A,Product_Dim!C:C,"OTHERS")</f>
        <v>Sports</v>
      </c>
    </row>
    <row r="1731" spans="1:18" x14ac:dyDescent="0.3">
      <c r="A1731" t="s">
        <v>3555</v>
      </c>
      <c r="B1731" s="2">
        <v>45296</v>
      </c>
      <c r="C1731" t="s">
        <v>926</v>
      </c>
      <c r="D1731" t="s">
        <v>1546</v>
      </c>
      <c r="E1731" t="str">
        <f ca="1">TRIM(Sales_fact[[#This Row],[Store_ID]])</f>
        <v>STORE14</v>
      </c>
      <c r="F1731">
        <v>4</v>
      </c>
      <c r="G1731">
        <f>IF(ISBLANK(F1731),MODE($F$2:$F$2001),F1731)</f>
        <v>4</v>
      </c>
      <c r="H1731">
        <v>146.12</v>
      </c>
      <c r="I1731">
        <f>IF(ISBLANK(H1731),AVERAGE($H$2:$H$2001),H1731)</f>
        <v>146.12</v>
      </c>
      <c r="J1731">
        <v>0.12</v>
      </c>
      <c r="K1731">
        <f>IF(ISBLANK(J1731),MODE($J$2:$J$2001),J1731)</f>
        <v>0.12</v>
      </c>
      <c r="L1731" t="s">
        <v>1829</v>
      </c>
      <c r="M1731">
        <v>514.3424</v>
      </c>
      <c r="N1731">
        <f t="shared" ref="N1731:N1794" si="27">G1731*I1731*(1-K1731)</f>
        <v>514.3424</v>
      </c>
      <c r="O1731" t="str">
        <f>_xlfn.XLOOKUP(Sales_fact[[#This Row],[Customer_ID]],'Customer_Dim'!A:A,'Customer_Dim'!K:K,"Not Found")</f>
        <v>Silver</v>
      </c>
      <c r="P1731">
        <f>_xlfn.XLOOKUP(Sales_fact[[#This Row],[Customer_ID]],'Customer_Dim'!A:A, 'Customer_Dim'!E:E, "Not Found")</f>
        <v>30</v>
      </c>
      <c r="Q1731" t="str">
        <f>VLOOKUP(Sales_fact[[#This Row],[Customer_ID]], 'Customer_Dim'!A:F, 6, FALSE)</f>
        <v>Male</v>
      </c>
      <c r="R1731" s="13" t="str">
        <f>_xlfn.XLOOKUP(Sales_fact[[#This Row],[Product_ID]],Product_Dim!A:A,Product_Dim!C:C,"OTHERS")</f>
        <v>Clothing</v>
      </c>
    </row>
    <row r="1732" spans="1:18" x14ac:dyDescent="0.3">
      <c r="A1732" t="s">
        <v>3556</v>
      </c>
      <c r="B1732" s="2">
        <v>45549</v>
      </c>
      <c r="C1732" t="s">
        <v>1472</v>
      </c>
      <c r="D1732" t="s">
        <v>1610</v>
      </c>
      <c r="E1732" t="str">
        <f ca="1">TRIM(Sales_fact[[#This Row],[Store_ID]])</f>
        <v>STORE18</v>
      </c>
      <c r="F1732">
        <v>2</v>
      </c>
      <c r="G1732">
        <f>IF(ISBLANK(F1732),MODE($F$2:$F$2001),F1732)</f>
        <v>2</v>
      </c>
      <c r="H1732">
        <v>695.02</v>
      </c>
      <c r="I1732">
        <f>IF(ISBLANK(H1732),AVERAGE($H$2:$H$2001),H1732)</f>
        <v>695.02</v>
      </c>
      <c r="J1732">
        <v>0.3</v>
      </c>
      <c r="K1732">
        <f>IF(ISBLANK(J1732),MODE($J$2:$J$2001),J1732)</f>
        <v>0.3</v>
      </c>
      <c r="L1732" t="s">
        <v>1829</v>
      </c>
      <c r="M1732">
        <v>973.02799999999991</v>
      </c>
      <c r="N1732">
        <f t="shared" si="27"/>
        <v>973.02799999999991</v>
      </c>
      <c r="O1732" t="str">
        <f>_xlfn.XLOOKUP(Sales_fact[[#This Row],[Customer_ID]],'Customer_Dim'!A:A,'Customer_Dim'!K:K,"Not Found")</f>
        <v>Gold</v>
      </c>
      <c r="P1732">
        <f>_xlfn.XLOOKUP(Sales_fact[[#This Row],[Customer_ID]],'Customer_Dim'!A:A, 'Customer_Dim'!E:E, "Not Found")</f>
        <v>59</v>
      </c>
      <c r="Q1732" t="str">
        <f>VLOOKUP(Sales_fact[[#This Row],[Customer_ID]], 'Customer_Dim'!A:F, 6, FALSE)</f>
        <v>Male</v>
      </c>
      <c r="R1732" s="13" t="str">
        <f>_xlfn.XLOOKUP(Sales_fact[[#This Row],[Product_ID]],Product_Dim!A:A,Product_Dim!C:C,"OTHERS")</f>
        <v>Sports</v>
      </c>
    </row>
    <row r="1733" spans="1:18" x14ac:dyDescent="0.3">
      <c r="A1733" t="s">
        <v>3557</v>
      </c>
      <c r="B1733" s="2">
        <v>45231</v>
      </c>
      <c r="C1733" t="s">
        <v>711</v>
      </c>
      <c r="D1733" t="s">
        <v>1736</v>
      </c>
      <c r="E1733" t="str">
        <f ca="1">TRIM(Sales_fact[[#This Row],[Store_ID]])</f>
        <v>STORE10</v>
      </c>
      <c r="F1733">
        <v>2</v>
      </c>
      <c r="G1733">
        <f>IF(ISBLANK(F1733),MODE($F$2:$F$2001),F1733)</f>
        <v>2</v>
      </c>
      <c r="H1733">
        <v>886.67</v>
      </c>
      <c r="I1733">
        <f>IF(ISBLANK(H1733),AVERAGE($H$2:$H$2001),H1733)</f>
        <v>886.67</v>
      </c>
      <c r="J1733">
        <v>0.24</v>
      </c>
      <c r="K1733">
        <f>IF(ISBLANK(J1733),MODE($J$2:$J$2001),J1733)</f>
        <v>0.24</v>
      </c>
      <c r="L1733" t="s">
        <v>1826</v>
      </c>
      <c r="M1733">
        <v>1347.7384</v>
      </c>
      <c r="N1733">
        <f t="shared" si="27"/>
        <v>1347.7384</v>
      </c>
      <c r="O1733" t="str">
        <f>_xlfn.XLOOKUP(Sales_fact[[#This Row],[Customer_ID]],'Customer_Dim'!A:A,'Customer_Dim'!K:K,"Not Found")</f>
        <v>Gold</v>
      </c>
      <c r="P1733">
        <f>_xlfn.XLOOKUP(Sales_fact[[#This Row],[Customer_ID]],'Customer_Dim'!A:A, 'Customer_Dim'!E:E, "Not Found")</f>
        <v>47</v>
      </c>
      <c r="Q1733" t="str">
        <f>VLOOKUP(Sales_fact[[#This Row],[Customer_ID]], 'Customer_Dim'!A:F, 6, FALSE)</f>
        <v>Female</v>
      </c>
      <c r="R1733" s="13" t="str">
        <f>_xlfn.XLOOKUP(Sales_fact[[#This Row],[Product_ID]],Product_Dim!A:A,Product_Dim!C:C,"OTHERS")</f>
        <v>Beauty</v>
      </c>
    </row>
    <row r="1734" spans="1:18" x14ac:dyDescent="0.3">
      <c r="A1734" t="s">
        <v>3558</v>
      </c>
      <c r="B1734" s="2">
        <v>45628</v>
      </c>
      <c r="C1734" t="s">
        <v>205</v>
      </c>
      <c r="D1734" t="s">
        <v>1680</v>
      </c>
      <c r="E1734" t="str">
        <f ca="1">TRIM(Sales_fact[[#This Row],[Store_ID]])</f>
        <v>STORE18</v>
      </c>
      <c r="F1734">
        <v>2</v>
      </c>
      <c r="G1734">
        <f>IF(ISBLANK(F1734),MODE($F$2:$F$2001),F1734)</f>
        <v>2</v>
      </c>
      <c r="H1734">
        <v>864.09</v>
      </c>
      <c r="I1734">
        <f>IF(ISBLANK(H1734),AVERAGE($H$2:$H$2001),H1734)</f>
        <v>864.09</v>
      </c>
      <c r="J1734">
        <v>0.06</v>
      </c>
      <c r="K1734">
        <f>IF(ISBLANK(J1734),MODE($J$2:$J$2001),J1734)</f>
        <v>0.06</v>
      </c>
      <c r="L1734" t="s">
        <v>1829</v>
      </c>
      <c r="M1734">
        <v>1624.4892</v>
      </c>
      <c r="N1734">
        <f t="shared" si="27"/>
        <v>1624.4892</v>
      </c>
      <c r="O1734" t="str">
        <f>_xlfn.XLOOKUP(Sales_fact[[#This Row],[Customer_ID]],'Customer_Dim'!A:A,'Customer_Dim'!K:K,"Not Found")</f>
        <v>Platinum</v>
      </c>
      <c r="P1734">
        <f>_xlfn.XLOOKUP(Sales_fact[[#This Row],[Customer_ID]],'Customer_Dim'!A:A, 'Customer_Dim'!E:E, "Not Found")</f>
        <v>24</v>
      </c>
      <c r="Q1734" t="str">
        <f>VLOOKUP(Sales_fact[[#This Row],[Customer_ID]], 'Customer_Dim'!A:F, 6, FALSE)</f>
        <v>Male</v>
      </c>
      <c r="R1734" s="13" t="str">
        <f>_xlfn.XLOOKUP(Sales_fact[[#This Row],[Product_ID]],Product_Dim!A:A,Product_Dim!C:C,"OTHERS")</f>
        <v>Beauty</v>
      </c>
    </row>
    <row r="1735" spans="1:18" x14ac:dyDescent="0.3">
      <c r="A1735" t="s">
        <v>3559</v>
      </c>
      <c r="B1735" s="2">
        <v>45862</v>
      </c>
      <c r="C1735" t="s">
        <v>23</v>
      </c>
      <c r="D1735" t="s">
        <v>1572</v>
      </c>
      <c r="E1735" t="str">
        <f ca="1">TRIM(Sales_fact[[#This Row],[Store_ID]])</f>
        <v>STORE9</v>
      </c>
      <c r="F1735">
        <v>1</v>
      </c>
      <c r="G1735">
        <f>IF(ISBLANK(F1735),MODE($F$2:$F$2001),F1735)</f>
        <v>1</v>
      </c>
      <c r="H1735">
        <v>437.65</v>
      </c>
      <c r="I1735">
        <f>IF(ISBLANK(H1735),AVERAGE($H$2:$H$2001),H1735)</f>
        <v>437.65</v>
      </c>
      <c r="J1735">
        <v>0.02</v>
      </c>
      <c r="K1735">
        <f>IF(ISBLANK(J1735),MODE($J$2:$J$2001),J1735)</f>
        <v>0.02</v>
      </c>
      <c r="L1735" t="s">
        <v>1826</v>
      </c>
      <c r="M1735">
        <v>428.89699999999999</v>
      </c>
      <c r="N1735">
        <f t="shared" si="27"/>
        <v>428.89699999999999</v>
      </c>
      <c r="O1735" t="str">
        <f>_xlfn.XLOOKUP(Sales_fact[[#This Row],[Customer_ID]],'Customer_Dim'!A:A,'Customer_Dim'!K:K,"Not Found")</f>
        <v>Bronze</v>
      </c>
      <c r="P1735">
        <f>_xlfn.XLOOKUP(Sales_fact[[#This Row],[Customer_ID]],'Customer_Dim'!A:A, 'Customer_Dim'!E:E, "Not Found")</f>
        <v>59</v>
      </c>
      <c r="Q1735" t="str">
        <f>VLOOKUP(Sales_fact[[#This Row],[Customer_ID]], 'Customer_Dim'!A:F, 6, FALSE)</f>
        <v>Female</v>
      </c>
      <c r="R1735" s="13" t="str">
        <f>_xlfn.XLOOKUP(Sales_fact[[#This Row],[Product_ID]],Product_Dim!A:A,Product_Dim!C:C,"OTHERS")</f>
        <v>Beauty</v>
      </c>
    </row>
    <row r="1736" spans="1:18" x14ac:dyDescent="0.3">
      <c r="A1736" t="s">
        <v>3560</v>
      </c>
      <c r="B1736" s="2">
        <v>45843</v>
      </c>
      <c r="C1736" t="s">
        <v>660</v>
      </c>
      <c r="D1736" t="s">
        <v>1620</v>
      </c>
      <c r="E1736" t="str">
        <f ca="1">TRIM(Sales_fact[[#This Row],[Store_ID]])</f>
        <v>STORE13</v>
      </c>
      <c r="F1736">
        <v>2</v>
      </c>
      <c r="G1736">
        <f>IF(ISBLANK(F1736),MODE($F$2:$F$2001),F1736)</f>
        <v>2</v>
      </c>
      <c r="H1736">
        <v>208.09</v>
      </c>
      <c r="I1736">
        <f>IF(ISBLANK(H1736),AVERAGE($H$2:$H$2001),H1736)</f>
        <v>208.09</v>
      </c>
      <c r="J1736">
        <v>0.27</v>
      </c>
      <c r="K1736">
        <f>IF(ISBLANK(J1736),MODE($J$2:$J$2001),J1736)</f>
        <v>0.27</v>
      </c>
      <c r="L1736" t="s">
        <v>1824</v>
      </c>
      <c r="M1736">
        <v>303.81139999999999</v>
      </c>
      <c r="N1736">
        <f t="shared" si="27"/>
        <v>303.81139999999999</v>
      </c>
      <c r="O1736" t="str">
        <f>_xlfn.XLOOKUP(Sales_fact[[#This Row],[Customer_ID]],'Customer_Dim'!A:A,'Customer_Dim'!K:K,"Not Found")</f>
        <v>Platinum</v>
      </c>
      <c r="P1736">
        <f>_xlfn.XLOOKUP(Sales_fact[[#This Row],[Customer_ID]],'Customer_Dim'!A:A, 'Customer_Dim'!E:E, "Not Found")</f>
        <v>37</v>
      </c>
      <c r="Q1736" t="str">
        <f>VLOOKUP(Sales_fact[[#This Row],[Customer_ID]], 'Customer_Dim'!A:F, 6, FALSE)</f>
        <v>Female</v>
      </c>
      <c r="R1736" s="13" t="str">
        <f>_xlfn.XLOOKUP(Sales_fact[[#This Row],[Product_ID]],Product_Dim!A:A,Product_Dim!C:C,"OTHERS")</f>
        <v>Clothing</v>
      </c>
    </row>
    <row r="1737" spans="1:18" x14ac:dyDescent="0.3">
      <c r="A1737" t="s">
        <v>3561</v>
      </c>
      <c r="B1737" s="2">
        <v>45482</v>
      </c>
      <c r="C1737" t="s">
        <v>205</v>
      </c>
      <c r="D1737" t="s">
        <v>1734</v>
      </c>
      <c r="E1737" t="str">
        <f ca="1">TRIM(Sales_fact[[#This Row],[Store_ID]])</f>
        <v>STORE17</v>
      </c>
      <c r="F1737">
        <v>4</v>
      </c>
      <c r="G1737">
        <f>IF(ISBLANK(F1737),MODE($F$2:$F$2001),F1737)</f>
        <v>4</v>
      </c>
      <c r="H1737">
        <v>825.78</v>
      </c>
      <c r="I1737">
        <f>IF(ISBLANK(H1737),AVERAGE($H$2:$H$2001),H1737)</f>
        <v>825.78</v>
      </c>
      <c r="J1737">
        <v>0.02</v>
      </c>
      <c r="K1737">
        <f>IF(ISBLANK(J1737),MODE($J$2:$J$2001),J1737)</f>
        <v>0.02</v>
      </c>
      <c r="L1737" t="s">
        <v>1824</v>
      </c>
      <c r="M1737">
        <v>3237.0576000000001</v>
      </c>
      <c r="N1737">
        <f t="shared" si="27"/>
        <v>3237.0575999999996</v>
      </c>
      <c r="O1737" t="str">
        <f>_xlfn.XLOOKUP(Sales_fact[[#This Row],[Customer_ID]],'Customer_Dim'!A:A,'Customer_Dim'!K:K,"Not Found")</f>
        <v>Platinum</v>
      </c>
      <c r="P1737">
        <f>_xlfn.XLOOKUP(Sales_fact[[#This Row],[Customer_ID]],'Customer_Dim'!A:A, 'Customer_Dim'!E:E, "Not Found")</f>
        <v>24</v>
      </c>
      <c r="Q1737" t="str">
        <f>VLOOKUP(Sales_fact[[#This Row],[Customer_ID]], 'Customer_Dim'!A:F, 6, FALSE)</f>
        <v>Male</v>
      </c>
      <c r="R1737" s="13" t="str">
        <f>_xlfn.XLOOKUP(Sales_fact[[#This Row],[Product_ID]],Product_Dim!A:A,Product_Dim!C:C,"OTHERS")</f>
        <v>Electronics</v>
      </c>
    </row>
    <row r="1738" spans="1:18" x14ac:dyDescent="0.3">
      <c r="A1738" t="s">
        <v>3562</v>
      </c>
      <c r="B1738" s="2">
        <v>45313</v>
      </c>
      <c r="C1738" t="s">
        <v>405</v>
      </c>
      <c r="D1738" t="s">
        <v>1598</v>
      </c>
      <c r="E1738" t="str">
        <f ca="1">TRIM(Sales_fact[[#This Row],[Store_ID]])</f>
        <v>STORE17</v>
      </c>
      <c r="F1738">
        <v>3</v>
      </c>
      <c r="G1738">
        <f>IF(ISBLANK(F1738),MODE($F$2:$F$2001),F1738)</f>
        <v>3</v>
      </c>
      <c r="H1738">
        <v>849.77</v>
      </c>
      <c r="I1738">
        <f>IF(ISBLANK(H1738),AVERAGE($H$2:$H$2001),H1738)</f>
        <v>849.77</v>
      </c>
      <c r="J1738">
        <v>0.12</v>
      </c>
      <c r="K1738">
        <f>IF(ISBLANK(J1738),MODE($J$2:$J$2001),J1738)</f>
        <v>0.12</v>
      </c>
      <c r="L1738" t="s">
        <v>1826</v>
      </c>
      <c r="M1738">
        <v>2243.3928000000001</v>
      </c>
      <c r="N1738">
        <f t="shared" si="27"/>
        <v>2243.3928000000001</v>
      </c>
      <c r="O1738" t="str">
        <f>_xlfn.XLOOKUP(Sales_fact[[#This Row],[Customer_ID]],'Customer_Dim'!A:A,'Customer_Dim'!K:K,"Not Found")</f>
        <v>Platinum</v>
      </c>
      <c r="P1738">
        <f>_xlfn.XLOOKUP(Sales_fact[[#This Row],[Customer_ID]],'Customer_Dim'!A:A, 'Customer_Dim'!E:E, "Not Found")</f>
        <v>18</v>
      </c>
      <c r="Q1738" t="str">
        <f>VLOOKUP(Sales_fact[[#This Row],[Customer_ID]], 'Customer_Dim'!A:F, 6, FALSE)</f>
        <v>Female</v>
      </c>
      <c r="R1738" s="13" t="str">
        <f>_xlfn.XLOOKUP(Sales_fact[[#This Row],[Product_ID]],Product_Dim!A:A,Product_Dim!C:C,"OTHERS")</f>
        <v>Clothing</v>
      </c>
    </row>
    <row r="1739" spans="1:18" x14ac:dyDescent="0.3">
      <c r="A1739" t="s">
        <v>3563</v>
      </c>
      <c r="B1739" s="2">
        <v>45314</v>
      </c>
      <c r="C1739" t="s">
        <v>1080</v>
      </c>
      <c r="D1739" t="s">
        <v>1668</v>
      </c>
      <c r="E1739" t="str">
        <f ca="1">TRIM(Sales_fact[[#This Row],[Store_ID]])</f>
        <v>STORE4</v>
      </c>
      <c r="F1739">
        <v>1</v>
      </c>
      <c r="G1739">
        <f>IF(ISBLANK(F1739),MODE($F$2:$F$2001),F1739)</f>
        <v>1</v>
      </c>
      <c r="H1739">
        <v>88.78</v>
      </c>
      <c r="I1739">
        <f>IF(ISBLANK(H1739),AVERAGE($H$2:$H$2001),H1739)</f>
        <v>88.78</v>
      </c>
      <c r="J1739">
        <v>0.18</v>
      </c>
      <c r="K1739">
        <f>IF(ISBLANK(J1739),MODE($J$2:$J$2001),J1739)</f>
        <v>0.18</v>
      </c>
      <c r="L1739" t="s">
        <v>1824</v>
      </c>
      <c r="M1739">
        <v>72.799600000000012</v>
      </c>
      <c r="N1739">
        <f t="shared" si="27"/>
        <v>72.799600000000012</v>
      </c>
      <c r="O1739" t="str">
        <f>_xlfn.XLOOKUP(Sales_fact[[#This Row],[Customer_ID]],'Customer_Dim'!A:A,'Customer_Dim'!K:K,"Not Found")</f>
        <v>Gold</v>
      </c>
      <c r="P1739">
        <f>_xlfn.XLOOKUP(Sales_fact[[#This Row],[Customer_ID]],'Customer_Dim'!A:A, 'Customer_Dim'!E:E, "Not Found")</f>
        <v>39</v>
      </c>
      <c r="Q1739" t="str">
        <f>VLOOKUP(Sales_fact[[#This Row],[Customer_ID]], 'Customer_Dim'!A:F, 6, FALSE)</f>
        <v>Male</v>
      </c>
      <c r="R1739" s="13" t="str">
        <f>_xlfn.XLOOKUP(Sales_fact[[#This Row],[Product_ID]],Product_Dim!A:A,Product_Dim!C:C,"OTHERS")</f>
        <v>Beauty</v>
      </c>
    </row>
    <row r="1740" spans="1:18" x14ac:dyDescent="0.3">
      <c r="A1740" t="s">
        <v>3564</v>
      </c>
      <c r="B1740" s="2">
        <v>45526</v>
      </c>
      <c r="C1740" t="s">
        <v>628</v>
      </c>
      <c r="D1740" t="s">
        <v>1704</v>
      </c>
      <c r="E1740" t="str">
        <f ca="1">TRIM(Sales_fact[[#This Row],[Store_ID]])</f>
        <v>STORE4</v>
      </c>
      <c r="F1740">
        <v>4</v>
      </c>
      <c r="G1740">
        <f>IF(ISBLANK(F1740),MODE($F$2:$F$2001),F1740)</f>
        <v>4</v>
      </c>
      <c r="H1740">
        <v>507.22</v>
      </c>
      <c r="I1740">
        <f>IF(ISBLANK(H1740),AVERAGE($H$2:$H$2001),H1740)</f>
        <v>507.22</v>
      </c>
      <c r="J1740">
        <v>0.14000000000000001</v>
      </c>
      <c r="K1740">
        <f>IF(ISBLANK(J1740),MODE($J$2:$J$2001),J1740)</f>
        <v>0.14000000000000001</v>
      </c>
      <c r="L1740" t="s">
        <v>1826</v>
      </c>
      <c r="M1740">
        <v>1744.8368</v>
      </c>
      <c r="N1740">
        <f t="shared" si="27"/>
        <v>1744.8368</v>
      </c>
      <c r="O1740" t="str">
        <f>_xlfn.XLOOKUP(Sales_fact[[#This Row],[Customer_ID]],'Customer_Dim'!A:A,'Customer_Dim'!K:K,"Not Found")</f>
        <v>Bronze</v>
      </c>
      <c r="P1740">
        <f>_xlfn.XLOOKUP(Sales_fact[[#This Row],[Customer_ID]],'Customer_Dim'!A:A, 'Customer_Dim'!E:E, "Not Found")</f>
        <v>29</v>
      </c>
      <c r="Q1740" t="str">
        <f>VLOOKUP(Sales_fact[[#This Row],[Customer_ID]], 'Customer_Dim'!A:F, 6, FALSE)</f>
        <v>Female</v>
      </c>
      <c r="R1740" s="13" t="str">
        <f>_xlfn.XLOOKUP(Sales_fact[[#This Row],[Product_ID]],Product_Dim!A:A,Product_Dim!C:C,"OTHERS")</f>
        <v>Home</v>
      </c>
    </row>
    <row r="1741" spans="1:18" x14ac:dyDescent="0.3">
      <c r="A1741" t="s">
        <v>3565</v>
      </c>
      <c r="B1741" s="2">
        <v>45887</v>
      </c>
      <c r="C1741" t="s">
        <v>996</v>
      </c>
      <c r="D1741" t="s">
        <v>1740</v>
      </c>
      <c r="E1741" t="str">
        <f ca="1">TRIM(Sales_fact[[#This Row],[Store_ID]])</f>
        <v>STORE0</v>
      </c>
      <c r="F1741">
        <v>3</v>
      </c>
      <c r="G1741">
        <f>IF(ISBLANK(F1741),MODE($F$2:$F$2001),F1741)</f>
        <v>3</v>
      </c>
      <c r="H1741">
        <v>330.98</v>
      </c>
      <c r="I1741">
        <f>IF(ISBLANK(H1741),AVERAGE($H$2:$H$2001),H1741)</f>
        <v>330.98</v>
      </c>
      <c r="J1741">
        <v>0.11</v>
      </c>
      <c r="K1741">
        <f>IF(ISBLANK(J1741),MODE($J$2:$J$2001),J1741)</f>
        <v>0.11</v>
      </c>
      <c r="L1741" t="s">
        <v>1824</v>
      </c>
      <c r="M1741">
        <v>883.71660000000008</v>
      </c>
      <c r="N1741">
        <f t="shared" si="27"/>
        <v>883.71660000000008</v>
      </c>
      <c r="O1741" t="str">
        <f>_xlfn.XLOOKUP(Sales_fact[[#This Row],[Customer_ID]],'Customer_Dim'!A:A,'Customer_Dim'!K:K,"Not Found")</f>
        <v>Gold</v>
      </c>
      <c r="P1741">
        <f>_xlfn.XLOOKUP(Sales_fact[[#This Row],[Customer_ID]],'Customer_Dim'!A:A, 'Customer_Dim'!E:E, "Not Found")</f>
        <v>34</v>
      </c>
      <c r="Q1741" t="str">
        <f>VLOOKUP(Sales_fact[[#This Row],[Customer_ID]], 'Customer_Dim'!A:F, 6, FALSE)</f>
        <v>Male</v>
      </c>
      <c r="R1741" s="13" t="str">
        <f>_xlfn.XLOOKUP(Sales_fact[[#This Row],[Product_ID]],Product_Dim!A:A,Product_Dim!C:C,"OTHERS")</f>
        <v>Clothing</v>
      </c>
    </row>
    <row r="1742" spans="1:18" x14ac:dyDescent="0.3">
      <c r="A1742" t="s">
        <v>3566</v>
      </c>
      <c r="B1742" s="2">
        <v>45562</v>
      </c>
      <c r="C1742" t="s">
        <v>195</v>
      </c>
      <c r="D1742" t="s">
        <v>1622</v>
      </c>
      <c r="E1742" t="str">
        <f ca="1">TRIM(Sales_fact[[#This Row],[Store_ID]])</f>
        <v>STORE19</v>
      </c>
      <c r="F1742">
        <v>4</v>
      </c>
      <c r="G1742">
        <f>IF(ISBLANK(F1742),MODE($F$2:$F$2001),F1742)</f>
        <v>4</v>
      </c>
      <c r="H1742">
        <v>442.87</v>
      </c>
      <c r="I1742">
        <f>IF(ISBLANK(H1742),AVERAGE($H$2:$H$2001),H1742)</f>
        <v>442.87</v>
      </c>
      <c r="J1742">
        <v>0.08</v>
      </c>
      <c r="K1742">
        <f>IF(ISBLANK(J1742),MODE($J$2:$J$2001),J1742)</f>
        <v>0.08</v>
      </c>
      <c r="L1742" t="s">
        <v>1824</v>
      </c>
      <c r="M1742">
        <v>1629.7616</v>
      </c>
      <c r="N1742">
        <f t="shared" si="27"/>
        <v>1629.7616</v>
      </c>
      <c r="O1742" t="str">
        <f>_xlfn.XLOOKUP(Sales_fact[[#This Row],[Customer_ID]],'Customer_Dim'!A:A,'Customer_Dim'!K:K,"Not Found")</f>
        <v>Gold</v>
      </c>
      <c r="P1742">
        <f>_xlfn.XLOOKUP(Sales_fact[[#This Row],[Customer_ID]],'Customer_Dim'!A:A, 'Customer_Dim'!E:E, "Not Found")</f>
        <v>23</v>
      </c>
      <c r="Q1742" t="str">
        <f>VLOOKUP(Sales_fact[[#This Row],[Customer_ID]], 'Customer_Dim'!A:F, 6, FALSE)</f>
        <v>Female</v>
      </c>
      <c r="R1742" s="13" t="str">
        <f>_xlfn.XLOOKUP(Sales_fact[[#This Row],[Product_ID]],Product_Dim!A:A,Product_Dim!C:C,"OTHERS")</f>
        <v>Clothing</v>
      </c>
    </row>
    <row r="1743" spans="1:18" x14ac:dyDescent="0.3">
      <c r="A1743" t="s">
        <v>3567</v>
      </c>
      <c r="B1743" s="2">
        <v>45880</v>
      </c>
      <c r="C1743" t="s">
        <v>48</v>
      </c>
      <c r="D1743" t="s">
        <v>1740</v>
      </c>
      <c r="E1743" t="str">
        <f ca="1">TRIM(Sales_fact[[#This Row],[Store_ID]])</f>
        <v>STORE2</v>
      </c>
      <c r="F1743">
        <v>2</v>
      </c>
      <c r="G1743">
        <f>IF(ISBLANK(F1743),MODE($F$2:$F$2001),F1743)</f>
        <v>2</v>
      </c>
      <c r="H1743">
        <v>939.66</v>
      </c>
      <c r="I1743">
        <f>IF(ISBLANK(H1743),AVERAGE($H$2:$H$2001),H1743)</f>
        <v>939.66</v>
      </c>
      <c r="J1743">
        <v>0.14000000000000001</v>
      </c>
      <c r="K1743">
        <f>IF(ISBLANK(J1743),MODE($J$2:$J$2001),J1743)</f>
        <v>0.14000000000000001</v>
      </c>
      <c r="L1743" t="s">
        <v>1826</v>
      </c>
      <c r="M1743">
        <v>1616.2152000000001</v>
      </c>
      <c r="N1743">
        <f t="shared" si="27"/>
        <v>1616.2151999999999</v>
      </c>
      <c r="O1743" t="str">
        <f>_xlfn.XLOOKUP(Sales_fact[[#This Row],[Customer_ID]],'Customer_Dim'!A:A,'Customer_Dim'!K:K,"Not Found")</f>
        <v>Platinum</v>
      </c>
      <c r="P1743">
        <f>_xlfn.XLOOKUP(Sales_fact[[#This Row],[Customer_ID]],'Customer_Dim'!A:A, 'Customer_Dim'!E:E, "Not Found")</f>
        <v>64</v>
      </c>
      <c r="Q1743" t="str">
        <f>VLOOKUP(Sales_fact[[#This Row],[Customer_ID]], 'Customer_Dim'!A:F, 6, FALSE)</f>
        <v>Male</v>
      </c>
      <c r="R1743" s="13" t="str">
        <f>_xlfn.XLOOKUP(Sales_fact[[#This Row],[Product_ID]],Product_Dim!A:A,Product_Dim!C:C,"OTHERS")</f>
        <v>Clothing</v>
      </c>
    </row>
    <row r="1744" spans="1:18" x14ac:dyDescent="0.3">
      <c r="A1744" t="s">
        <v>3568</v>
      </c>
      <c r="B1744" s="2">
        <v>45556</v>
      </c>
      <c r="C1744" t="s">
        <v>929</v>
      </c>
      <c r="D1744" t="s">
        <v>1694</v>
      </c>
      <c r="E1744" t="str">
        <f ca="1">TRIM(Sales_fact[[#This Row],[Store_ID]])</f>
        <v>STORE3</v>
      </c>
      <c r="F1744">
        <v>1</v>
      </c>
      <c r="G1744">
        <f>IF(ISBLANK(F1744),MODE($F$2:$F$2001),F1744)</f>
        <v>1</v>
      </c>
      <c r="H1744">
        <v>24.13</v>
      </c>
      <c r="I1744">
        <f>IF(ISBLANK(H1744),AVERAGE($H$2:$H$2001),H1744)</f>
        <v>24.13</v>
      </c>
      <c r="J1744">
        <v>0</v>
      </c>
      <c r="K1744">
        <f>IF(ISBLANK(J1744),MODE($J$2:$J$2001),J1744)</f>
        <v>0</v>
      </c>
      <c r="L1744" t="s">
        <v>1824</v>
      </c>
      <c r="M1744">
        <v>24.13</v>
      </c>
      <c r="N1744">
        <f t="shared" si="27"/>
        <v>24.13</v>
      </c>
      <c r="O1744" t="str">
        <f>_xlfn.XLOOKUP(Sales_fact[[#This Row],[Customer_ID]],'Customer_Dim'!A:A,'Customer_Dim'!K:K,"Not Found")</f>
        <v>Platinum</v>
      </c>
      <c r="P1744">
        <f>_xlfn.XLOOKUP(Sales_fact[[#This Row],[Customer_ID]],'Customer_Dim'!A:A, 'Customer_Dim'!E:E, "Not Found")</f>
        <v>56</v>
      </c>
      <c r="Q1744" t="str">
        <f>VLOOKUP(Sales_fact[[#This Row],[Customer_ID]], 'Customer_Dim'!A:F, 6, FALSE)</f>
        <v>Female</v>
      </c>
      <c r="R1744" s="13" t="str">
        <f>_xlfn.XLOOKUP(Sales_fact[[#This Row],[Product_ID]],Product_Dim!A:A,Product_Dim!C:C,"OTHERS")</f>
        <v>Sports</v>
      </c>
    </row>
    <row r="1745" spans="1:18" x14ac:dyDescent="0.3">
      <c r="A1745" t="s">
        <v>3569</v>
      </c>
      <c r="B1745" s="2">
        <v>45355</v>
      </c>
      <c r="C1745" t="s">
        <v>1139</v>
      </c>
      <c r="D1745" t="s">
        <v>1630</v>
      </c>
      <c r="E1745" t="str">
        <f ca="1">TRIM(Sales_fact[[#This Row],[Store_ID]])</f>
        <v>STORE3</v>
      </c>
      <c r="F1745">
        <v>3</v>
      </c>
      <c r="G1745">
        <f>IF(ISBLANK(F1745),MODE($F$2:$F$2001),F1745)</f>
        <v>3</v>
      </c>
      <c r="H1745">
        <v>239.54</v>
      </c>
      <c r="I1745">
        <f>IF(ISBLANK(H1745),AVERAGE($H$2:$H$2001),H1745)</f>
        <v>239.54</v>
      </c>
      <c r="J1745">
        <v>0.28999999999999998</v>
      </c>
      <c r="K1745">
        <f>IF(ISBLANK(J1745),MODE($J$2:$J$2001),J1745)</f>
        <v>0.28999999999999998</v>
      </c>
      <c r="L1745" t="s">
        <v>1829</v>
      </c>
      <c r="M1745">
        <v>510.22019999999998</v>
      </c>
      <c r="N1745">
        <f t="shared" si="27"/>
        <v>510.22019999999998</v>
      </c>
      <c r="O1745" t="str">
        <f>_xlfn.XLOOKUP(Sales_fact[[#This Row],[Customer_ID]],'Customer_Dim'!A:A,'Customer_Dim'!K:K,"Not Found")</f>
        <v>Bronze</v>
      </c>
      <c r="P1745">
        <f>_xlfn.XLOOKUP(Sales_fact[[#This Row],[Customer_ID]],'Customer_Dim'!A:A, 'Customer_Dim'!E:E, "Not Found")</f>
        <v>58</v>
      </c>
      <c r="Q1745" t="str">
        <f>VLOOKUP(Sales_fact[[#This Row],[Customer_ID]], 'Customer_Dim'!A:F, 6, FALSE)</f>
        <v>Male</v>
      </c>
      <c r="R1745" s="13" t="str">
        <f>_xlfn.XLOOKUP(Sales_fact[[#This Row],[Product_ID]],Product_Dim!A:A,Product_Dim!C:C,"OTHERS")</f>
        <v>Sports</v>
      </c>
    </row>
    <row r="1746" spans="1:18" x14ac:dyDescent="0.3">
      <c r="A1746" t="s">
        <v>3570</v>
      </c>
      <c r="B1746" s="2">
        <v>45244</v>
      </c>
      <c r="C1746" t="s">
        <v>1484</v>
      </c>
      <c r="D1746" t="s">
        <v>1640</v>
      </c>
      <c r="E1746" t="str">
        <f ca="1">TRIM(Sales_fact[[#This Row],[Store_ID]])</f>
        <v>STORE14</v>
      </c>
      <c r="F1746">
        <v>1</v>
      </c>
      <c r="G1746">
        <f>IF(ISBLANK(F1746),MODE($F$2:$F$2001),F1746)</f>
        <v>1</v>
      </c>
      <c r="H1746">
        <v>588.53</v>
      </c>
      <c r="I1746">
        <f>IF(ISBLANK(H1746),AVERAGE($H$2:$H$2001),H1746)</f>
        <v>588.53</v>
      </c>
      <c r="J1746">
        <v>0.1</v>
      </c>
      <c r="K1746">
        <f>IF(ISBLANK(J1746),MODE($J$2:$J$2001),J1746)</f>
        <v>0.1</v>
      </c>
      <c r="L1746" t="s">
        <v>1824</v>
      </c>
      <c r="M1746">
        <v>529.67700000000002</v>
      </c>
      <c r="N1746">
        <f t="shared" si="27"/>
        <v>529.67700000000002</v>
      </c>
      <c r="O1746" t="str">
        <f>_xlfn.XLOOKUP(Sales_fact[[#This Row],[Customer_ID]],'Customer_Dim'!A:A,'Customer_Dim'!K:K,"Not Found")</f>
        <v>Platinum</v>
      </c>
      <c r="P1746">
        <f>_xlfn.XLOOKUP(Sales_fact[[#This Row],[Customer_ID]],'Customer_Dim'!A:A, 'Customer_Dim'!E:E, "Not Found")</f>
        <v>26</v>
      </c>
      <c r="Q1746" t="str">
        <f>VLOOKUP(Sales_fact[[#This Row],[Customer_ID]], 'Customer_Dim'!A:F, 6, FALSE)</f>
        <v>Male</v>
      </c>
      <c r="R1746" s="13" t="str">
        <f>_xlfn.XLOOKUP(Sales_fact[[#This Row],[Product_ID]],Product_Dim!A:A,Product_Dim!C:C,"OTHERS")</f>
        <v>Clothing</v>
      </c>
    </row>
    <row r="1747" spans="1:18" x14ac:dyDescent="0.3">
      <c r="A1747" t="s">
        <v>3571</v>
      </c>
      <c r="B1747" s="2">
        <v>45863</v>
      </c>
      <c r="C1747" t="s">
        <v>914</v>
      </c>
      <c r="D1747" t="s">
        <v>1668</v>
      </c>
      <c r="E1747" t="str">
        <f ca="1">TRIM(Sales_fact[[#This Row],[Store_ID]])</f>
        <v>STORE15</v>
      </c>
      <c r="F1747">
        <v>1</v>
      </c>
      <c r="G1747">
        <f>IF(ISBLANK(F1747),MODE($F$2:$F$2001),F1747)</f>
        <v>1</v>
      </c>
      <c r="H1747">
        <v>145.96</v>
      </c>
      <c r="I1747">
        <f>IF(ISBLANK(H1747),AVERAGE($H$2:$H$2001),H1747)</f>
        <v>145.96</v>
      </c>
      <c r="J1747">
        <v>0.3</v>
      </c>
      <c r="K1747">
        <f>IF(ISBLANK(J1747),MODE($J$2:$J$2001),J1747)</f>
        <v>0.3</v>
      </c>
      <c r="L1747" t="s">
        <v>1824</v>
      </c>
      <c r="M1747">
        <v>102.172</v>
      </c>
      <c r="N1747">
        <f t="shared" si="27"/>
        <v>102.172</v>
      </c>
      <c r="O1747" t="str">
        <f>_xlfn.XLOOKUP(Sales_fact[[#This Row],[Customer_ID]],'Customer_Dim'!A:A,'Customer_Dim'!K:K,"Not Found")</f>
        <v>Gold</v>
      </c>
      <c r="P1747">
        <f>_xlfn.XLOOKUP(Sales_fact[[#This Row],[Customer_ID]],'Customer_Dim'!A:A, 'Customer_Dim'!E:E, "Not Found")</f>
        <v>58</v>
      </c>
      <c r="Q1747" t="str">
        <f>VLOOKUP(Sales_fact[[#This Row],[Customer_ID]], 'Customer_Dim'!A:F, 6, FALSE)</f>
        <v>Male</v>
      </c>
      <c r="R1747" s="13" t="str">
        <f>_xlfn.XLOOKUP(Sales_fact[[#This Row],[Product_ID]],Product_Dim!A:A,Product_Dim!C:C,"OTHERS")</f>
        <v>Beauty</v>
      </c>
    </row>
    <row r="1748" spans="1:18" x14ac:dyDescent="0.3">
      <c r="A1748" t="s">
        <v>3572</v>
      </c>
      <c r="B1748" s="2">
        <v>45573</v>
      </c>
      <c r="C1748" t="s">
        <v>360</v>
      </c>
      <c r="D1748" t="s">
        <v>1688</v>
      </c>
      <c r="E1748" t="str">
        <f ca="1">TRIM(Sales_fact[[#This Row],[Store_ID]])</f>
        <v>STORE4</v>
      </c>
      <c r="F1748">
        <v>4</v>
      </c>
      <c r="G1748">
        <f>IF(ISBLANK(F1748),MODE($F$2:$F$2001),F1748)</f>
        <v>4</v>
      </c>
      <c r="H1748">
        <v>640.91</v>
      </c>
      <c r="I1748">
        <f>IF(ISBLANK(H1748),AVERAGE($H$2:$H$2001),H1748)</f>
        <v>640.91</v>
      </c>
      <c r="J1748">
        <v>0.06</v>
      </c>
      <c r="K1748">
        <f>IF(ISBLANK(J1748),MODE($J$2:$J$2001),J1748)</f>
        <v>0.06</v>
      </c>
      <c r="L1748" t="s">
        <v>1824</v>
      </c>
      <c r="M1748">
        <v>2409.8216000000002</v>
      </c>
      <c r="N1748">
        <f t="shared" si="27"/>
        <v>2409.8215999999998</v>
      </c>
      <c r="O1748" t="str">
        <f>_xlfn.XLOOKUP(Sales_fact[[#This Row],[Customer_ID]],'Customer_Dim'!A:A,'Customer_Dim'!K:K,"Not Found")</f>
        <v>Gold</v>
      </c>
      <c r="P1748">
        <f>_xlfn.XLOOKUP(Sales_fact[[#This Row],[Customer_ID]],'Customer_Dim'!A:A, 'Customer_Dim'!E:E, "Not Found")</f>
        <v>29</v>
      </c>
      <c r="Q1748" t="str">
        <f>VLOOKUP(Sales_fact[[#This Row],[Customer_ID]], 'Customer_Dim'!A:F, 6, FALSE)</f>
        <v>Male</v>
      </c>
      <c r="R1748" s="13" t="str">
        <f>_xlfn.XLOOKUP(Sales_fact[[#This Row],[Product_ID]],Product_Dim!A:A,Product_Dim!C:C,"OTHERS")</f>
        <v>Home</v>
      </c>
    </row>
    <row r="1749" spans="1:18" x14ac:dyDescent="0.3">
      <c r="A1749" t="s">
        <v>3573</v>
      </c>
      <c r="B1749" s="2">
        <v>45792</v>
      </c>
      <c r="C1749" t="s">
        <v>164</v>
      </c>
      <c r="D1749" t="s">
        <v>1676</v>
      </c>
      <c r="E1749" t="str">
        <f ca="1">TRIM(Sales_fact[[#This Row],[Store_ID]])</f>
        <v>STORE11</v>
      </c>
      <c r="F1749">
        <v>3</v>
      </c>
      <c r="G1749">
        <f>IF(ISBLANK(F1749),MODE($F$2:$F$2001),F1749)</f>
        <v>3</v>
      </c>
      <c r="H1749">
        <v>773.86</v>
      </c>
      <c r="I1749">
        <f>IF(ISBLANK(H1749),AVERAGE($H$2:$H$2001),H1749)</f>
        <v>773.86</v>
      </c>
      <c r="J1749">
        <v>0.22</v>
      </c>
      <c r="K1749">
        <f>IF(ISBLANK(J1749),MODE($J$2:$J$2001),J1749)</f>
        <v>0.22</v>
      </c>
      <c r="L1749" t="s">
        <v>1824</v>
      </c>
      <c r="M1749">
        <v>1810.8324</v>
      </c>
      <c r="N1749">
        <f t="shared" si="27"/>
        <v>1810.8324</v>
      </c>
      <c r="O1749" t="str">
        <f>_xlfn.XLOOKUP(Sales_fact[[#This Row],[Customer_ID]],'Customer_Dim'!A:A,'Customer_Dim'!K:K,"Not Found")</f>
        <v>Platinum</v>
      </c>
      <c r="P1749">
        <f>_xlfn.XLOOKUP(Sales_fact[[#This Row],[Customer_ID]],'Customer_Dim'!A:A, 'Customer_Dim'!E:E, "Not Found")</f>
        <v>19</v>
      </c>
      <c r="Q1749" t="str">
        <f>VLOOKUP(Sales_fact[[#This Row],[Customer_ID]], 'Customer_Dim'!A:F, 6, FALSE)</f>
        <v>Male</v>
      </c>
      <c r="R1749" s="13" t="str">
        <f>_xlfn.XLOOKUP(Sales_fact[[#This Row],[Product_ID]],Product_Dim!A:A,Product_Dim!C:C,"OTHERS")</f>
        <v>Beauty</v>
      </c>
    </row>
    <row r="1750" spans="1:18" x14ac:dyDescent="0.3">
      <c r="A1750" t="s">
        <v>3574</v>
      </c>
      <c r="B1750" s="2">
        <v>45744</v>
      </c>
      <c r="C1750" t="s">
        <v>1428</v>
      </c>
      <c r="D1750" t="s">
        <v>1610</v>
      </c>
      <c r="E1750" t="str">
        <f ca="1">TRIM(Sales_fact[[#This Row],[Store_ID]])</f>
        <v>STORE15</v>
      </c>
      <c r="F1750">
        <v>2</v>
      </c>
      <c r="G1750">
        <f>IF(ISBLANK(F1750),MODE($F$2:$F$2001),F1750)</f>
        <v>2</v>
      </c>
      <c r="H1750">
        <v>31.28</v>
      </c>
      <c r="I1750">
        <f>IF(ISBLANK(H1750),AVERAGE($H$2:$H$2001),H1750)</f>
        <v>31.28</v>
      </c>
      <c r="J1750">
        <v>0.2</v>
      </c>
      <c r="K1750">
        <f>IF(ISBLANK(J1750),MODE($J$2:$J$2001),J1750)</f>
        <v>0.2</v>
      </c>
      <c r="L1750" t="s">
        <v>1829</v>
      </c>
      <c r="M1750">
        <v>50.048000000000002</v>
      </c>
      <c r="N1750">
        <f t="shared" si="27"/>
        <v>50.048000000000002</v>
      </c>
      <c r="O1750" t="str">
        <f>_xlfn.XLOOKUP(Sales_fact[[#This Row],[Customer_ID]],'Customer_Dim'!A:A,'Customer_Dim'!K:K,"Not Found")</f>
        <v>Bronze</v>
      </c>
      <c r="P1750">
        <f>_xlfn.XLOOKUP(Sales_fact[[#This Row],[Customer_ID]],'Customer_Dim'!A:A, 'Customer_Dim'!E:E, "Not Found")</f>
        <v>36</v>
      </c>
      <c r="Q1750" t="str">
        <f>VLOOKUP(Sales_fact[[#This Row],[Customer_ID]], 'Customer_Dim'!A:F, 6, FALSE)</f>
        <v>Female</v>
      </c>
      <c r="R1750" s="13" t="str">
        <f>_xlfn.XLOOKUP(Sales_fact[[#This Row],[Product_ID]],Product_Dim!A:A,Product_Dim!C:C,"OTHERS")</f>
        <v>Sports</v>
      </c>
    </row>
    <row r="1751" spans="1:18" x14ac:dyDescent="0.3">
      <c r="A1751" t="s">
        <v>3575</v>
      </c>
      <c r="B1751" s="2">
        <v>45842</v>
      </c>
      <c r="C1751" t="s">
        <v>1166</v>
      </c>
      <c r="D1751" t="s">
        <v>1712</v>
      </c>
      <c r="E1751" t="str">
        <f ca="1">TRIM(Sales_fact[[#This Row],[Store_ID]])</f>
        <v>STORE6</v>
      </c>
      <c r="F1751">
        <v>4</v>
      </c>
      <c r="G1751">
        <f>IF(ISBLANK(F1751),MODE($F$2:$F$2001),F1751)</f>
        <v>4</v>
      </c>
      <c r="H1751">
        <v>389.22</v>
      </c>
      <c r="I1751">
        <f>IF(ISBLANK(H1751),AVERAGE($H$2:$H$2001),H1751)</f>
        <v>389.22</v>
      </c>
      <c r="J1751">
        <v>0.18</v>
      </c>
      <c r="K1751">
        <f>IF(ISBLANK(J1751),MODE($J$2:$J$2001),J1751)</f>
        <v>0.18</v>
      </c>
      <c r="L1751" t="s">
        <v>1824</v>
      </c>
      <c r="M1751">
        <v>1276.6415999999999</v>
      </c>
      <c r="N1751">
        <f t="shared" si="27"/>
        <v>1276.6416000000002</v>
      </c>
      <c r="O1751" t="str">
        <f>_xlfn.XLOOKUP(Sales_fact[[#This Row],[Customer_ID]],'Customer_Dim'!A:A,'Customer_Dim'!K:K,"Not Found")</f>
        <v>Gold</v>
      </c>
      <c r="P1751">
        <f>_xlfn.XLOOKUP(Sales_fact[[#This Row],[Customer_ID]],'Customer_Dim'!A:A, 'Customer_Dim'!E:E, "Not Found")</f>
        <v>37</v>
      </c>
      <c r="Q1751" t="str">
        <f>VLOOKUP(Sales_fact[[#This Row],[Customer_ID]], 'Customer_Dim'!A:F, 6, FALSE)</f>
        <v>Female</v>
      </c>
      <c r="R1751" s="13" t="str">
        <f>_xlfn.XLOOKUP(Sales_fact[[#This Row],[Product_ID]],Product_Dim!A:A,Product_Dim!C:C,"OTHERS")</f>
        <v>Sports</v>
      </c>
    </row>
    <row r="1752" spans="1:18" x14ac:dyDescent="0.3">
      <c r="A1752" t="s">
        <v>3576</v>
      </c>
      <c r="B1752" s="2">
        <v>45502</v>
      </c>
      <c r="C1752" t="s">
        <v>71</v>
      </c>
      <c r="D1752" t="s">
        <v>1676</v>
      </c>
      <c r="E1752" t="str">
        <f ca="1">TRIM(Sales_fact[[#This Row],[Store_ID]])</f>
        <v>STORE15</v>
      </c>
      <c r="F1752">
        <v>3</v>
      </c>
      <c r="G1752">
        <f>IF(ISBLANK(F1752),MODE($F$2:$F$2001),F1752)</f>
        <v>3</v>
      </c>
      <c r="H1752">
        <v>543.44000000000005</v>
      </c>
      <c r="I1752">
        <f>IF(ISBLANK(H1752),AVERAGE($H$2:$H$2001),H1752)</f>
        <v>543.44000000000005</v>
      </c>
      <c r="J1752">
        <v>0.13</v>
      </c>
      <c r="K1752">
        <f>IF(ISBLANK(J1752),MODE($J$2:$J$2001),J1752)</f>
        <v>0.13</v>
      </c>
      <c r="L1752" t="s">
        <v>1826</v>
      </c>
      <c r="M1752">
        <v>1418.3784000000001</v>
      </c>
      <c r="N1752">
        <f t="shared" si="27"/>
        <v>1418.3784000000001</v>
      </c>
      <c r="O1752" t="str">
        <f>_xlfn.XLOOKUP(Sales_fact[[#This Row],[Customer_ID]],'Customer_Dim'!A:A,'Customer_Dim'!K:K,"Not Found")</f>
        <v>Platinum</v>
      </c>
      <c r="P1752">
        <f>_xlfn.XLOOKUP(Sales_fact[[#This Row],[Customer_ID]],'Customer_Dim'!A:A, 'Customer_Dim'!E:E, "Not Found")</f>
        <v>49</v>
      </c>
      <c r="Q1752" t="str">
        <f>VLOOKUP(Sales_fact[[#This Row],[Customer_ID]], 'Customer_Dim'!A:F, 6, FALSE)</f>
        <v>Female</v>
      </c>
      <c r="R1752" s="13" t="str">
        <f>_xlfn.XLOOKUP(Sales_fact[[#This Row],[Product_ID]],Product_Dim!A:A,Product_Dim!C:C,"OTHERS")</f>
        <v>Beauty</v>
      </c>
    </row>
    <row r="1753" spans="1:18" x14ac:dyDescent="0.3">
      <c r="A1753" t="s">
        <v>3577</v>
      </c>
      <c r="B1753" s="2">
        <v>45296</v>
      </c>
      <c r="C1753" t="s">
        <v>821</v>
      </c>
      <c r="D1753" t="s">
        <v>1742</v>
      </c>
      <c r="E1753" t="str">
        <f ca="1">TRIM(Sales_fact[[#This Row],[Store_ID]])</f>
        <v>STORE19</v>
      </c>
      <c r="F1753">
        <v>4</v>
      </c>
      <c r="G1753">
        <f>IF(ISBLANK(F1753),MODE($F$2:$F$2001),F1753)</f>
        <v>4</v>
      </c>
      <c r="H1753">
        <v>715.42</v>
      </c>
      <c r="I1753">
        <f>IF(ISBLANK(H1753),AVERAGE($H$2:$H$2001),H1753)</f>
        <v>715.42</v>
      </c>
      <c r="J1753">
        <v>0.28999999999999998</v>
      </c>
      <c r="K1753">
        <f>IF(ISBLANK(J1753),MODE($J$2:$J$2001),J1753)</f>
        <v>0.28999999999999998</v>
      </c>
      <c r="L1753" t="s">
        <v>1826</v>
      </c>
      <c r="M1753">
        <v>2031.7927999999999</v>
      </c>
      <c r="N1753">
        <f t="shared" si="27"/>
        <v>2031.7927999999997</v>
      </c>
      <c r="O1753" t="str">
        <f>_xlfn.XLOOKUP(Sales_fact[[#This Row],[Customer_ID]],'Customer_Dim'!A:A,'Customer_Dim'!K:K,"Not Found")</f>
        <v>Silver</v>
      </c>
      <c r="P1753">
        <f>_xlfn.XLOOKUP(Sales_fact[[#This Row],[Customer_ID]],'Customer_Dim'!A:A, 'Customer_Dim'!E:E, "Not Found")</f>
        <v>42</v>
      </c>
      <c r="Q1753" t="str">
        <f>VLOOKUP(Sales_fact[[#This Row],[Customer_ID]], 'Customer_Dim'!A:F, 6, FALSE)</f>
        <v>Male</v>
      </c>
      <c r="R1753" s="13" t="str">
        <f>_xlfn.XLOOKUP(Sales_fact[[#This Row],[Product_ID]],Product_Dim!A:A,Product_Dim!C:C,"OTHERS")</f>
        <v>Sports</v>
      </c>
    </row>
    <row r="1754" spans="1:18" x14ac:dyDescent="0.3">
      <c r="A1754" t="s">
        <v>3578</v>
      </c>
      <c r="B1754" s="2">
        <v>45886</v>
      </c>
      <c r="C1754" t="s">
        <v>195</v>
      </c>
      <c r="D1754" t="s">
        <v>1572</v>
      </c>
      <c r="E1754" t="str">
        <f ca="1">TRIM(Sales_fact[[#This Row],[Store_ID]])</f>
        <v>STORE4</v>
      </c>
      <c r="F1754">
        <v>4</v>
      </c>
      <c r="G1754">
        <f>IF(ISBLANK(F1754),MODE($F$2:$F$2001),F1754)</f>
        <v>4</v>
      </c>
      <c r="H1754">
        <v>676.14</v>
      </c>
      <c r="I1754">
        <f>IF(ISBLANK(H1754),AVERAGE($H$2:$H$2001),H1754)</f>
        <v>676.14</v>
      </c>
      <c r="J1754">
        <v>0.11</v>
      </c>
      <c r="K1754">
        <f>IF(ISBLANK(J1754),MODE($J$2:$J$2001),J1754)</f>
        <v>0.11</v>
      </c>
      <c r="L1754" t="s">
        <v>1829</v>
      </c>
      <c r="M1754">
        <v>2407.0583999999999</v>
      </c>
      <c r="N1754">
        <f t="shared" si="27"/>
        <v>2407.0583999999999</v>
      </c>
      <c r="O1754" t="str">
        <f>_xlfn.XLOOKUP(Sales_fact[[#This Row],[Customer_ID]],'Customer_Dim'!A:A,'Customer_Dim'!K:K,"Not Found")</f>
        <v>Gold</v>
      </c>
      <c r="P1754">
        <f>_xlfn.XLOOKUP(Sales_fact[[#This Row],[Customer_ID]],'Customer_Dim'!A:A, 'Customer_Dim'!E:E, "Not Found")</f>
        <v>23</v>
      </c>
      <c r="Q1754" t="str">
        <f>VLOOKUP(Sales_fact[[#This Row],[Customer_ID]], 'Customer_Dim'!A:F, 6, FALSE)</f>
        <v>Female</v>
      </c>
      <c r="R1754" s="13" t="str">
        <f>_xlfn.XLOOKUP(Sales_fact[[#This Row],[Product_ID]],Product_Dim!A:A,Product_Dim!C:C,"OTHERS")</f>
        <v>Beauty</v>
      </c>
    </row>
    <row r="1755" spans="1:18" x14ac:dyDescent="0.3">
      <c r="A1755" t="s">
        <v>3579</v>
      </c>
      <c r="B1755" s="2">
        <v>45425</v>
      </c>
      <c r="C1755" t="s">
        <v>321</v>
      </c>
      <c r="D1755" t="s">
        <v>1626</v>
      </c>
      <c r="E1755" t="str">
        <f ca="1">TRIM(Sales_fact[[#This Row],[Store_ID]])</f>
        <v>STORE1</v>
      </c>
      <c r="F1755">
        <v>4</v>
      </c>
      <c r="G1755">
        <f>IF(ISBLANK(F1755),MODE($F$2:$F$2001),F1755)</f>
        <v>4</v>
      </c>
      <c r="H1755">
        <v>352.72</v>
      </c>
      <c r="I1755">
        <f>IF(ISBLANK(H1755),AVERAGE($H$2:$H$2001),H1755)</f>
        <v>352.72</v>
      </c>
      <c r="J1755">
        <v>0.25</v>
      </c>
      <c r="K1755">
        <f>IF(ISBLANK(J1755),MODE($J$2:$J$2001),J1755)</f>
        <v>0.25</v>
      </c>
      <c r="L1755" t="s">
        <v>1824</v>
      </c>
      <c r="M1755">
        <v>1058.1600000000001</v>
      </c>
      <c r="N1755">
        <f t="shared" si="27"/>
        <v>1058.1600000000001</v>
      </c>
      <c r="O1755" t="str">
        <f>_xlfn.XLOOKUP(Sales_fact[[#This Row],[Customer_ID]],'Customer_Dim'!A:A,'Customer_Dim'!K:K,"Not Found")</f>
        <v>Platinum</v>
      </c>
      <c r="P1755">
        <f>_xlfn.XLOOKUP(Sales_fact[[#This Row],[Customer_ID]],'Customer_Dim'!A:A, 'Customer_Dim'!E:E, "Not Found")</f>
        <v>43</v>
      </c>
      <c r="Q1755" t="str">
        <f>VLOOKUP(Sales_fact[[#This Row],[Customer_ID]], 'Customer_Dim'!A:F, 6, FALSE)</f>
        <v>Male</v>
      </c>
      <c r="R1755" s="13" t="str">
        <f>_xlfn.XLOOKUP(Sales_fact[[#This Row],[Product_ID]],Product_Dim!A:A,Product_Dim!C:C,"OTHERS")</f>
        <v>Electronics</v>
      </c>
    </row>
    <row r="1756" spans="1:18" x14ac:dyDescent="0.3">
      <c r="A1756" t="s">
        <v>3580</v>
      </c>
      <c r="B1756" s="2">
        <v>45797</v>
      </c>
      <c r="C1756" t="s">
        <v>574</v>
      </c>
      <c r="D1756" t="s">
        <v>1570</v>
      </c>
      <c r="E1756" t="str">
        <f ca="1">TRIM(Sales_fact[[#This Row],[Store_ID]])</f>
        <v>STORE12</v>
      </c>
      <c r="F1756">
        <v>1</v>
      </c>
      <c r="G1756">
        <f>IF(ISBLANK(F1756),MODE($F$2:$F$2001),F1756)</f>
        <v>1</v>
      </c>
      <c r="H1756">
        <v>470.18</v>
      </c>
      <c r="I1756">
        <f>IF(ISBLANK(H1756),AVERAGE($H$2:$H$2001),H1756)</f>
        <v>470.18</v>
      </c>
      <c r="J1756">
        <v>0.19</v>
      </c>
      <c r="K1756">
        <f>IF(ISBLANK(J1756),MODE($J$2:$J$2001),J1756)</f>
        <v>0.19</v>
      </c>
      <c r="L1756" t="s">
        <v>1826</v>
      </c>
      <c r="M1756">
        <v>380.84580000000011</v>
      </c>
      <c r="N1756">
        <f t="shared" si="27"/>
        <v>380.84580000000005</v>
      </c>
      <c r="O1756" t="str">
        <f>_xlfn.XLOOKUP(Sales_fact[[#This Row],[Customer_ID]],'Customer_Dim'!A:A,'Customer_Dim'!K:K,"Not Found")</f>
        <v>Platinum</v>
      </c>
      <c r="P1756">
        <f>_xlfn.XLOOKUP(Sales_fact[[#This Row],[Customer_ID]],'Customer_Dim'!A:A, 'Customer_Dim'!E:E, "Not Found")</f>
        <v>41</v>
      </c>
      <c r="Q1756" t="str">
        <f>VLOOKUP(Sales_fact[[#This Row],[Customer_ID]], 'Customer_Dim'!A:F, 6, FALSE)</f>
        <v>Female</v>
      </c>
      <c r="R1756" s="13" t="str">
        <f>_xlfn.XLOOKUP(Sales_fact[[#This Row],[Product_ID]],Product_Dim!A:A,Product_Dim!C:C,"OTHERS")</f>
        <v>Electronics</v>
      </c>
    </row>
    <row r="1757" spans="1:18" x14ac:dyDescent="0.3">
      <c r="A1757" t="s">
        <v>3581</v>
      </c>
      <c r="B1757" s="2">
        <v>45898</v>
      </c>
      <c r="C1757" t="s">
        <v>740</v>
      </c>
      <c r="D1757" t="s">
        <v>1680</v>
      </c>
      <c r="E1757" t="str">
        <f ca="1">TRIM(Sales_fact[[#This Row],[Store_ID]])</f>
        <v>STORE11</v>
      </c>
      <c r="F1757">
        <v>1</v>
      </c>
      <c r="G1757">
        <f>IF(ISBLANK(F1757),MODE($F$2:$F$2001),F1757)</f>
        <v>1</v>
      </c>
      <c r="H1757">
        <v>891.79</v>
      </c>
      <c r="I1757">
        <f>IF(ISBLANK(H1757),AVERAGE($H$2:$H$2001),H1757)</f>
        <v>891.79</v>
      </c>
      <c r="J1757">
        <v>0.03</v>
      </c>
      <c r="K1757">
        <f>IF(ISBLANK(J1757),MODE($J$2:$J$2001),J1757)</f>
        <v>0.03</v>
      </c>
      <c r="L1757" t="s">
        <v>1824</v>
      </c>
      <c r="M1757">
        <v>865.03629999999998</v>
      </c>
      <c r="N1757">
        <f t="shared" si="27"/>
        <v>865.03629999999998</v>
      </c>
      <c r="O1757" t="str">
        <f>_xlfn.XLOOKUP(Sales_fact[[#This Row],[Customer_ID]],'Customer_Dim'!A:A,'Customer_Dim'!K:K,"Not Found")</f>
        <v>Bronze</v>
      </c>
      <c r="P1757">
        <f>_xlfn.XLOOKUP(Sales_fact[[#This Row],[Customer_ID]],'Customer_Dim'!A:A, 'Customer_Dim'!E:E, "Not Found")</f>
        <v>29</v>
      </c>
      <c r="Q1757" t="str">
        <f>VLOOKUP(Sales_fact[[#This Row],[Customer_ID]], 'Customer_Dim'!A:F, 6, FALSE)</f>
        <v>Male</v>
      </c>
      <c r="R1757" s="13" t="str">
        <f>_xlfn.XLOOKUP(Sales_fact[[#This Row],[Product_ID]],Product_Dim!A:A,Product_Dim!C:C,"OTHERS")</f>
        <v>Beauty</v>
      </c>
    </row>
    <row r="1758" spans="1:18" x14ac:dyDescent="0.3">
      <c r="A1758" t="s">
        <v>3582</v>
      </c>
      <c r="B1758" s="2">
        <v>45390</v>
      </c>
      <c r="C1758" t="s">
        <v>1092</v>
      </c>
      <c r="D1758" t="s">
        <v>1726</v>
      </c>
      <c r="E1758" t="str">
        <f ca="1">TRIM(Sales_fact[[#This Row],[Store_ID]])</f>
        <v>STORE17</v>
      </c>
      <c r="F1758">
        <v>2</v>
      </c>
      <c r="G1758">
        <f>IF(ISBLANK(F1758),MODE($F$2:$F$2001),F1758)</f>
        <v>2</v>
      </c>
      <c r="H1758">
        <v>433.07</v>
      </c>
      <c r="I1758">
        <f>IF(ISBLANK(H1758),AVERAGE($H$2:$H$2001),H1758)</f>
        <v>433.07</v>
      </c>
      <c r="J1758">
        <v>0.25</v>
      </c>
      <c r="K1758">
        <f>IF(ISBLANK(J1758),MODE($J$2:$J$2001),J1758)</f>
        <v>0.25</v>
      </c>
      <c r="L1758" t="s">
        <v>1829</v>
      </c>
      <c r="M1758">
        <v>649.60500000000002</v>
      </c>
      <c r="N1758">
        <f t="shared" si="27"/>
        <v>649.60500000000002</v>
      </c>
      <c r="O1758" t="str">
        <f>_xlfn.XLOOKUP(Sales_fact[[#This Row],[Customer_ID]],'Customer_Dim'!A:A,'Customer_Dim'!K:K,"Not Found")</f>
        <v>Silver</v>
      </c>
      <c r="P1758">
        <f>_xlfn.XLOOKUP(Sales_fact[[#This Row],[Customer_ID]],'Customer_Dim'!A:A, 'Customer_Dim'!E:E, "Not Found")</f>
        <v>55</v>
      </c>
      <c r="Q1758" t="str">
        <f>VLOOKUP(Sales_fact[[#This Row],[Customer_ID]], 'Customer_Dim'!A:F, 6, FALSE)</f>
        <v>Male</v>
      </c>
      <c r="R1758" s="13" t="str">
        <f>_xlfn.XLOOKUP(Sales_fact[[#This Row],[Product_ID]],Product_Dim!A:A,Product_Dim!C:C,"OTHERS")</f>
        <v>Beauty</v>
      </c>
    </row>
    <row r="1759" spans="1:18" x14ac:dyDescent="0.3">
      <c r="A1759" t="s">
        <v>3583</v>
      </c>
      <c r="B1759" s="2">
        <v>45355</v>
      </c>
      <c r="C1759" t="s">
        <v>59</v>
      </c>
      <c r="D1759" t="s">
        <v>1680</v>
      </c>
      <c r="E1759" t="str">
        <f ca="1">TRIM(Sales_fact[[#This Row],[Store_ID]])</f>
        <v>STORE19</v>
      </c>
      <c r="F1759">
        <v>3</v>
      </c>
      <c r="G1759">
        <f>IF(ISBLANK(F1759),MODE($F$2:$F$2001),F1759)</f>
        <v>3</v>
      </c>
      <c r="H1759">
        <v>626.71</v>
      </c>
      <c r="I1759">
        <f>IF(ISBLANK(H1759),AVERAGE($H$2:$H$2001),H1759)</f>
        <v>626.71</v>
      </c>
      <c r="J1759">
        <v>7.0000000000000007E-2</v>
      </c>
      <c r="K1759">
        <f>IF(ISBLANK(J1759),MODE($J$2:$J$2001),J1759)</f>
        <v>7.0000000000000007E-2</v>
      </c>
      <c r="L1759" t="s">
        <v>1829</v>
      </c>
      <c r="M1759">
        <v>1748.5209</v>
      </c>
      <c r="N1759">
        <f t="shared" si="27"/>
        <v>1748.5209</v>
      </c>
      <c r="O1759" t="str">
        <f>_xlfn.XLOOKUP(Sales_fact[[#This Row],[Customer_ID]],'Customer_Dim'!A:A,'Customer_Dim'!K:K,"Not Found")</f>
        <v>Platinum</v>
      </c>
      <c r="P1759">
        <f>_xlfn.XLOOKUP(Sales_fact[[#This Row],[Customer_ID]],'Customer_Dim'!A:A, 'Customer_Dim'!E:E, "Not Found")</f>
        <v>55</v>
      </c>
      <c r="Q1759" t="str">
        <f>VLOOKUP(Sales_fact[[#This Row],[Customer_ID]], 'Customer_Dim'!A:F, 6, FALSE)</f>
        <v>Female</v>
      </c>
      <c r="R1759" s="13" t="str">
        <f>_xlfn.XLOOKUP(Sales_fact[[#This Row],[Product_ID]],Product_Dim!A:A,Product_Dim!C:C,"OTHERS")</f>
        <v>Beauty</v>
      </c>
    </row>
    <row r="1760" spans="1:18" x14ac:dyDescent="0.3">
      <c r="A1760" t="s">
        <v>3584</v>
      </c>
      <c r="B1760" s="2">
        <v>45916</v>
      </c>
      <c r="C1760" t="s">
        <v>278</v>
      </c>
      <c r="D1760" t="s">
        <v>1620</v>
      </c>
      <c r="E1760" t="str">
        <f ca="1">TRIM(Sales_fact[[#This Row],[Store_ID]])</f>
        <v>STORE0</v>
      </c>
      <c r="F1760">
        <v>2</v>
      </c>
      <c r="G1760">
        <f>IF(ISBLANK(F1760),MODE($F$2:$F$2001),F1760)</f>
        <v>2</v>
      </c>
      <c r="H1760">
        <v>324.18</v>
      </c>
      <c r="I1760">
        <f>IF(ISBLANK(H1760),AVERAGE($H$2:$H$2001),H1760)</f>
        <v>324.18</v>
      </c>
      <c r="J1760">
        <v>0.06</v>
      </c>
      <c r="K1760">
        <f>IF(ISBLANK(J1760),MODE($J$2:$J$2001),J1760)</f>
        <v>0.06</v>
      </c>
      <c r="L1760" t="s">
        <v>1829</v>
      </c>
      <c r="M1760">
        <v>609.45839999999998</v>
      </c>
      <c r="N1760">
        <f t="shared" si="27"/>
        <v>609.45839999999998</v>
      </c>
      <c r="O1760" t="str">
        <f>_xlfn.XLOOKUP(Sales_fact[[#This Row],[Customer_ID]],'Customer_Dim'!A:A,'Customer_Dim'!K:K,"Not Found")</f>
        <v>Gold</v>
      </c>
      <c r="P1760">
        <f>_xlfn.XLOOKUP(Sales_fact[[#This Row],[Customer_ID]],'Customer_Dim'!A:A, 'Customer_Dim'!E:E, "Not Found")</f>
        <v>37</v>
      </c>
      <c r="Q1760" t="str">
        <f>VLOOKUP(Sales_fact[[#This Row],[Customer_ID]], 'Customer_Dim'!A:F, 6, FALSE)</f>
        <v>Male</v>
      </c>
      <c r="R1760" s="13" t="str">
        <f>_xlfn.XLOOKUP(Sales_fact[[#This Row],[Product_ID]],Product_Dim!A:A,Product_Dim!C:C,"OTHERS")</f>
        <v>Clothing</v>
      </c>
    </row>
    <row r="1761" spans="1:18" x14ac:dyDescent="0.3">
      <c r="A1761" t="s">
        <v>3585</v>
      </c>
      <c r="B1761" s="2">
        <v>45448</v>
      </c>
      <c r="C1761" t="s">
        <v>63</v>
      </c>
      <c r="D1761" t="s">
        <v>1576</v>
      </c>
      <c r="E1761" t="str">
        <f ca="1">TRIM(Sales_fact[[#This Row],[Store_ID]])</f>
        <v>STORE17</v>
      </c>
      <c r="F1761">
        <v>4</v>
      </c>
      <c r="G1761">
        <f>IF(ISBLANK(F1761),MODE($F$2:$F$2001),F1761)</f>
        <v>4</v>
      </c>
      <c r="H1761">
        <v>839.74</v>
      </c>
      <c r="I1761">
        <f>IF(ISBLANK(H1761),AVERAGE($H$2:$H$2001),H1761)</f>
        <v>839.74</v>
      </c>
      <c r="J1761">
        <v>0.13</v>
      </c>
      <c r="K1761">
        <f>IF(ISBLANK(J1761),MODE($J$2:$J$2001),J1761)</f>
        <v>0.13</v>
      </c>
      <c r="L1761" t="s">
        <v>1826</v>
      </c>
      <c r="M1761">
        <v>2922.2952</v>
      </c>
      <c r="N1761">
        <f t="shared" si="27"/>
        <v>2922.2952</v>
      </c>
      <c r="O1761" t="str">
        <f>_xlfn.XLOOKUP(Sales_fact[[#This Row],[Customer_ID]],'Customer_Dim'!A:A,'Customer_Dim'!K:K,"Not Found")</f>
        <v>Silver</v>
      </c>
      <c r="P1761">
        <f>_xlfn.XLOOKUP(Sales_fact[[#This Row],[Customer_ID]],'Customer_Dim'!A:A, 'Customer_Dim'!E:E, "Not Found")</f>
        <v>32</v>
      </c>
      <c r="Q1761" t="str">
        <f>VLOOKUP(Sales_fact[[#This Row],[Customer_ID]], 'Customer_Dim'!A:F, 6, FALSE)</f>
        <v>Female</v>
      </c>
      <c r="R1761" s="13" t="str">
        <f>_xlfn.XLOOKUP(Sales_fact[[#This Row],[Product_ID]],Product_Dim!A:A,Product_Dim!C:C,"OTHERS")</f>
        <v>Home</v>
      </c>
    </row>
    <row r="1762" spans="1:18" x14ac:dyDescent="0.3">
      <c r="A1762" t="s">
        <v>3586</v>
      </c>
      <c r="B1762" s="2">
        <v>45402</v>
      </c>
      <c r="C1762" t="s">
        <v>523</v>
      </c>
      <c r="D1762" t="s">
        <v>1672</v>
      </c>
      <c r="E1762" t="str">
        <f ca="1">TRIM(Sales_fact[[#This Row],[Store_ID]])</f>
        <v>STORE15</v>
      </c>
      <c r="F1762">
        <v>3</v>
      </c>
      <c r="G1762">
        <f>IF(ISBLANK(F1762),MODE($F$2:$F$2001),F1762)</f>
        <v>3</v>
      </c>
      <c r="H1762">
        <v>252.63</v>
      </c>
      <c r="I1762">
        <f>IF(ISBLANK(H1762),AVERAGE($H$2:$H$2001),H1762)</f>
        <v>252.63</v>
      </c>
      <c r="J1762">
        <v>0.28000000000000003</v>
      </c>
      <c r="K1762">
        <f>IF(ISBLANK(J1762),MODE($J$2:$J$2001),J1762)</f>
        <v>0.28000000000000003</v>
      </c>
      <c r="L1762" t="s">
        <v>1824</v>
      </c>
      <c r="M1762">
        <v>545.68079999999998</v>
      </c>
      <c r="N1762">
        <f t="shared" si="27"/>
        <v>545.68079999999998</v>
      </c>
      <c r="O1762" t="str">
        <f>_xlfn.XLOOKUP(Sales_fact[[#This Row],[Customer_ID]],'Customer_Dim'!A:A,'Customer_Dim'!K:K,"Not Found")</f>
        <v>Bronze</v>
      </c>
      <c r="P1762">
        <f>_xlfn.XLOOKUP(Sales_fact[[#This Row],[Customer_ID]],'Customer_Dim'!A:A, 'Customer_Dim'!E:E, "Not Found")</f>
        <v>46</v>
      </c>
      <c r="Q1762" t="str">
        <f>VLOOKUP(Sales_fact[[#This Row],[Customer_ID]], 'Customer_Dim'!A:F, 6, FALSE)</f>
        <v>Male</v>
      </c>
      <c r="R1762" s="13" t="str">
        <f>_xlfn.XLOOKUP(Sales_fact[[#This Row],[Product_ID]],Product_Dim!A:A,Product_Dim!C:C,"OTHERS")</f>
        <v>Electronics</v>
      </c>
    </row>
    <row r="1763" spans="1:18" x14ac:dyDescent="0.3">
      <c r="A1763" t="s">
        <v>3587</v>
      </c>
      <c r="B1763" s="2">
        <v>45581</v>
      </c>
      <c r="C1763" t="s">
        <v>815</v>
      </c>
      <c r="D1763" t="s">
        <v>1706</v>
      </c>
      <c r="E1763" t="str">
        <f ca="1">TRIM(Sales_fact[[#This Row],[Store_ID]])</f>
        <v>STORE19</v>
      </c>
      <c r="F1763">
        <v>2</v>
      </c>
      <c r="G1763">
        <f>IF(ISBLANK(F1763),MODE($F$2:$F$2001),F1763)</f>
        <v>2</v>
      </c>
      <c r="H1763">
        <v>60.53</v>
      </c>
      <c r="I1763">
        <f>IF(ISBLANK(H1763),AVERAGE($H$2:$H$2001),H1763)</f>
        <v>60.53</v>
      </c>
      <c r="J1763">
        <v>0.18</v>
      </c>
      <c r="K1763">
        <f>IF(ISBLANK(J1763),MODE($J$2:$J$2001),J1763)</f>
        <v>0.18</v>
      </c>
      <c r="L1763" t="s">
        <v>1824</v>
      </c>
      <c r="M1763">
        <v>99.269200000000012</v>
      </c>
      <c r="N1763">
        <f t="shared" si="27"/>
        <v>99.269200000000012</v>
      </c>
      <c r="O1763" t="str">
        <f>_xlfn.XLOOKUP(Sales_fact[[#This Row],[Customer_ID]],'Customer_Dim'!A:A,'Customer_Dim'!K:K,"Not Found")</f>
        <v>Gold</v>
      </c>
      <c r="P1763">
        <f>_xlfn.XLOOKUP(Sales_fact[[#This Row],[Customer_ID]],'Customer_Dim'!A:A, 'Customer_Dim'!E:E, "Not Found")</f>
        <v>21</v>
      </c>
      <c r="Q1763" t="str">
        <f>VLOOKUP(Sales_fact[[#This Row],[Customer_ID]], 'Customer_Dim'!A:F, 6, FALSE)</f>
        <v>Male</v>
      </c>
      <c r="R1763" s="13" t="str">
        <f>_xlfn.XLOOKUP(Sales_fact[[#This Row],[Product_ID]],Product_Dim!A:A,Product_Dim!C:C,"OTHERS")</f>
        <v>Home</v>
      </c>
    </row>
    <row r="1764" spans="1:18" x14ac:dyDescent="0.3">
      <c r="A1764" t="s">
        <v>3588</v>
      </c>
      <c r="B1764" s="2">
        <v>45610</v>
      </c>
      <c r="C1764" t="s">
        <v>205</v>
      </c>
      <c r="D1764" t="s">
        <v>1716</v>
      </c>
      <c r="E1764" t="str">
        <f ca="1">TRIM(Sales_fact[[#This Row],[Store_ID]])</f>
        <v>STORE13</v>
      </c>
      <c r="F1764">
        <v>4</v>
      </c>
      <c r="G1764">
        <f>IF(ISBLANK(F1764),MODE($F$2:$F$2001),F1764)</f>
        <v>4</v>
      </c>
      <c r="H1764">
        <v>341.95</v>
      </c>
      <c r="I1764">
        <f>IF(ISBLANK(H1764),AVERAGE($H$2:$H$2001),H1764)</f>
        <v>341.95</v>
      </c>
      <c r="J1764">
        <v>0.25</v>
      </c>
      <c r="K1764">
        <f>IF(ISBLANK(J1764),MODE($J$2:$J$2001),J1764)</f>
        <v>0.25</v>
      </c>
      <c r="L1764" t="s">
        <v>1824</v>
      </c>
      <c r="M1764">
        <v>1025.8499999999999</v>
      </c>
      <c r="N1764">
        <f t="shared" si="27"/>
        <v>1025.8499999999999</v>
      </c>
      <c r="O1764" t="str">
        <f>_xlfn.XLOOKUP(Sales_fact[[#This Row],[Customer_ID]],'Customer_Dim'!A:A,'Customer_Dim'!K:K,"Not Found")</f>
        <v>Platinum</v>
      </c>
      <c r="P1764">
        <f>_xlfn.XLOOKUP(Sales_fact[[#This Row],[Customer_ID]],'Customer_Dim'!A:A, 'Customer_Dim'!E:E, "Not Found")</f>
        <v>24</v>
      </c>
      <c r="Q1764" t="str">
        <f>VLOOKUP(Sales_fact[[#This Row],[Customer_ID]], 'Customer_Dim'!A:F, 6, FALSE)</f>
        <v>Male</v>
      </c>
      <c r="R1764" s="13" t="str">
        <f>_xlfn.XLOOKUP(Sales_fact[[#This Row],[Product_ID]],Product_Dim!A:A,Product_Dim!C:C,"OTHERS")</f>
        <v>Home</v>
      </c>
    </row>
    <row r="1765" spans="1:18" x14ac:dyDescent="0.3">
      <c r="A1765" t="s">
        <v>3589</v>
      </c>
      <c r="B1765" s="2">
        <v>45438</v>
      </c>
      <c r="C1765" t="s">
        <v>899</v>
      </c>
      <c r="D1765" t="s">
        <v>1592</v>
      </c>
      <c r="E1765" t="str">
        <f ca="1">TRIM(Sales_fact[[#This Row],[Store_ID]])</f>
        <v>STORE16</v>
      </c>
      <c r="F1765">
        <v>4</v>
      </c>
      <c r="G1765">
        <f>IF(ISBLANK(F1765),MODE($F$2:$F$2001),F1765)</f>
        <v>4</v>
      </c>
      <c r="H1765">
        <v>300.12</v>
      </c>
      <c r="I1765">
        <f>IF(ISBLANK(H1765),AVERAGE($H$2:$H$2001),H1765)</f>
        <v>300.12</v>
      </c>
      <c r="J1765">
        <v>0.05</v>
      </c>
      <c r="K1765">
        <f>IF(ISBLANK(J1765),MODE($J$2:$J$2001),J1765)</f>
        <v>0.05</v>
      </c>
      <c r="L1765" t="s">
        <v>1826</v>
      </c>
      <c r="M1765">
        <v>1140.4559999999999</v>
      </c>
      <c r="N1765">
        <f t="shared" si="27"/>
        <v>1140.4559999999999</v>
      </c>
      <c r="O1765" t="str">
        <f>_xlfn.XLOOKUP(Sales_fact[[#This Row],[Customer_ID]],'Customer_Dim'!A:A,'Customer_Dim'!K:K,"Not Found")</f>
        <v>Silver</v>
      </c>
      <c r="P1765">
        <f>_xlfn.XLOOKUP(Sales_fact[[#This Row],[Customer_ID]],'Customer_Dim'!A:A, 'Customer_Dim'!E:E, "Not Found")</f>
        <v>54</v>
      </c>
      <c r="Q1765" t="str">
        <f>VLOOKUP(Sales_fact[[#This Row],[Customer_ID]], 'Customer_Dim'!A:F, 6, FALSE)</f>
        <v>Female</v>
      </c>
      <c r="R1765" s="13" t="str">
        <f>_xlfn.XLOOKUP(Sales_fact[[#This Row],[Product_ID]],Product_Dim!A:A,Product_Dim!C:C,"OTHERS")</f>
        <v>Sports</v>
      </c>
    </row>
    <row r="1766" spans="1:18" x14ac:dyDescent="0.3">
      <c r="A1766" t="s">
        <v>3590</v>
      </c>
      <c r="B1766" s="2">
        <v>45705</v>
      </c>
      <c r="C1766" t="s">
        <v>402</v>
      </c>
      <c r="D1766" t="s">
        <v>1604</v>
      </c>
      <c r="E1766" t="str">
        <f ca="1">TRIM(Sales_fact[[#This Row],[Store_ID]])</f>
        <v>STORE17</v>
      </c>
      <c r="F1766">
        <v>2</v>
      </c>
      <c r="G1766">
        <f>IF(ISBLANK(F1766),MODE($F$2:$F$2001),F1766)</f>
        <v>2</v>
      </c>
      <c r="H1766">
        <v>289.14</v>
      </c>
      <c r="I1766">
        <f>IF(ISBLANK(H1766),AVERAGE($H$2:$H$2001),H1766)</f>
        <v>289.14</v>
      </c>
      <c r="J1766">
        <v>0.12</v>
      </c>
      <c r="K1766">
        <f>IF(ISBLANK(J1766),MODE($J$2:$J$2001),J1766)</f>
        <v>0.12</v>
      </c>
      <c r="L1766" t="s">
        <v>1829</v>
      </c>
      <c r="M1766">
        <v>508.88639999999998</v>
      </c>
      <c r="N1766">
        <f t="shared" si="27"/>
        <v>508.88639999999998</v>
      </c>
      <c r="O1766" t="str">
        <f>_xlfn.XLOOKUP(Sales_fact[[#This Row],[Customer_ID]],'Customer_Dim'!A:A,'Customer_Dim'!K:K,"Not Found")</f>
        <v>Platinum</v>
      </c>
      <c r="P1766">
        <f>_xlfn.XLOOKUP(Sales_fact[[#This Row],[Customer_ID]],'Customer_Dim'!A:A, 'Customer_Dim'!E:E, "Not Found")</f>
        <v>53</v>
      </c>
      <c r="Q1766" t="str">
        <f>VLOOKUP(Sales_fact[[#This Row],[Customer_ID]], 'Customer_Dim'!A:F, 6, FALSE)</f>
        <v>Female</v>
      </c>
      <c r="R1766" s="13" t="str">
        <f>_xlfn.XLOOKUP(Sales_fact[[#This Row],[Product_ID]],Product_Dim!A:A,Product_Dim!C:C,"OTHERS")</f>
        <v>Sports</v>
      </c>
    </row>
    <row r="1767" spans="1:18" x14ac:dyDescent="0.3">
      <c r="A1767" t="s">
        <v>3591</v>
      </c>
      <c r="B1767" s="2">
        <v>45695</v>
      </c>
      <c r="C1767" t="s">
        <v>175</v>
      </c>
      <c r="D1767" t="s">
        <v>1598</v>
      </c>
      <c r="E1767" t="str">
        <f ca="1">TRIM(Sales_fact[[#This Row],[Store_ID]])</f>
        <v>STORE0</v>
      </c>
      <c r="F1767">
        <v>2</v>
      </c>
      <c r="G1767">
        <f>IF(ISBLANK(F1767),MODE($F$2:$F$2001),F1767)</f>
        <v>2</v>
      </c>
      <c r="H1767">
        <v>596.84</v>
      </c>
      <c r="I1767">
        <f>IF(ISBLANK(H1767),AVERAGE($H$2:$H$2001),H1767)</f>
        <v>596.84</v>
      </c>
      <c r="J1767">
        <v>0.01</v>
      </c>
      <c r="K1767">
        <f>IF(ISBLANK(J1767),MODE($J$2:$J$2001),J1767)</f>
        <v>0.01</v>
      </c>
      <c r="L1767" t="s">
        <v>1826</v>
      </c>
      <c r="M1767">
        <v>1181.7431999999999</v>
      </c>
      <c r="N1767">
        <f t="shared" si="27"/>
        <v>1181.7432000000001</v>
      </c>
      <c r="O1767" t="str">
        <f>_xlfn.XLOOKUP(Sales_fact[[#This Row],[Customer_ID]],'Customer_Dim'!A:A,'Customer_Dim'!K:K,"Not Found")</f>
        <v>Gold</v>
      </c>
      <c r="P1767">
        <f>_xlfn.XLOOKUP(Sales_fact[[#This Row],[Customer_ID]],'Customer_Dim'!A:A, 'Customer_Dim'!E:E, "Not Found")</f>
        <v>54</v>
      </c>
      <c r="Q1767" t="str">
        <f>VLOOKUP(Sales_fact[[#This Row],[Customer_ID]], 'Customer_Dim'!A:F, 6, FALSE)</f>
        <v>Male</v>
      </c>
      <c r="R1767" s="13" t="str">
        <f>_xlfn.XLOOKUP(Sales_fact[[#This Row],[Product_ID]],Product_Dim!A:A,Product_Dim!C:C,"OTHERS")</f>
        <v>Clothing</v>
      </c>
    </row>
    <row r="1768" spans="1:18" x14ac:dyDescent="0.3">
      <c r="A1768" t="s">
        <v>3592</v>
      </c>
      <c r="B1768" s="2">
        <v>45571</v>
      </c>
      <c r="C1768" t="s">
        <v>1352</v>
      </c>
      <c r="D1768" t="s">
        <v>1586</v>
      </c>
      <c r="E1768" t="str">
        <f ca="1">TRIM(Sales_fact[[#This Row],[Store_ID]])</f>
        <v>STORE8</v>
      </c>
      <c r="F1768">
        <v>4</v>
      </c>
      <c r="G1768">
        <f>IF(ISBLANK(F1768),MODE($F$2:$F$2001),F1768)</f>
        <v>4</v>
      </c>
      <c r="H1768">
        <v>466.24</v>
      </c>
      <c r="I1768">
        <f>IF(ISBLANK(H1768),AVERAGE($H$2:$H$2001),H1768)</f>
        <v>466.24</v>
      </c>
      <c r="J1768">
        <v>0.16</v>
      </c>
      <c r="K1768">
        <f>IF(ISBLANK(J1768),MODE($J$2:$J$2001),J1768)</f>
        <v>0.16</v>
      </c>
      <c r="L1768" t="s">
        <v>1824</v>
      </c>
      <c r="M1768">
        <v>1566.5663999999999</v>
      </c>
      <c r="N1768">
        <f t="shared" si="27"/>
        <v>1566.5663999999999</v>
      </c>
      <c r="O1768" t="str">
        <f>_xlfn.XLOOKUP(Sales_fact[[#This Row],[Customer_ID]],'Customer_Dim'!A:A,'Customer_Dim'!K:K,"Not Found")</f>
        <v>Gold</v>
      </c>
      <c r="P1768">
        <f>_xlfn.XLOOKUP(Sales_fact[[#This Row],[Customer_ID]],'Customer_Dim'!A:A, 'Customer_Dim'!E:E, "Not Found")</f>
        <v>61</v>
      </c>
      <c r="Q1768" t="str">
        <f>VLOOKUP(Sales_fact[[#This Row],[Customer_ID]], 'Customer_Dim'!A:F, 6, FALSE)</f>
        <v>Male</v>
      </c>
      <c r="R1768" s="13" t="str">
        <f>_xlfn.XLOOKUP(Sales_fact[[#This Row],[Product_ID]],Product_Dim!A:A,Product_Dim!C:C,"OTHERS")</f>
        <v>Sports</v>
      </c>
    </row>
    <row r="1769" spans="1:18" x14ac:dyDescent="0.3">
      <c r="A1769" t="s">
        <v>3593</v>
      </c>
      <c r="B1769" s="2">
        <v>45544</v>
      </c>
      <c r="C1769" t="s">
        <v>806</v>
      </c>
      <c r="D1769" t="s">
        <v>1574</v>
      </c>
      <c r="E1769" t="str">
        <f ca="1">TRIM(Sales_fact[[#This Row],[Store_ID]])</f>
        <v>STORE16</v>
      </c>
      <c r="F1769">
        <v>2</v>
      </c>
      <c r="G1769">
        <f>IF(ISBLANK(F1769),MODE($F$2:$F$2001),F1769)</f>
        <v>2</v>
      </c>
      <c r="H1769">
        <v>330.59</v>
      </c>
      <c r="I1769">
        <f>IF(ISBLANK(H1769),AVERAGE($H$2:$H$2001),H1769)</f>
        <v>330.59</v>
      </c>
      <c r="J1769">
        <v>0.14000000000000001</v>
      </c>
      <c r="K1769">
        <f>IF(ISBLANK(J1769),MODE($J$2:$J$2001),J1769)</f>
        <v>0.14000000000000001</v>
      </c>
      <c r="L1769" t="s">
        <v>1824</v>
      </c>
      <c r="M1769">
        <v>568.61479999999995</v>
      </c>
      <c r="N1769">
        <f t="shared" si="27"/>
        <v>568.61479999999995</v>
      </c>
      <c r="O1769" t="str">
        <f>_xlfn.XLOOKUP(Sales_fact[[#This Row],[Customer_ID]],'Customer_Dim'!A:A,'Customer_Dim'!K:K,"Not Found")</f>
        <v>Silver</v>
      </c>
      <c r="P1769">
        <f>_xlfn.XLOOKUP(Sales_fact[[#This Row],[Customer_ID]],'Customer_Dim'!A:A, 'Customer_Dim'!E:E, "Not Found")</f>
        <v>26</v>
      </c>
      <c r="Q1769" t="str">
        <f>VLOOKUP(Sales_fact[[#This Row],[Customer_ID]], 'Customer_Dim'!A:F, 6, FALSE)</f>
        <v>Male</v>
      </c>
      <c r="R1769" s="13" t="str">
        <f>_xlfn.XLOOKUP(Sales_fact[[#This Row],[Product_ID]],Product_Dim!A:A,Product_Dim!C:C,"OTHERS")</f>
        <v>Electronics</v>
      </c>
    </row>
    <row r="1770" spans="1:18" x14ac:dyDescent="0.3">
      <c r="A1770" t="s">
        <v>3594</v>
      </c>
      <c r="B1770" s="2">
        <v>45654</v>
      </c>
      <c r="C1770" t="s">
        <v>1516</v>
      </c>
      <c r="D1770" t="s">
        <v>1592</v>
      </c>
      <c r="E1770" t="str">
        <f ca="1">TRIM(Sales_fact[[#This Row],[Store_ID]])</f>
        <v>STORE6</v>
      </c>
      <c r="F1770">
        <v>2</v>
      </c>
      <c r="G1770">
        <f>IF(ISBLANK(F1770),MODE($F$2:$F$2001),F1770)</f>
        <v>2</v>
      </c>
      <c r="H1770">
        <v>616.42999999999995</v>
      </c>
      <c r="I1770">
        <f>IF(ISBLANK(H1770),AVERAGE($H$2:$H$2001),H1770)</f>
        <v>616.42999999999995</v>
      </c>
      <c r="J1770">
        <v>0.02</v>
      </c>
      <c r="K1770">
        <f>IF(ISBLANK(J1770),MODE($J$2:$J$2001),J1770)</f>
        <v>0.02</v>
      </c>
      <c r="L1770" t="s">
        <v>1829</v>
      </c>
      <c r="M1770">
        <v>1208.2028</v>
      </c>
      <c r="N1770">
        <f t="shared" si="27"/>
        <v>1208.2027999999998</v>
      </c>
      <c r="O1770" t="str">
        <f>_xlfn.XLOOKUP(Sales_fact[[#This Row],[Customer_ID]],'Customer_Dim'!A:A,'Customer_Dim'!K:K,"Not Found")</f>
        <v>Silver</v>
      </c>
      <c r="P1770">
        <f>_xlfn.XLOOKUP(Sales_fact[[#This Row],[Customer_ID]],'Customer_Dim'!A:A, 'Customer_Dim'!E:E, "Not Found")</f>
        <v>28</v>
      </c>
      <c r="Q1770" t="str">
        <f>VLOOKUP(Sales_fact[[#This Row],[Customer_ID]], 'Customer_Dim'!A:F, 6, FALSE)</f>
        <v>Male</v>
      </c>
      <c r="R1770" s="13" t="str">
        <f>_xlfn.XLOOKUP(Sales_fact[[#This Row],[Product_ID]],Product_Dim!A:A,Product_Dim!C:C,"OTHERS")</f>
        <v>Sports</v>
      </c>
    </row>
    <row r="1771" spans="1:18" x14ac:dyDescent="0.3">
      <c r="A1771" t="s">
        <v>3595</v>
      </c>
      <c r="B1771" s="2">
        <v>45589</v>
      </c>
      <c r="C1771" t="s">
        <v>1254</v>
      </c>
      <c r="D1771" t="s">
        <v>1674</v>
      </c>
      <c r="E1771" t="str">
        <f ca="1">TRIM(Sales_fact[[#This Row],[Store_ID]])</f>
        <v>STORE6</v>
      </c>
      <c r="F1771">
        <v>3</v>
      </c>
      <c r="G1771">
        <f>IF(ISBLANK(F1771),MODE($F$2:$F$2001),F1771)</f>
        <v>3</v>
      </c>
      <c r="H1771">
        <v>195.89</v>
      </c>
      <c r="I1771">
        <f>IF(ISBLANK(H1771),AVERAGE($H$2:$H$2001),H1771)</f>
        <v>195.89</v>
      </c>
      <c r="J1771">
        <v>0.16</v>
      </c>
      <c r="K1771">
        <f>IF(ISBLANK(J1771),MODE($J$2:$J$2001),J1771)</f>
        <v>0.16</v>
      </c>
      <c r="L1771" t="s">
        <v>1826</v>
      </c>
      <c r="M1771">
        <v>493.64280000000002</v>
      </c>
      <c r="N1771">
        <f t="shared" si="27"/>
        <v>493.64279999999997</v>
      </c>
      <c r="O1771" t="str">
        <f>_xlfn.XLOOKUP(Sales_fact[[#This Row],[Customer_ID]],'Customer_Dim'!A:A,'Customer_Dim'!K:K,"Not Found")</f>
        <v>Bronze</v>
      </c>
      <c r="P1771">
        <f>_xlfn.XLOOKUP(Sales_fact[[#This Row],[Customer_ID]],'Customer_Dim'!A:A, 'Customer_Dim'!E:E, "Not Found")</f>
        <v>34</v>
      </c>
      <c r="Q1771" t="str">
        <f>VLOOKUP(Sales_fact[[#This Row],[Customer_ID]], 'Customer_Dim'!A:F, 6, FALSE)</f>
        <v>Male</v>
      </c>
      <c r="R1771" s="13" t="str">
        <f>_xlfn.XLOOKUP(Sales_fact[[#This Row],[Product_ID]],Product_Dim!A:A,Product_Dim!C:C,"OTHERS")</f>
        <v>Beauty</v>
      </c>
    </row>
    <row r="1772" spans="1:18" x14ac:dyDescent="0.3">
      <c r="A1772" t="s">
        <v>3596</v>
      </c>
      <c r="B1772" s="2">
        <v>45487</v>
      </c>
      <c r="C1772" t="s">
        <v>1077</v>
      </c>
      <c r="D1772" t="s">
        <v>1560</v>
      </c>
      <c r="E1772" t="str">
        <f ca="1">TRIM(Sales_fact[[#This Row],[Store_ID]])</f>
        <v>STORE10</v>
      </c>
      <c r="F1772">
        <v>4</v>
      </c>
      <c r="G1772">
        <f>IF(ISBLANK(F1772),MODE($F$2:$F$2001),F1772)</f>
        <v>4</v>
      </c>
      <c r="H1772">
        <v>614.76</v>
      </c>
      <c r="I1772">
        <f>IF(ISBLANK(H1772),AVERAGE($H$2:$H$2001),H1772)</f>
        <v>614.76</v>
      </c>
      <c r="J1772">
        <v>0.16</v>
      </c>
      <c r="K1772">
        <f>IF(ISBLANK(J1772),MODE($J$2:$J$2001),J1772)</f>
        <v>0.16</v>
      </c>
      <c r="L1772" t="s">
        <v>1824</v>
      </c>
      <c r="M1772">
        <v>2065.5936000000002</v>
      </c>
      <c r="N1772">
        <f t="shared" si="27"/>
        <v>2065.5935999999997</v>
      </c>
      <c r="O1772" t="str">
        <f>_xlfn.XLOOKUP(Sales_fact[[#This Row],[Customer_ID]],'Customer_Dim'!A:A,'Customer_Dim'!K:K,"Not Found")</f>
        <v>Bronze</v>
      </c>
      <c r="P1772">
        <f>_xlfn.XLOOKUP(Sales_fact[[#This Row],[Customer_ID]],'Customer_Dim'!A:A, 'Customer_Dim'!E:E, "Not Found")</f>
        <v>38</v>
      </c>
      <c r="Q1772" t="str">
        <f>VLOOKUP(Sales_fact[[#This Row],[Customer_ID]], 'Customer_Dim'!A:F, 6, FALSE)</f>
        <v>Male</v>
      </c>
      <c r="R1772" s="13" t="str">
        <f>_xlfn.XLOOKUP(Sales_fact[[#This Row],[Product_ID]],Product_Dim!A:A,Product_Dim!C:C,"OTHERS")</f>
        <v>Home</v>
      </c>
    </row>
    <row r="1773" spans="1:18" x14ac:dyDescent="0.3">
      <c r="A1773" t="s">
        <v>3597</v>
      </c>
      <c r="B1773" s="2">
        <v>45418</v>
      </c>
      <c r="C1773" t="s">
        <v>1257</v>
      </c>
      <c r="D1773" t="s">
        <v>1706</v>
      </c>
      <c r="E1773" t="str">
        <f ca="1">TRIM(Sales_fact[[#This Row],[Store_ID]])</f>
        <v>STORE7</v>
      </c>
      <c r="F1773">
        <v>1</v>
      </c>
      <c r="G1773">
        <f>IF(ISBLANK(F1773),MODE($F$2:$F$2001),F1773)</f>
        <v>1</v>
      </c>
      <c r="H1773">
        <v>224.49</v>
      </c>
      <c r="I1773">
        <f>IF(ISBLANK(H1773),AVERAGE($H$2:$H$2001),H1773)</f>
        <v>224.49</v>
      </c>
      <c r="J1773">
        <v>0.11</v>
      </c>
      <c r="K1773">
        <f>IF(ISBLANK(J1773),MODE($J$2:$J$2001),J1773)</f>
        <v>0.11</v>
      </c>
      <c r="L1773" t="s">
        <v>1826</v>
      </c>
      <c r="M1773">
        <v>199.7961</v>
      </c>
      <c r="N1773">
        <f t="shared" si="27"/>
        <v>199.79610000000002</v>
      </c>
      <c r="O1773" t="str">
        <f>_xlfn.XLOOKUP(Sales_fact[[#This Row],[Customer_ID]],'Customer_Dim'!A:A,'Customer_Dim'!K:K,"Not Found")</f>
        <v>Silver</v>
      </c>
      <c r="P1773">
        <f>_xlfn.XLOOKUP(Sales_fact[[#This Row],[Customer_ID]],'Customer_Dim'!A:A, 'Customer_Dim'!E:E, "Not Found")</f>
        <v>22</v>
      </c>
      <c r="Q1773" t="str">
        <f>VLOOKUP(Sales_fact[[#This Row],[Customer_ID]], 'Customer_Dim'!A:F, 6, FALSE)</f>
        <v>Female</v>
      </c>
      <c r="R1773" s="13" t="str">
        <f>_xlfn.XLOOKUP(Sales_fact[[#This Row],[Product_ID]],Product_Dim!A:A,Product_Dim!C:C,"OTHERS")</f>
        <v>Home</v>
      </c>
    </row>
    <row r="1774" spans="1:18" x14ac:dyDescent="0.3">
      <c r="A1774" t="s">
        <v>3598</v>
      </c>
      <c r="B1774" s="2">
        <v>45338</v>
      </c>
      <c r="C1774" t="s">
        <v>1115</v>
      </c>
      <c r="D1774" t="s">
        <v>1658</v>
      </c>
      <c r="E1774" t="str">
        <f ca="1">TRIM(Sales_fact[[#This Row],[Store_ID]])</f>
        <v>STORE12</v>
      </c>
      <c r="F1774">
        <v>1</v>
      </c>
      <c r="G1774">
        <f>IF(ISBLANK(F1774),MODE($F$2:$F$2001),F1774)</f>
        <v>1</v>
      </c>
      <c r="H1774">
        <v>967.76</v>
      </c>
      <c r="I1774">
        <f>IF(ISBLANK(H1774),AVERAGE($H$2:$H$2001),H1774)</f>
        <v>967.76</v>
      </c>
      <c r="J1774">
        <v>0.09</v>
      </c>
      <c r="K1774">
        <f>IF(ISBLANK(J1774),MODE($J$2:$J$2001),J1774)</f>
        <v>0.09</v>
      </c>
      <c r="L1774" t="s">
        <v>1824</v>
      </c>
      <c r="M1774">
        <v>880.66160000000002</v>
      </c>
      <c r="N1774">
        <f t="shared" si="27"/>
        <v>880.66160000000002</v>
      </c>
      <c r="O1774" t="str">
        <f>_xlfn.XLOOKUP(Sales_fact[[#This Row],[Customer_ID]],'Customer_Dim'!A:A,'Customer_Dim'!K:K,"Not Found")</f>
        <v>Bronze</v>
      </c>
      <c r="P1774">
        <f>_xlfn.XLOOKUP(Sales_fact[[#This Row],[Customer_ID]],'Customer_Dim'!A:A, 'Customer_Dim'!E:E, "Not Found")</f>
        <v>54</v>
      </c>
      <c r="Q1774" t="str">
        <f>VLOOKUP(Sales_fact[[#This Row],[Customer_ID]], 'Customer_Dim'!A:F, 6, FALSE)</f>
        <v>Male</v>
      </c>
      <c r="R1774" s="13" t="str">
        <f>_xlfn.XLOOKUP(Sales_fact[[#This Row],[Product_ID]],Product_Dim!A:A,Product_Dim!C:C,"OTHERS")</f>
        <v>Home</v>
      </c>
    </row>
    <row r="1775" spans="1:18" x14ac:dyDescent="0.3">
      <c r="A1775" t="s">
        <v>3599</v>
      </c>
      <c r="B1775" s="2">
        <v>45507</v>
      </c>
      <c r="C1775" t="s">
        <v>247</v>
      </c>
      <c r="D1775" t="s">
        <v>1630</v>
      </c>
      <c r="E1775" t="str">
        <f ca="1">TRIM(Sales_fact[[#This Row],[Store_ID]])</f>
        <v>STORE19</v>
      </c>
      <c r="F1775">
        <v>2</v>
      </c>
      <c r="G1775">
        <f>IF(ISBLANK(F1775),MODE($F$2:$F$2001),F1775)</f>
        <v>2</v>
      </c>
      <c r="H1775">
        <v>56.52</v>
      </c>
      <c r="I1775">
        <f>IF(ISBLANK(H1775),AVERAGE($H$2:$H$2001),H1775)</f>
        <v>56.52</v>
      </c>
      <c r="J1775">
        <v>0.17</v>
      </c>
      <c r="K1775">
        <f>IF(ISBLANK(J1775),MODE($J$2:$J$2001),J1775)</f>
        <v>0.17</v>
      </c>
      <c r="L1775" t="s">
        <v>1826</v>
      </c>
      <c r="M1775">
        <v>93.8232</v>
      </c>
      <c r="N1775">
        <f t="shared" si="27"/>
        <v>93.8232</v>
      </c>
      <c r="O1775" t="str">
        <f>_xlfn.XLOOKUP(Sales_fact[[#This Row],[Customer_ID]],'Customer_Dim'!A:A,'Customer_Dim'!K:K,"Not Found")</f>
        <v>Silver</v>
      </c>
      <c r="P1775">
        <f>_xlfn.XLOOKUP(Sales_fact[[#This Row],[Customer_ID]],'Customer_Dim'!A:A, 'Customer_Dim'!E:E, "Not Found")</f>
        <v>58</v>
      </c>
      <c r="Q1775" t="str">
        <f>VLOOKUP(Sales_fact[[#This Row],[Customer_ID]], 'Customer_Dim'!A:F, 6, FALSE)</f>
        <v>Male</v>
      </c>
      <c r="R1775" s="13" t="str">
        <f>_xlfn.XLOOKUP(Sales_fact[[#This Row],[Product_ID]],Product_Dim!A:A,Product_Dim!C:C,"OTHERS")</f>
        <v>Sports</v>
      </c>
    </row>
    <row r="1776" spans="1:18" x14ac:dyDescent="0.3">
      <c r="A1776" t="s">
        <v>3600</v>
      </c>
      <c r="B1776" s="2">
        <v>45275</v>
      </c>
      <c r="C1776" t="s">
        <v>1507</v>
      </c>
      <c r="D1776" t="s">
        <v>1682</v>
      </c>
      <c r="E1776" t="str">
        <f ca="1">TRIM(Sales_fact[[#This Row],[Store_ID]])</f>
        <v>STORE1</v>
      </c>
      <c r="F1776">
        <v>4</v>
      </c>
      <c r="G1776">
        <f>IF(ISBLANK(F1776),MODE($F$2:$F$2001),F1776)</f>
        <v>4</v>
      </c>
      <c r="H1776">
        <v>921.84</v>
      </c>
      <c r="I1776">
        <f>IF(ISBLANK(H1776),AVERAGE($H$2:$H$2001),H1776)</f>
        <v>921.84</v>
      </c>
      <c r="J1776">
        <v>0.04</v>
      </c>
      <c r="K1776">
        <f>IF(ISBLANK(J1776),MODE($J$2:$J$2001),J1776)</f>
        <v>0.04</v>
      </c>
      <c r="L1776" t="s">
        <v>1824</v>
      </c>
      <c r="M1776">
        <v>3539.8656000000001</v>
      </c>
      <c r="N1776">
        <f t="shared" si="27"/>
        <v>3539.8656000000001</v>
      </c>
      <c r="O1776" t="str">
        <f>_xlfn.XLOOKUP(Sales_fact[[#This Row],[Customer_ID]],'Customer_Dim'!A:A,'Customer_Dim'!K:K,"Not Found")</f>
        <v>Platinum</v>
      </c>
      <c r="P1776">
        <f>_xlfn.XLOOKUP(Sales_fact[[#This Row],[Customer_ID]],'Customer_Dim'!A:A, 'Customer_Dim'!E:E, "Not Found")</f>
        <v>23</v>
      </c>
      <c r="Q1776" t="str">
        <f>VLOOKUP(Sales_fact[[#This Row],[Customer_ID]], 'Customer_Dim'!A:F, 6, FALSE)</f>
        <v>Male</v>
      </c>
      <c r="R1776" s="13" t="str">
        <f>_xlfn.XLOOKUP(Sales_fact[[#This Row],[Product_ID]],Product_Dim!A:A,Product_Dim!C:C,"OTHERS")</f>
        <v>Electronics</v>
      </c>
    </row>
    <row r="1777" spans="1:18" x14ac:dyDescent="0.3">
      <c r="A1777" t="s">
        <v>3601</v>
      </c>
      <c r="B1777" s="2">
        <v>45319</v>
      </c>
      <c r="C1777" t="s">
        <v>1032</v>
      </c>
      <c r="D1777" t="s">
        <v>1720</v>
      </c>
      <c r="E1777" t="str">
        <f ca="1">TRIM(Sales_fact[[#This Row],[Store_ID]])</f>
        <v>STORE16</v>
      </c>
      <c r="F1777">
        <v>3</v>
      </c>
      <c r="G1777">
        <f>IF(ISBLANK(F1777),MODE($F$2:$F$2001),F1777)</f>
        <v>3</v>
      </c>
      <c r="H1777">
        <v>738.47</v>
      </c>
      <c r="I1777">
        <f>IF(ISBLANK(H1777),AVERAGE($H$2:$H$2001),H1777)</f>
        <v>738.47</v>
      </c>
      <c r="J1777">
        <v>0.28000000000000003</v>
      </c>
      <c r="K1777">
        <f>IF(ISBLANK(J1777),MODE($J$2:$J$2001),J1777)</f>
        <v>0.28000000000000003</v>
      </c>
      <c r="L1777" t="s">
        <v>1824</v>
      </c>
      <c r="M1777">
        <v>1595.0952</v>
      </c>
      <c r="N1777">
        <f t="shared" si="27"/>
        <v>1595.0951999999997</v>
      </c>
      <c r="O1777" t="str">
        <f>_xlfn.XLOOKUP(Sales_fact[[#This Row],[Customer_ID]],'Customer_Dim'!A:A,'Customer_Dim'!K:K,"Not Found")</f>
        <v>Platinum</v>
      </c>
      <c r="P1777">
        <f>_xlfn.XLOOKUP(Sales_fact[[#This Row],[Customer_ID]],'Customer_Dim'!A:A, 'Customer_Dim'!E:E, "Not Found")</f>
        <v>46</v>
      </c>
      <c r="Q1777" t="str">
        <f>VLOOKUP(Sales_fact[[#This Row],[Customer_ID]], 'Customer_Dim'!A:F, 6, FALSE)</f>
        <v>Male</v>
      </c>
      <c r="R1777" s="13" t="str">
        <f>_xlfn.XLOOKUP(Sales_fact[[#This Row],[Product_ID]],Product_Dim!A:A,Product_Dim!C:C,"OTHERS")</f>
        <v>Home</v>
      </c>
    </row>
    <row r="1778" spans="1:18" x14ac:dyDescent="0.3">
      <c r="A1778" t="s">
        <v>3602</v>
      </c>
      <c r="B1778" s="2">
        <v>45620</v>
      </c>
      <c r="C1778" t="s">
        <v>1032</v>
      </c>
      <c r="D1778" t="s">
        <v>1555</v>
      </c>
      <c r="E1778" t="str">
        <f ca="1">TRIM(Sales_fact[[#This Row],[Store_ID]])</f>
        <v>STORE0</v>
      </c>
      <c r="F1778">
        <v>4</v>
      </c>
      <c r="G1778">
        <f>IF(ISBLANK(F1778),MODE($F$2:$F$2001),F1778)</f>
        <v>4</v>
      </c>
      <c r="H1778">
        <v>477.83</v>
      </c>
      <c r="I1778">
        <f>IF(ISBLANK(H1778),AVERAGE($H$2:$H$2001),H1778)</f>
        <v>477.83</v>
      </c>
      <c r="J1778">
        <v>0.05</v>
      </c>
      <c r="K1778">
        <f>IF(ISBLANK(J1778),MODE($J$2:$J$2001),J1778)</f>
        <v>0.05</v>
      </c>
      <c r="L1778" t="s">
        <v>1829</v>
      </c>
      <c r="M1778">
        <v>1815.7539999999999</v>
      </c>
      <c r="N1778">
        <f t="shared" si="27"/>
        <v>1815.7539999999999</v>
      </c>
      <c r="O1778" t="str">
        <f>_xlfn.XLOOKUP(Sales_fact[[#This Row],[Customer_ID]],'Customer_Dim'!A:A,'Customer_Dim'!K:K,"Not Found")</f>
        <v>Platinum</v>
      </c>
      <c r="P1778">
        <f>_xlfn.XLOOKUP(Sales_fact[[#This Row],[Customer_ID]],'Customer_Dim'!A:A, 'Customer_Dim'!E:E, "Not Found")</f>
        <v>46</v>
      </c>
      <c r="Q1778" t="str">
        <f>VLOOKUP(Sales_fact[[#This Row],[Customer_ID]], 'Customer_Dim'!A:F, 6, FALSE)</f>
        <v>Male</v>
      </c>
      <c r="R1778" s="13" t="str">
        <f>_xlfn.XLOOKUP(Sales_fact[[#This Row],[Product_ID]],Product_Dim!A:A,Product_Dim!C:C,"OTHERS")</f>
        <v>Clothing</v>
      </c>
    </row>
    <row r="1779" spans="1:18" x14ac:dyDescent="0.3">
      <c r="A1779" t="s">
        <v>3603</v>
      </c>
      <c r="B1779" s="2">
        <v>45831</v>
      </c>
      <c r="C1779" t="s">
        <v>559</v>
      </c>
      <c r="D1779" t="s">
        <v>1632</v>
      </c>
      <c r="E1779" t="str">
        <f ca="1">TRIM(Sales_fact[[#This Row],[Store_ID]])</f>
        <v>STORE12</v>
      </c>
      <c r="F1779">
        <v>3</v>
      </c>
      <c r="G1779">
        <f>IF(ISBLANK(F1779),MODE($F$2:$F$2001),F1779)</f>
        <v>3</v>
      </c>
      <c r="H1779">
        <v>605.83000000000004</v>
      </c>
      <c r="I1779">
        <f>IF(ISBLANK(H1779),AVERAGE($H$2:$H$2001),H1779)</f>
        <v>605.83000000000004</v>
      </c>
      <c r="J1779">
        <v>0.28000000000000003</v>
      </c>
      <c r="K1779">
        <f>IF(ISBLANK(J1779),MODE($J$2:$J$2001),J1779)</f>
        <v>0.28000000000000003</v>
      </c>
      <c r="L1779" t="s">
        <v>1829</v>
      </c>
      <c r="M1779">
        <v>1308.5927999999999</v>
      </c>
      <c r="N1779">
        <f t="shared" si="27"/>
        <v>1308.5928000000001</v>
      </c>
      <c r="O1779" t="str">
        <f>_xlfn.XLOOKUP(Sales_fact[[#This Row],[Customer_ID]],'Customer_Dim'!A:A,'Customer_Dim'!K:K,"Not Found")</f>
        <v>Platinum</v>
      </c>
      <c r="P1779">
        <f>_xlfn.XLOOKUP(Sales_fact[[#This Row],[Customer_ID]],'Customer_Dim'!A:A, 'Customer_Dim'!E:E, "Not Found")</f>
        <v>36</v>
      </c>
      <c r="Q1779" t="str">
        <f>VLOOKUP(Sales_fact[[#This Row],[Customer_ID]], 'Customer_Dim'!A:F, 6, FALSE)</f>
        <v>Female</v>
      </c>
      <c r="R1779" s="13" t="str">
        <f>_xlfn.XLOOKUP(Sales_fact[[#This Row],[Product_ID]],Product_Dim!A:A,Product_Dim!C:C,"OTHERS")</f>
        <v>Electronics</v>
      </c>
    </row>
    <row r="1780" spans="1:18" x14ac:dyDescent="0.3">
      <c r="A1780" t="s">
        <v>3604</v>
      </c>
      <c r="B1780" s="2">
        <v>45373</v>
      </c>
      <c r="C1780" t="s">
        <v>247</v>
      </c>
      <c r="D1780" t="s">
        <v>1634</v>
      </c>
      <c r="E1780" t="str">
        <f ca="1">TRIM(Sales_fact[[#This Row],[Store_ID]])</f>
        <v>STORE3</v>
      </c>
      <c r="F1780">
        <v>2</v>
      </c>
      <c r="G1780">
        <f>IF(ISBLANK(F1780),MODE($F$2:$F$2001),F1780)</f>
        <v>2</v>
      </c>
      <c r="H1780">
        <v>521.44000000000005</v>
      </c>
      <c r="I1780">
        <f>IF(ISBLANK(H1780),AVERAGE($H$2:$H$2001),H1780)</f>
        <v>521.44000000000005</v>
      </c>
      <c r="J1780">
        <v>0.25</v>
      </c>
      <c r="K1780">
        <f>IF(ISBLANK(J1780),MODE($J$2:$J$2001),J1780)</f>
        <v>0.25</v>
      </c>
      <c r="L1780" t="s">
        <v>1829</v>
      </c>
      <c r="M1780">
        <v>782.16000000000008</v>
      </c>
      <c r="N1780">
        <f t="shared" si="27"/>
        <v>782.16000000000008</v>
      </c>
      <c r="O1780" t="str">
        <f>_xlfn.XLOOKUP(Sales_fact[[#This Row],[Customer_ID]],'Customer_Dim'!A:A,'Customer_Dim'!K:K,"Not Found")</f>
        <v>Silver</v>
      </c>
      <c r="P1780">
        <f>_xlfn.XLOOKUP(Sales_fact[[#This Row],[Customer_ID]],'Customer_Dim'!A:A, 'Customer_Dim'!E:E, "Not Found")</f>
        <v>58</v>
      </c>
      <c r="Q1780" t="str">
        <f>VLOOKUP(Sales_fact[[#This Row],[Customer_ID]], 'Customer_Dim'!A:F, 6, FALSE)</f>
        <v>Male</v>
      </c>
      <c r="R1780" s="13" t="str">
        <f>_xlfn.XLOOKUP(Sales_fact[[#This Row],[Product_ID]],Product_Dim!A:A,Product_Dim!C:C,"OTHERS")</f>
        <v>Electronics</v>
      </c>
    </row>
    <row r="1781" spans="1:18" x14ac:dyDescent="0.3">
      <c r="A1781" t="s">
        <v>3605</v>
      </c>
      <c r="B1781" s="2">
        <v>45863</v>
      </c>
      <c r="C1781" t="s">
        <v>1166</v>
      </c>
      <c r="D1781" t="s">
        <v>1568</v>
      </c>
      <c r="E1781" t="str">
        <f ca="1">TRIM(Sales_fact[[#This Row],[Store_ID]])</f>
        <v>STORE7</v>
      </c>
      <c r="F1781">
        <v>4</v>
      </c>
      <c r="G1781">
        <f>IF(ISBLANK(F1781),MODE($F$2:$F$2001),F1781)</f>
        <v>4</v>
      </c>
      <c r="H1781">
        <v>499.02</v>
      </c>
      <c r="I1781">
        <f>IF(ISBLANK(H1781),AVERAGE($H$2:$H$2001),H1781)</f>
        <v>499.02</v>
      </c>
      <c r="J1781">
        <v>0.06</v>
      </c>
      <c r="K1781">
        <f>IF(ISBLANK(J1781),MODE($J$2:$J$2001),J1781)</f>
        <v>0.06</v>
      </c>
      <c r="L1781" t="s">
        <v>1824</v>
      </c>
      <c r="M1781">
        <v>1876.3152</v>
      </c>
      <c r="N1781">
        <f t="shared" si="27"/>
        <v>1876.3151999999998</v>
      </c>
      <c r="O1781" t="str">
        <f>_xlfn.XLOOKUP(Sales_fact[[#This Row],[Customer_ID]],'Customer_Dim'!A:A,'Customer_Dim'!K:K,"Not Found")</f>
        <v>Gold</v>
      </c>
      <c r="P1781">
        <f>_xlfn.XLOOKUP(Sales_fact[[#This Row],[Customer_ID]],'Customer_Dim'!A:A, 'Customer_Dim'!E:E, "Not Found")</f>
        <v>37</v>
      </c>
      <c r="Q1781" t="str">
        <f>VLOOKUP(Sales_fact[[#This Row],[Customer_ID]], 'Customer_Dim'!A:F, 6, FALSE)</f>
        <v>Female</v>
      </c>
      <c r="R1781" s="13" t="str">
        <f>_xlfn.XLOOKUP(Sales_fact[[#This Row],[Product_ID]],Product_Dim!A:A,Product_Dim!C:C,"OTHERS")</f>
        <v>Home</v>
      </c>
    </row>
    <row r="1782" spans="1:18" x14ac:dyDescent="0.3">
      <c r="A1782" t="s">
        <v>3606</v>
      </c>
      <c r="B1782" s="2">
        <v>45758</v>
      </c>
      <c r="C1782" t="s">
        <v>514</v>
      </c>
      <c r="D1782" t="s">
        <v>1553</v>
      </c>
      <c r="E1782" t="str">
        <f ca="1">TRIM(Sales_fact[[#This Row],[Store_ID]])</f>
        <v>STORE18</v>
      </c>
      <c r="F1782">
        <v>4</v>
      </c>
      <c r="G1782">
        <f>IF(ISBLANK(F1782),MODE($F$2:$F$2001),F1782)</f>
        <v>4</v>
      </c>
      <c r="H1782">
        <v>299.45999999999998</v>
      </c>
      <c r="I1782">
        <f>IF(ISBLANK(H1782),AVERAGE($H$2:$H$2001),H1782)</f>
        <v>299.45999999999998</v>
      </c>
      <c r="J1782">
        <v>0.18</v>
      </c>
      <c r="K1782">
        <f>IF(ISBLANK(J1782),MODE($J$2:$J$2001),J1782)</f>
        <v>0.18</v>
      </c>
      <c r="L1782" t="s">
        <v>1829</v>
      </c>
      <c r="M1782">
        <v>982.22879999999998</v>
      </c>
      <c r="N1782">
        <f t="shared" si="27"/>
        <v>982.22879999999998</v>
      </c>
      <c r="O1782" t="str">
        <f>_xlfn.XLOOKUP(Sales_fact[[#This Row],[Customer_ID]],'Customer_Dim'!A:A,'Customer_Dim'!K:K,"Not Found")</f>
        <v>Bronze</v>
      </c>
      <c r="P1782">
        <f>_xlfn.XLOOKUP(Sales_fact[[#This Row],[Customer_ID]],'Customer_Dim'!A:A, 'Customer_Dim'!E:E, "Not Found")</f>
        <v>31</v>
      </c>
      <c r="Q1782" t="str">
        <f>VLOOKUP(Sales_fact[[#This Row],[Customer_ID]], 'Customer_Dim'!A:F, 6, FALSE)</f>
        <v>Male</v>
      </c>
      <c r="R1782" s="13" t="str">
        <f>_xlfn.XLOOKUP(Sales_fact[[#This Row],[Product_ID]],Product_Dim!A:A,Product_Dim!C:C,"OTHERS")</f>
        <v>Clothing</v>
      </c>
    </row>
    <row r="1783" spans="1:18" x14ac:dyDescent="0.3">
      <c r="A1783" t="s">
        <v>3607</v>
      </c>
      <c r="B1783" s="2">
        <v>45285</v>
      </c>
      <c r="C1783" t="s">
        <v>1411</v>
      </c>
      <c r="D1783" t="s">
        <v>1626</v>
      </c>
      <c r="E1783" t="str">
        <f ca="1">TRIM(Sales_fact[[#This Row],[Store_ID]])</f>
        <v>STORE0</v>
      </c>
      <c r="F1783">
        <v>1</v>
      </c>
      <c r="G1783">
        <f>IF(ISBLANK(F1783),MODE($F$2:$F$2001),F1783)</f>
        <v>1</v>
      </c>
      <c r="H1783">
        <v>609.29</v>
      </c>
      <c r="I1783">
        <f>IF(ISBLANK(H1783),AVERAGE($H$2:$H$2001),H1783)</f>
        <v>609.29</v>
      </c>
      <c r="J1783">
        <v>0.15</v>
      </c>
      <c r="K1783">
        <f>IF(ISBLANK(J1783),MODE($J$2:$J$2001),J1783)</f>
        <v>0.15</v>
      </c>
      <c r="L1783" t="s">
        <v>1824</v>
      </c>
      <c r="M1783">
        <v>517.89649999999995</v>
      </c>
      <c r="N1783">
        <f t="shared" si="27"/>
        <v>517.89649999999995</v>
      </c>
      <c r="O1783" t="str">
        <f>_xlfn.XLOOKUP(Sales_fact[[#This Row],[Customer_ID]],'Customer_Dim'!A:A,'Customer_Dim'!K:K,"Not Found")</f>
        <v>Platinum</v>
      </c>
      <c r="P1783">
        <f>_xlfn.XLOOKUP(Sales_fact[[#This Row],[Customer_ID]],'Customer_Dim'!A:A, 'Customer_Dim'!E:E, "Not Found")</f>
        <v>59</v>
      </c>
      <c r="Q1783" t="str">
        <f>VLOOKUP(Sales_fact[[#This Row],[Customer_ID]], 'Customer_Dim'!A:F, 6, FALSE)</f>
        <v>Male</v>
      </c>
      <c r="R1783" s="13" t="str">
        <f>_xlfn.XLOOKUP(Sales_fact[[#This Row],[Product_ID]],Product_Dim!A:A,Product_Dim!C:C,"OTHERS")</f>
        <v>Electronics</v>
      </c>
    </row>
    <row r="1784" spans="1:18" x14ac:dyDescent="0.3">
      <c r="A1784" t="s">
        <v>3608</v>
      </c>
      <c r="B1784" s="2">
        <v>45656</v>
      </c>
      <c r="C1784" t="s">
        <v>360</v>
      </c>
      <c r="D1784" t="s">
        <v>1549</v>
      </c>
      <c r="E1784" t="str">
        <f ca="1">TRIM(Sales_fact[[#This Row],[Store_ID]])</f>
        <v>STORE8</v>
      </c>
      <c r="F1784">
        <v>1</v>
      </c>
      <c r="G1784">
        <f>IF(ISBLANK(F1784),MODE($F$2:$F$2001),F1784)</f>
        <v>1</v>
      </c>
      <c r="H1784">
        <v>213.74</v>
      </c>
      <c r="I1784">
        <f>IF(ISBLANK(H1784),AVERAGE($H$2:$H$2001),H1784)</f>
        <v>213.74</v>
      </c>
      <c r="J1784">
        <v>7.0000000000000007E-2</v>
      </c>
      <c r="K1784">
        <f>IF(ISBLANK(J1784),MODE($J$2:$J$2001),J1784)</f>
        <v>7.0000000000000007E-2</v>
      </c>
      <c r="L1784" t="s">
        <v>1829</v>
      </c>
      <c r="M1784">
        <v>198.7782</v>
      </c>
      <c r="N1784">
        <f t="shared" si="27"/>
        <v>198.7782</v>
      </c>
      <c r="O1784" t="str">
        <f>_xlfn.XLOOKUP(Sales_fact[[#This Row],[Customer_ID]],'Customer_Dim'!A:A,'Customer_Dim'!K:K,"Not Found")</f>
        <v>Gold</v>
      </c>
      <c r="P1784">
        <f>_xlfn.XLOOKUP(Sales_fact[[#This Row],[Customer_ID]],'Customer_Dim'!A:A, 'Customer_Dim'!E:E, "Not Found")</f>
        <v>29</v>
      </c>
      <c r="Q1784" t="str">
        <f>VLOOKUP(Sales_fact[[#This Row],[Customer_ID]], 'Customer_Dim'!A:F, 6, FALSE)</f>
        <v>Male</v>
      </c>
      <c r="R1784" s="13" t="str">
        <f>_xlfn.XLOOKUP(Sales_fact[[#This Row],[Product_ID]],Product_Dim!A:A,Product_Dim!C:C,"OTHERS")</f>
        <v>Clothing</v>
      </c>
    </row>
    <row r="1785" spans="1:18" x14ac:dyDescent="0.3">
      <c r="A1785" t="s">
        <v>3609</v>
      </c>
      <c r="B1785" s="2">
        <v>45718</v>
      </c>
      <c r="C1785" t="s">
        <v>514</v>
      </c>
      <c r="D1785" t="s">
        <v>1658</v>
      </c>
      <c r="E1785" t="str">
        <f ca="1">TRIM(Sales_fact[[#This Row],[Store_ID]])</f>
        <v>STORE16</v>
      </c>
      <c r="F1785">
        <v>4</v>
      </c>
      <c r="G1785">
        <f>IF(ISBLANK(F1785),MODE($F$2:$F$2001),F1785)</f>
        <v>4</v>
      </c>
      <c r="H1785">
        <v>613.16999999999996</v>
      </c>
      <c r="I1785">
        <f>IF(ISBLANK(H1785),AVERAGE($H$2:$H$2001),H1785)</f>
        <v>613.16999999999996</v>
      </c>
      <c r="J1785">
        <v>0.26</v>
      </c>
      <c r="K1785">
        <f>IF(ISBLANK(J1785),MODE($J$2:$J$2001),J1785)</f>
        <v>0.26</v>
      </c>
      <c r="L1785" t="s">
        <v>1824</v>
      </c>
      <c r="M1785">
        <v>1814.9831999999999</v>
      </c>
      <c r="N1785">
        <f t="shared" si="27"/>
        <v>1814.9831999999999</v>
      </c>
      <c r="O1785" t="str">
        <f>_xlfn.XLOOKUP(Sales_fact[[#This Row],[Customer_ID]],'Customer_Dim'!A:A,'Customer_Dim'!K:K,"Not Found")</f>
        <v>Bronze</v>
      </c>
      <c r="P1785">
        <f>_xlfn.XLOOKUP(Sales_fact[[#This Row],[Customer_ID]],'Customer_Dim'!A:A, 'Customer_Dim'!E:E, "Not Found")</f>
        <v>31</v>
      </c>
      <c r="Q1785" t="str">
        <f>VLOOKUP(Sales_fact[[#This Row],[Customer_ID]], 'Customer_Dim'!A:F, 6, FALSE)</f>
        <v>Male</v>
      </c>
      <c r="R1785" s="13" t="str">
        <f>_xlfn.XLOOKUP(Sales_fact[[#This Row],[Product_ID]],Product_Dim!A:A,Product_Dim!C:C,"OTHERS")</f>
        <v>Home</v>
      </c>
    </row>
    <row r="1786" spans="1:18" x14ac:dyDescent="0.3">
      <c r="A1786" t="s">
        <v>3610</v>
      </c>
      <c r="B1786" s="2">
        <v>45293</v>
      </c>
      <c r="C1786" t="s">
        <v>1118</v>
      </c>
      <c r="D1786" t="s">
        <v>1666</v>
      </c>
      <c r="E1786" t="str">
        <f ca="1">TRIM(Sales_fact[[#This Row],[Store_ID]])</f>
        <v>STORE11</v>
      </c>
      <c r="F1786">
        <v>2</v>
      </c>
      <c r="G1786">
        <f>IF(ISBLANK(F1786),MODE($F$2:$F$2001),F1786)</f>
        <v>2</v>
      </c>
      <c r="H1786">
        <v>687.36</v>
      </c>
      <c r="I1786">
        <f>IF(ISBLANK(H1786),AVERAGE($H$2:$H$2001),H1786)</f>
        <v>687.36</v>
      </c>
      <c r="J1786">
        <v>7.0000000000000007E-2</v>
      </c>
      <c r="K1786">
        <f>IF(ISBLANK(J1786),MODE($J$2:$J$2001),J1786)</f>
        <v>7.0000000000000007E-2</v>
      </c>
      <c r="L1786" t="s">
        <v>1829</v>
      </c>
      <c r="M1786">
        <v>1278.4896000000001</v>
      </c>
      <c r="N1786">
        <f t="shared" si="27"/>
        <v>1278.4895999999999</v>
      </c>
      <c r="O1786" t="str">
        <f>_xlfn.XLOOKUP(Sales_fact[[#This Row],[Customer_ID]],'Customer_Dim'!A:A,'Customer_Dim'!K:K,"Not Found")</f>
        <v>Gold</v>
      </c>
      <c r="P1786">
        <f>_xlfn.XLOOKUP(Sales_fact[[#This Row],[Customer_ID]],'Customer_Dim'!A:A, 'Customer_Dim'!E:E, "Not Found")</f>
        <v>41</v>
      </c>
      <c r="Q1786" t="str">
        <f>VLOOKUP(Sales_fact[[#This Row],[Customer_ID]], 'Customer_Dim'!A:F, 6, FALSE)</f>
        <v>Male</v>
      </c>
      <c r="R1786" s="13" t="str">
        <f>_xlfn.XLOOKUP(Sales_fact[[#This Row],[Product_ID]],Product_Dim!A:A,Product_Dim!C:C,"OTHERS")</f>
        <v>Beauty</v>
      </c>
    </row>
    <row r="1787" spans="1:18" x14ac:dyDescent="0.3">
      <c r="A1787" t="s">
        <v>3611</v>
      </c>
      <c r="B1787" s="2">
        <v>45915</v>
      </c>
      <c r="C1787" t="s">
        <v>1026</v>
      </c>
      <c r="D1787" t="s">
        <v>1682</v>
      </c>
      <c r="E1787" t="str">
        <f ca="1">TRIM(Sales_fact[[#This Row],[Store_ID]])</f>
        <v>STORE13</v>
      </c>
      <c r="F1787">
        <v>3</v>
      </c>
      <c r="G1787">
        <f>IF(ISBLANK(F1787),MODE($F$2:$F$2001),F1787)</f>
        <v>3</v>
      </c>
      <c r="H1787">
        <v>115.39</v>
      </c>
      <c r="I1787">
        <f>IF(ISBLANK(H1787),AVERAGE($H$2:$H$2001),H1787)</f>
        <v>115.39</v>
      </c>
      <c r="J1787">
        <v>0.02</v>
      </c>
      <c r="K1787">
        <f>IF(ISBLANK(J1787),MODE($J$2:$J$2001),J1787)</f>
        <v>0.02</v>
      </c>
      <c r="L1787" t="s">
        <v>1826</v>
      </c>
      <c r="M1787">
        <v>339.2466</v>
      </c>
      <c r="N1787">
        <f t="shared" si="27"/>
        <v>339.2466</v>
      </c>
      <c r="O1787" t="str">
        <f>_xlfn.XLOOKUP(Sales_fact[[#This Row],[Customer_ID]],'Customer_Dim'!A:A,'Customer_Dim'!K:K,"Not Found")</f>
        <v>Gold</v>
      </c>
      <c r="P1787">
        <f>_xlfn.XLOOKUP(Sales_fact[[#This Row],[Customer_ID]],'Customer_Dim'!A:A, 'Customer_Dim'!E:E, "Not Found")</f>
        <v>58</v>
      </c>
      <c r="Q1787" t="str">
        <f>VLOOKUP(Sales_fact[[#This Row],[Customer_ID]], 'Customer_Dim'!A:F, 6, FALSE)</f>
        <v>Female</v>
      </c>
      <c r="R1787" s="13" t="str">
        <f>_xlfn.XLOOKUP(Sales_fact[[#This Row],[Product_ID]],Product_Dim!A:A,Product_Dim!C:C,"OTHERS")</f>
        <v>Electronics</v>
      </c>
    </row>
    <row r="1788" spans="1:18" x14ac:dyDescent="0.3">
      <c r="A1788" t="s">
        <v>3612</v>
      </c>
      <c r="B1788" s="2">
        <v>45359</v>
      </c>
      <c r="C1788" t="s">
        <v>592</v>
      </c>
      <c r="D1788" t="s">
        <v>1596</v>
      </c>
      <c r="E1788" t="str">
        <f ca="1">TRIM(Sales_fact[[#This Row],[Store_ID]])</f>
        <v>STORE12</v>
      </c>
      <c r="F1788">
        <v>2</v>
      </c>
      <c r="G1788">
        <f>IF(ISBLANK(F1788),MODE($F$2:$F$2001),F1788)</f>
        <v>2</v>
      </c>
      <c r="H1788">
        <v>722.06</v>
      </c>
      <c r="I1788">
        <f>IF(ISBLANK(H1788),AVERAGE($H$2:$H$2001),H1788)</f>
        <v>722.06</v>
      </c>
      <c r="J1788">
        <v>7.0000000000000007E-2</v>
      </c>
      <c r="K1788">
        <f>IF(ISBLANK(J1788),MODE($J$2:$J$2001),J1788)</f>
        <v>7.0000000000000007E-2</v>
      </c>
      <c r="L1788" t="s">
        <v>1824</v>
      </c>
      <c r="M1788">
        <v>1343.0316</v>
      </c>
      <c r="N1788">
        <f t="shared" si="27"/>
        <v>1343.0315999999998</v>
      </c>
      <c r="O1788" t="str">
        <f>_xlfn.XLOOKUP(Sales_fact[[#This Row],[Customer_ID]],'Customer_Dim'!A:A,'Customer_Dim'!K:K,"Not Found")</f>
        <v>Silver</v>
      </c>
      <c r="P1788">
        <f>_xlfn.XLOOKUP(Sales_fact[[#This Row],[Customer_ID]],'Customer_Dim'!A:A, 'Customer_Dim'!E:E, "Not Found")</f>
        <v>43</v>
      </c>
      <c r="Q1788" t="str">
        <f>VLOOKUP(Sales_fact[[#This Row],[Customer_ID]], 'Customer_Dim'!A:F, 6, FALSE)</f>
        <v>Female</v>
      </c>
      <c r="R1788" s="13" t="str">
        <f>_xlfn.XLOOKUP(Sales_fact[[#This Row],[Product_ID]],Product_Dim!A:A,Product_Dim!C:C,"OTHERS")</f>
        <v>Sports</v>
      </c>
    </row>
    <row r="1789" spans="1:18" x14ac:dyDescent="0.3">
      <c r="A1789" t="s">
        <v>3613</v>
      </c>
      <c r="B1789" s="2">
        <v>45652</v>
      </c>
      <c r="C1789" t="s">
        <v>1319</v>
      </c>
      <c r="D1789" t="s">
        <v>1560</v>
      </c>
      <c r="E1789" t="str">
        <f ca="1">TRIM(Sales_fact[[#This Row],[Store_ID]])</f>
        <v>STORE15</v>
      </c>
      <c r="F1789">
        <v>1</v>
      </c>
      <c r="G1789">
        <f>IF(ISBLANK(F1789),MODE($F$2:$F$2001),F1789)</f>
        <v>1</v>
      </c>
      <c r="H1789">
        <v>384.57</v>
      </c>
      <c r="I1789">
        <f>IF(ISBLANK(H1789),AVERAGE($H$2:$H$2001),H1789)</f>
        <v>384.57</v>
      </c>
      <c r="J1789">
        <v>0.06</v>
      </c>
      <c r="K1789">
        <f>IF(ISBLANK(J1789),MODE($J$2:$J$2001),J1789)</f>
        <v>0.06</v>
      </c>
      <c r="L1789" t="s">
        <v>1826</v>
      </c>
      <c r="M1789">
        <v>361.49579999999997</v>
      </c>
      <c r="N1789">
        <f t="shared" si="27"/>
        <v>361.49579999999997</v>
      </c>
      <c r="O1789" t="str">
        <f>_xlfn.XLOOKUP(Sales_fact[[#This Row],[Customer_ID]],'Customer_Dim'!A:A,'Customer_Dim'!K:K,"Not Found")</f>
        <v>Bronze</v>
      </c>
      <c r="P1789">
        <f>_xlfn.XLOOKUP(Sales_fact[[#This Row],[Customer_ID]],'Customer_Dim'!A:A, 'Customer_Dim'!E:E, "Not Found")</f>
        <v>40</v>
      </c>
      <c r="Q1789" t="str">
        <f>VLOOKUP(Sales_fact[[#This Row],[Customer_ID]], 'Customer_Dim'!A:F, 6, FALSE)</f>
        <v>Male</v>
      </c>
      <c r="R1789" s="13" t="str">
        <f>_xlfn.XLOOKUP(Sales_fact[[#This Row],[Product_ID]],Product_Dim!A:A,Product_Dim!C:C,"OTHERS")</f>
        <v>Home</v>
      </c>
    </row>
    <row r="1790" spans="1:18" x14ac:dyDescent="0.3">
      <c r="A1790" t="s">
        <v>3614</v>
      </c>
      <c r="B1790" s="2">
        <v>45735</v>
      </c>
      <c r="C1790" t="s">
        <v>684</v>
      </c>
      <c r="D1790" t="s">
        <v>1562</v>
      </c>
      <c r="E1790" t="str">
        <f ca="1">TRIM(Sales_fact[[#This Row],[Store_ID]])</f>
        <v>STORE13</v>
      </c>
      <c r="F1790">
        <v>2</v>
      </c>
      <c r="G1790">
        <f>IF(ISBLANK(F1790),MODE($F$2:$F$2001),F1790)</f>
        <v>2</v>
      </c>
      <c r="H1790">
        <v>194.09</v>
      </c>
      <c r="I1790">
        <f>IF(ISBLANK(H1790),AVERAGE($H$2:$H$2001),H1790)</f>
        <v>194.09</v>
      </c>
      <c r="J1790">
        <v>0.18</v>
      </c>
      <c r="K1790">
        <f>IF(ISBLANK(J1790),MODE($J$2:$J$2001),J1790)</f>
        <v>0.18</v>
      </c>
      <c r="L1790" t="s">
        <v>1826</v>
      </c>
      <c r="M1790">
        <v>318.30759999999998</v>
      </c>
      <c r="N1790">
        <f t="shared" si="27"/>
        <v>318.30760000000004</v>
      </c>
      <c r="O1790" t="str">
        <f>_xlfn.XLOOKUP(Sales_fact[[#This Row],[Customer_ID]],'Customer_Dim'!A:A,'Customer_Dim'!K:K,"Not Found")</f>
        <v>Silver</v>
      </c>
      <c r="P1790">
        <f>_xlfn.XLOOKUP(Sales_fact[[#This Row],[Customer_ID]],'Customer_Dim'!A:A, 'Customer_Dim'!E:E, "Not Found")</f>
        <v>48</v>
      </c>
      <c r="Q1790" t="str">
        <f>VLOOKUP(Sales_fact[[#This Row],[Customer_ID]], 'Customer_Dim'!A:F, 6, FALSE)</f>
        <v>Male</v>
      </c>
      <c r="R1790" s="13" t="str">
        <f>_xlfn.XLOOKUP(Sales_fact[[#This Row],[Product_ID]],Product_Dim!A:A,Product_Dim!C:C,"OTHERS")</f>
        <v>Electronics</v>
      </c>
    </row>
    <row r="1791" spans="1:18" x14ac:dyDescent="0.3">
      <c r="A1791" t="s">
        <v>3615</v>
      </c>
      <c r="B1791" s="2">
        <v>45579</v>
      </c>
      <c r="C1791" t="s">
        <v>571</v>
      </c>
      <c r="D1791" t="s">
        <v>1724</v>
      </c>
      <c r="E1791" t="str">
        <f ca="1">TRIM(Sales_fact[[#This Row],[Store_ID]])</f>
        <v>STORE3</v>
      </c>
      <c r="F1791">
        <v>2</v>
      </c>
      <c r="G1791">
        <f>IF(ISBLANK(F1791),MODE($F$2:$F$2001),F1791)</f>
        <v>2</v>
      </c>
      <c r="H1791">
        <v>403.91</v>
      </c>
      <c r="I1791">
        <f>IF(ISBLANK(H1791),AVERAGE($H$2:$H$2001),H1791)</f>
        <v>403.91</v>
      </c>
      <c r="J1791">
        <v>7.0000000000000007E-2</v>
      </c>
      <c r="K1791">
        <f>IF(ISBLANK(J1791),MODE($J$2:$J$2001),J1791)</f>
        <v>7.0000000000000007E-2</v>
      </c>
      <c r="L1791" t="s">
        <v>1824</v>
      </c>
      <c r="M1791">
        <v>751.27260000000001</v>
      </c>
      <c r="N1791">
        <f t="shared" si="27"/>
        <v>751.27260000000001</v>
      </c>
      <c r="O1791" t="str">
        <f>_xlfn.XLOOKUP(Sales_fact[[#This Row],[Customer_ID]],'Customer_Dim'!A:A,'Customer_Dim'!K:K,"Not Found")</f>
        <v>Bronze</v>
      </c>
      <c r="P1791">
        <f>_xlfn.XLOOKUP(Sales_fact[[#This Row],[Customer_ID]],'Customer_Dim'!A:A, 'Customer_Dim'!E:E, "Not Found")</f>
        <v>41</v>
      </c>
      <c r="Q1791" t="str">
        <f>VLOOKUP(Sales_fact[[#This Row],[Customer_ID]], 'Customer_Dim'!A:F, 6, FALSE)</f>
        <v>Female</v>
      </c>
      <c r="R1791" s="13" t="str">
        <f>_xlfn.XLOOKUP(Sales_fact[[#This Row],[Product_ID]],Product_Dim!A:A,Product_Dim!C:C,"OTHERS")</f>
        <v>Sports</v>
      </c>
    </row>
    <row r="1792" spans="1:18" x14ac:dyDescent="0.3">
      <c r="A1792" t="s">
        <v>3616</v>
      </c>
      <c r="B1792" s="2">
        <v>45721</v>
      </c>
      <c r="C1792" t="s">
        <v>278</v>
      </c>
      <c r="D1792" t="s">
        <v>1582</v>
      </c>
      <c r="E1792" t="str">
        <f ca="1">TRIM(Sales_fact[[#This Row],[Store_ID]])</f>
        <v>STORE14</v>
      </c>
      <c r="F1792">
        <v>1</v>
      </c>
      <c r="G1792">
        <f>IF(ISBLANK(F1792),MODE($F$2:$F$2001),F1792)</f>
        <v>1</v>
      </c>
      <c r="H1792">
        <v>878.69</v>
      </c>
      <c r="I1792">
        <f>IF(ISBLANK(H1792),AVERAGE($H$2:$H$2001),H1792)</f>
        <v>878.69</v>
      </c>
      <c r="J1792">
        <v>0.3</v>
      </c>
      <c r="K1792">
        <f>IF(ISBLANK(J1792),MODE($J$2:$J$2001),J1792)</f>
        <v>0.3</v>
      </c>
      <c r="L1792" t="s">
        <v>1826</v>
      </c>
      <c r="M1792">
        <v>615.08299999999997</v>
      </c>
      <c r="N1792">
        <f t="shared" si="27"/>
        <v>615.08299999999997</v>
      </c>
      <c r="O1792" t="str">
        <f>_xlfn.XLOOKUP(Sales_fact[[#This Row],[Customer_ID]],'Customer_Dim'!A:A,'Customer_Dim'!K:K,"Not Found")</f>
        <v>Gold</v>
      </c>
      <c r="P1792">
        <f>_xlfn.XLOOKUP(Sales_fact[[#This Row],[Customer_ID]],'Customer_Dim'!A:A, 'Customer_Dim'!E:E, "Not Found")</f>
        <v>37</v>
      </c>
      <c r="Q1792" t="str">
        <f>VLOOKUP(Sales_fact[[#This Row],[Customer_ID]], 'Customer_Dim'!A:F, 6, FALSE)</f>
        <v>Male</v>
      </c>
      <c r="R1792" s="13" t="str">
        <f>_xlfn.XLOOKUP(Sales_fact[[#This Row],[Product_ID]],Product_Dim!A:A,Product_Dim!C:C,"OTHERS")</f>
        <v>Sports</v>
      </c>
    </row>
    <row r="1793" spans="1:18" x14ac:dyDescent="0.3">
      <c r="A1793" t="s">
        <v>3617</v>
      </c>
      <c r="B1793" s="2">
        <v>45446</v>
      </c>
      <c r="C1793" t="s">
        <v>1190</v>
      </c>
      <c r="D1793" t="s">
        <v>1614</v>
      </c>
      <c r="E1793" t="str">
        <f ca="1">TRIM(Sales_fact[[#This Row],[Store_ID]])</f>
        <v>STORE15</v>
      </c>
      <c r="F1793">
        <v>1</v>
      </c>
      <c r="G1793">
        <f>IF(ISBLANK(F1793),MODE($F$2:$F$2001),F1793)</f>
        <v>1</v>
      </c>
      <c r="H1793">
        <v>161.16999999999999</v>
      </c>
      <c r="I1793">
        <f>IF(ISBLANK(H1793),AVERAGE($H$2:$H$2001),H1793)</f>
        <v>161.16999999999999</v>
      </c>
      <c r="J1793">
        <v>0.05</v>
      </c>
      <c r="K1793">
        <f>IF(ISBLANK(J1793),MODE($J$2:$J$2001),J1793)</f>
        <v>0.05</v>
      </c>
      <c r="L1793" t="s">
        <v>1824</v>
      </c>
      <c r="M1793">
        <v>153.11150000000001</v>
      </c>
      <c r="N1793">
        <f t="shared" si="27"/>
        <v>153.11149999999998</v>
      </c>
      <c r="O1793" t="str">
        <f>_xlfn.XLOOKUP(Sales_fact[[#This Row],[Customer_ID]],'Customer_Dim'!A:A,'Customer_Dim'!K:K,"Not Found")</f>
        <v>Silver</v>
      </c>
      <c r="P1793">
        <f>_xlfn.XLOOKUP(Sales_fact[[#This Row],[Customer_ID]],'Customer_Dim'!A:A, 'Customer_Dim'!E:E, "Not Found")</f>
        <v>50</v>
      </c>
      <c r="Q1793" t="str">
        <f>VLOOKUP(Sales_fact[[#This Row],[Customer_ID]], 'Customer_Dim'!A:F, 6, FALSE)</f>
        <v>Male</v>
      </c>
      <c r="R1793" s="13" t="str">
        <f>_xlfn.XLOOKUP(Sales_fact[[#This Row],[Product_ID]],Product_Dim!A:A,Product_Dim!C:C,"OTHERS")</f>
        <v>Home</v>
      </c>
    </row>
    <row r="1794" spans="1:18" x14ac:dyDescent="0.3">
      <c r="A1794" t="s">
        <v>3618</v>
      </c>
      <c r="B1794" s="2">
        <v>45387</v>
      </c>
      <c r="C1794" t="s">
        <v>696</v>
      </c>
      <c r="D1794" t="s">
        <v>1694</v>
      </c>
      <c r="E1794" t="str">
        <f ca="1">TRIM(Sales_fact[[#This Row],[Store_ID]])</f>
        <v>STORE14</v>
      </c>
      <c r="F1794">
        <v>2</v>
      </c>
      <c r="G1794">
        <f>IF(ISBLANK(F1794),MODE($F$2:$F$2001),F1794)</f>
        <v>2</v>
      </c>
      <c r="H1794">
        <v>720.15</v>
      </c>
      <c r="I1794">
        <f>IF(ISBLANK(H1794),AVERAGE($H$2:$H$2001),H1794)</f>
        <v>720.15</v>
      </c>
      <c r="J1794">
        <v>0.22</v>
      </c>
      <c r="K1794">
        <f>IF(ISBLANK(J1794),MODE($J$2:$J$2001),J1794)</f>
        <v>0.22</v>
      </c>
      <c r="L1794" t="s">
        <v>1829</v>
      </c>
      <c r="M1794">
        <v>1123.434</v>
      </c>
      <c r="N1794">
        <f t="shared" si="27"/>
        <v>1123.434</v>
      </c>
      <c r="O1794" t="str">
        <f>_xlfn.XLOOKUP(Sales_fact[[#This Row],[Customer_ID]],'Customer_Dim'!A:A,'Customer_Dim'!K:K,"Not Found")</f>
        <v>Gold</v>
      </c>
      <c r="P1794">
        <f>_xlfn.XLOOKUP(Sales_fact[[#This Row],[Customer_ID]],'Customer_Dim'!A:A, 'Customer_Dim'!E:E, "Not Found")</f>
        <v>61</v>
      </c>
      <c r="Q1794" t="str">
        <f>VLOOKUP(Sales_fact[[#This Row],[Customer_ID]], 'Customer_Dim'!A:F, 6, FALSE)</f>
        <v>Male</v>
      </c>
      <c r="R1794" s="13" t="str">
        <f>_xlfn.XLOOKUP(Sales_fact[[#This Row],[Product_ID]],Product_Dim!A:A,Product_Dim!C:C,"OTHERS")</f>
        <v>Sports</v>
      </c>
    </row>
    <row r="1795" spans="1:18" x14ac:dyDescent="0.3">
      <c r="A1795" t="s">
        <v>3619</v>
      </c>
      <c r="B1795" s="2">
        <v>45222</v>
      </c>
      <c r="C1795" t="s">
        <v>1089</v>
      </c>
      <c r="D1795" t="s">
        <v>1600</v>
      </c>
      <c r="E1795" t="str">
        <f ca="1">TRIM(Sales_fact[[#This Row],[Store_ID]])</f>
        <v>STORE8</v>
      </c>
      <c r="F1795">
        <v>1</v>
      </c>
      <c r="G1795">
        <f>IF(ISBLANK(F1795),MODE($F$2:$F$2001),F1795)</f>
        <v>1</v>
      </c>
      <c r="H1795">
        <v>361.8</v>
      </c>
      <c r="I1795">
        <f>IF(ISBLANK(H1795),AVERAGE($H$2:$H$2001),H1795)</f>
        <v>361.8</v>
      </c>
      <c r="J1795">
        <v>0.02</v>
      </c>
      <c r="K1795">
        <f>IF(ISBLANK(J1795),MODE($J$2:$J$2001),J1795)</f>
        <v>0.02</v>
      </c>
      <c r="L1795" t="s">
        <v>1829</v>
      </c>
      <c r="M1795">
        <v>354.56400000000002</v>
      </c>
      <c r="N1795">
        <f t="shared" ref="N1795:N1858" si="28">G1795*I1795*(1-K1795)</f>
        <v>354.56400000000002</v>
      </c>
      <c r="O1795" t="str">
        <f>_xlfn.XLOOKUP(Sales_fact[[#This Row],[Customer_ID]],'Customer_Dim'!A:A,'Customer_Dim'!K:K,"Not Found")</f>
        <v>Gold</v>
      </c>
      <c r="P1795">
        <f>_xlfn.XLOOKUP(Sales_fact[[#This Row],[Customer_ID]],'Customer_Dim'!A:A, 'Customer_Dim'!E:E, "Not Found")</f>
        <v>39</v>
      </c>
      <c r="Q1795" t="str">
        <f>VLOOKUP(Sales_fact[[#This Row],[Customer_ID]], 'Customer_Dim'!A:F, 6, FALSE)</f>
        <v>Female</v>
      </c>
      <c r="R1795" s="13" t="str">
        <f>_xlfn.XLOOKUP(Sales_fact[[#This Row],[Product_ID]],Product_Dim!A:A,Product_Dim!C:C,"OTHERS")</f>
        <v>Electronics</v>
      </c>
    </row>
    <row r="1796" spans="1:18" x14ac:dyDescent="0.3">
      <c r="A1796" t="s">
        <v>3620</v>
      </c>
      <c r="B1796" s="2">
        <v>45402</v>
      </c>
      <c r="C1796" t="s">
        <v>740</v>
      </c>
      <c r="D1796" t="s">
        <v>1738</v>
      </c>
      <c r="E1796" t="str">
        <f ca="1">TRIM(Sales_fact[[#This Row],[Store_ID]])</f>
        <v>STORE6</v>
      </c>
      <c r="F1796">
        <v>1</v>
      </c>
      <c r="G1796">
        <f>IF(ISBLANK(F1796),MODE($F$2:$F$2001),F1796)</f>
        <v>1</v>
      </c>
      <c r="H1796">
        <v>779.84</v>
      </c>
      <c r="I1796">
        <f>IF(ISBLANK(H1796),AVERAGE($H$2:$H$2001),H1796)</f>
        <v>779.84</v>
      </c>
      <c r="J1796">
        <v>0.28999999999999998</v>
      </c>
      <c r="K1796">
        <f>IF(ISBLANK(J1796),MODE($J$2:$J$2001),J1796)</f>
        <v>0.28999999999999998</v>
      </c>
      <c r="L1796" t="s">
        <v>1826</v>
      </c>
      <c r="M1796">
        <v>553.68640000000005</v>
      </c>
      <c r="N1796">
        <f t="shared" si="28"/>
        <v>553.68640000000005</v>
      </c>
      <c r="O1796" t="str">
        <f>_xlfn.XLOOKUP(Sales_fact[[#This Row],[Customer_ID]],'Customer_Dim'!A:A,'Customer_Dim'!K:K,"Not Found")</f>
        <v>Bronze</v>
      </c>
      <c r="P1796">
        <f>_xlfn.XLOOKUP(Sales_fact[[#This Row],[Customer_ID]],'Customer_Dim'!A:A, 'Customer_Dim'!E:E, "Not Found")</f>
        <v>29</v>
      </c>
      <c r="Q1796" t="str">
        <f>VLOOKUP(Sales_fact[[#This Row],[Customer_ID]], 'Customer_Dim'!A:F, 6, FALSE)</f>
        <v>Male</v>
      </c>
      <c r="R1796" s="13" t="str">
        <f>_xlfn.XLOOKUP(Sales_fact[[#This Row],[Product_ID]],Product_Dim!A:A,Product_Dim!C:C,"OTHERS")</f>
        <v>Sports</v>
      </c>
    </row>
    <row r="1797" spans="1:18" x14ac:dyDescent="0.3">
      <c r="A1797" t="s">
        <v>3621</v>
      </c>
      <c r="B1797" s="2">
        <v>45455</v>
      </c>
      <c r="C1797" t="s">
        <v>27</v>
      </c>
      <c r="D1797" t="s">
        <v>1740</v>
      </c>
      <c r="E1797" t="str">
        <f ca="1">TRIM(Sales_fact[[#This Row],[Store_ID]])</f>
        <v>STORE4</v>
      </c>
      <c r="F1797">
        <v>2</v>
      </c>
      <c r="G1797">
        <f>IF(ISBLANK(F1797),MODE($F$2:$F$2001),F1797)</f>
        <v>2</v>
      </c>
      <c r="H1797">
        <v>649.89</v>
      </c>
      <c r="I1797">
        <f>IF(ISBLANK(H1797),AVERAGE($H$2:$H$2001),H1797)</f>
        <v>649.89</v>
      </c>
      <c r="J1797">
        <v>0.17</v>
      </c>
      <c r="K1797">
        <f>IF(ISBLANK(J1797),MODE($J$2:$J$2001),J1797)</f>
        <v>0.17</v>
      </c>
      <c r="L1797" t="s">
        <v>1829</v>
      </c>
      <c r="M1797">
        <v>1078.8173999999999</v>
      </c>
      <c r="N1797">
        <f t="shared" si="28"/>
        <v>1078.8173999999999</v>
      </c>
      <c r="O1797" t="str">
        <f>_xlfn.XLOOKUP(Sales_fact[[#This Row],[Customer_ID]],'Customer_Dim'!A:A,'Customer_Dim'!K:K,"Not Found")</f>
        <v>Silver</v>
      </c>
      <c r="P1797">
        <f>_xlfn.XLOOKUP(Sales_fact[[#This Row],[Customer_ID]],'Customer_Dim'!A:A, 'Customer_Dim'!E:E, "Not Found")</f>
        <v>64</v>
      </c>
      <c r="Q1797" t="str">
        <f>VLOOKUP(Sales_fact[[#This Row],[Customer_ID]], 'Customer_Dim'!A:F, 6, FALSE)</f>
        <v>Female</v>
      </c>
      <c r="R1797" s="13" t="str">
        <f>_xlfn.XLOOKUP(Sales_fact[[#This Row],[Product_ID]],Product_Dim!A:A,Product_Dim!C:C,"OTHERS")</f>
        <v>Clothing</v>
      </c>
    </row>
    <row r="1798" spans="1:18" x14ac:dyDescent="0.3">
      <c r="A1798" t="s">
        <v>3622</v>
      </c>
      <c r="B1798" s="2">
        <v>45877</v>
      </c>
      <c r="C1798" t="s">
        <v>666</v>
      </c>
      <c r="D1798" t="s">
        <v>1654</v>
      </c>
      <c r="E1798" t="str">
        <f ca="1">TRIM(Sales_fact[[#This Row],[Store_ID]])</f>
        <v>STORE6</v>
      </c>
      <c r="F1798">
        <v>1</v>
      </c>
      <c r="G1798">
        <f>IF(ISBLANK(F1798),MODE($F$2:$F$2001),F1798)</f>
        <v>1</v>
      </c>
      <c r="H1798">
        <v>952.73</v>
      </c>
      <c r="I1798">
        <f>IF(ISBLANK(H1798),AVERAGE($H$2:$H$2001),H1798)</f>
        <v>952.73</v>
      </c>
      <c r="J1798">
        <v>0.17</v>
      </c>
      <c r="K1798">
        <f>IF(ISBLANK(J1798),MODE($J$2:$J$2001),J1798)</f>
        <v>0.17</v>
      </c>
      <c r="L1798" t="s">
        <v>1824</v>
      </c>
      <c r="M1798">
        <v>790.76589999999999</v>
      </c>
      <c r="N1798">
        <f t="shared" si="28"/>
        <v>790.76589999999999</v>
      </c>
      <c r="O1798" t="str">
        <f>_xlfn.XLOOKUP(Sales_fact[[#This Row],[Customer_ID]],'Customer_Dim'!A:A,'Customer_Dim'!K:K,"Not Found")</f>
        <v>Platinum</v>
      </c>
      <c r="P1798">
        <f>_xlfn.XLOOKUP(Sales_fact[[#This Row],[Customer_ID]],'Customer_Dim'!A:A, 'Customer_Dim'!E:E, "Not Found")</f>
        <v>52</v>
      </c>
      <c r="Q1798" t="str">
        <f>VLOOKUP(Sales_fact[[#This Row],[Customer_ID]], 'Customer_Dim'!A:F, 6, FALSE)</f>
        <v>Male</v>
      </c>
      <c r="R1798" s="13" t="str">
        <f>_xlfn.XLOOKUP(Sales_fact[[#This Row],[Product_ID]],Product_Dim!A:A,Product_Dim!C:C,"OTHERS")</f>
        <v>Clothing</v>
      </c>
    </row>
    <row r="1799" spans="1:18" x14ac:dyDescent="0.3">
      <c r="A1799" t="s">
        <v>3623</v>
      </c>
      <c r="B1799" s="2">
        <v>45875</v>
      </c>
      <c r="C1799" t="s">
        <v>304</v>
      </c>
      <c r="D1799" t="s">
        <v>1746</v>
      </c>
      <c r="E1799" t="str">
        <f ca="1">TRIM(Sales_fact[[#This Row],[Store_ID]])</f>
        <v>STORE16</v>
      </c>
      <c r="F1799">
        <v>4</v>
      </c>
      <c r="G1799">
        <f>IF(ISBLANK(F1799),MODE($F$2:$F$2001),F1799)</f>
        <v>4</v>
      </c>
      <c r="H1799">
        <v>820.78</v>
      </c>
      <c r="I1799">
        <f>IF(ISBLANK(H1799),AVERAGE($H$2:$H$2001),H1799)</f>
        <v>820.78</v>
      </c>
      <c r="J1799">
        <v>0.25</v>
      </c>
      <c r="K1799">
        <f>IF(ISBLANK(J1799),MODE($J$2:$J$2001),J1799)</f>
        <v>0.25</v>
      </c>
      <c r="L1799" t="s">
        <v>1824</v>
      </c>
      <c r="M1799">
        <v>2462.34</v>
      </c>
      <c r="N1799">
        <f t="shared" si="28"/>
        <v>2462.34</v>
      </c>
      <c r="O1799" t="str">
        <f>_xlfn.XLOOKUP(Sales_fact[[#This Row],[Customer_ID]],'Customer_Dim'!A:A,'Customer_Dim'!K:K,"Not Found")</f>
        <v>Platinum</v>
      </c>
      <c r="P1799">
        <f>_xlfn.XLOOKUP(Sales_fact[[#This Row],[Customer_ID]],'Customer_Dim'!A:A, 'Customer_Dim'!E:E, "Not Found")</f>
        <v>26</v>
      </c>
      <c r="Q1799" t="str">
        <f>VLOOKUP(Sales_fact[[#This Row],[Customer_ID]], 'Customer_Dim'!A:F, 6, FALSE)</f>
        <v>Female</v>
      </c>
      <c r="R1799" s="13" t="str">
        <f>_xlfn.XLOOKUP(Sales_fact[[#This Row],[Product_ID]],Product_Dim!A:A,Product_Dim!C:C,"OTHERS")</f>
        <v>Home</v>
      </c>
    </row>
    <row r="1800" spans="1:18" x14ac:dyDescent="0.3">
      <c r="A1800" t="s">
        <v>3624</v>
      </c>
      <c r="B1800" s="2">
        <v>45592</v>
      </c>
      <c r="C1800" t="s">
        <v>1074</v>
      </c>
      <c r="D1800" t="s">
        <v>1624</v>
      </c>
      <c r="E1800" t="str">
        <f ca="1">TRIM(Sales_fact[[#This Row],[Store_ID]])</f>
        <v>STORE3</v>
      </c>
      <c r="F1800">
        <v>4</v>
      </c>
      <c r="G1800">
        <f>IF(ISBLANK(F1800),MODE($F$2:$F$2001),F1800)</f>
        <v>4</v>
      </c>
      <c r="H1800">
        <v>247.55</v>
      </c>
      <c r="I1800">
        <f>IF(ISBLANK(H1800),AVERAGE($H$2:$H$2001),H1800)</f>
        <v>247.55</v>
      </c>
      <c r="J1800">
        <v>0.05</v>
      </c>
      <c r="K1800">
        <f>IF(ISBLANK(J1800),MODE($J$2:$J$2001),J1800)</f>
        <v>0.05</v>
      </c>
      <c r="L1800" t="s">
        <v>1824</v>
      </c>
      <c r="M1800">
        <v>940.69</v>
      </c>
      <c r="N1800">
        <f t="shared" si="28"/>
        <v>940.69</v>
      </c>
      <c r="O1800" t="str">
        <f>_xlfn.XLOOKUP(Sales_fact[[#This Row],[Customer_ID]],'Customer_Dim'!A:A,'Customer_Dim'!K:K,"Not Found")</f>
        <v>Bronze</v>
      </c>
      <c r="P1800">
        <f>_xlfn.XLOOKUP(Sales_fact[[#This Row],[Customer_ID]],'Customer_Dim'!A:A, 'Customer_Dim'!E:E, "Not Found")</f>
        <v>30</v>
      </c>
      <c r="Q1800" t="str">
        <f>VLOOKUP(Sales_fact[[#This Row],[Customer_ID]], 'Customer_Dim'!A:F, 6, FALSE)</f>
        <v>Female</v>
      </c>
      <c r="R1800" s="13" t="str">
        <f>_xlfn.XLOOKUP(Sales_fact[[#This Row],[Product_ID]],Product_Dim!A:A,Product_Dim!C:C,"OTHERS")</f>
        <v>Sports</v>
      </c>
    </row>
    <row r="1801" spans="1:18" x14ac:dyDescent="0.3">
      <c r="A1801" t="s">
        <v>3625</v>
      </c>
      <c r="B1801" s="2">
        <v>45369</v>
      </c>
      <c r="C1801" t="s">
        <v>732</v>
      </c>
      <c r="D1801" t="s">
        <v>1746</v>
      </c>
      <c r="E1801" t="str">
        <f ca="1">TRIM(Sales_fact[[#This Row],[Store_ID]])</f>
        <v>STORE8</v>
      </c>
      <c r="F1801">
        <v>3</v>
      </c>
      <c r="G1801">
        <f>IF(ISBLANK(F1801),MODE($F$2:$F$2001),F1801)</f>
        <v>3</v>
      </c>
      <c r="H1801">
        <v>561.44000000000005</v>
      </c>
      <c r="I1801">
        <f>IF(ISBLANK(H1801),AVERAGE($H$2:$H$2001),H1801)</f>
        <v>561.44000000000005</v>
      </c>
      <c r="J1801">
        <v>0.2</v>
      </c>
      <c r="K1801">
        <f>IF(ISBLANK(J1801),MODE($J$2:$J$2001),J1801)</f>
        <v>0.2</v>
      </c>
      <c r="L1801" t="s">
        <v>1829</v>
      </c>
      <c r="M1801">
        <v>1347.4559999999999</v>
      </c>
      <c r="N1801">
        <f t="shared" si="28"/>
        <v>1347.4560000000001</v>
      </c>
      <c r="O1801" t="str">
        <f>_xlfn.XLOOKUP(Sales_fact[[#This Row],[Customer_ID]],'Customer_Dim'!A:A,'Customer_Dim'!K:K,"Not Found")</f>
        <v>Gold</v>
      </c>
      <c r="P1801">
        <f>_xlfn.XLOOKUP(Sales_fact[[#This Row],[Customer_ID]],'Customer_Dim'!A:A, 'Customer_Dim'!E:E, "Not Found")</f>
        <v>63</v>
      </c>
      <c r="Q1801" t="str">
        <f>VLOOKUP(Sales_fact[[#This Row],[Customer_ID]], 'Customer_Dim'!A:F, 6, FALSE)</f>
        <v>Female</v>
      </c>
      <c r="R1801" s="13" t="str">
        <f>_xlfn.XLOOKUP(Sales_fact[[#This Row],[Product_ID]],Product_Dim!A:A,Product_Dim!C:C,"OTHERS")</f>
        <v>Home</v>
      </c>
    </row>
    <row r="1802" spans="1:18" x14ac:dyDescent="0.3">
      <c r="A1802" t="s">
        <v>3626</v>
      </c>
      <c r="B1802" s="2">
        <v>45249</v>
      </c>
      <c r="C1802" t="s">
        <v>893</v>
      </c>
      <c r="D1802" t="s">
        <v>1692</v>
      </c>
      <c r="E1802" t="str">
        <f ca="1">TRIM(Sales_fact[[#This Row],[Store_ID]])</f>
        <v>STORE8</v>
      </c>
      <c r="F1802">
        <v>4</v>
      </c>
      <c r="G1802">
        <f>IF(ISBLANK(F1802),MODE($F$2:$F$2001),F1802)</f>
        <v>4</v>
      </c>
      <c r="H1802">
        <v>214.37</v>
      </c>
      <c r="I1802">
        <f>IF(ISBLANK(H1802),AVERAGE($H$2:$H$2001),H1802)</f>
        <v>214.37</v>
      </c>
      <c r="J1802">
        <v>0.11</v>
      </c>
      <c r="K1802">
        <f>IF(ISBLANK(J1802),MODE($J$2:$J$2001),J1802)</f>
        <v>0.11</v>
      </c>
      <c r="L1802" t="s">
        <v>1829</v>
      </c>
      <c r="M1802">
        <v>763.15719999999999</v>
      </c>
      <c r="N1802">
        <f t="shared" si="28"/>
        <v>763.15719999999999</v>
      </c>
      <c r="O1802" t="str">
        <f>_xlfn.XLOOKUP(Sales_fact[[#This Row],[Customer_ID]],'Customer_Dim'!A:A,'Customer_Dim'!K:K,"Not Found")</f>
        <v>Platinum</v>
      </c>
      <c r="P1802">
        <f>_xlfn.XLOOKUP(Sales_fact[[#This Row],[Customer_ID]],'Customer_Dim'!A:A, 'Customer_Dim'!E:E, "Not Found")</f>
        <v>59</v>
      </c>
      <c r="Q1802" t="str">
        <f>VLOOKUP(Sales_fact[[#This Row],[Customer_ID]], 'Customer_Dim'!A:F, 6, FALSE)</f>
        <v>Male</v>
      </c>
      <c r="R1802" s="13" t="str">
        <f>_xlfn.XLOOKUP(Sales_fact[[#This Row],[Product_ID]],Product_Dim!A:A,Product_Dim!C:C,"OTHERS")</f>
        <v>Sports</v>
      </c>
    </row>
    <row r="1803" spans="1:18" x14ac:dyDescent="0.3">
      <c r="A1803" t="s">
        <v>3627</v>
      </c>
      <c r="B1803" s="2">
        <v>45741</v>
      </c>
      <c r="C1803" t="s">
        <v>1295</v>
      </c>
      <c r="D1803" t="s">
        <v>1582</v>
      </c>
      <c r="E1803" t="str">
        <f ca="1">TRIM(Sales_fact[[#This Row],[Store_ID]])</f>
        <v>STORE16</v>
      </c>
      <c r="F1803">
        <v>3</v>
      </c>
      <c r="G1803">
        <f>IF(ISBLANK(F1803),MODE($F$2:$F$2001),F1803)</f>
        <v>3</v>
      </c>
      <c r="H1803">
        <v>123.74</v>
      </c>
      <c r="I1803">
        <f>IF(ISBLANK(H1803),AVERAGE($H$2:$H$2001),H1803)</f>
        <v>123.74</v>
      </c>
      <c r="J1803">
        <v>0.23</v>
      </c>
      <c r="K1803">
        <f>IF(ISBLANK(J1803),MODE($J$2:$J$2001),J1803)</f>
        <v>0.23</v>
      </c>
      <c r="L1803" t="s">
        <v>1826</v>
      </c>
      <c r="M1803">
        <v>285.83940000000001</v>
      </c>
      <c r="N1803">
        <f t="shared" si="28"/>
        <v>285.83940000000001</v>
      </c>
      <c r="O1803" t="str">
        <f>_xlfn.XLOOKUP(Sales_fact[[#This Row],[Customer_ID]],'Customer_Dim'!A:A,'Customer_Dim'!K:K,"Not Found")</f>
        <v>Bronze</v>
      </c>
      <c r="P1803">
        <f>_xlfn.XLOOKUP(Sales_fact[[#This Row],[Customer_ID]],'Customer_Dim'!A:A, 'Customer_Dim'!E:E, "Not Found")</f>
        <v>64</v>
      </c>
      <c r="Q1803" t="str">
        <f>VLOOKUP(Sales_fact[[#This Row],[Customer_ID]], 'Customer_Dim'!A:F, 6, FALSE)</f>
        <v>Female</v>
      </c>
      <c r="R1803" s="13" t="str">
        <f>_xlfn.XLOOKUP(Sales_fact[[#This Row],[Product_ID]],Product_Dim!A:A,Product_Dim!C:C,"OTHERS")</f>
        <v>Sports</v>
      </c>
    </row>
    <row r="1804" spans="1:18" x14ac:dyDescent="0.3">
      <c r="A1804" t="s">
        <v>3628</v>
      </c>
      <c r="B1804" s="2">
        <v>45427</v>
      </c>
      <c r="C1804" t="s">
        <v>63</v>
      </c>
      <c r="D1804" t="s">
        <v>1682</v>
      </c>
      <c r="E1804" t="str">
        <f ca="1">TRIM(Sales_fact[[#This Row],[Store_ID]])</f>
        <v>STORE11</v>
      </c>
      <c r="F1804">
        <v>4</v>
      </c>
      <c r="G1804">
        <f>IF(ISBLANK(F1804),MODE($F$2:$F$2001),F1804)</f>
        <v>4</v>
      </c>
      <c r="H1804">
        <v>645.71</v>
      </c>
      <c r="I1804">
        <f>IF(ISBLANK(H1804),AVERAGE($H$2:$H$2001),H1804)</f>
        <v>645.71</v>
      </c>
      <c r="J1804">
        <v>0.1</v>
      </c>
      <c r="K1804">
        <f>IF(ISBLANK(J1804),MODE($J$2:$J$2001),J1804)</f>
        <v>0.1</v>
      </c>
      <c r="L1804" t="s">
        <v>1826</v>
      </c>
      <c r="M1804">
        <v>2324.556</v>
      </c>
      <c r="N1804">
        <f t="shared" si="28"/>
        <v>2324.556</v>
      </c>
      <c r="O1804" t="str">
        <f>_xlfn.XLOOKUP(Sales_fact[[#This Row],[Customer_ID]],'Customer_Dim'!A:A,'Customer_Dim'!K:K,"Not Found")</f>
        <v>Silver</v>
      </c>
      <c r="P1804">
        <f>_xlfn.XLOOKUP(Sales_fact[[#This Row],[Customer_ID]],'Customer_Dim'!A:A, 'Customer_Dim'!E:E, "Not Found")</f>
        <v>32</v>
      </c>
      <c r="Q1804" t="str">
        <f>VLOOKUP(Sales_fact[[#This Row],[Customer_ID]], 'Customer_Dim'!A:F, 6, FALSE)</f>
        <v>Female</v>
      </c>
      <c r="R1804" s="13" t="str">
        <f>_xlfn.XLOOKUP(Sales_fact[[#This Row],[Product_ID]],Product_Dim!A:A,Product_Dim!C:C,"OTHERS")</f>
        <v>Electronics</v>
      </c>
    </row>
    <row r="1805" spans="1:18" x14ac:dyDescent="0.3">
      <c r="A1805" t="s">
        <v>3629</v>
      </c>
      <c r="B1805" s="2">
        <v>45736</v>
      </c>
      <c r="C1805" t="s">
        <v>134</v>
      </c>
      <c r="D1805" t="s">
        <v>1590</v>
      </c>
      <c r="E1805" t="str">
        <f ca="1">TRIM(Sales_fact[[#This Row],[Store_ID]])</f>
        <v>STORE12</v>
      </c>
      <c r="F1805">
        <v>3</v>
      </c>
      <c r="G1805">
        <f>IF(ISBLANK(F1805),MODE($F$2:$F$2001),F1805)</f>
        <v>3</v>
      </c>
      <c r="H1805">
        <v>587.12</v>
      </c>
      <c r="I1805">
        <f>IF(ISBLANK(H1805),AVERAGE($H$2:$H$2001),H1805)</f>
        <v>587.12</v>
      </c>
      <c r="J1805">
        <v>0.3</v>
      </c>
      <c r="K1805">
        <f>IF(ISBLANK(J1805),MODE($J$2:$J$2001),J1805)</f>
        <v>0.3</v>
      </c>
      <c r="L1805" t="s">
        <v>1824</v>
      </c>
      <c r="M1805">
        <v>1232.952</v>
      </c>
      <c r="N1805">
        <f t="shared" si="28"/>
        <v>1232.952</v>
      </c>
      <c r="O1805" t="str">
        <f>_xlfn.XLOOKUP(Sales_fact[[#This Row],[Customer_ID]],'Customer_Dim'!A:A,'Customer_Dim'!K:K,"Not Found")</f>
        <v>Platinum</v>
      </c>
      <c r="P1805">
        <f>_xlfn.XLOOKUP(Sales_fact[[#This Row],[Customer_ID]],'Customer_Dim'!A:A, 'Customer_Dim'!E:E, "Not Found")</f>
        <v>25</v>
      </c>
      <c r="Q1805" t="str">
        <f>VLOOKUP(Sales_fact[[#This Row],[Customer_ID]], 'Customer_Dim'!A:F, 6, FALSE)</f>
        <v>Male</v>
      </c>
      <c r="R1805" s="13" t="str">
        <f>_xlfn.XLOOKUP(Sales_fact[[#This Row],[Product_ID]],Product_Dim!A:A,Product_Dim!C:C,"OTHERS")</f>
        <v>Home</v>
      </c>
    </row>
    <row r="1806" spans="1:18" x14ac:dyDescent="0.3">
      <c r="A1806" t="s">
        <v>3630</v>
      </c>
      <c r="B1806" s="2">
        <v>45941</v>
      </c>
      <c r="C1806" t="s">
        <v>773</v>
      </c>
      <c r="D1806" t="s">
        <v>1598</v>
      </c>
      <c r="E1806" t="str">
        <f ca="1">TRIM(Sales_fact[[#This Row],[Store_ID]])</f>
        <v>STORE18</v>
      </c>
      <c r="F1806">
        <v>1</v>
      </c>
      <c r="G1806">
        <f>IF(ISBLANK(F1806),MODE($F$2:$F$2001),F1806)</f>
        <v>1</v>
      </c>
      <c r="H1806">
        <v>401.18</v>
      </c>
      <c r="I1806">
        <f>IF(ISBLANK(H1806),AVERAGE($H$2:$H$2001),H1806)</f>
        <v>401.18</v>
      </c>
      <c r="J1806">
        <v>0.15</v>
      </c>
      <c r="K1806">
        <f>IF(ISBLANK(J1806),MODE($J$2:$J$2001),J1806)</f>
        <v>0.15</v>
      </c>
      <c r="L1806" t="s">
        <v>1829</v>
      </c>
      <c r="M1806">
        <v>341.00299999999999</v>
      </c>
      <c r="N1806">
        <f t="shared" si="28"/>
        <v>341.00299999999999</v>
      </c>
      <c r="O1806" t="str">
        <f>_xlfn.XLOOKUP(Sales_fact[[#This Row],[Customer_ID]],'Customer_Dim'!A:A,'Customer_Dim'!K:K,"Not Found")</f>
        <v>Platinum</v>
      </c>
      <c r="P1806">
        <f>_xlfn.XLOOKUP(Sales_fact[[#This Row],[Customer_ID]],'Customer_Dim'!A:A, 'Customer_Dim'!E:E, "Not Found")</f>
        <v>31</v>
      </c>
      <c r="Q1806" t="str">
        <f>VLOOKUP(Sales_fact[[#This Row],[Customer_ID]], 'Customer_Dim'!A:F, 6, FALSE)</f>
        <v>Male</v>
      </c>
      <c r="R1806" s="13" t="str">
        <f>_xlfn.XLOOKUP(Sales_fact[[#This Row],[Product_ID]],Product_Dim!A:A,Product_Dim!C:C,"OTHERS")</f>
        <v>Clothing</v>
      </c>
    </row>
    <row r="1807" spans="1:18" x14ac:dyDescent="0.3">
      <c r="A1807" t="s">
        <v>3631</v>
      </c>
      <c r="B1807" s="2">
        <v>45486</v>
      </c>
      <c r="C1807" t="s">
        <v>1145</v>
      </c>
      <c r="D1807" t="s">
        <v>1664</v>
      </c>
      <c r="E1807" t="str">
        <f ca="1">TRIM(Sales_fact[[#This Row],[Store_ID]])</f>
        <v>STORE18</v>
      </c>
      <c r="F1807">
        <v>3</v>
      </c>
      <c r="G1807">
        <f>IF(ISBLANK(F1807),MODE($F$2:$F$2001),F1807)</f>
        <v>3</v>
      </c>
      <c r="H1807">
        <v>658.33</v>
      </c>
      <c r="I1807">
        <f>IF(ISBLANK(H1807),AVERAGE($H$2:$H$2001),H1807)</f>
        <v>658.33</v>
      </c>
      <c r="J1807">
        <v>0.12</v>
      </c>
      <c r="K1807">
        <f>IF(ISBLANK(J1807),MODE($J$2:$J$2001),J1807)</f>
        <v>0.12</v>
      </c>
      <c r="L1807" t="s">
        <v>1829</v>
      </c>
      <c r="M1807">
        <v>1737.9911999999999</v>
      </c>
      <c r="N1807">
        <f t="shared" si="28"/>
        <v>1737.9912000000002</v>
      </c>
      <c r="O1807" t="str">
        <f>_xlfn.XLOOKUP(Sales_fact[[#This Row],[Customer_ID]],'Customer_Dim'!A:A,'Customer_Dim'!K:K,"Not Found")</f>
        <v>Platinum</v>
      </c>
      <c r="P1807">
        <f>_xlfn.XLOOKUP(Sales_fact[[#This Row],[Customer_ID]],'Customer_Dim'!A:A, 'Customer_Dim'!E:E, "Not Found")</f>
        <v>40</v>
      </c>
      <c r="Q1807" t="str">
        <f>VLOOKUP(Sales_fact[[#This Row],[Customer_ID]], 'Customer_Dim'!A:F, 6, FALSE)</f>
        <v>Female</v>
      </c>
      <c r="R1807" s="13" t="str">
        <f>_xlfn.XLOOKUP(Sales_fact[[#This Row],[Product_ID]],Product_Dim!A:A,Product_Dim!C:C,"OTHERS")</f>
        <v>Clothing</v>
      </c>
    </row>
    <row r="1808" spans="1:18" x14ac:dyDescent="0.3">
      <c r="A1808" t="s">
        <v>3632</v>
      </c>
      <c r="B1808" s="2">
        <v>45474</v>
      </c>
      <c r="C1808" t="s">
        <v>657</v>
      </c>
      <c r="D1808" t="s">
        <v>1646</v>
      </c>
      <c r="E1808" t="str">
        <f ca="1">TRIM(Sales_fact[[#This Row],[Store_ID]])</f>
        <v>STORE11</v>
      </c>
      <c r="F1808">
        <v>4</v>
      </c>
      <c r="G1808">
        <f>IF(ISBLANK(F1808),MODE($F$2:$F$2001),F1808)</f>
        <v>4</v>
      </c>
      <c r="H1808">
        <v>450.3</v>
      </c>
      <c r="I1808">
        <f>IF(ISBLANK(H1808),AVERAGE($H$2:$H$2001),H1808)</f>
        <v>450.3</v>
      </c>
      <c r="J1808">
        <v>0.02</v>
      </c>
      <c r="K1808">
        <f>IF(ISBLANK(J1808),MODE($J$2:$J$2001),J1808)</f>
        <v>0.02</v>
      </c>
      <c r="L1808" t="s">
        <v>1824</v>
      </c>
      <c r="M1808">
        <v>1765.1759999999999</v>
      </c>
      <c r="N1808">
        <f t="shared" si="28"/>
        <v>1765.1759999999999</v>
      </c>
      <c r="O1808" t="str">
        <f>_xlfn.XLOOKUP(Sales_fact[[#This Row],[Customer_ID]],'Customer_Dim'!A:A,'Customer_Dim'!K:K,"Not Found")</f>
        <v>Bronze</v>
      </c>
      <c r="P1808">
        <f>_xlfn.XLOOKUP(Sales_fact[[#This Row],[Customer_ID]],'Customer_Dim'!A:A, 'Customer_Dim'!E:E, "Not Found")</f>
        <v>25</v>
      </c>
      <c r="Q1808" t="str">
        <f>VLOOKUP(Sales_fact[[#This Row],[Customer_ID]], 'Customer_Dim'!A:F, 6, FALSE)</f>
        <v>Female</v>
      </c>
      <c r="R1808" s="13" t="str">
        <f>_xlfn.XLOOKUP(Sales_fact[[#This Row],[Product_ID]],Product_Dim!A:A,Product_Dim!C:C,"OTHERS")</f>
        <v>Beauty</v>
      </c>
    </row>
    <row r="1809" spans="1:18" x14ac:dyDescent="0.3">
      <c r="A1809" t="s">
        <v>3633</v>
      </c>
      <c r="B1809" s="2">
        <v>45757</v>
      </c>
      <c r="C1809" t="s">
        <v>490</v>
      </c>
      <c r="D1809" t="s">
        <v>1736</v>
      </c>
      <c r="E1809" t="str">
        <f ca="1">TRIM(Sales_fact[[#This Row],[Store_ID]])</f>
        <v>STORE10</v>
      </c>
      <c r="F1809">
        <v>4</v>
      </c>
      <c r="G1809">
        <f>IF(ISBLANK(F1809),MODE($F$2:$F$2001),F1809)</f>
        <v>4</v>
      </c>
      <c r="H1809">
        <v>33.630000000000003</v>
      </c>
      <c r="I1809">
        <f>IF(ISBLANK(H1809),AVERAGE($H$2:$H$2001),H1809)</f>
        <v>33.630000000000003</v>
      </c>
      <c r="J1809">
        <v>0.05</v>
      </c>
      <c r="K1809">
        <f>IF(ISBLANK(J1809),MODE($J$2:$J$2001),J1809)</f>
        <v>0.05</v>
      </c>
      <c r="L1809" t="s">
        <v>1824</v>
      </c>
      <c r="M1809">
        <v>127.794</v>
      </c>
      <c r="N1809">
        <f t="shared" si="28"/>
        <v>127.794</v>
      </c>
      <c r="O1809" t="str">
        <f>_xlfn.XLOOKUP(Sales_fact[[#This Row],[Customer_ID]],'Customer_Dim'!A:A,'Customer_Dim'!K:K,"Not Found")</f>
        <v>Platinum</v>
      </c>
      <c r="P1809">
        <f>_xlfn.XLOOKUP(Sales_fact[[#This Row],[Customer_ID]],'Customer_Dim'!A:A, 'Customer_Dim'!E:E, "Not Found")</f>
        <v>46</v>
      </c>
      <c r="Q1809" t="str">
        <f>VLOOKUP(Sales_fact[[#This Row],[Customer_ID]], 'Customer_Dim'!A:F, 6, FALSE)</f>
        <v>Male</v>
      </c>
      <c r="R1809" s="13" t="str">
        <f>_xlfn.XLOOKUP(Sales_fact[[#This Row],[Product_ID]],Product_Dim!A:A,Product_Dim!C:C,"OTHERS")</f>
        <v>Beauty</v>
      </c>
    </row>
    <row r="1810" spans="1:18" x14ac:dyDescent="0.3">
      <c r="A1810" t="s">
        <v>3634</v>
      </c>
      <c r="B1810" s="2">
        <v>45475</v>
      </c>
      <c r="C1810" t="s">
        <v>141</v>
      </c>
      <c r="D1810" t="s">
        <v>1580</v>
      </c>
      <c r="E1810" t="str">
        <f ca="1">TRIM(Sales_fact[[#This Row],[Store_ID]])</f>
        <v>STORE0</v>
      </c>
      <c r="F1810">
        <v>3</v>
      </c>
      <c r="G1810">
        <f>IF(ISBLANK(F1810),MODE($F$2:$F$2001),F1810)</f>
        <v>3</v>
      </c>
      <c r="H1810">
        <v>168.89</v>
      </c>
      <c r="I1810">
        <f>IF(ISBLANK(H1810),AVERAGE($H$2:$H$2001),H1810)</f>
        <v>168.89</v>
      </c>
      <c r="J1810">
        <v>0.03</v>
      </c>
      <c r="K1810">
        <f>IF(ISBLANK(J1810),MODE($J$2:$J$2001),J1810)</f>
        <v>0.03</v>
      </c>
      <c r="L1810" t="s">
        <v>1829</v>
      </c>
      <c r="M1810">
        <v>491.46989999999988</v>
      </c>
      <c r="N1810">
        <f t="shared" si="28"/>
        <v>491.46989999999994</v>
      </c>
      <c r="O1810" t="str">
        <f>_xlfn.XLOOKUP(Sales_fact[[#This Row],[Customer_ID]],'Customer_Dim'!A:A,'Customer_Dim'!K:K,"Not Found")</f>
        <v>Silver</v>
      </c>
      <c r="P1810">
        <f>_xlfn.XLOOKUP(Sales_fact[[#This Row],[Customer_ID]],'Customer_Dim'!A:A, 'Customer_Dim'!E:E, "Not Found")</f>
        <v>52</v>
      </c>
      <c r="Q1810" t="str">
        <f>VLOOKUP(Sales_fact[[#This Row],[Customer_ID]], 'Customer_Dim'!A:F, 6, FALSE)</f>
        <v>Male</v>
      </c>
      <c r="R1810" s="13" t="str">
        <f>_xlfn.XLOOKUP(Sales_fact[[#This Row],[Product_ID]],Product_Dim!A:A,Product_Dim!C:C,"OTHERS")</f>
        <v>OTHERS</v>
      </c>
    </row>
    <row r="1811" spans="1:18" x14ac:dyDescent="0.3">
      <c r="A1811" t="s">
        <v>3635</v>
      </c>
      <c r="B1811" s="2">
        <v>45546</v>
      </c>
      <c r="C1811" t="s">
        <v>341</v>
      </c>
      <c r="D1811" t="s">
        <v>1668</v>
      </c>
      <c r="E1811" t="str">
        <f ca="1">TRIM(Sales_fact[[#This Row],[Store_ID]])</f>
        <v>STORE11</v>
      </c>
      <c r="F1811">
        <v>1</v>
      </c>
      <c r="G1811">
        <f>IF(ISBLANK(F1811),MODE($F$2:$F$2001),F1811)</f>
        <v>1</v>
      </c>
      <c r="H1811">
        <v>141.85</v>
      </c>
      <c r="I1811">
        <f>IF(ISBLANK(H1811),AVERAGE($H$2:$H$2001),H1811)</f>
        <v>141.85</v>
      </c>
      <c r="J1811">
        <v>0.06</v>
      </c>
      <c r="K1811">
        <f>IF(ISBLANK(J1811),MODE($J$2:$J$2001),J1811)</f>
        <v>0.06</v>
      </c>
      <c r="L1811" t="s">
        <v>1826</v>
      </c>
      <c r="M1811">
        <v>133.339</v>
      </c>
      <c r="N1811">
        <f t="shared" si="28"/>
        <v>133.339</v>
      </c>
      <c r="O1811" t="str">
        <f>_xlfn.XLOOKUP(Sales_fact[[#This Row],[Customer_ID]],'Customer_Dim'!A:A,'Customer_Dim'!K:K,"Not Found")</f>
        <v>Platinum</v>
      </c>
      <c r="P1811">
        <f>_xlfn.XLOOKUP(Sales_fact[[#This Row],[Customer_ID]],'Customer_Dim'!A:A, 'Customer_Dim'!E:E, "Not Found")</f>
        <v>62</v>
      </c>
      <c r="Q1811" t="str">
        <f>VLOOKUP(Sales_fact[[#This Row],[Customer_ID]], 'Customer_Dim'!A:F, 6, FALSE)</f>
        <v>Female</v>
      </c>
      <c r="R1811" s="13" t="str">
        <f>_xlfn.XLOOKUP(Sales_fact[[#This Row],[Product_ID]],Product_Dim!A:A,Product_Dim!C:C,"OTHERS")</f>
        <v>Beauty</v>
      </c>
    </row>
    <row r="1812" spans="1:18" x14ac:dyDescent="0.3">
      <c r="A1812" t="s">
        <v>3636</v>
      </c>
      <c r="B1812" s="2">
        <v>45520</v>
      </c>
      <c r="C1812" t="s">
        <v>966</v>
      </c>
      <c r="D1812" t="s">
        <v>1618</v>
      </c>
      <c r="E1812" t="str">
        <f ca="1">TRIM(Sales_fact[[#This Row],[Store_ID]])</f>
        <v>STORE7</v>
      </c>
      <c r="F1812">
        <v>1</v>
      </c>
      <c r="G1812">
        <f>IF(ISBLANK(F1812),MODE($F$2:$F$2001),F1812)</f>
        <v>1</v>
      </c>
      <c r="H1812">
        <v>617.4</v>
      </c>
      <c r="I1812">
        <f>IF(ISBLANK(H1812),AVERAGE($H$2:$H$2001),H1812)</f>
        <v>617.4</v>
      </c>
      <c r="J1812">
        <v>0.21</v>
      </c>
      <c r="K1812">
        <f>IF(ISBLANK(J1812),MODE($J$2:$J$2001),J1812)</f>
        <v>0.21</v>
      </c>
      <c r="L1812" t="s">
        <v>1824</v>
      </c>
      <c r="M1812">
        <v>487.74599999999998</v>
      </c>
      <c r="N1812">
        <f t="shared" si="28"/>
        <v>487.74599999999998</v>
      </c>
      <c r="O1812" t="str">
        <f>_xlfn.XLOOKUP(Sales_fact[[#This Row],[Customer_ID]],'Customer_Dim'!A:A,'Customer_Dim'!K:K,"Not Found")</f>
        <v>Platinum</v>
      </c>
      <c r="P1812">
        <f>_xlfn.XLOOKUP(Sales_fact[[#This Row],[Customer_ID]],'Customer_Dim'!A:A, 'Customer_Dim'!E:E, "Not Found")</f>
        <v>44</v>
      </c>
      <c r="Q1812" t="str">
        <f>VLOOKUP(Sales_fact[[#This Row],[Customer_ID]], 'Customer_Dim'!A:F, 6, FALSE)</f>
        <v>Male</v>
      </c>
      <c r="R1812" s="13" t="str">
        <f>_xlfn.XLOOKUP(Sales_fact[[#This Row],[Product_ID]],Product_Dim!A:A,Product_Dim!C:C,"OTHERS")</f>
        <v>Home</v>
      </c>
    </row>
    <row r="1813" spans="1:18" x14ac:dyDescent="0.3">
      <c r="A1813" t="s">
        <v>3637</v>
      </c>
      <c r="B1813" s="2">
        <v>45534</v>
      </c>
      <c r="C1813" t="s">
        <v>496</v>
      </c>
      <c r="D1813" t="s">
        <v>1654</v>
      </c>
      <c r="E1813" t="str">
        <f ca="1">TRIM(Sales_fact[[#This Row],[Store_ID]])</f>
        <v>STORE1</v>
      </c>
      <c r="F1813">
        <v>3</v>
      </c>
      <c r="G1813">
        <f>IF(ISBLANK(F1813),MODE($F$2:$F$2001),F1813)</f>
        <v>3</v>
      </c>
      <c r="H1813">
        <v>841.47</v>
      </c>
      <c r="I1813">
        <f>IF(ISBLANK(H1813),AVERAGE($H$2:$H$2001),H1813)</f>
        <v>841.47</v>
      </c>
      <c r="J1813">
        <v>0.15</v>
      </c>
      <c r="K1813">
        <f>IF(ISBLANK(J1813),MODE($J$2:$J$2001),J1813)</f>
        <v>0.15</v>
      </c>
      <c r="L1813" t="s">
        <v>1829</v>
      </c>
      <c r="M1813">
        <v>2145.7485000000001</v>
      </c>
      <c r="N1813">
        <f t="shared" si="28"/>
        <v>2145.7484999999997</v>
      </c>
      <c r="O1813" t="str">
        <f>_xlfn.XLOOKUP(Sales_fact[[#This Row],[Customer_ID]],'Customer_Dim'!A:A,'Customer_Dim'!K:K,"Not Found")</f>
        <v>Platinum</v>
      </c>
      <c r="P1813">
        <f>_xlfn.XLOOKUP(Sales_fact[[#This Row],[Customer_ID]],'Customer_Dim'!A:A, 'Customer_Dim'!E:E, "Not Found")</f>
        <v>49</v>
      </c>
      <c r="Q1813" t="str">
        <f>VLOOKUP(Sales_fact[[#This Row],[Customer_ID]], 'Customer_Dim'!A:F, 6, FALSE)</f>
        <v>Female</v>
      </c>
      <c r="R1813" s="13" t="str">
        <f>_xlfn.XLOOKUP(Sales_fact[[#This Row],[Product_ID]],Product_Dim!A:A,Product_Dim!C:C,"OTHERS")</f>
        <v>Clothing</v>
      </c>
    </row>
    <row r="1814" spans="1:18" x14ac:dyDescent="0.3">
      <c r="A1814" t="s">
        <v>3638</v>
      </c>
      <c r="B1814" s="2">
        <v>45334</v>
      </c>
      <c r="C1814" t="s">
        <v>221</v>
      </c>
      <c r="D1814" t="s">
        <v>1590</v>
      </c>
      <c r="E1814" t="str">
        <f ca="1">TRIM(Sales_fact[[#This Row],[Store_ID]])</f>
        <v>STORE13</v>
      </c>
      <c r="F1814">
        <v>2</v>
      </c>
      <c r="G1814">
        <f>IF(ISBLANK(F1814),MODE($F$2:$F$2001),F1814)</f>
        <v>2</v>
      </c>
      <c r="H1814">
        <v>960.41</v>
      </c>
      <c r="I1814">
        <f>IF(ISBLANK(H1814),AVERAGE($H$2:$H$2001),H1814)</f>
        <v>960.41</v>
      </c>
      <c r="J1814">
        <v>0.18</v>
      </c>
      <c r="K1814">
        <f>IF(ISBLANK(J1814),MODE($J$2:$J$2001),J1814)</f>
        <v>0.18</v>
      </c>
      <c r="L1814" t="s">
        <v>1824</v>
      </c>
      <c r="M1814">
        <v>1575.0724</v>
      </c>
      <c r="N1814">
        <f t="shared" si="28"/>
        <v>1575.0724</v>
      </c>
      <c r="O1814" t="str">
        <f>_xlfn.XLOOKUP(Sales_fact[[#This Row],[Customer_ID]],'Customer_Dim'!A:A,'Customer_Dim'!K:K,"Not Found")</f>
        <v>Platinum</v>
      </c>
      <c r="P1814">
        <f>_xlfn.XLOOKUP(Sales_fact[[#This Row],[Customer_ID]],'Customer_Dim'!A:A, 'Customer_Dim'!E:E, "Not Found")</f>
        <v>53</v>
      </c>
      <c r="Q1814" t="str">
        <f>VLOOKUP(Sales_fact[[#This Row],[Customer_ID]], 'Customer_Dim'!A:F, 6, FALSE)</f>
        <v>Male</v>
      </c>
      <c r="R1814" s="13" t="str">
        <f>_xlfn.XLOOKUP(Sales_fact[[#This Row],[Product_ID]],Product_Dim!A:A,Product_Dim!C:C,"OTHERS")</f>
        <v>Home</v>
      </c>
    </row>
    <row r="1815" spans="1:18" x14ac:dyDescent="0.3">
      <c r="A1815" t="s">
        <v>3639</v>
      </c>
      <c r="B1815" s="2">
        <v>45289</v>
      </c>
      <c r="C1815" t="s">
        <v>1395</v>
      </c>
      <c r="D1815" t="s">
        <v>1698</v>
      </c>
      <c r="E1815" t="str">
        <f ca="1">TRIM(Sales_fact[[#This Row],[Store_ID]])</f>
        <v>STORE18</v>
      </c>
      <c r="F1815">
        <v>3</v>
      </c>
      <c r="G1815">
        <f>IF(ISBLANK(F1815),MODE($F$2:$F$2001),F1815)</f>
        <v>3</v>
      </c>
      <c r="H1815">
        <v>717.22</v>
      </c>
      <c r="I1815">
        <f>IF(ISBLANK(H1815),AVERAGE($H$2:$H$2001),H1815)</f>
        <v>717.22</v>
      </c>
      <c r="J1815">
        <v>0.24</v>
      </c>
      <c r="K1815">
        <f>IF(ISBLANK(J1815),MODE($J$2:$J$2001),J1815)</f>
        <v>0.24</v>
      </c>
      <c r="L1815" t="s">
        <v>1826</v>
      </c>
      <c r="M1815">
        <v>1635.2616</v>
      </c>
      <c r="N1815">
        <f t="shared" si="28"/>
        <v>1635.2615999999998</v>
      </c>
      <c r="O1815" t="str">
        <f>_xlfn.XLOOKUP(Sales_fact[[#This Row],[Customer_ID]],'Customer_Dim'!A:A,'Customer_Dim'!K:K,"Not Found")</f>
        <v>Gold</v>
      </c>
      <c r="P1815">
        <f>_xlfn.XLOOKUP(Sales_fact[[#This Row],[Customer_ID]],'Customer_Dim'!A:A, 'Customer_Dim'!E:E, "Not Found")</f>
        <v>46</v>
      </c>
      <c r="Q1815" t="str">
        <f>VLOOKUP(Sales_fact[[#This Row],[Customer_ID]], 'Customer_Dim'!A:F, 6, FALSE)</f>
        <v>Male</v>
      </c>
      <c r="R1815" s="13" t="str">
        <f>_xlfn.XLOOKUP(Sales_fact[[#This Row],[Product_ID]],Product_Dim!A:A,Product_Dim!C:C,"OTHERS")</f>
        <v>Clothing</v>
      </c>
    </row>
    <row r="1816" spans="1:18" x14ac:dyDescent="0.3">
      <c r="A1816" t="s">
        <v>3640</v>
      </c>
      <c r="B1816" s="2">
        <v>45832</v>
      </c>
      <c r="C1816" t="s">
        <v>402</v>
      </c>
      <c r="D1816" t="s">
        <v>1572</v>
      </c>
      <c r="E1816" t="str">
        <f ca="1">TRIM(Sales_fact[[#This Row],[Store_ID]])</f>
        <v>STORE0</v>
      </c>
      <c r="F1816">
        <v>1</v>
      </c>
      <c r="G1816">
        <f>IF(ISBLANK(F1816),MODE($F$2:$F$2001),F1816)</f>
        <v>1</v>
      </c>
      <c r="H1816">
        <v>281.83</v>
      </c>
      <c r="I1816">
        <f>IF(ISBLANK(H1816),AVERAGE($H$2:$H$2001),H1816)</f>
        <v>281.83</v>
      </c>
      <c r="J1816">
        <v>0.16</v>
      </c>
      <c r="K1816">
        <f>IF(ISBLANK(J1816),MODE($J$2:$J$2001),J1816)</f>
        <v>0.16</v>
      </c>
      <c r="L1816" t="s">
        <v>1829</v>
      </c>
      <c r="M1816">
        <v>236.7372</v>
      </c>
      <c r="N1816">
        <f t="shared" si="28"/>
        <v>236.73719999999997</v>
      </c>
      <c r="O1816" t="str">
        <f>_xlfn.XLOOKUP(Sales_fact[[#This Row],[Customer_ID]],'Customer_Dim'!A:A,'Customer_Dim'!K:K,"Not Found")</f>
        <v>Platinum</v>
      </c>
      <c r="P1816">
        <f>_xlfn.XLOOKUP(Sales_fact[[#This Row],[Customer_ID]],'Customer_Dim'!A:A, 'Customer_Dim'!E:E, "Not Found")</f>
        <v>53</v>
      </c>
      <c r="Q1816" t="str">
        <f>VLOOKUP(Sales_fact[[#This Row],[Customer_ID]], 'Customer_Dim'!A:F, 6, FALSE)</f>
        <v>Female</v>
      </c>
      <c r="R1816" s="13" t="str">
        <f>_xlfn.XLOOKUP(Sales_fact[[#This Row],[Product_ID]],Product_Dim!A:A,Product_Dim!C:C,"OTHERS")</f>
        <v>Beauty</v>
      </c>
    </row>
    <row r="1817" spans="1:18" x14ac:dyDescent="0.3">
      <c r="A1817" t="s">
        <v>3641</v>
      </c>
      <c r="B1817" s="2">
        <v>45400</v>
      </c>
      <c r="C1817" t="s">
        <v>666</v>
      </c>
      <c r="D1817" t="s">
        <v>1666</v>
      </c>
      <c r="E1817" t="str">
        <f ca="1">TRIM(Sales_fact[[#This Row],[Store_ID]])</f>
        <v>STORE14</v>
      </c>
      <c r="F1817">
        <v>1</v>
      </c>
      <c r="G1817">
        <f>IF(ISBLANK(F1817),MODE($F$2:$F$2001),F1817)</f>
        <v>1</v>
      </c>
      <c r="H1817">
        <v>509.08</v>
      </c>
      <c r="I1817">
        <f>IF(ISBLANK(H1817),AVERAGE($H$2:$H$2001),H1817)</f>
        <v>509.08</v>
      </c>
      <c r="J1817">
        <v>0.04</v>
      </c>
      <c r="K1817">
        <f>IF(ISBLANK(J1817),MODE($J$2:$J$2001),J1817)</f>
        <v>0.04</v>
      </c>
      <c r="L1817" t="s">
        <v>1826</v>
      </c>
      <c r="M1817">
        <v>488.71679999999998</v>
      </c>
      <c r="N1817">
        <f t="shared" si="28"/>
        <v>488.71679999999998</v>
      </c>
      <c r="O1817" t="str">
        <f>_xlfn.XLOOKUP(Sales_fact[[#This Row],[Customer_ID]],'Customer_Dim'!A:A,'Customer_Dim'!K:K,"Not Found")</f>
        <v>Platinum</v>
      </c>
      <c r="P1817">
        <f>_xlfn.XLOOKUP(Sales_fact[[#This Row],[Customer_ID]],'Customer_Dim'!A:A, 'Customer_Dim'!E:E, "Not Found")</f>
        <v>52</v>
      </c>
      <c r="Q1817" t="str">
        <f>VLOOKUP(Sales_fact[[#This Row],[Customer_ID]], 'Customer_Dim'!A:F, 6, FALSE)</f>
        <v>Male</v>
      </c>
      <c r="R1817" s="13" t="str">
        <f>_xlfn.XLOOKUP(Sales_fact[[#This Row],[Product_ID]],Product_Dim!A:A,Product_Dim!C:C,"OTHERS")</f>
        <v>Beauty</v>
      </c>
    </row>
    <row r="1818" spans="1:18" x14ac:dyDescent="0.3">
      <c r="A1818" t="s">
        <v>3642</v>
      </c>
      <c r="B1818" s="2">
        <v>45930</v>
      </c>
      <c r="C1818" t="s">
        <v>1246</v>
      </c>
      <c r="D1818" t="s">
        <v>1740</v>
      </c>
      <c r="E1818" t="str">
        <f ca="1">TRIM(Sales_fact[[#This Row],[Store_ID]])</f>
        <v>STORE2</v>
      </c>
      <c r="F1818">
        <v>4</v>
      </c>
      <c r="G1818">
        <f>IF(ISBLANK(F1818),MODE($F$2:$F$2001),F1818)</f>
        <v>4</v>
      </c>
      <c r="H1818">
        <v>827.09</v>
      </c>
      <c r="I1818">
        <f>IF(ISBLANK(H1818),AVERAGE($H$2:$H$2001),H1818)</f>
        <v>827.09</v>
      </c>
      <c r="J1818">
        <v>0.3</v>
      </c>
      <c r="K1818">
        <f>IF(ISBLANK(J1818),MODE($J$2:$J$2001),J1818)</f>
        <v>0.3</v>
      </c>
      <c r="L1818" t="s">
        <v>1824</v>
      </c>
      <c r="M1818">
        <v>2315.8519999999999</v>
      </c>
      <c r="N1818">
        <f t="shared" si="28"/>
        <v>2315.8519999999999</v>
      </c>
      <c r="O1818" t="str">
        <f>_xlfn.XLOOKUP(Sales_fact[[#This Row],[Customer_ID]],'Customer_Dim'!A:A,'Customer_Dim'!K:K,"Not Found")</f>
        <v>Platinum</v>
      </c>
      <c r="P1818">
        <f>_xlfn.XLOOKUP(Sales_fact[[#This Row],[Customer_ID]],'Customer_Dim'!A:A, 'Customer_Dim'!E:E, "Not Found")</f>
        <v>57</v>
      </c>
      <c r="Q1818" t="str">
        <f>VLOOKUP(Sales_fact[[#This Row],[Customer_ID]], 'Customer_Dim'!A:F, 6, FALSE)</f>
        <v>Female</v>
      </c>
      <c r="R1818" s="13" t="str">
        <f>_xlfn.XLOOKUP(Sales_fact[[#This Row],[Product_ID]],Product_Dim!A:A,Product_Dim!C:C,"OTHERS")</f>
        <v>Clothing</v>
      </c>
    </row>
    <row r="1819" spans="1:18" x14ac:dyDescent="0.3">
      <c r="A1819" t="s">
        <v>3643</v>
      </c>
      <c r="B1819" s="2">
        <v>45935</v>
      </c>
      <c r="C1819" t="s">
        <v>684</v>
      </c>
      <c r="D1819" t="s">
        <v>1606</v>
      </c>
      <c r="E1819" t="str">
        <f ca="1">TRIM(Sales_fact[[#This Row],[Store_ID]])</f>
        <v>STORE4</v>
      </c>
      <c r="F1819">
        <v>2</v>
      </c>
      <c r="G1819">
        <f>IF(ISBLANK(F1819),MODE($F$2:$F$2001),F1819)</f>
        <v>2</v>
      </c>
      <c r="H1819">
        <v>823.36</v>
      </c>
      <c r="I1819">
        <f>IF(ISBLANK(H1819),AVERAGE($H$2:$H$2001),H1819)</f>
        <v>823.36</v>
      </c>
      <c r="J1819">
        <v>0.23</v>
      </c>
      <c r="K1819">
        <f>IF(ISBLANK(J1819),MODE($J$2:$J$2001),J1819)</f>
        <v>0.23</v>
      </c>
      <c r="L1819" t="s">
        <v>1824</v>
      </c>
      <c r="M1819">
        <v>1267.9744000000001</v>
      </c>
      <c r="N1819">
        <f t="shared" si="28"/>
        <v>1267.9744000000001</v>
      </c>
      <c r="O1819" t="str">
        <f>_xlfn.XLOOKUP(Sales_fact[[#This Row],[Customer_ID]],'Customer_Dim'!A:A,'Customer_Dim'!K:K,"Not Found")</f>
        <v>Silver</v>
      </c>
      <c r="P1819">
        <f>_xlfn.XLOOKUP(Sales_fact[[#This Row],[Customer_ID]],'Customer_Dim'!A:A, 'Customer_Dim'!E:E, "Not Found")</f>
        <v>48</v>
      </c>
      <c r="Q1819" t="str">
        <f>VLOOKUP(Sales_fact[[#This Row],[Customer_ID]], 'Customer_Dim'!A:F, 6, FALSE)</f>
        <v>Male</v>
      </c>
      <c r="R1819" s="13" t="str">
        <f>_xlfn.XLOOKUP(Sales_fact[[#This Row],[Product_ID]],Product_Dim!A:A,Product_Dim!C:C,"OTHERS")</f>
        <v>Home</v>
      </c>
    </row>
    <row r="1820" spans="1:18" x14ac:dyDescent="0.3">
      <c r="A1820" t="s">
        <v>3644</v>
      </c>
      <c r="B1820" s="2">
        <v>45814</v>
      </c>
      <c r="C1820" t="s">
        <v>467</v>
      </c>
      <c r="D1820" t="s">
        <v>1600</v>
      </c>
      <c r="E1820" t="str">
        <f ca="1">TRIM(Sales_fact[[#This Row],[Store_ID]])</f>
        <v>STORE5</v>
      </c>
      <c r="F1820">
        <v>4</v>
      </c>
      <c r="G1820">
        <f>IF(ISBLANK(F1820),MODE($F$2:$F$2001),F1820)</f>
        <v>4</v>
      </c>
      <c r="H1820">
        <v>282.18</v>
      </c>
      <c r="I1820">
        <f>IF(ISBLANK(H1820),AVERAGE($H$2:$H$2001),H1820)</f>
        <v>282.18</v>
      </c>
      <c r="J1820">
        <v>0.13</v>
      </c>
      <c r="K1820">
        <f>IF(ISBLANK(J1820),MODE($J$2:$J$2001),J1820)</f>
        <v>0.13</v>
      </c>
      <c r="L1820" t="s">
        <v>1829</v>
      </c>
      <c r="M1820">
        <v>981.9864</v>
      </c>
      <c r="N1820">
        <f t="shared" si="28"/>
        <v>981.9864</v>
      </c>
      <c r="O1820" t="str">
        <f>_xlfn.XLOOKUP(Sales_fact[[#This Row],[Customer_ID]],'Customer_Dim'!A:A,'Customer_Dim'!K:K,"Not Found")</f>
        <v>Platinum</v>
      </c>
      <c r="P1820">
        <f>_xlfn.XLOOKUP(Sales_fact[[#This Row],[Customer_ID]],'Customer_Dim'!A:A, 'Customer_Dim'!E:E, "Not Found")</f>
        <v>55</v>
      </c>
      <c r="Q1820" t="str">
        <f>VLOOKUP(Sales_fact[[#This Row],[Customer_ID]], 'Customer_Dim'!A:F, 6, FALSE)</f>
        <v>Female</v>
      </c>
      <c r="R1820" s="13" t="str">
        <f>_xlfn.XLOOKUP(Sales_fact[[#This Row],[Product_ID]],Product_Dim!A:A,Product_Dim!C:C,"OTHERS")</f>
        <v>Electronics</v>
      </c>
    </row>
    <row r="1821" spans="1:18" x14ac:dyDescent="0.3">
      <c r="A1821" t="s">
        <v>3645</v>
      </c>
      <c r="B1821" s="2">
        <v>45323</v>
      </c>
      <c r="C1821" t="s">
        <v>571</v>
      </c>
      <c r="D1821" t="s">
        <v>1590</v>
      </c>
      <c r="E1821" t="str">
        <f ca="1">TRIM(Sales_fact[[#This Row],[Store_ID]])</f>
        <v>STORE1</v>
      </c>
      <c r="F1821">
        <v>1</v>
      </c>
      <c r="G1821">
        <f>IF(ISBLANK(F1821),MODE($F$2:$F$2001),F1821)</f>
        <v>1</v>
      </c>
      <c r="H1821">
        <v>486.39</v>
      </c>
      <c r="I1821">
        <f>IF(ISBLANK(H1821),AVERAGE($H$2:$H$2001),H1821)</f>
        <v>486.39</v>
      </c>
      <c r="J1821">
        <v>0.09</v>
      </c>
      <c r="K1821">
        <f>IF(ISBLANK(J1821),MODE($J$2:$J$2001),J1821)</f>
        <v>0.09</v>
      </c>
      <c r="L1821" t="s">
        <v>1829</v>
      </c>
      <c r="M1821">
        <v>442.61489999999998</v>
      </c>
      <c r="N1821">
        <f t="shared" si="28"/>
        <v>442.61489999999998</v>
      </c>
      <c r="O1821" t="str">
        <f>_xlfn.XLOOKUP(Sales_fact[[#This Row],[Customer_ID]],'Customer_Dim'!A:A,'Customer_Dim'!K:K,"Not Found")</f>
        <v>Bronze</v>
      </c>
      <c r="P1821">
        <f>_xlfn.XLOOKUP(Sales_fact[[#This Row],[Customer_ID]],'Customer_Dim'!A:A, 'Customer_Dim'!E:E, "Not Found")</f>
        <v>41</v>
      </c>
      <c r="Q1821" t="str">
        <f>VLOOKUP(Sales_fact[[#This Row],[Customer_ID]], 'Customer_Dim'!A:F, 6, FALSE)</f>
        <v>Female</v>
      </c>
      <c r="R1821" s="13" t="str">
        <f>_xlfn.XLOOKUP(Sales_fact[[#This Row],[Product_ID]],Product_Dim!A:A,Product_Dim!C:C,"OTHERS")</f>
        <v>Home</v>
      </c>
    </row>
    <row r="1822" spans="1:18" x14ac:dyDescent="0.3">
      <c r="A1822" t="s">
        <v>3646</v>
      </c>
      <c r="B1822" s="2">
        <v>45312</v>
      </c>
      <c r="C1822" t="s">
        <v>172</v>
      </c>
      <c r="D1822" t="s">
        <v>1584</v>
      </c>
      <c r="E1822" t="str">
        <f ca="1">TRIM(Sales_fact[[#This Row],[Store_ID]])</f>
        <v>STORE3</v>
      </c>
      <c r="F1822">
        <v>2</v>
      </c>
      <c r="G1822">
        <f>IF(ISBLANK(F1822),MODE($F$2:$F$2001),F1822)</f>
        <v>2</v>
      </c>
      <c r="H1822">
        <v>603.62</v>
      </c>
      <c r="I1822">
        <f>IF(ISBLANK(H1822),AVERAGE($H$2:$H$2001),H1822)</f>
        <v>603.62</v>
      </c>
      <c r="J1822">
        <v>0.18</v>
      </c>
      <c r="K1822">
        <f>IF(ISBLANK(J1822),MODE($J$2:$J$2001),J1822)</f>
        <v>0.18</v>
      </c>
      <c r="L1822" t="s">
        <v>1829</v>
      </c>
      <c r="M1822">
        <v>989.93680000000006</v>
      </c>
      <c r="N1822">
        <f t="shared" si="28"/>
        <v>989.93680000000006</v>
      </c>
      <c r="O1822" t="str">
        <f>_xlfn.XLOOKUP(Sales_fact[[#This Row],[Customer_ID]],'Customer_Dim'!A:A,'Customer_Dim'!K:K,"Not Found")</f>
        <v>Bronze</v>
      </c>
      <c r="P1822">
        <f>_xlfn.XLOOKUP(Sales_fact[[#This Row],[Customer_ID]],'Customer_Dim'!A:A, 'Customer_Dim'!E:E, "Not Found")</f>
        <v>34</v>
      </c>
      <c r="Q1822" t="str">
        <f>VLOOKUP(Sales_fact[[#This Row],[Customer_ID]], 'Customer_Dim'!A:F, 6, FALSE)</f>
        <v>Male</v>
      </c>
      <c r="R1822" s="13" t="str">
        <f>_xlfn.XLOOKUP(Sales_fact[[#This Row],[Product_ID]],Product_Dim!A:A,Product_Dim!C:C,"OTHERS")</f>
        <v>Clothing</v>
      </c>
    </row>
    <row r="1823" spans="1:18" x14ac:dyDescent="0.3">
      <c r="A1823" t="s">
        <v>3647</v>
      </c>
      <c r="B1823" s="2">
        <v>45554</v>
      </c>
      <c r="C1823" t="s">
        <v>496</v>
      </c>
      <c r="D1823" t="s">
        <v>1622</v>
      </c>
      <c r="E1823" t="str">
        <f ca="1">TRIM(Sales_fact[[#This Row],[Store_ID]])</f>
        <v>STORE8</v>
      </c>
      <c r="F1823">
        <v>3</v>
      </c>
      <c r="G1823">
        <f>IF(ISBLANK(F1823),MODE($F$2:$F$2001),F1823)</f>
        <v>3</v>
      </c>
      <c r="H1823">
        <v>204.17</v>
      </c>
      <c r="I1823">
        <f>IF(ISBLANK(H1823),AVERAGE($H$2:$H$2001),H1823)</f>
        <v>204.17</v>
      </c>
      <c r="J1823">
        <v>0.1</v>
      </c>
      <c r="K1823">
        <f>IF(ISBLANK(J1823),MODE($J$2:$J$2001),J1823)</f>
        <v>0.1</v>
      </c>
      <c r="L1823" t="s">
        <v>1826</v>
      </c>
      <c r="M1823">
        <v>551.25900000000001</v>
      </c>
      <c r="N1823">
        <f t="shared" si="28"/>
        <v>551.25900000000001</v>
      </c>
      <c r="O1823" t="str">
        <f>_xlfn.XLOOKUP(Sales_fact[[#This Row],[Customer_ID]],'Customer_Dim'!A:A,'Customer_Dim'!K:K,"Not Found")</f>
        <v>Platinum</v>
      </c>
      <c r="P1823">
        <f>_xlfn.XLOOKUP(Sales_fact[[#This Row],[Customer_ID]],'Customer_Dim'!A:A, 'Customer_Dim'!E:E, "Not Found")</f>
        <v>49</v>
      </c>
      <c r="Q1823" t="str">
        <f>VLOOKUP(Sales_fact[[#This Row],[Customer_ID]], 'Customer_Dim'!A:F, 6, FALSE)</f>
        <v>Female</v>
      </c>
      <c r="R1823" s="13" t="str">
        <f>_xlfn.XLOOKUP(Sales_fact[[#This Row],[Product_ID]],Product_Dim!A:A,Product_Dim!C:C,"OTHERS")</f>
        <v>Clothing</v>
      </c>
    </row>
    <row r="1824" spans="1:18" x14ac:dyDescent="0.3">
      <c r="A1824" t="s">
        <v>3648</v>
      </c>
      <c r="B1824" s="2">
        <v>45310</v>
      </c>
      <c r="C1824" t="s">
        <v>467</v>
      </c>
      <c r="D1824" t="s">
        <v>1562</v>
      </c>
      <c r="E1824" t="str">
        <f ca="1">TRIM(Sales_fact[[#This Row],[Store_ID]])</f>
        <v>STORE15</v>
      </c>
      <c r="F1824">
        <v>1</v>
      </c>
      <c r="G1824">
        <f>IF(ISBLANK(F1824),MODE($F$2:$F$2001),F1824)</f>
        <v>1</v>
      </c>
      <c r="H1824">
        <v>43.58</v>
      </c>
      <c r="I1824">
        <f>IF(ISBLANK(H1824),AVERAGE($H$2:$H$2001),H1824)</f>
        <v>43.58</v>
      </c>
      <c r="J1824">
        <v>0.01</v>
      </c>
      <c r="K1824">
        <f>IF(ISBLANK(J1824),MODE($J$2:$J$2001),J1824)</f>
        <v>0.01</v>
      </c>
      <c r="L1824" t="s">
        <v>1829</v>
      </c>
      <c r="M1824">
        <v>43.144199999999998</v>
      </c>
      <c r="N1824">
        <f t="shared" si="28"/>
        <v>43.144199999999998</v>
      </c>
      <c r="O1824" t="str">
        <f>_xlfn.XLOOKUP(Sales_fact[[#This Row],[Customer_ID]],'Customer_Dim'!A:A,'Customer_Dim'!K:K,"Not Found")</f>
        <v>Platinum</v>
      </c>
      <c r="P1824">
        <f>_xlfn.XLOOKUP(Sales_fact[[#This Row],[Customer_ID]],'Customer_Dim'!A:A, 'Customer_Dim'!E:E, "Not Found")</f>
        <v>55</v>
      </c>
      <c r="Q1824" t="str">
        <f>VLOOKUP(Sales_fact[[#This Row],[Customer_ID]], 'Customer_Dim'!A:F, 6, FALSE)</f>
        <v>Female</v>
      </c>
      <c r="R1824" s="13" t="str">
        <f>_xlfn.XLOOKUP(Sales_fact[[#This Row],[Product_ID]],Product_Dim!A:A,Product_Dim!C:C,"OTHERS")</f>
        <v>Electronics</v>
      </c>
    </row>
    <row r="1825" spans="1:18" x14ac:dyDescent="0.3">
      <c r="A1825" t="s">
        <v>3649</v>
      </c>
      <c r="B1825" s="2">
        <v>45594</v>
      </c>
      <c r="C1825" t="s">
        <v>1044</v>
      </c>
      <c r="D1825" t="s">
        <v>1642</v>
      </c>
      <c r="E1825" t="str">
        <f ca="1">TRIM(Sales_fact[[#This Row],[Store_ID]])</f>
        <v>STORE2</v>
      </c>
      <c r="F1825">
        <v>3</v>
      </c>
      <c r="G1825">
        <f>IF(ISBLANK(F1825),MODE($F$2:$F$2001),F1825)</f>
        <v>3</v>
      </c>
      <c r="H1825">
        <v>469.33</v>
      </c>
      <c r="I1825">
        <f>IF(ISBLANK(H1825),AVERAGE($H$2:$H$2001),H1825)</f>
        <v>469.33</v>
      </c>
      <c r="J1825">
        <v>0.14000000000000001</v>
      </c>
      <c r="K1825">
        <f>IF(ISBLANK(J1825),MODE($J$2:$J$2001),J1825)</f>
        <v>0.14000000000000001</v>
      </c>
      <c r="L1825" t="s">
        <v>1826</v>
      </c>
      <c r="M1825">
        <v>1210.8714</v>
      </c>
      <c r="N1825">
        <f t="shared" si="28"/>
        <v>1210.8714</v>
      </c>
      <c r="O1825" t="str">
        <f>_xlfn.XLOOKUP(Sales_fact[[#This Row],[Customer_ID]],'Customer_Dim'!A:A,'Customer_Dim'!K:K,"Not Found")</f>
        <v>Bronze</v>
      </c>
      <c r="P1825">
        <f>_xlfn.XLOOKUP(Sales_fact[[#This Row],[Customer_ID]],'Customer_Dim'!A:A, 'Customer_Dim'!E:E, "Not Found")</f>
        <v>34</v>
      </c>
      <c r="Q1825" t="str">
        <f>VLOOKUP(Sales_fact[[#This Row],[Customer_ID]], 'Customer_Dim'!A:F, 6, FALSE)</f>
        <v>Female</v>
      </c>
      <c r="R1825" s="13" t="str">
        <f>_xlfn.XLOOKUP(Sales_fact[[#This Row],[Product_ID]],Product_Dim!A:A,Product_Dim!C:C,"OTHERS")</f>
        <v>Beauty</v>
      </c>
    </row>
    <row r="1826" spans="1:18" x14ac:dyDescent="0.3">
      <c r="A1826" t="s">
        <v>3650</v>
      </c>
      <c r="B1826" s="2">
        <v>45840</v>
      </c>
      <c r="C1826" t="s">
        <v>681</v>
      </c>
      <c r="D1826" t="s">
        <v>1562</v>
      </c>
      <c r="E1826" t="str">
        <f ca="1">TRIM(Sales_fact[[#This Row],[Store_ID]])</f>
        <v>STORE8</v>
      </c>
      <c r="F1826">
        <v>4</v>
      </c>
      <c r="G1826">
        <f>IF(ISBLANK(F1826),MODE($F$2:$F$2001),F1826)</f>
        <v>4</v>
      </c>
      <c r="H1826">
        <v>836.23</v>
      </c>
      <c r="I1826">
        <f>IF(ISBLANK(H1826),AVERAGE($H$2:$H$2001),H1826)</f>
        <v>836.23</v>
      </c>
      <c r="J1826">
        <v>0.12</v>
      </c>
      <c r="K1826">
        <f>IF(ISBLANK(J1826),MODE($J$2:$J$2001),J1826)</f>
        <v>0.12</v>
      </c>
      <c r="L1826" t="s">
        <v>1824</v>
      </c>
      <c r="M1826">
        <v>2943.5295999999998</v>
      </c>
      <c r="N1826">
        <f t="shared" si="28"/>
        <v>2943.5296000000003</v>
      </c>
      <c r="O1826" t="str">
        <f>_xlfn.XLOOKUP(Sales_fact[[#This Row],[Customer_ID]],'Customer_Dim'!A:A,'Customer_Dim'!K:K,"Not Found")</f>
        <v>Platinum</v>
      </c>
      <c r="P1826">
        <f>_xlfn.XLOOKUP(Sales_fact[[#This Row],[Customer_ID]],'Customer_Dim'!A:A, 'Customer_Dim'!E:E, "Not Found")</f>
        <v>50</v>
      </c>
      <c r="Q1826" t="str">
        <f>VLOOKUP(Sales_fact[[#This Row],[Customer_ID]], 'Customer_Dim'!A:F, 6, FALSE)</f>
        <v>Female</v>
      </c>
      <c r="R1826" s="13" t="str">
        <f>_xlfn.XLOOKUP(Sales_fact[[#This Row],[Product_ID]],Product_Dim!A:A,Product_Dim!C:C,"OTHERS")</f>
        <v>Electronics</v>
      </c>
    </row>
    <row r="1827" spans="1:18" x14ac:dyDescent="0.3">
      <c r="A1827" t="s">
        <v>3651</v>
      </c>
      <c r="B1827" s="2">
        <v>45549</v>
      </c>
      <c r="C1827" t="s">
        <v>589</v>
      </c>
      <c r="D1827" t="s">
        <v>1682</v>
      </c>
      <c r="E1827" t="str">
        <f ca="1">TRIM(Sales_fact[[#This Row],[Store_ID]])</f>
        <v>STORE19</v>
      </c>
      <c r="F1827">
        <v>2</v>
      </c>
      <c r="G1827">
        <f>IF(ISBLANK(F1827),MODE($F$2:$F$2001),F1827)</f>
        <v>2</v>
      </c>
      <c r="H1827">
        <v>661.53</v>
      </c>
      <c r="I1827">
        <f>IF(ISBLANK(H1827),AVERAGE($H$2:$H$2001),H1827)</f>
        <v>661.53</v>
      </c>
      <c r="J1827">
        <v>0.2</v>
      </c>
      <c r="K1827">
        <f>IF(ISBLANK(J1827),MODE($J$2:$J$2001),J1827)</f>
        <v>0.2</v>
      </c>
      <c r="L1827" t="s">
        <v>1826</v>
      </c>
      <c r="M1827">
        <v>1058.4480000000001</v>
      </c>
      <c r="N1827">
        <f t="shared" si="28"/>
        <v>1058.4480000000001</v>
      </c>
      <c r="O1827" t="str">
        <f>_xlfn.XLOOKUP(Sales_fact[[#This Row],[Customer_ID]],'Customer_Dim'!A:A,'Customer_Dim'!K:K,"Not Found")</f>
        <v>Bronze</v>
      </c>
      <c r="P1827">
        <f>_xlfn.XLOOKUP(Sales_fact[[#This Row],[Customer_ID]],'Customer_Dim'!A:A, 'Customer_Dim'!E:E, "Not Found")</f>
        <v>33</v>
      </c>
      <c r="Q1827" t="str">
        <f>VLOOKUP(Sales_fact[[#This Row],[Customer_ID]], 'Customer_Dim'!A:F, 6, FALSE)</f>
        <v>Female</v>
      </c>
      <c r="R1827" s="13" t="str">
        <f>_xlfn.XLOOKUP(Sales_fact[[#This Row],[Product_ID]],Product_Dim!A:A,Product_Dim!C:C,"OTHERS")</f>
        <v>Electronics</v>
      </c>
    </row>
    <row r="1828" spans="1:18" x14ac:dyDescent="0.3">
      <c r="A1828" t="s">
        <v>3652</v>
      </c>
      <c r="B1828" s="2">
        <v>45903</v>
      </c>
      <c r="C1828" t="s">
        <v>411</v>
      </c>
      <c r="D1828" t="s">
        <v>1660</v>
      </c>
      <c r="E1828" t="str">
        <f ca="1">TRIM(Sales_fact[[#This Row],[Store_ID]])</f>
        <v>STORE16</v>
      </c>
      <c r="F1828">
        <v>3</v>
      </c>
      <c r="G1828">
        <f>IF(ISBLANK(F1828),MODE($F$2:$F$2001),F1828)</f>
        <v>3</v>
      </c>
      <c r="H1828">
        <v>753.47</v>
      </c>
      <c r="I1828">
        <f>IF(ISBLANK(H1828),AVERAGE($H$2:$H$2001),H1828)</f>
        <v>753.47</v>
      </c>
      <c r="J1828">
        <v>0.25</v>
      </c>
      <c r="K1828">
        <f>IF(ISBLANK(J1828),MODE($J$2:$J$2001),J1828)</f>
        <v>0.25</v>
      </c>
      <c r="L1828" t="s">
        <v>1826</v>
      </c>
      <c r="M1828">
        <v>1695.3074999999999</v>
      </c>
      <c r="N1828">
        <f t="shared" si="28"/>
        <v>1695.3074999999999</v>
      </c>
      <c r="O1828" t="str">
        <f>_xlfn.XLOOKUP(Sales_fact[[#This Row],[Customer_ID]],'Customer_Dim'!A:A,'Customer_Dim'!K:K,"Not Found")</f>
        <v>Platinum</v>
      </c>
      <c r="P1828">
        <f>_xlfn.XLOOKUP(Sales_fact[[#This Row],[Customer_ID]],'Customer_Dim'!A:A, 'Customer_Dim'!E:E, "Not Found")</f>
        <v>36</v>
      </c>
      <c r="Q1828" t="str">
        <f>VLOOKUP(Sales_fact[[#This Row],[Customer_ID]], 'Customer_Dim'!A:F, 6, FALSE)</f>
        <v>Male</v>
      </c>
      <c r="R1828" s="13" t="str">
        <f>_xlfn.XLOOKUP(Sales_fact[[#This Row],[Product_ID]],Product_Dim!A:A,Product_Dim!C:C,"OTHERS")</f>
        <v>Home</v>
      </c>
    </row>
    <row r="1829" spans="1:18" x14ac:dyDescent="0.3">
      <c r="A1829" t="s">
        <v>3653</v>
      </c>
      <c r="B1829" s="2">
        <v>45673</v>
      </c>
      <c r="C1829" t="s">
        <v>523</v>
      </c>
      <c r="D1829" t="s">
        <v>1676</v>
      </c>
      <c r="E1829" t="str">
        <f ca="1">TRIM(Sales_fact[[#This Row],[Store_ID]])</f>
        <v>STORE0</v>
      </c>
      <c r="F1829">
        <v>3</v>
      </c>
      <c r="G1829">
        <f>IF(ISBLANK(F1829),MODE($F$2:$F$2001),F1829)</f>
        <v>3</v>
      </c>
      <c r="H1829">
        <v>713.95</v>
      </c>
      <c r="I1829">
        <f>IF(ISBLANK(H1829),AVERAGE($H$2:$H$2001),H1829)</f>
        <v>713.95</v>
      </c>
      <c r="J1829">
        <v>0</v>
      </c>
      <c r="K1829">
        <f>IF(ISBLANK(J1829),MODE($J$2:$J$2001),J1829)</f>
        <v>0</v>
      </c>
      <c r="L1829" t="s">
        <v>1824</v>
      </c>
      <c r="M1829">
        <v>2141.85</v>
      </c>
      <c r="N1829">
        <f t="shared" si="28"/>
        <v>2141.8500000000004</v>
      </c>
      <c r="O1829" t="str">
        <f>_xlfn.XLOOKUP(Sales_fact[[#This Row],[Customer_ID]],'Customer_Dim'!A:A,'Customer_Dim'!K:K,"Not Found")</f>
        <v>Bronze</v>
      </c>
      <c r="P1829">
        <f>_xlfn.XLOOKUP(Sales_fact[[#This Row],[Customer_ID]],'Customer_Dim'!A:A, 'Customer_Dim'!E:E, "Not Found")</f>
        <v>46</v>
      </c>
      <c r="Q1829" t="str">
        <f>VLOOKUP(Sales_fact[[#This Row],[Customer_ID]], 'Customer_Dim'!A:F, 6, FALSE)</f>
        <v>Male</v>
      </c>
      <c r="R1829" s="13" t="str">
        <f>_xlfn.XLOOKUP(Sales_fact[[#This Row],[Product_ID]],Product_Dim!A:A,Product_Dim!C:C,"OTHERS")</f>
        <v>Beauty</v>
      </c>
    </row>
    <row r="1830" spans="1:18" x14ac:dyDescent="0.3">
      <c r="A1830" t="s">
        <v>3654</v>
      </c>
      <c r="B1830" s="2">
        <v>45395</v>
      </c>
      <c r="C1830" t="s">
        <v>353</v>
      </c>
      <c r="D1830" t="s">
        <v>1570</v>
      </c>
      <c r="E1830" t="str">
        <f ca="1">TRIM(Sales_fact[[#This Row],[Store_ID]])</f>
        <v>STORE5</v>
      </c>
      <c r="F1830">
        <v>3</v>
      </c>
      <c r="G1830">
        <f>IF(ISBLANK(F1830),MODE($F$2:$F$2001),F1830)</f>
        <v>3</v>
      </c>
      <c r="H1830">
        <v>596</v>
      </c>
      <c r="I1830">
        <f>IF(ISBLANK(H1830),AVERAGE($H$2:$H$2001),H1830)</f>
        <v>596</v>
      </c>
      <c r="J1830">
        <v>0.28000000000000003</v>
      </c>
      <c r="K1830">
        <f>IF(ISBLANK(J1830),MODE($J$2:$J$2001),J1830)</f>
        <v>0.28000000000000003</v>
      </c>
      <c r="L1830" t="s">
        <v>1829</v>
      </c>
      <c r="M1830">
        <v>1287.3599999999999</v>
      </c>
      <c r="N1830">
        <f t="shared" si="28"/>
        <v>1287.3599999999999</v>
      </c>
      <c r="O1830" t="str">
        <f>_xlfn.XLOOKUP(Sales_fact[[#This Row],[Customer_ID]],'Customer_Dim'!A:A,'Customer_Dim'!K:K,"Not Found")</f>
        <v>Silver</v>
      </c>
      <c r="P1830">
        <f>_xlfn.XLOOKUP(Sales_fact[[#This Row],[Customer_ID]],'Customer_Dim'!A:A, 'Customer_Dim'!E:E, "Not Found")</f>
        <v>35</v>
      </c>
      <c r="Q1830" t="str">
        <f>VLOOKUP(Sales_fact[[#This Row],[Customer_ID]], 'Customer_Dim'!A:F, 6, FALSE)</f>
        <v>Male</v>
      </c>
      <c r="R1830" s="13" t="str">
        <f>_xlfn.XLOOKUP(Sales_fact[[#This Row],[Product_ID]],Product_Dim!A:A,Product_Dim!C:C,"OTHERS")</f>
        <v>Electronics</v>
      </c>
    </row>
    <row r="1831" spans="1:18" x14ac:dyDescent="0.3">
      <c r="A1831" t="s">
        <v>3655</v>
      </c>
      <c r="B1831" s="2">
        <v>45379</v>
      </c>
      <c r="C1831" t="s">
        <v>1050</v>
      </c>
      <c r="D1831" t="s">
        <v>1565</v>
      </c>
      <c r="E1831" t="str">
        <f ca="1">TRIM(Sales_fact[[#This Row],[Store_ID]])</f>
        <v>STORE9</v>
      </c>
      <c r="F1831">
        <v>2</v>
      </c>
      <c r="G1831">
        <f>IF(ISBLANK(F1831),MODE($F$2:$F$2001),F1831)</f>
        <v>2</v>
      </c>
      <c r="H1831">
        <v>169.46</v>
      </c>
      <c r="I1831">
        <f>IF(ISBLANK(H1831),AVERAGE($H$2:$H$2001),H1831)</f>
        <v>169.46</v>
      </c>
      <c r="J1831">
        <v>0.03</v>
      </c>
      <c r="K1831">
        <f>IF(ISBLANK(J1831),MODE($J$2:$J$2001),J1831)</f>
        <v>0.03</v>
      </c>
      <c r="L1831" t="s">
        <v>1826</v>
      </c>
      <c r="M1831">
        <v>328.75240000000002</v>
      </c>
      <c r="N1831">
        <f t="shared" si="28"/>
        <v>328.75240000000002</v>
      </c>
      <c r="O1831" t="str">
        <f>_xlfn.XLOOKUP(Sales_fact[[#This Row],[Customer_ID]],'Customer_Dim'!A:A,'Customer_Dim'!K:K,"Not Found")</f>
        <v>Silver</v>
      </c>
      <c r="P1831">
        <f>_xlfn.XLOOKUP(Sales_fact[[#This Row],[Customer_ID]],'Customer_Dim'!A:A, 'Customer_Dim'!E:E, "Not Found")</f>
        <v>50</v>
      </c>
      <c r="Q1831" t="str">
        <f>VLOOKUP(Sales_fact[[#This Row],[Customer_ID]], 'Customer_Dim'!A:F, 6, FALSE)</f>
        <v>Female</v>
      </c>
      <c r="R1831" s="13" t="str">
        <f>_xlfn.XLOOKUP(Sales_fact[[#This Row],[Product_ID]],Product_Dim!A:A,Product_Dim!C:C,"OTHERS")</f>
        <v>Sports</v>
      </c>
    </row>
    <row r="1832" spans="1:18" x14ac:dyDescent="0.3">
      <c r="A1832" t="s">
        <v>3656</v>
      </c>
      <c r="B1832" s="2">
        <v>45860</v>
      </c>
      <c r="C1832" t="s">
        <v>948</v>
      </c>
      <c r="D1832" t="s">
        <v>1678</v>
      </c>
      <c r="E1832" t="str">
        <f ca="1">TRIM(Sales_fact[[#This Row],[Store_ID]])</f>
        <v>STORE14</v>
      </c>
      <c r="F1832">
        <v>4</v>
      </c>
      <c r="G1832">
        <f>IF(ISBLANK(F1832),MODE($F$2:$F$2001),F1832)</f>
        <v>4</v>
      </c>
      <c r="H1832">
        <v>611.91999999999996</v>
      </c>
      <c r="I1832">
        <f>IF(ISBLANK(H1832),AVERAGE($H$2:$H$2001),H1832)</f>
        <v>611.91999999999996</v>
      </c>
      <c r="J1832">
        <v>0.2</v>
      </c>
      <c r="K1832">
        <f>IF(ISBLANK(J1832),MODE($J$2:$J$2001),J1832)</f>
        <v>0.2</v>
      </c>
      <c r="L1832" t="s">
        <v>1826</v>
      </c>
      <c r="M1832">
        <v>1958.144</v>
      </c>
      <c r="N1832">
        <f t="shared" si="28"/>
        <v>1958.144</v>
      </c>
      <c r="O1832" t="str">
        <f>_xlfn.XLOOKUP(Sales_fact[[#This Row],[Customer_ID]],'Customer_Dim'!A:A,'Customer_Dim'!K:K,"Not Found")</f>
        <v>Silver</v>
      </c>
      <c r="P1832">
        <f>_xlfn.XLOOKUP(Sales_fact[[#This Row],[Customer_ID]],'Customer_Dim'!A:A, 'Customer_Dim'!E:E, "Not Found")</f>
        <v>29</v>
      </c>
      <c r="Q1832" t="str">
        <f>VLOOKUP(Sales_fact[[#This Row],[Customer_ID]], 'Customer_Dim'!A:F, 6, FALSE)</f>
        <v>Male</v>
      </c>
      <c r="R1832" s="13" t="str">
        <f>_xlfn.XLOOKUP(Sales_fact[[#This Row],[Product_ID]],Product_Dim!A:A,Product_Dim!C:C,"OTHERS")</f>
        <v>Sports</v>
      </c>
    </row>
    <row r="1833" spans="1:18" x14ac:dyDescent="0.3">
      <c r="A1833" t="s">
        <v>3657</v>
      </c>
      <c r="B1833" s="2">
        <v>45704</v>
      </c>
      <c r="C1833" t="s">
        <v>23</v>
      </c>
      <c r="D1833" t="s">
        <v>1696</v>
      </c>
      <c r="E1833" t="str">
        <f ca="1">TRIM(Sales_fact[[#This Row],[Store_ID]])</f>
        <v>STORE15</v>
      </c>
      <c r="F1833">
        <v>2</v>
      </c>
      <c r="G1833">
        <f>IF(ISBLANK(F1833),MODE($F$2:$F$2001),F1833)</f>
        <v>2</v>
      </c>
      <c r="H1833">
        <v>25.3</v>
      </c>
      <c r="I1833">
        <f>IF(ISBLANK(H1833),AVERAGE($H$2:$H$2001),H1833)</f>
        <v>25.3</v>
      </c>
      <c r="J1833">
        <v>0.21</v>
      </c>
      <c r="K1833">
        <f>IF(ISBLANK(J1833),MODE($J$2:$J$2001),J1833)</f>
        <v>0.21</v>
      </c>
      <c r="L1833" t="s">
        <v>1824</v>
      </c>
      <c r="M1833">
        <v>39.973999999999997</v>
      </c>
      <c r="N1833">
        <f t="shared" si="28"/>
        <v>39.974000000000004</v>
      </c>
      <c r="O1833" t="str">
        <f>_xlfn.XLOOKUP(Sales_fact[[#This Row],[Customer_ID]],'Customer_Dim'!A:A,'Customer_Dim'!K:K,"Not Found")</f>
        <v>Bronze</v>
      </c>
      <c r="P1833">
        <f>_xlfn.XLOOKUP(Sales_fact[[#This Row],[Customer_ID]],'Customer_Dim'!A:A, 'Customer_Dim'!E:E, "Not Found")</f>
        <v>59</v>
      </c>
      <c r="Q1833" t="str">
        <f>VLOOKUP(Sales_fact[[#This Row],[Customer_ID]], 'Customer_Dim'!A:F, 6, FALSE)</f>
        <v>Female</v>
      </c>
      <c r="R1833" s="13" t="str">
        <f>_xlfn.XLOOKUP(Sales_fact[[#This Row],[Product_ID]],Product_Dim!A:A,Product_Dim!C:C,"OTHERS")</f>
        <v>Electronics</v>
      </c>
    </row>
    <row r="1834" spans="1:18" x14ac:dyDescent="0.3">
      <c r="A1834" t="s">
        <v>3658</v>
      </c>
      <c r="B1834" s="2">
        <v>45327</v>
      </c>
      <c r="C1834" t="s">
        <v>1343</v>
      </c>
      <c r="D1834" t="s">
        <v>1694</v>
      </c>
      <c r="E1834" t="str">
        <f ca="1">TRIM(Sales_fact[[#This Row],[Store_ID]])</f>
        <v>STORE10</v>
      </c>
      <c r="F1834">
        <v>4</v>
      </c>
      <c r="G1834">
        <f>IF(ISBLANK(F1834),MODE($F$2:$F$2001),F1834)</f>
        <v>4</v>
      </c>
      <c r="H1834">
        <v>166.93</v>
      </c>
      <c r="I1834">
        <f>IF(ISBLANK(H1834),AVERAGE($H$2:$H$2001),H1834)</f>
        <v>166.93</v>
      </c>
      <c r="J1834">
        <v>0.02</v>
      </c>
      <c r="K1834">
        <f>IF(ISBLANK(J1834),MODE($J$2:$J$2001),J1834)</f>
        <v>0.02</v>
      </c>
      <c r="L1834" t="s">
        <v>1826</v>
      </c>
      <c r="M1834">
        <v>654.36559999999997</v>
      </c>
      <c r="N1834">
        <f t="shared" si="28"/>
        <v>654.36559999999997</v>
      </c>
      <c r="O1834" t="str">
        <f>_xlfn.XLOOKUP(Sales_fact[[#This Row],[Customer_ID]],'Customer_Dim'!A:A,'Customer_Dim'!K:K,"Not Found")</f>
        <v>Silver</v>
      </c>
      <c r="P1834">
        <f>_xlfn.XLOOKUP(Sales_fact[[#This Row],[Customer_ID]],'Customer_Dim'!A:A, 'Customer_Dim'!E:E, "Not Found")</f>
        <v>51</v>
      </c>
      <c r="Q1834" t="str">
        <f>VLOOKUP(Sales_fact[[#This Row],[Customer_ID]], 'Customer_Dim'!A:F, 6, FALSE)</f>
        <v>Female</v>
      </c>
      <c r="R1834" s="13" t="str">
        <f>_xlfn.XLOOKUP(Sales_fact[[#This Row],[Product_ID]],Product_Dim!A:A,Product_Dim!C:C,"OTHERS")</f>
        <v>Sports</v>
      </c>
    </row>
    <row r="1835" spans="1:18" x14ac:dyDescent="0.3">
      <c r="A1835" t="s">
        <v>3659</v>
      </c>
      <c r="B1835" s="2">
        <v>45721</v>
      </c>
      <c r="C1835" t="s">
        <v>890</v>
      </c>
      <c r="D1835" t="s">
        <v>1668</v>
      </c>
      <c r="E1835" t="str">
        <f ca="1">TRIM(Sales_fact[[#This Row],[Store_ID]])</f>
        <v>STORE11</v>
      </c>
      <c r="F1835">
        <v>4</v>
      </c>
      <c r="G1835">
        <f>IF(ISBLANK(F1835),MODE($F$2:$F$2001),F1835)</f>
        <v>4</v>
      </c>
      <c r="H1835">
        <v>861.55</v>
      </c>
      <c r="I1835">
        <f>IF(ISBLANK(H1835),AVERAGE($H$2:$H$2001),H1835)</f>
        <v>861.55</v>
      </c>
      <c r="J1835">
        <v>0.12</v>
      </c>
      <c r="K1835">
        <f>IF(ISBLANK(J1835),MODE($J$2:$J$2001),J1835)</f>
        <v>0.12</v>
      </c>
      <c r="L1835" t="s">
        <v>1824</v>
      </c>
      <c r="M1835">
        <v>3032.6559999999999</v>
      </c>
      <c r="N1835">
        <f t="shared" si="28"/>
        <v>3032.6559999999999</v>
      </c>
      <c r="O1835" t="str">
        <f>_xlfn.XLOOKUP(Sales_fact[[#This Row],[Customer_ID]],'Customer_Dim'!A:A,'Customer_Dim'!K:K,"Not Found")</f>
        <v>Bronze</v>
      </c>
      <c r="P1835">
        <f>_xlfn.XLOOKUP(Sales_fact[[#This Row],[Customer_ID]],'Customer_Dim'!A:A, 'Customer_Dim'!E:E, "Not Found")</f>
        <v>48</v>
      </c>
      <c r="Q1835" t="str">
        <f>VLOOKUP(Sales_fact[[#This Row],[Customer_ID]], 'Customer_Dim'!A:F, 6, FALSE)</f>
        <v>Male</v>
      </c>
      <c r="R1835" s="13" t="str">
        <f>_xlfn.XLOOKUP(Sales_fact[[#This Row],[Product_ID]],Product_Dim!A:A,Product_Dim!C:C,"OTHERS")</f>
        <v>Beauty</v>
      </c>
    </row>
    <row r="1836" spans="1:18" x14ac:dyDescent="0.3">
      <c r="A1836" t="s">
        <v>3660</v>
      </c>
      <c r="B1836" s="2">
        <v>45842</v>
      </c>
      <c r="C1836" t="s">
        <v>1127</v>
      </c>
      <c r="D1836" t="s">
        <v>1634</v>
      </c>
      <c r="E1836" t="str">
        <f ca="1">TRIM(Sales_fact[[#This Row],[Store_ID]])</f>
        <v>STORE5</v>
      </c>
      <c r="F1836">
        <v>3</v>
      </c>
      <c r="G1836">
        <f>IF(ISBLANK(F1836),MODE($F$2:$F$2001),F1836)</f>
        <v>3</v>
      </c>
      <c r="H1836">
        <v>56.17</v>
      </c>
      <c r="I1836">
        <f>IF(ISBLANK(H1836),AVERAGE($H$2:$H$2001),H1836)</f>
        <v>56.17</v>
      </c>
      <c r="J1836">
        <v>0.01</v>
      </c>
      <c r="K1836">
        <f>IF(ISBLANK(J1836),MODE($J$2:$J$2001),J1836)</f>
        <v>0.01</v>
      </c>
      <c r="L1836" t="s">
        <v>1829</v>
      </c>
      <c r="M1836">
        <v>166.82490000000001</v>
      </c>
      <c r="N1836">
        <f t="shared" si="28"/>
        <v>166.82489999999999</v>
      </c>
      <c r="O1836" t="str">
        <f>_xlfn.XLOOKUP(Sales_fact[[#This Row],[Customer_ID]],'Customer_Dim'!A:A,'Customer_Dim'!K:K,"Not Found")</f>
        <v>Platinum</v>
      </c>
      <c r="P1836">
        <f>_xlfn.XLOOKUP(Sales_fact[[#This Row],[Customer_ID]],'Customer_Dim'!A:A, 'Customer_Dim'!E:E, "Not Found")</f>
        <v>34</v>
      </c>
      <c r="Q1836" t="str">
        <f>VLOOKUP(Sales_fact[[#This Row],[Customer_ID]], 'Customer_Dim'!A:F, 6, FALSE)</f>
        <v>Male</v>
      </c>
      <c r="R1836" s="13" t="str">
        <f>_xlfn.XLOOKUP(Sales_fact[[#This Row],[Product_ID]],Product_Dim!A:A,Product_Dim!C:C,"OTHERS")</f>
        <v>Electronics</v>
      </c>
    </row>
    <row r="1837" spans="1:18" x14ac:dyDescent="0.3">
      <c r="A1837" t="s">
        <v>3661</v>
      </c>
      <c r="B1837" s="2">
        <v>45862</v>
      </c>
      <c r="C1837" t="s">
        <v>849</v>
      </c>
      <c r="D1837" t="s">
        <v>1578</v>
      </c>
      <c r="E1837" t="str">
        <f ca="1">TRIM(Sales_fact[[#This Row],[Store_ID]])</f>
        <v>STORE19</v>
      </c>
      <c r="F1837">
        <v>1</v>
      </c>
      <c r="G1837">
        <f>IF(ISBLANK(F1837),MODE($F$2:$F$2001),F1837)</f>
        <v>1</v>
      </c>
      <c r="H1837">
        <v>582.29</v>
      </c>
      <c r="I1837">
        <f>IF(ISBLANK(H1837),AVERAGE($H$2:$H$2001),H1837)</f>
        <v>582.29</v>
      </c>
      <c r="J1837">
        <v>0.2</v>
      </c>
      <c r="K1837">
        <f>IF(ISBLANK(J1837),MODE($J$2:$J$2001),J1837)</f>
        <v>0.2</v>
      </c>
      <c r="L1837" t="s">
        <v>1824</v>
      </c>
      <c r="M1837">
        <v>465.83199999999999</v>
      </c>
      <c r="N1837">
        <f t="shared" si="28"/>
        <v>465.83199999999999</v>
      </c>
      <c r="O1837" t="str">
        <f>_xlfn.XLOOKUP(Sales_fact[[#This Row],[Customer_ID]],'Customer_Dim'!A:A,'Customer_Dim'!K:K,"Not Found")</f>
        <v>Bronze</v>
      </c>
      <c r="P1837">
        <f>_xlfn.XLOOKUP(Sales_fact[[#This Row],[Customer_ID]],'Customer_Dim'!A:A, 'Customer_Dim'!E:E, "Not Found")</f>
        <v>32</v>
      </c>
      <c r="Q1837" t="str">
        <f>VLOOKUP(Sales_fact[[#This Row],[Customer_ID]], 'Customer_Dim'!A:F, 6, FALSE)</f>
        <v>Female</v>
      </c>
      <c r="R1837" s="13" t="str">
        <f>_xlfn.XLOOKUP(Sales_fact[[#This Row],[Product_ID]],Product_Dim!A:A,Product_Dim!C:C,"OTHERS")</f>
        <v>Electronics</v>
      </c>
    </row>
    <row r="1838" spans="1:18" x14ac:dyDescent="0.3">
      <c r="A1838" t="s">
        <v>3662</v>
      </c>
      <c r="B1838" s="2">
        <v>45681</v>
      </c>
      <c r="C1838" t="s">
        <v>833</v>
      </c>
      <c r="D1838" t="s">
        <v>1714</v>
      </c>
      <c r="E1838" t="str">
        <f ca="1">TRIM(Sales_fact[[#This Row],[Store_ID]])</f>
        <v>STORE0</v>
      </c>
      <c r="F1838">
        <v>3</v>
      </c>
      <c r="G1838">
        <f>IF(ISBLANK(F1838),MODE($F$2:$F$2001),F1838)</f>
        <v>3</v>
      </c>
      <c r="H1838">
        <v>63.96</v>
      </c>
      <c r="I1838">
        <f>IF(ISBLANK(H1838),AVERAGE($H$2:$H$2001),H1838)</f>
        <v>63.96</v>
      </c>
      <c r="J1838">
        <v>0.02</v>
      </c>
      <c r="K1838">
        <f>IF(ISBLANK(J1838),MODE($J$2:$J$2001),J1838)</f>
        <v>0.02</v>
      </c>
      <c r="L1838" t="s">
        <v>1824</v>
      </c>
      <c r="M1838">
        <v>188.04239999999999</v>
      </c>
      <c r="N1838">
        <f t="shared" si="28"/>
        <v>188.04239999999999</v>
      </c>
      <c r="O1838" t="str">
        <f>_xlfn.XLOOKUP(Sales_fact[[#This Row],[Customer_ID]],'Customer_Dim'!A:A,'Customer_Dim'!K:K,"Not Found")</f>
        <v>Silver</v>
      </c>
      <c r="P1838">
        <f>_xlfn.XLOOKUP(Sales_fact[[#This Row],[Customer_ID]],'Customer_Dim'!A:A, 'Customer_Dim'!E:E, "Not Found")</f>
        <v>27</v>
      </c>
      <c r="Q1838" t="str">
        <f>VLOOKUP(Sales_fact[[#This Row],[Customer_ID]], 'Customer_Dim'!A:F, 6, FALSE)</f>
        <v>Female</v>
      </c>
      <c r="R1838" s="13" t="str">
        <f>_xlfn.XLOOKUP(Sales_fact[[#This Row],[Product_ID]],Product_Dim!A:A,Product_Dim!C:C,"OTHERS")</f>
        <v>Beauty</v>
      </c>
    </row>
    <row r="1839" spans="1:18" x14ac:dyDescent="0.3">
      <c r="A1839" t="s">
        <v>3663</v>
      </c>
      <c r="B1839" s="2">
        <v>45392</v>
      </c>
      <c r="C1839" t="s">
        <v>241</v>
      </c>
      <c r="D1839" t="s">
        <v>1565</v>
      </c>
      <c r="E1839" t="str">
        <f ca="1">TRIM(Sales_fact[[#This Row],[Store_ID]])</f>
        <v>STORE12</v>
      </c>
      <c r="F1839">
        <v>1</v>
      </c>
      <c r="G1839">
        <f>IF(ISBLANK(F1839),MODE($F$2:$F$2001),F1839)</f>
        <v>1</v>
      </c>
      <c r="H1839">
        <v>829.83</v>
      </c>
      <c r="I1839">
        <f>IF(ISBLANK(H1839),AVERAGE($H$2:$H$2001),H1839)</f>
        <v>829.83</v>
      </c>
      <c r="J1839">
        <v>0.26</v>
      </c>
      <c r="K1839">
        <f>IF(ISBLANK(J1839),MODE($J$2:$J$2001),J1839)</f>
        <v>0.26</v>
      </c>
      <c r="L1839" t="s">
        <v>1829</v>
      </c>
      <c r="M1839">
        <v>614.07420000000002</v>
      </c>
      <c r="N1839">
        <f t="shared" si="28"/>
        <v>614.07420000000002</v>
      </c>
      <c r="O1839" t="str">
        <f>_xlfn.XLOOKUP(Sales_fact[[#This Row],[Customer_ID]],'Customer_Dim'!A:A,'Customer_Dim'!K:K,"Not Found")</f>
        <v>Silver</v>
      </c>
      <c r="P1839">
        <f>_xlfn.XLOOKUP(Sales_fact[[#This Row],[Customer_ID]],'Customer_Dim'!A:A, 'Customer_Dim'!E:E, "Not Found")</f>
        <v>21</v>
      </c>
      <c r="Q1839" t="str">
        <f>VLOOKUP(Sales_fact[[#This Row],[Customer_ID]], 'Customer_Dim'!A:F, 6, FALSE)</f>
        <v>Female</v>
      </c>
      <c r="R1839" s="13" t="str">
        <f>_xlfn.XLOOKUP(Sales_fact[[#This Row],[Product_ID]],Product_Dim!A:A,Product_Dim!C:C,"OTHERS")</f>
        <v>Sports</v>
      </c>
    </row>
    <row r="1840" spans="1:18" x14ac:dyDescent="0.3">
      <c r="A1840" t="s">
        <v>3664</v>
      </c>
      <c r="B1840" s="2">
        <v>45586</v>
      </c>
      <c r="C1840" t="s">
        <v>1157</v>
      </c>
      <c r="D1840" t="s">
        <v>1616</v>
      </c>
      <c r="E1840" t="str">
        <f ca="1">TRIM(Sales_fact[[#This Row],[Store_ID]])</f>
        <v>STORE16</v>
      </c>
      <c r="F1840">
        <v>2</v>
      </c>
      <c r="G1840">
        <f>IF(ISBLANK(F1840),MODE($F$2:$F$2001),F1840)</f>
        <v>2</v>
      </c>
      <c r="H1840">
        <v>858.15</v>
      </c>
      <c r="I1840">
        <f>IF(ISBLANK(H1840),AVERAGE($H$2:$H$2001),H1840)</f>
        <v>858.15</v>
      </c>
      <c r="J1840">
        <v>0.03</v>
      </c>
      <c r="K1840">
        <f>IF(ISBLANK(J1840),MODE($J$2:$J$2001),J1840)</f>
        <v>0.03</v>
      </c>
      <c r="L1840" t="s">
        <v>1824</v>
      </c>
      <c r="M1840">
        <v>1664.8109999999999</v>
      </c>
      <c r="N1840">
        <f t="shared" si="28"/>
        <v>1664.8109999999999</v>
      </c>
      <c r="O1840" t="str">
        <f>_xlfn.XLOOKUP(Sales_fact[[#This Row],[Customer_ID]],'Customer_Dim'!A:A,'Customer_Dim'!K:K,"Not Found")</f>
        <v>Silver</v>
      </c>
      <c r="P1840">
        <f>_xlfn.XLOOKUP(Sales_fact[[#This Row],[Customer_ID]],'Customer_Dim'!A:A, 'Customer_Dim'!E:E, "Not Found")</f>
        <v>45</v>
      </c>
      <c r="Q1840" t="str">
        <f>VLOOKUP(Sales_fact[[#This Row],[Customer_ID]], 'Customer_Dim'!A:F, 6, FALSE)</f>
        <v>Male</v>
      </c>
      <c r="R1840" s="13" t="str">
        <f>_xlfn.XLOOKUP(Sales_fact[[#This Row],[Product_ID]],Product_Dim!A:A,Product_Dim!C:C,"OTHERS")</f>
        <v>Electronics</v>
      </c>
    </row>
    <row r="1841" spans="1:18" x14ac:dyDescent="0.3">
      <c r="A1841" t="s">
        <v>3665</v>
      </c>
      <c r="B1841" s="2">
        <v>45340</v>
      </c>
      <c r="C1841" t="s">
        <v>1124</v>
      </c>
      <c r="D1841" t="s">
        <v>1694</v>
      </c>
      <c r="E1841" t="str">
        <f ca="1">TRIM(Sales_fact[[#This Row],[Store_ID]])</f>
        <v>STORE13</v>
      </c>
      <c r="F1841">
        <v>3</v>
      </c>
      <c r="G1841">
        <f>IF(ISBLANK(F1841),MODE($F$2:$F$2001),F1841)</f>
        <v>3</v>
      </c>
      <c r="H1841">
        <v>717.32</v>
      </c>
      <c r="I1841">
        <f>IF(ISBLANK(H1841),AVERAGE($H$2:$H$2001),H1841)</f>
        <v>717.32</v>
      </c>
      <c r="J1841">
        <v>0.23</v>
      </c>
      <c r="K1841">
        <f>IF(ISBLANK(J1841),MODE($J$2:$J$2001),J1841)</f>
        <v>0.23</v>
      </c>
      <c r="L1841" t="s">
        <v>1829</v>
      </c>
      <c r="M1841">
        <v>1657.0092</v>
      </c>
      <c r="N1841">
        <f t="shared" si="28"/>
        <v>1657.0092</v>
      </c>
      <c r="O1841" t="str">
        <f>_xlfn.XLOOKUP(Sales_fact[[#This Row],[Customer_ID]],'Customer_Dim'!A:A,'Customer_Dim'!K:K,"Not Found")</f>
        <v>Silver</v>
      </c>
      <c r="P1841">
        <f>_xlfn.XLOOKUP(Sales_fact[[#This Row],[Customer_ID]],'Customer_Dim'!A:A, 'Customer_Dim'!E:E, "Not Found")</f>
        <v>32</v>
      </c>
      <c r="Q1841" t="str">
        <f>VLOOKUP(Sales_fact[[#This Row],[Customer_ID]], 'Customer_Dim'!A:F, 6, FALSE)</f>
        <v>Male</v>
      </c>
      <c r="R1841" s="13" t="str">
        <f>_xlfn.XLOOKUP(Sales_fact[[#This Row],[Product_ID]],Product_Dim!A:A,Product_Dim!C:C,"OTHERS")</f>
        <v>Sports</v>
      </c>
    </row>
    <row r="1842" spans="1:18" x14ac:dyDescent="0.3">
      <c r="A1842" t="s">
        <v>3666</v>
      </c>
      <c r="B1842" s="2">
        <v>45853</v>
      </c>
      <c r="C1842" t="s">
        <v>1328</v>
      </c>
      <c r="D1842" t="s">
        <v>1714</v>
      </c>
      <c r="E1842" t="str">
        <f ca="1">TRIM(Sales_fact[[#This Row],[Store_ID]])</f>
        <v>STORE12</v>
      </c>
      <c r="F1842">
        <v>1</v>
      </c>
      <c r="G1842">
        <f>IF(ISBLANK(F1842),MODE($F$2:$F$2001),F1842)</f>
        <v>1</v>
      </c>
      <c r="H1842">
        <v>163.19999999999999</v>
      </c>
      <c r="I1842">
        <f>IF(ISBLANK(H1842),AVERAGE($H$2:$H$2001),H1842)</f>
        <v>163.19999999999999</v>
      </c>
      <c r="J1842">
        <v>0.22</v>
      </c>
      <c r="K1842">
        <f>IF(ISBLANK(J1842),MODE($J$2:$J$2001),J1842)</f>
        <v>0.22</v>
      </c>
      <c r="L1842" t="s">
        <v>1826</v>
      </c>
      <c r="M1842">
        <v>127.29600000000001</v>
      </c>
      <c r="N1842">
        <f t="shared" si="28"/>
        <v>127.29599999999999</v>
      </c>
      <c r="O1842" t="str">
        <f>_xlfn.XLOOKUP(Sales_fact[[#This Row],[Customer_ID]],'Customer_Dim'!A:A,'Customer_Dim'!K:K,"Not Found")</f>
        <v>Bronze</v>
      </c>
      <c r="P1842">
        <f>_xlfn.XLOOKUP(Sales_fact[[#This Row],[Customer_ID]],'Customer_Dim'!A:A, 'Customer_Dim'!E:E, "Not Found")</f>
        <v>27</v>
      </c>
      <c r="Q1842" t="str">
        <f>VLOOKUP(Sales_fact[[#This Row],[Customer_ID]], 'Customer_Dim'!A:F, 6, FALSE)</f>
        <v>Female</v>
      </c>
      <c r="R1842" s="13" t="str">
        <f>_xlfn.XLOOKUP(Sales_fact[[#This Row],[Product_ID]],Product_Dim!A:A,Product_Dim!C:C,"OTHERS")</f>
        <v>Beauty</v>
      </c>
    </row>
    <row r="1843" spans="1:18" x14ac:dyDescent="0.3">
      <c r="A1843" t="s">
        <v>3667</v>
      </c>
      <c r="B1843" s="2">
        <v>45489</v>
      </c>
      <c r="C1843" t="s">
        <v>435</v>
      </c>
      <c r="D1843" t="s">
        <v>1710</v>
      </c>
      <c r="E1843" t="str">
        <f ca="1">TRIM(Sales_fact[[#This Row],[Store_ID]])</f>
        <v>STORE12</v>
      </c>
      <c r="F1843">
        <v>2</v>
      </c>
      <c r="G1843">
        <f>IF(ISBLANK(F1843),MODE($F$2:$F$2001),F1843)</f>
        <v>2</v>
      </c>
      <c r="H1843">
        <v>966.71</v>
      </c>
      <c r="I1843">
        <f>IF(ISBLANK(H1843),AVERAGE($H$2:$H$2001),H1843)</f>
        <v>966.71</v>
      </c>
      <c r="J1843">
        <v>0.11</v>
      </c>
      <c r="K1843">
        <f>IF(ISBLANK(J1843),MODE($J$2:$J$2001),J1843)</f>
        <v>0.11</v>
      </c>
      <c r="L1843" t="s">
        <v>1824</v>
      </c>
      <c r="M1843">
        <v>1720.7438</v>
      </c>
      <c r="N1843">
        <f t="shared" si="28"/>
        <v>1720.7438000000002</v>
      </c>
      <c r="O1843" t="str">
        <f>_xlfn.XLOOKUP(Sales_fact[[#This Row],[Customer_ID]],'Customer_Dim'!A:A,'Customer_Dim'!K:K,"Not Found")</f>
        <v>Gold</v>
      </c>
      <c r="P1843">
        <f>_xlfn.XLOOKUP(Sales_fact[[#This Row],[Customer_ID]],'Customer_Dim'!A:A, 'Customer_Dim'!E:E, "Not Found")</f>
        <v>62</v>
      </c>
      <c r="Q1843" t="str">
        <f>VLOOKUP(Sales_fact[[#This Row],[Customer_ID]], 'Customer_Dim'!A:F, 6, FALSE)</f>
        <v>Female</v>
      </c>
      <c r="R1843" s="13" t="str">
        <f>_xlfn.XLOOKUP(Sales_fact[[#This Row],[Product_ID]],Product_Dim!A:A,Product_Dim!C:C,"OTHERS")</f>
        <v>Sports</v>
      </c>
    </row>
    <row r="1844" spans="1:18" x14ac:dyDescent="0.3">
      <c r="A1844" t="s">
        <v>3668</v>
      </c>
      <c r="B1844" s="2">
        <v>45761</v>
      </c>
      <c r="C1844" t="s">
        <v>1092</v>
      </c>
      <c r="D1844" t="s">
        <v>1618</v>
      </c>
      <c r="E1844" t="str">
        <f ca="1">TRIM(Sales_fact[[#This Row],[Store_ID]])</f>
        <v>STORE13</v>
      </c>
      <c r="F1844">
        <v>2</v>
      </c>
      <c r="G1844">
        <f>IF(ISBLANK(F1844),MODE($F$2:$F$2001),F1844)</f>
        <v>2</v>
      </c>
      <c r="H1844">
        <v>873.94</v>
      </c>
      <c r="I1844">
        <f>IF(ISBLANK(H1844),AVERAGE($H$2:$H$2001),H1844)</f>
        <v>873.94</v>
      </c>
      <c r="J1844">
        <v>0.14000000000000001</v>
      </c>
      <c r="K1844">
        <f>IF(ISBLANK(J1844),MODE($J$2:$J$2001),J1844)</f>
        <v>0.14000000000000001</v>
      </c>
      <c r="L1844" t="s">
        <v>1829</v>
      </c>
      <c r="M1844">
        <v>1503.1768</v>
      </c>
      <c r="N1844">
        <f t="shared" si="28"/>
        <v>1503.1768</v>
      </c>
      <c r="O1844" t="str">
        <f>_xlfn.XLOOKUP(Sales_fact[[#This Row],[Customer_ID]],'Customer_Dim'!A:A,'Customer_Dim'!K:K,"Not Found")</f>
        <v>Silver</v>
      </c>
      <c r="P1844">
        <f>_xlfn.XLOOKUP(Sales_fact[[#This Row],[Customer_ID]],'Customer_Dim'!A:A, 'Customer_Dim'!E:E, "Not Found")</f>
        <v>55</v>
      </c>
      <c r="Q1844" t="str">
        <f>VLOOKUP(Sales_fact[[#This Row],[Customer_ID]], 'Customer_Dim'!A:F, 6, FALSE)</f>
        <v>Male</v>
      </c>
      <c r="R1844" s="13" t="str">
        <f>_xlfn.XLOOKUP(Sales_fact[[#This Row],[Product_ID]],Product_Dim!A:A,Product_Dim!C:C,"OTHERS")</f>
        <v>Home</v>
      </c>
    </row>
    <row r="1845" spans="1:18" x14ac:dyDescent="0.3">
      <c r="A1845" t="s">
        <v>3669</v>
      </c>
      <c r="B1845" s="2">
        <v>45379</v>
      </c>
      <c r="C1845" t="s">
        <v>502</v>
      </c>
      <c r="D1845" t="s">
        <v>1543</v>
      </c>
      <c r="E1845" t="str">
        <f ca="1">TRIM(Sales_fact[[#This Row],[Store_ID]])</f>
        <v>STORE3</v>
      </c>
      <c r="F1845">
        <v>1</v>
      </c>
      <c r="G1845">
        <f>IF(ISBLANK(F1845),MODE($F$2:$F$2001),F1845)</f>
        <v>1</v>
      </c>
      <c r="H1845">
        <v>140.24</v>
      </c>
      <c r="I1845">
        <f>IF(ISBLANK(H1845),AVERAGE($H$2:$H$2001),H1845)</f>
        <v>140.24</v>
      </c>
      <c r="J1845">
        <v>0.27</v>
      </c>
      <c r="K1845">
        <f>IF(ISBLANK(J1845),MODE($J$2:$J$2001),J1845)</f>
        <v>0.27</v>
      </c>
      <c r="L1845" t="s">
        <v>1824</v>
      </c>
      <c r="M1845">
        <v>102.37520000000001</v>
      </c>
      <c r="N1845">
        <f t="shared" si="28"/>
        <v>102.37520000000001</v>
      </c>
      <c r="O1845" t="str">
        <f>_xlfn.XLOOKUP(Sales_fact[[#This Row],[Customer_ID]],'Customer_Dim'!A:A,'Customer_Dim'!K:K,"Not Found")</f>
        <v>Platinum</v>
      </c>
      <c r="P1845">
        <f>_xlfn.XLOOKUP(Sales_fact[[#This Row],[Customer_ID]],'Customer_Dim'!A:A, 'Customer_Dim'!E:E, "Not Found")</f>
        <v>33</v>
      </c>
      <c r="Q1845" t="str">
        <f>VLOOKUP(Sales_fact[[#This Row],[Customer_ID]], 'Customer_Dim'!A:F, 6, FALSE)</f>
        <v>Male</v>
      </c>
      <c r="R1845" s="13" t="str">
        <f>_xlfn.XLOOKUP(Sales_fact[[#This Row],[Product_ID]],Product_Dim!A:A,Product_Dim!C:C,"OTHERS")</f>
        <v>Electronics</v>
      </c>
    </row>
    <row r="1846" spans="1:18" x14ac:dyDescent="0.3">
      <c r="A1846" t="s">
        <v>3670</v>
      </c>
      <c r="B1846" s="2">
        <v>45716</v>
      </c>
      <c r="C1846" t="s">
        <v>657</v>
      </c>
      <c r="D1846" t="s">
        <v>1634</v>
      </c>
      <c r="E1846" t="str">
        <f ca="1">TRIM(Sales_fact[[#This Row],[Store_ID]])</f>
        <v>STORE5</v>
      </c>
      <c r="F1846">
        <v>2</v>
      </c>
      <c r="G1846">
        <f>IF(ISBLANK(F1846),MODE($F$2:$F$2001),F1846)</f>
        <v>2</v>
      </c>
      <c r="H1846">
        <v>549.91999999999996</v>
      </c>
      <c r="I1846">
        <f>IF(ISBLANK(H1846),AVERAGE($H$2:$H$2001),H1846)</f>
        <v>549.91999999999996</v>
      </c>
      <c r="J1846">
        <v>0.28000000000000003</v>
      </c>
      <c r="K1846">
        <f>IF(ISBLANK(J1846),MODE($J$2:$J$2001),J1846)</f>
        <v>0.28000000000000003</v>
      </c>
      <c r="L1846" t="s">
        <v>1824</v>
      </c>
      <c r="M1846">
        <v>791.88479999999993</v>
      </c>
      <c r="N1846">
        <f t="shared" si="28"/>
        <v>791.88479999999993</v>
      </c>
      <c r="O1846" t="str">
        <f>_xlfn.XLOOKUP(Sales_fact[[#This Row],[Customer_ID]],'Customer_Dim'!A:A,'Customer_Dim'!K:K,"Not Found")</f>
        <v>Bronze</v>
      </c>
      <c r="P1846">
        <f>_xlfn.XLOOKUP(Sales_fact[[#This Row],[Customer_ID]],'Customer_Dim'!A:A, 'Customer_Dim'!E:E, "Not Found")</f>
        <v>25</v>
      </c>
      <c r="Q1846" t="str">
        <f>VLOOKUP(Sales_fact[[#This Row],[Customer_ID]], 'Customer_Dim'!A:F, 6, FALSE)</f>
        <v>Female</v>
      </c>
      <c r="R1846" s="13" t="str">
        <f>_xlfn.XLOOKUP(Sales_fact[[#This Row],[Product_ID]],Product_Dim!A:A,Product_Dim!C:C,"OTHERS")</f>
        <v>Electronics</v>
      </c>
    </row>
    <row r="1847" spans="1:18" x14ac:dyDescent="0.3">
      <c r="A1847" t="s">
        <v>3671</v>
      </c>
      <c r="B1847" s="2">
        <v>45364</v>
      </c>
      <c r="C1847" t="s">
        <v>390</v>
      </c>
      <c r="D1847" t="s">
        <v>1582</v>
      </c>
      <c r="E1847" t="str">
        <f ca="1">TRIM(Sales_fact[[#This Row],[Store_ID]])</f>
        <v>STORE5</v>
      </c>
      <c r="F1847">
        <v>4</v>
      </c>
      <c r="G1847">
        <f>IF(ISBLANK(F1847),MODE($F$2:$F$2001),F1847)</f>
        <v>4</v>
      </c>
      <c r="H1847">
        <v>715.88</v>
      </c>
      <c r="I1847">
        <f>IF(ISBLANK(H1847),AVERAGE($H$2:$H$2001),H1847)</f>
        <v>715.88</v>
      </c>
      <c r="J1847">
        <v>0.19</v>
      </c>
      <c r="K1847">
        <f>IF(ISBLANK(J1847),MODE($J$2:$J$2001),J1847)</f>
        <v>0.19</v>
      </c>
      <c r="L1847" t="s">
        <v>1826</v>
      </c>
      <c r="M1847">
        <v>2319.4512</v>
      </c>
      <c r="N1847">
        <f t="shared" si="28"/>
        <v>2319.4512</v>
      </c>
      <c r="O1847" t="str">
        <f>_xlfn.XLOOKUP(Sales_fact[[#This Row],[Customer_ID]],'Customer_Dim'!A:A,'Customer_Dim'!K:K,"Not Found")</f>
        <v>Platinum</v>
      </c>
      <c r="P1847">
        <f>_xlfn.XLOOKUP(Sales_fact[[#This Row],[Customer_ID]],'Customer_Dim'!A:A, 'Customer_Dim'!E:E, "Not Found")</f>
        <v>18</v>
      </c>
      <c r="Q1847" t="str">
        <f>VLOOKUP(Sales_fact[[#This Row],[Customer_ID]], 'Customer_Dim'!A:F, 6, FALSE)</f>
        <v>Female</v>
      </c>
      <c r="R1847" s="13" t="str">
        <f>_xlfn.XLOOKUP(Sales_fact[[#This Row],[Product_ID]],Product_Dim!A:A,Product_Dim!C:C,"OTHERS")</f>
        <v>Sports</v>
      </c>
    </row>
    <row r="1848" spans="1:18" x14ac:dyDescent="0.3">
      <c r="A1848" t="s">
        <v>3672</v>
      </c>
      <c r="B1848" s="2">
        <v>45752</v>
      </c>
      <c r="C1848" t="s">
        <v>1160</v>
      </c>
      <c r="D1848" t="s">
        <v>1549</v>
      </c>
      <c r="E1848" t="str">
        <f ca="1">TRIM(Sales_fact[[#This Row],[Store_ID]])</f>
        <v>STORE8</v>
      </c>
      <c r="F1848">
        <v>3</v>
      </c>
      <c r="G1848">
        <f>IF(ISBLANK(F1848),MODE($F$2:$F$2001),F1848)</f>
        <v>3</v>
      </c>
      <c r="H1848">
        <v>591.9</v>
      </c>
      <c r="I1848">
        <f>IF(ISBLANK(H1848),AVERAGE($H$2:$H$2001),H1848)</f>
        <v>591.9</v>
      </c>
      <c r="J1848">
        <v>0.27</v>
      </c>
      <c r="K1848">
        <f>IF(ISBLANK(J1848),MODE($J$2:$J$2001),J1848)</f>
        <v>0.27</v>
      </c>
      <c r="L1848" t="s">
        <v>1824</v>
      </c>
      <c r="M1848">
        <v>1296.261</v>
      </c>
      <c r="N1848">
        <f t="shared" si="28"/>
        <v>1296.2609999999997</v>
      </c>
      <c r="O1848" t="str">
        <f>_xlfn.XLOOKUP(Sales_fact[[#This Row],[Customer_ID]],'Customer_Dim'!A:A,'Customer_Dim'!K:K,"Not Found")</f>
        <v>Platinum</v>
      </c>
      <c r="P1848">
        <f>_xlfn.XLOOKUP(Sales_fact[[#This Row],[Customer_ID]],'Customer_Dim'!A:A, 'Customer_Dim'!E:E, "Not Found")</f>
        <v>21</v>
      </c>
      <c r="Q1848" t="str">
        <f>VLOOKUP(Sales_fact[[#This Row],[Customer_ID]], 'Customer_Dim'!A:F, 6, FALSE)</f>
        <v>Female</v>
      </c>
      <c r="R1848" s="13" t="str">
        <f>_xlfn.XLOOKUP(Sales_fact[[#This Row],[Product_ID]],Product_Dim!A:A,Product_Dim!C:C,"OTHERS")</f>
        <v>Clothing</v>
      </c>
    </row>
    <row r="1849" spans="1:18" x14ac:dyDescent="0.3">
      <c r="A1849" t="s">
        <v>3673</v>
      </c>
      <c r="B1849" s="2">
        <v>45883</v>
      </c>
      <c r="C1849" t="s">
        <v>1172</v>
      </c>
      <c r="D1849" t="s">
        <v>1592</v>
      </c>
      <c r="E1849" t="str">
        <f ca="1">TRIM(Sales_fact[[#This Row],[Store_ID]])</f>
        <v>STORE10</v>
      </c>
      <c r="F1849">
        <v>2</v>
      </c>
      <c r="G1849">
        <f>IF(ISBLANK(F1849),MODE($F$2:$F$2001),F1849)</f>
        <v>2</v>
      </c>
      <c r="H1849">
        <v>523.14</v>
      </c>
      <c r="I1849">
        <f>IF(ISBLANK(H1849),AVERAGE($H$2:$H$2001),H1849)</f>
        <v>523.14</v>
      </c>
      <c r="J1849">
        <v>0.13</v>
      </c>
      <c r="K1849">
        <f>IF(ISBLANK(J1849),MODE($J$2:$J$2001),J1849)</f>
        <v>0.13</v>
      </c>
      <c r="L1849" t="s">
        <v>1826</v>
      </c>
      <c r="M1849">
        <v>910.2636</v>
      </c>
      <c r="N1849">
        <f t="shared" si="28"/>
        <v>910.2636</v>
      </c>
      <c r="O1849" t="str">
        <f>_xlfn.XLOOKUP(Sales_fact[[#This Row],[Customer_ID]],'Customer_Dim'!A:A,'Customer_Dim'!K:K,"Not Found")</f>
        <v>Platinum</v>
      </c>
      <c r="P1849">
        <f>_xlfn.XLOOKUP(Sales_fact[[#This Row],[Customer_ID]],'Customer_Dim'!A:A, 'Customer_Dim'!E:E, "Not Found")</f>
        <v>26</v>
      </c>
      <c r="Q1849" t="str">
        <f>VLOOKUP(Sales_fact[[#This Row],[Customer_ID]], 'Customer_Dim'!A:F, 6, FALSE)</f>
        <v>Male</v>
      </c>
      <c r="R1849" s="13" t="str">
        <f>_xlfn.XLOOKUP(Sales_fact[[#This Row],[Product_ID]],Product_Dim!A:A,Product_Dim!C:C,"OTHERS")</f>
        <v>Sports</v>
      </c>
    </row>
    <row r="1850" spans="1:18" x14ac:dyDescent="0.3">
      <c r="A1850" t="s">
        <v>3674</v>
      </c>
      <c r="B1850" s="2">
        <v>45477</v>
      </c>
      <c r="C1850" t="s">
        <v>730</v>
      </c>
      <c r="D1850" t="s">
        <v>1686</v>
      </c>
      <c r="E1850" t="str">
        <f ca="1">TRIM(Sales_fact[[#This Row],[Store_ID]])</f>
        <v>STORE14</v>
      </c>
      <c r="F1850">
        <v>2</v>
      </c>
      <c r="G1850">
        <f>IF(ISBLANK(F1850),MODE($F$2:$F$2001),F1850)</f>
        <v>2</v>
      </c>
      <c r="H1850">
        <v>478.62</v>
      </c>
      <c r="I1850">
        <f>IF(ISBLANK(H1850),AVERAGE($H$2:$H$2001),H1850)</f>
        <v>478.62</v>
      </c>
      <c r="J1850">
        <v>0.17</v>
      </c>
      <c r="K1850">
        <f>IF(ISBLANK(J1850),MODE($J$2:$J$2001),J1850)</f>
        <v>0.17</v>
      </c>
      <c r="L1850" t="s">
        <v>1829</v>
      </c>
      <c r="M1850">
        <v>794.50919999999996</v>
      </c>
      <c r="N1850">
        <f t="shared" si="28"/>
        <v>794.50919999999996</v>
      </c>
      <c r="O1850" t="str">
        <f>_xlfn.XLOOKUP(Sales_fact[[#This Row],[Customer_ID]],'Customer_Dim'!A:A,'Customer_Dim'!K:K,"Not Found")</f>
        <v>Gold</v>
      </c>
      <c r="P1850">
        <f>_xlfn.XLOOKUP(Sales_fact[[#This Row],[Customer_ID]],'Customer_Dim'!A:A, 'Customer_Dim'!E:E, "Not Found")</f>
        <v>54</v>
      </c>
      <c r="Q1850" t="str">
        <f>VLOOKUP(Sales_fact[[#This Row],[Customer_ID]], 'Customer_Dim'!A:F, 6, FALSE)</f>
        <v>Male</v>
      </c>
      <c r="R1850" s="13" t="str">
        <f>_xlfn.XLOOKUP(Sales_fact[[#This Row],[Product_ID]],Product_Dim!A:A,Product_Dim!C:C,"OTHERS")</f>
        <v>Clothing</v>
      </c>
    </row>
    <row r="1851" spans="1:18" x14ac:dyDescent="0.3">
      <c r="A1851" t="s">
        <v>3675</v>
      </c>
      <c r="B1851" s="2">
        <v>45556</v>
      </c>
      <c r="C1851" t="s">
        <v>945</v>
      </c>
      <c r="D1851" t="s">
        <v>1712</v>
      </c>
      <c r="E1851" t="str">
        <f ca="1">TRIM(Sales_fact[[#This Row],[Store_ID]])</f>
        <v>STORE1</v>
      </c>
      <c r="F1851">
        <v>4</v>
      </c>
      <c r="G1851">
        <f>IF(ISBLANK(F1851),MODE($F$2:$F$2001),F1851)</f>
        <v>4</v>
      </c>
      <c r="H1851">
        <v>740.5</v>
      </c>
      <c r="I1851">
        <f>IF(ISBLANK(H1851),AVERAGE($H$2:$H$2001),H1851)</f>
        <v>740.5</v>
      </c>
      <c r="J1851">
        <v>0.17</v>
      </c>
      <c r="K1851">
        <f>IF(ISBLANK(J1851),MODE($J$2:$J$2001),J1851)</f>
        <v>0.17</v>
      </c>
      <c r="L1851" t="s">
        <v>1826</v>
      </c>
      <c r="M1851">
        <v>2458.46</v>
      </c>
      <c r="N1851">
        <f t="shared" si="28"/>
        <v>2458.46</v>
      </c>
      <c r="O1851" t="str">
        <f>_xlfn.XLOOKUP(Sales_fact[[#This Row],[Customer_ID]],'Customer_Dim'!A:A,'Customer_Dim'!K:K,"Not Found")</f>
        <v>Platinum</v>
      </c>
      <c r="P1851">
        <f>_xlfn.XLOOKUP(Sales_fact[[#This Row],[Customer_ID]],'Customer_Dim'!A:A, 'Customer_Dim'!E:E, "Not Found")</f>
        <v>48</v>
      </c>
      <c r="Q1851" t="str">
        <f>VLOOKUP(Sales_fact[[#This Row],[Customer_ID]], 'Customer_Dim'!A:F, 6, FALSE)</f>
        <v>Female</v>
      </c>
      <c r="R1851" s="13" t="str">
        <f>_xlfn.XLOOKUP(Sales_fact[[#This Row],[Product_ID]],Product_Dim!A:A,Product_Dim!C:C,"OTHERS")</f>
        <v>Sports</v>
      </c>
    </row>
    <row r="1852" spans="1:18" x14ac:dyDescent="0.3">
      <c r="A1852" t="s">
        <v>3676</v>
      </c>
      <c r="B1852" s="2">
        <v>45465</v>
      </c>
      <c r="C1852" t="s">
        <v>393</v>
      </c>
      <c r="D1852" t="s">
        <v>1640</v>
      </c>
      <c r="E1852" t="str">
        <f ca="1">TRIM(Sales_fact[[#This Row],[Store_ID]])</f>
        <v>STORE2</v>
      </c>
      <c r="F1852">
        <v>1</v>
      </c>
      <c r="G1852">
        <f>IF(ISBLANK(F1852),MODE($F$2:$F$2001),F1852)</f>
        <v>1</v>
      </c>
      <c r="H1852">
        <v>780.24</v>
      </c>
      <c r="I1852">
        <f>IF(ISBLANK(H1852),AVERAGE($H$2:$H$2001),H1852)</f>
        <v>780.24</v>
      </c>
      <c r="J1852">
        <v>0.04</v>
      </c>
      <c r="K1852">
        <f>IF(ISBLANK(J1852),MODE($J$2:$J$2001),J1852)</f>
        <v>0.04</v>
      </c>
      <c r="L1852" t="s">
        <v>1829</v>
      </c>
      <c r="M1852">
        <v>749.03039999999999</v>
      </c>
      <c r="N1852">
        <f t="shared" si="28"/>
        <v>749.03039999999999</v>
      </c>
      <c r="O1852" t="str">
        <f>_xlfn.XLOOKUP(Sales_fact[[#This Row],[Customer_ID]],'Customer_Dim'!A:A,'Customer_Dim'!K:K,"Not Found")</f>
        <v>Silver</v>
      </c>
      <c r="P1852">
        <f>_xlfn.XLOOKUP(Sales_fact[[#This Row],[Customer_ID]],'Customer_Dim'!A:A, 'Customer_Dim'!E:E, "Not Found")</f>
        <v>27</v>
      </c>
      <c r="Q1852" t="str">
        <f>VLOOKUP(Sales_fact[[#This Row],[Customer_ID]], 'Customer_Dim'!A:F, 6, FALSE)</f>
        <v>Female</v>
      </c>
      <c r="R1852" s="13" t="str">
        <f>_xlfn.XLOOKUP(Sales_fact[[#This Row],[Product_ID]],Product_Dim!A:A,Product_Dim!C:C,"OTHERS")</f>
        <v>Clothing</v>
      </c>
    </row>
    <row r="1853" spans="1:18" x14ac:dyDescent="0.3">
      <c r="A1853" t="s">
        <v>3677</v>
      </c>
      <c r="B1853" s="2">
        <v>45552</v>
      </c>
      <c r="C1853" t="s">
        <v>378</v>
      </c>
      <c r="D1853" t="s">
        <v>1688</v>
      </c>
      <c r="E1853" t="str">
        <f ca="1">TRIM(Sales_fact[[#This Row],[Store_ID]])</f>
        <v>STORE16</v>
      </c>
      <c r="F1853">
        <v>4</v>
      </c>
      <c r="G1853">
        <f>IF(ISBLANK(F1853),MODE($F$2:$F$2001),F1853)</f>
        <v>4</v>
      </c>
      <c r="H1853">
        <v>579.24</v>
      </c>
      <c r="I1853">
        <f>IF(ISBLANK(H1853),AVERAGE($H$2:$H$2001),H1853)</f>
        <v>579.24</v>
      </c>
      <c r="J1853">
        <v>0.04</v>
      </c>
      <c r="K1853">
        <f>IF(ISBLANK(J1853),MODE($J$2:$J$2001),J1853)</f>
        <v>0.04</v>
      </c>
      <c r="L1853" t="s">
        <v>1829</v>
      </c>
      <c r="M1853">
        <v>2224.2815999999998</v>
      </c>
      <c r="N1853">
        <f t="shared" si="28"/>
        <v>2224.2815999999998</v>
      </c>
      <c r="O1853" t="str">
        <f>_xlfn.XLOOKUP(Sales_fact[[#This Row],[Customer_ID]],'Customer_Dim'!A:A,'Customer_Dim'!K:K,"Not Found")</f>
        <v>Platinum</v>
      </c>
      <c r="P1853">
        <f>_xlfn.XLOOKUP(Sales_fact[[#This Row],[Customer_ID]],'Customer_Dim'!A:A, 'Customer_Dim'!E:E, "Not Found")</f>
        <v>62</v>
      </c>
      <c r="Q1853" t="str">
        <f>VLOOKUP(Sales_fact[[#This Row],[Customer_ID]], 'Customer_Dim'!A:F, 6, FALSE)</f>
        <v>Female</v>
      </c>
      <c r="R1853" s="13" t="str">
        <f>_xlfn.XLOOKUP(Sales_fact[[#This Row],[Product_ID]],Product_Dim!A:A,Product_Dim!C:C,"OTHERS")</f>
        <v>Home</v>
      </c>
    </row>
    <row r="1854" spans="1:18" x14ac:dyDescent="0.3">
      <c r="A1854" t="s">
        <v>3678</v>
      </c>
      <c r="B1854" s="2">
        <v>45635</v>
      </c>
      <c r="C1854" t="s">
        <v>1160</v>
      </c>
      <c r="D1854" t="s">
        <v>1546</v>
      </c>
      <c r="E1854" t="str">
        <f ca="1">TRIM(Sales_fact[[#This Row],[Store_ID]])</f>
        <v>STORE2</v>
      </c>
      <c r="F1854">
        <v>3</v>
      </c>
      <c r="G1854">
        <f>IF(ISBLANK(F1854),MODE($F$2:$F$2001),F1854)</f>
        <v>3</v>
      </c>
      <c r="H1854">
        <v>268.95</v>
      </c>
      <c r="I1854">
        <f>IF(ISBLANK(H1854),AVERAGE($H$2:$H$2001),H1854)</f>
        <v>268.95</v>
      </c>
      <c r="J1854">
        <v>0.04</v>
      </c>
      <c r="K1854">
        <f>IF(ISBLANK(J1854),MODE($J$2:$J$2001),J1854)</f>
        <v>0.04</v>
      </c>
      <c r="L1854" t="s">
        <v>1826</v>
      </c>
      <c r="M1854">
        <v>774.57599999999991</v>
      </c>
      <c r="N1854">
        <f t="shared" si="28"/>
        <v>774.57599999999991</v>
      </c>
      <c r="O1854" t="str">
        <f>_xlfn.XLOOKUP(Sales_fact[[#This Row],[Customer_ID]],'Customer_Dim'!A:A,'Customer_Dim'!K:K,"Not Found")</f>
        <v>Platinum</v>
      </c>
      <c r="P1854">
        <f>_xlfn.XLOOKUP(Sales_fact[[#This Row],[Customer_ID]],'Customer_Dim'!A:A, 'Customer_Dim'!E:E, "Not Found")</f>
        <v>21</v>
      </c>
      <c r="Q1854" t="str">
        <f>VLOOKUP(Sales_fact[[#This Row],[Customer_ID]], 'Customer_Dim'!A:F, 6, FALSE)</f>
        <v>Female</v>
      </c>
      <c r="R1854" s="13" t="str">
        <f>_xlfn.XLOOKUP(Sales_fact[[#This Row],[Product_ID]],Product_Dim!A:A,Product_Dim!C:C,"OTHERS")</f>
        <v>Clothing</v>
      </c>
    </row>
    <row r="1855" spans="1:18" x14ac:dyDescent="0.3">
      <c r="A1855" t="s">
        <v>3679</v>
      </c>
      <c r="B1855" s="2">
        <v>45740</v>
      </c>
      <c r="C1855" t="s">
        <v>963</v>
      </c>
      <c r="D1855" t="s">
        <v>1555</v>
      </c>
      <c r="E1855" t="str">
        <f ca="1">TRIM(Sales_fact[[#This Row],[Store_ID]])</f>
        <v>STORE4</v>
      </c>
      <c r="F1855">
        <v>1</v>
      </c>
      <c r="G1855">
        <f>IF(ISBLANK(F1855),MODE($F$2:$F$2001),F1855)</f>
        <v>1</v>
      </c>
      <c r="H1855">
        <v>47.47</v>
      </c>
      <c r="I1855">
        <f>IF(ISBLANK(H1855),AVERAGE($H$2:$H$2001),H1855)</f>
        <v>47.47</v>
      </c>
      <c r="J1855">
        <v>0.28000000000000003</v>
      </c>
      <c r="K1855">
        <f>IF(ISBLANK(J1855),MODE($J$2:$J$2001),J1855)</f>
        <v>0.28000000000000003</v>
      </c>
      <c r="L1855" t="s">
        <v>1824</v>
      </c>
      <c r="M1855">
        <v>34.178400000000003</v>
      </c>
      <c r="N1855">
        <f t="shared" si="28"/>
        <v>34.178399999999996</v>
      </c>
      <c r="O1855" t="str">
        <f>_xlfn.XLOOKUP(Sales_fact[[#This Row],[Customer_ID]],'Customer_Dim'!A:A,'Customer_Dim'!K:K,"Not Found")</f>
        <v>Platinum</v>
      </c>
      <c r="P1855">
        <f>_xlfn.XLOOKUP(Sales_fact[[#This Row],[Customer_ID]],'Customer_Dim'!A:A, 'Customer_Dim'!E:E, "Not Found")</f>
        <v>64</v>
      </c>
      <c r="Q1855" t="str">
        <f>VLOOKUP(Sales_fact[[#This Row],[Customer_ID]], 'Customer_Dim'!A:F, 6, FALSE)</f>
        <v>Male</v>
      </c>
      <c r="R1855" s="13" t="str">
        <f>_xlfn.XLOOKUP(Sales_fact[[#This Row],[Product_ID]],Product_Dim!A:A,Product_Dim!C:C,"OTHERS")</f>
        <v>Clothing</v>
      </c>
    </row>
    <row r="1856" spans="1:18" x14ac:dyDescent="0.3">
      <c r="A1856" t="s">
        <v>3680</v>
      </c>
      <c r="B1856" s="2">
        <v>45796</v>
      </c>
      <c r="C1856" t="s">
        <v>821</v>
      </c>
      <c r="D1856" t="s">
        <v>1614</v>
      </c>
      <c r="E1856" t="str">
        <f ca="1">TRIM(Sales_fact[[#This Row],[Store_ID]])</f>
        <v>STORE17</v>
      </c>
      <c r="F1856">
        <v>3</v>
      </c>
      <c r="G1856">
        <f>IF(ISBLANK(F1856),MODE($F$2:$F$2001),F1856)</f>
        <v>3</v>
      </c>
      <c r="H1856">
        <v>858.81</v>
      </c>
      <c r="I1856">
        <f>IF(ISBLANK(H1856),AVERAGE($H$2:$H$2001),H1856)</f>
        <v>858.81</v>
      </c>
      <c r="J1856">
        <v>7.0000000000000007E-2</v>
      </c>
      <c r="K1856">
        <f>IF(ISBLANK(J1856),MODE($J$2:$J$2001),J1856)</f>
        <v>7.0000000000000007E-2</v>
      </c>
      <c r="L1856" t="s">
        <v>1824</v>
      </c>
      <c r="M1856">
        <v>2396.0799000000002</v>
      </c>
      <c r="N1856">
        <f t="shared" si="28"/>
        <v>2396.0798999999997</v>
      </c>
      <c r="O1856" t="str">
        <f>_xlfn.XLOOKUP(Sales_fact[[#This Row],[Customer_ID]],'Customer_Dim'!A:A,'Customer_Dim'!K:K,"Not Found")</f>
        <v>Silver</v>
      </c>
      <c r="P1856">
        <f>_xlfn.XLOOKUP(Sales_fact[[#This Row],[Customer_ID]],'Customer_Dim'!A:A, 'Customer_Dim'!E:E, "Not Found")</f>
        <v>42</v>
      </c>
      <c r="Q1856" t="str">
        <f>VLOOKUP(Sales_fact[[#This Row],[Customer_ID]], 'Customer_Dim'!A:F, 6, FALSE)</f>
        <v>Male</v>
      </c>
      <c r="R1856" s="13" t="str">
        <f>_xlfn.XLOOKUP(Sales_fact[[#This Row],[Product_ID]],Product_Dim!A:A,Product_Dim!C:C,"OTHERS")</f>
        <v>Home</v>
      </c>
    </row>
    <row r="1857" spans="1:18" x14ac:dyDescent="0.3">
      <c r="A1857" t="s">
        <v>3681</v>
      </c>
      <c r="B1857" s="2">
        <v>45710</v>
      </c>
      <c r="C1857" t="s">
        <v>978</v>
      </c>
      <c r="D1857" t="s">
        <v>1586</v>
      </c>
      <c r="E1857" t="str">
        <f ca="1">TRIM(Sales_fact[[#This Row],[Store_ID]])</f>
        <v>STORE10</v>
      </c>
      <c r="F1857">
        <v>3</v>
      </c>
      <c r="G1857">
        <f>IF(ISBLANK(F1857),MODE($F$2:$F$2001),F1857)</f>
        <v>3</v>
      </c>
      <c r="H1857">
        <v>569.98</v>
      </c>
      <c r="I1857">
        <f>IF(ISBLANK(H1857),AVERAGE($H$2:$H$2001),H1857)</f>
        <v>569.98</v>
      </c>
      <c r="J1857">
        <v>0.05</v>
      </c>
      <c r="K1857">
        <f>IF(ISBLANK(J1857),MODE($J$2:$J$2001),J1857)</f>
        <v>0.05</v>
      </c>
      <c r="L1857" t="s">
        <v>1824</v>
      </c>
      <c r="M1857">
        <v>1624.443</v>
      </c>
      <c r="N1857">
        <f t="shared" si="28"/>
        <v>1624.443</v>
      </c>
      <c r="O1857" t="str">
        <f>_xlfn.XLOOKUP(Sales_fact[[#This Row],[Customer_ID]],'Customer_Dim'!A:A,'Customer_Dim'!K:K,"Not Found")</f>
        <v>Silver</v>
      </c>
      <c r="P1857">
        <f>_xlfn.XLOOKUP(Sales_fact[[#This Row],[Customer_ID]],'Customer_Dim'!A:A, 'Customer_Dim'!E:E, "Not Found")</f>
        <v>20</v>
      </c>
      <c r="Q1857" t="str">
        <f>VLOOKUP(Sales_fact[[#This Row],[Customer_ID]], 'Customer_Dim'!A:F, 6, FALSE)</f>
        <v>Male</v>
      </c>
      <c r="R1857" s="13" t="str">
        <f>_xlfn.XLOOKUP(Sales_fact[[#This Row],[Product_ID]],Product_Dim!A:A,Product_Dim!C:C,"OTHERS")</f>
        <v>Sports</v>
      </c>
    </row>
    <row r="1858" spans="1:18" x14ac:dyDescent="0.3">
      <c r="A1858" t="s">
        <v>3682</v>
      </c>
      <c r="B1858" s="2">
        <v>45596</v>
      </c>
      <c r="C1858" t="s">
        <v>1029</v>
      </c>
      <c r="D1858" t="s">
        <v>1696</v>
      </c>
      <c r="E1858" t="str">
        <f ca="1">TRIM(Sales_fact[[#This Row],[Store_ID]])</f>
        <v>STORE12</v>
      </c>
      <c r="F1858">
        <v>3</v>
      </c>
      <c r="G1858">
        <f>IF(ISBLANK(F1858),MODE($F$2:$F$2001),F1858)</f>
        <v>3</v>
      </c>
      <c r="H1858">
        <v>306.52</v>
      </c>
      <c r="I1858">
        <f>IF(ISBLANK(H1858),AVERAGE($H$2:$H$2001),H1858)</f>
        <v>306.52</v>
      </c>
      <c r="J1858">
        <v>0.01</v>
      </c>
      <c r="K1858">
        <f>IF(ISBLANK(J1858),MODE($J$2:$J$2001),J1858)</f>
        <v>0.01</v>
      </c>
      <c r="L1858" t="s">
        <v>1829</v>
      </c>
      <c r="M1858">
        <v>910.36439999999993</v>
      </c>
      <c r="N1858">
        <f t="shared" si="28"/>
        <v>910.36439999999993</v>
      </c>
      <c r="O1858" t="str">
        <f>_xlfn.XLOOKUP(Sales_fact[[#This Row],[Customer_ID]],'Customer_Dim'!A:A,'Customer_Dim'!K:K,"Not Found")</f>
        <v>Bronze</v>
      </c>
      <c r="P1858">
        <f>_xlfn.XLOOKUP(Sales_fact[[#This Row],[Customer_ID]],'Customer_Dim'!A:A, 'Customer_Dim'!E:E, "Not Found")</f>
        <v>62</v>
      </c>
      <c r="Q1858" t="str">
        <f>VLOOKUP(Sales_fact[[#This Row],[Customer_ID]], 'Customer_Dim'!A:F, 6, FALSE)</f>
        <v>Female</v>
      </c>
      <c r="R1858" s="13" t="str">
        <f>_xlfn.XLOOKUP(Sales_fact[[#This Row],[Product_ID]],Product_Dim!A:A,Product_Dim!C:C,"OTHERS")</f>
        <v>Electronics</v>
      </c>
    </row>
    <row r="1859" spans="1:18" x14ac:dyDescent="0.3">
      <c r="A1859" t="s">
        <v>3683</v>
      </c>
      <c r="B1859" s="2">
        <v>45354</v>
      </c>
      <c r="C1859" t="s">
        <v>238</v>
      </c>
      <c r="D1859" t="s">
        <v>1660</v>
      </c>
      <c r="E1859" t="str">
        <f ca="1">TRIM(Sales_fact[[#This Row],[Store_ID]])</f>
        <v>STORE13</v>
      </c>
      <c r="F1859">
        <v>3</v>
      </c>
      <c r="G1859">
        <f>IF(ISBLANK(F1859),MODE($F$2:$F$2001),F1859)</f>
        <v>3</v>
      </c>
      <c r="H1859">
        <v>184.67</v>
      </c>
      <c r="I1859">
        <f>IF(ISBLANK(H1859),AVERAGE($H$2:$H$2001),H1859)</f>
        <v>184.67</v>
      </c>
      <c r="J1859">
        <v>0.03</v>
      </c>
      <c r="K1859">
        <f>IF(ISBLANK(J1859),MODE($J$2:$J$2001),J1859)</f>
        <v>0.03</v>
      </c>
      <c r="L1859" t="s">
        <v>1829</v>
      </c>
      <c r="M1859">
        <v>537.38969999999995</v>
      </c>
      <c r="N1859">
        <f t="shared" ref="N1859:N1922" si="29">G1859*I1859*(1-K1859)</f>
        <v>537.38969999999995</v>
      </c>
      <c r="O1859" t="str">
        <f>_xlfn.XLOOKUP(Sales_fact[[#This Row],[Customer_ID]],'Customer_Dim'!A:A,'Customer_Dim'!K:K,"Not Found")</f>
        <v>Gold</v>
      </c>
      <c r="P1859">
        <f>_xlfn.XLOOKUP(Sales_fact[[#This Row],[Customer_ID]],'Customer_Dim'!A:A, 'Customer_Dim'!E:E, "Not Found")</f>
        <v>33</v>
      </c>
      <c r="Q1859" t="str">
        <f>VLOOKUP(Sales_fact[[#This Row],[Customer_ID]], 'Customer_Dim'!A:F, 6, FALSE)</f>
        <v>Male</v>
      </c>
      <c r="R1859" s="13" t="str">
        <f>_xlfn.XLOOKUP(Sales_fact[[#This Row],[Product_ID]],Product_Dim!A:A,Product_Dim!C:C,"OTHERS")</f>
        <v>Home</v>
      </c>
    </row>
    <row r="1860" spans="1:18" x14ac:dyDescent="0.3">
      <c r="A1860" t="s">
        <v>3684</v>
      </c>
      <c r="B1860" s="2">
        <v>45428</v>
      </c>
      <c r="C1860" t="s">
        <v>1484</v>
      </c>
      <c r="D1860" t="s">
        <v>1600</v>
      </c>
      <c r="E1860" t="str">
        <f ca="1">TRIM(Sales_fact[[#This Row],[Store_ID]])</f>
        <v>STORE5</v>
      </c>
      <c r="F1860">
        <v>4</v>
      </c>
      <c r="G1860">
        <f>IF(ISBLANK(F1860),MODE($F$2:$F$2001),F1860)</f>
        <v>4</v>
      </c>
      <c r="H1860">
        <v>189.56</v>
      </c>
      <c r="I1860">
        <f>IF(ISBLANK(H1860),AVERAGE($H$2:$H$2001),H1860)</f>
        <v>189.56</v>
      </c>
      <c r="J1860">
        <v>0</v>
      </c>
      <c r="K1860">
        <f>IF(ISBLANK(J1860),MODE($J$2:$J$2001),J1860)</f>
        <v>0</v>
      </c>
      <c r="L1860" t="s">
        <v>1829</v>
      </c>
      <c r="M1860">
        <v>758.24</v>
      </c>
      <c r="N1860">
        <f t="shared" si="29"/>
        <v>758.24</v>
      </c>
      <c r="O1860" t="str">
        <f>_xlfn.XLOOKUP(Sales_fact[[#This Row],[Customer_ID]],'Customer_Dim'!A:A,'Customer_Dim'!K:K,"Not Found")</f>
        <v>Platinum</v>
      </c>
      <c r="P1860">
        <f>_xlfn.XLOOKUP(Sales_fact[[#This Row],[Customer_ID]],'Customer_Dim'!A:A, 'Customer_Dim'!E:E, "Not Found")</f>
        <v>26</v>
      </c>
      <c r="Q1860" t="str">
        <f>VLOOKUP(Sales_fact[[#This Row],[Customer_ID]], 'Customer_Dim'!A:F, 6, FALSE)</f>
        <v>Male</v>
      </c>
      <c r="R1860" s="13" t="str">
        <f>_xlfn.XLOOKUP(Sales_fact[[#This Row],[Product_ID]],Product_Dim!A:A,Product_Dim!C:C,"OTHERS")</f>
        <v>Electronics</v>
      </c>
    </row>
    <row r="1861" spans="1:18" x14ac:dyDescent="0.3">
      <c r="A1861" t="s">
        <v>3685</v>
      </c>
      <c r="B1861" s="2">
        <v>45511</v>
      </c>
      <c r="C1861" t="s">
        <v>678</v>
      </c>
      <c r="D1861" t="s">
        <v>1698</v>
      </c>
      <c r="E1861" t="str">
        <f ca="1">TRIM(Sales_fact[[#This Row],[Store_ID]])</f>
        <v>STORE5</v>
      </c>
      <c r="F1861">
        <v>1</v>
      </c>
      <c r="G1861">
        <f>IF(ISBLANK(F1861),MODE($F$2:$F$2001),F1861)</f>
        <v>1</v>
      </c>
      <c r="H1861">
        <v>805.24</v>
      </c>
      <c r="I1861">
        <f>IF(ISBLANK(H1861),AVERAGE($H$2:$H$2001),H1861)</f>
        <v>805.24</v>
      </c>
      <c r="J1861">
        <v>0.04</v>
      </c>
      <c r="K1861">
        <f>IF(ISBLANK(J1861),MODE($J$2:$J$2001),J1861)</f>
        <v>0.04</v>
      </c>
      <c r="L1861" t="s">
        <v>1826</v>
      </c>
      <c r="M1861">
        <v>773.03039999999999</v>
      </c>
      <c r="N1861">
        <f t="shared" si="29"/>
        <v>773.03039999999999</v>
      </c>
      <c r="O1861" t="str">
        <f>_xlfn.XLOOKUP(Sales_fact[[#This Row],[Customer_ID]],'Customer_Dim'!A:A,'Customer_Dim'!K:K,"Not Found")</f>
        <v>Platinum</v>
      </c>
      <c r="P1861">
        <f>_xlfn.XLOOKUP(Sales_fact[[#This Row],[Customer_ID]],'Customer_Dim'!A:A, 'Customer_Dim'!E:E, "Not Found")</f>
        <v>54</v>
      </c>
      <c r="Q1861" t="str">
        <f>VLOOKUP(Sales_fact[[#This Row],[Customer_ID]], 'Customer_Dim'!A:F, 6, FALSE)</f>
        <v>Male</v>
      </c>
      <c r="R1861" s="13" t="str">
        <f>_xlfn.XLOOKUP(Sales_fact[[#This Row],[Product_ID]],Product_Dim!A:A,Product_Dim!C:C,"OTHERS")</f>
        <v>Clothing</v>
      </c>
    </row>
    <row r="1862" spans="1:18" x14ac:dyDescent="0.3">
      <c r="A1862" t="s">
        <v>3686</v>
      </c>
      <c r="B1862" s="2">
        <v>45549</v>
      </c>
      <c r="C1862" t="s">
        <v>619</v>
      </c>
      <c r="D1862" t="s">
        <v>1656</v>
      </c>
      <c r="E1862" t="str">
        <f ca="1">TRIM(Sales_fact[[#This Row],[Store_ID]])</f>
        <v>STORE17</v>
      </c>
      <c r="F1862">
        <v>3</v>
      </c>
      <c r="G1862">
        <f>IF(ISBLANK(F1862),MODE($F$2:$F$2001),F1862)</f>
        <v>3</v>
      </c>
      <c r="H1862">
        <v>683.74</v>
      </c>
      <c r="I1862">
        <f>IF(ISBLANK(H1862),AVERAGE($H$2:$H$2001),H1862)</f>
        <v>683.74</v>
      </c>
      <c r="J1862">
        <v>0.24</v>
      </c>
      <c r="K1862">
        <f>IF(ISBLANK(J1862),MODE($J$2:$J$2001),J1862)</f>
        <v>0.24</v>
      </c>
      <c r="L1862" t="s">
        <v>1824</v>
      </c>
      <c r="M1862">
        <v>1558.9272000000001</v>
      </c>
      <c r="N1862">
        <f t="shared" si="29"/>
        <v>1558.9272000000003</v>
      </c>
      <c r="O1862" t="str">
        <f>_xlfn.XLOOKUP(Sales_fact[[#This Row],[Customer_ID]],'Customer_Dim'!A:A,'Customer_Dim'!K:K,"Not Found")</f>
        <v>Silver</v>
      </c>
      <c r="P1862">
        <f>_xlfn.XLOOKUP(Sales_fact[[#This Row],[Customer_ID]],'Customer_Dim'!A:A, 'Customer_Dim'!E:E, "Not Found")</f>
        <v>42</v>
      </c>
      <c r="Q1862" t="str">
        <f>VLOOKUP(Sales_fact[[#This Row],[Customer_ID]], 'Customer_Dim'!A:F, 6, FALSE)</f>
        <v>Male</v>
      </c>
      <c r="R1862" s="13" t="str">
        <f>_xlfn.XLOOKUP(Sales_fact[[#This Row],[Product_ID]],Product_Dim!A:A,Product_Dim!C:C,"OTHERS")</f>
        <v>Sports</v>
      </c>
    </row>
    <row r="1863" spans="1:18" x14ac:dyDescent="0.3">
      <c r="A1863" t="s">
        <v>3687</v>
      </c>
      <c r="B1863" s="2">
        <v>45573</v>
      </c>
      <c r="C1863" t="s">
        <v>684</v>
      </c>
      <c r="D1863" t="s">
        <v>1660</v>
      </c>
      <c r="E1863" t="str">
        <f ca="1">TRIM(Sales_fact[[#This Row],[Store_ID]])</f>
        <v>STORE18</v>
      </c>
      <c r="F1863">
        <v>3</v>
      </c>
      <c r="G1863">
        <f>IF(ISBLANK(F1863),MODE($F$2:$F$2001),F1863)</f>
        <v>3</v>
      </c>
      <c r="H1863">
        <v>439.21</v>
      </c>
      <c r="I1863">
        <f>IF(ISBLANK(H1863),AVERAGE($H$2:$H$2001),H1863)</f>
        <v>439.21</v>
      </c>
      <c r="J1863">
        <v>0.28000000000000003</v>
      </c>
      <c r="K1863">
        <f>IF(ISBLANK(J1863),MODE($J$2:$J$2001),J1863)</f>
        <v>0.28000000000000003</v>
      </c>
      <c r="L1863" t="s">
        <v>1829</v>
      </c>
      <c r="M1863">
        <v>948.69359999999983</v>
      </c>
      <c r="N1863">
        <f t="shared" si="29"/>
        <v>948.69359999999983</v>
      </c>
      <c r="O1863" t="str">
        <f>_xlfn.XLOOKUP(Sales_fact[[#This Row],[Customer_ID]],'Customer_Dim'!A:A,'Customer_Dim'!K:K,"Not Found")</f>
        <v>Silver</v>
      </c>
      <c r="P1863">
        <f>_xlfn.XLOOKUP(Sales_fact[[#This Row],[Customer_ID]],'Customer_Dim'!A:A, 'Customer_Dim'!E:E, "Not Found")</f>
        <v>48</v>
      </c>
      <c r="Q1863" t="str">
        <f>VLOOKUP(Sales_fact[[#This Row],[Customer_ID]], 'Customer_Dim'!A:F, 6, FALSE)</f>
        <v>Male</v>
      </c>
      <c r="R1863" s="13" t="str">
        <f>_xlfn.XLOOKUP(Sales_fact[[#This Row],[Product_ID]],Product_Dim!A:A,Product_Dim!C:C,"OTHERS")</f>
        <v>Home</v>
      </c>
    </row>
    <row r="1864" spans="1:18" x14ac:dyDescent="0.3">
      <c r="A1864" t="s">
        <v>3688</v>
      </c>
      <c r="B1864" s="2">
        <v>45904</v>
      </c>
      <c r="C1864" t="s">
        <v>414</v>
      </c>
      <c r="D1864" t="s">
        <v>1680</v>
      </c>
      <c r="E1864" t="str">
        <f ca="1">TRIM(Sales_fact[[#This Row],[Store_ID]])</f>
        <v>STORE6</v>
      </c>
      <c r="F1864">
        <v>1</v>
      </c>
      <c r="G1864">
        <f>IF(ISBLANK(F1864),MODE($F$2:$F$2001),F1864)</f>
        <v>1</v>
      </c>
      <c r="H1864">
        <v>126.92</v>
      </c>
      <c r="I1864">
        <f>IF(ISBLANK(H1864),AVERAGE($H$2:$H$2001),H1864)</f>
        <v>126.92</v>
      </c>
      <c r="J1864">
        <v>0.24</v>
      </c>
      <c r="K1864">
        <f>IF(ISBLANK(J1864),MODE($J$2:$J$2001),J1864)</f>
        <v>0.24</v>
      </c>
      <c r="L1864" t="s">
        <v>1829</v>
      </c>
      <c r="M1864">
        <v>96.459199999999996</v>
      </c>
      <c r="N1864">
        <f t="shared" si="29"/>
        <v>96.459199999999996</v>
      </c>
      <c r="O1864" t="str">
        <f>_xlfn.XLOOKUP(Sales_fact[[#This Row],[Customer_ID]],'Customer_Dim'!A:A,'Customer_Dim'!K:K,"Not Found")</f>
        <v>Bronze</v>
      </c>
      <c r="P1864">
        <f>_xlfn.XLOOKUP(Sales_fact[[#This Row],[Customer_ID]],'Customer_Dim'!A:A, 'Customer_Dim'!E:E, "Not Found")</f>
        <v>40</v>
      </c>
      <c r="Q1864" t="str">
        <f>VLOOKUP(Sales_fact[[#This Row],[Customer_ID]], 'Customer_Dim'!A:F, 6, FALSE)</f>
        <v>Male</v>
      </c>
      <c r="R1864" s="13" t="str">
        <f>_xlfn.XLOOKUP(Sales_fact[[#This Row],[Product_ID]],Product_Dim!A:A,Product_Dim!C:C,"OTHERS")</f>
        <v>Beauty</v>
      </c>
    </row>
    <row r="1865" spans="1:18" x14ac:dyDescent="0.3">
      <c r="A1865" t="s">
        <v>3689</v>
      </c>
      <c r="B1865" s="2">
        <v>45489</v>
      </c>
      <c r="C1865" t="s">
        <v>27</v>
      </c>
      <c r="D1865" t="s">
        <v>1694</v>
      </c>
      <c r="E1865" t="str">
        <f ca="1">TRIM(Sales_fact[[#This Row],[Store_ID]])</f>
        <v>STORE4</v>
      </c>
      <c r="F1865">
        <v>4</v>
      </c>
      <c r="G1865">
        <f>IF(ISBLANK(F1865),MODE($F$2:$F$2001),F1865)</f>
        <v>4</v>
      </c>
      <c r="H1865">
        <v>834.7</v>
      </c>
      <c r="I1865">
        <f>IF(ISBLANK(H1865),AVERAGE($H$2:$H$2001),H1865)</f>
        <v>834.7</v>
      </c>
      <c r="J1865">
        <v>0.14000000000000001</v>
      </c>
      <c r="K1865">
        <f>IF(ISBLANK(J1865),MODE($J$2:$J$2001),J1865)</f>
        <v>0.14000000000000001</v>
      </c>
      <c r="L1865" t="s">
        <v>1824</v>
      </c>
      <c r="M1865">
        <v>2871.3679999999999</v>
      </c>
      <c r="N1865">
        <f t="shared" si="29"/>
        <v>2871.3679999999999</v>
      </c>
      <c r="O1865" t="str">
        <f>_xlfn.XLOOKUP(Sales_fact[[#This Row],[Customer_ID]],'Customer_Dim'!A:A,'Customer_Dim'!K:K,"Not Found")</f>
        <v>Silver</v>
      </c>
      <c r="P1865">
        <f>_xlfn.XLOOKUP(Sales_fact[[#This Row],[Customer_ID]],'Customer_Dim'!A:A, 'Customer_Dim'!E:E, "Not Found")</f>
        <v>64</v>
      </c>
      <c r="Q1865" t="str">
        <f>VLOOKUP(Sales_fact[[#This Row],[Customer_ID]], 'Customer_Dim'!A:F, 6, FALSE)</f>
        <v>Female</v>
      </c>
      <c r="R1865" s="13" t="str">
        <f>_xlfn.XLOOKUP(Sales_fact[[#This Row],[Product_ID]],Product_Dim!A:A,Product_Dim!C:C,"OTHERS")</f>
        <v>Sports</v>
      </c>
    </row>
    <row r="1866" spans="1:18" x14ac:dyDescent="0.3">
      <c r="A1866" t="s">
        <v>3690</v>
      </c>
      <c r="B1866" s="2">
        <v>45909</v>
      </c>
      <c r="C1866" t="s">
        <v>1071</v>
      </c>
      <c r="D1866" t="s">
        <v>1632</v>
      </c>
      <c r="E1866" t="str">
        <f ca="1">TRIM(Sales_fact[[#This Row],[Store_ID]])</f>
        <v>STORE11</v>
      </c>
      <c r="F1866">
        <v>2</v>
      </c>
      <c r="G1866">
        <f>IF(ISBLANK(F1866),MODE($F$2:$F$2001),F1866)</f>
        <v>2</v>
      </c>
      <c r="H1866">
        <v>271.88</v>
      </c>
      <c r="I1866">
        <f>IF(ISBLANK(H1866),AVERAGE($H$2:$H$2001),H1866)</f>
        <v>271.88</v>
      </c>
      <c r="J1866">
        <v>0.11</v>
      </c>
      <c r="K1866">
        <f>IF(ISBLANK(J1866),MODE($J$2:$J$2001),J1866)</f>
        <v>0.11</v>
      </c>
      <c r="L1866" t="s">
        <v>1829</v>
      </c>
      <c r="M1866">
        <v>483.94639999999998</v>
      </c>
      <c r="N1866">
        <f t="shared" si="29"/>
        <v>483.94639999999998</v>
      </c>
      <c r="O1866" t="str">
        <f>_xlfn.XLOOKUP(Sales_fact[[#This Row],[Customer_ID]],'Customer_Dim'!A:A,'Customer_Dim'!K:K,"Not Found")</f>
        <v>Bronze</v>
      </c>
      <c r="P1866">
        <f>_xlfn.XLOOKUP(Sales_fact[[#This Row],[Customer_ID]],'Customer_Dim'!A:A, 'Customer_Dim'!E:E, "Not Found")</f>
        <v>56</v>
      </c>
      <c r="Q1866" t="str">
        <f>VLOOKUP(Sales_fact[[#This Row],[Customer_ID]], 'Customer_Dim'!A:F, 6, FALSE)</f>
        <v>Female</v>
      </c>
      <c r="R1866" s="13" t="str">
        <f>_xlfn.XLOOKUP(Sales_fact[[#This Row],[Product_ID]],Product_Dim!A:A,Product_Dim!C:C,"OTHERS")</f>
        <v>Electronics</v>
      </c>
    </row>
    <row r="1867" spans="1:18" x14ac:dyDescent="0.3">
      <c r="A1867" t="s">
        <v>3691</v>
      </c>
      <c r="B1867" s="2">
        <v>45720</v>
      </c>
      <c r="C1867" t="s">
        <v>1478</v>
      </c>
      <c r="D1867" t="s">
        <v>1570</v>
      </c>
      <c r="E1867" t="str">
        <f ca="1">TRIM(Sales_fact[[#This Row],[Store_ID]])</f>
        <v>STORE1</v>
      </c>
      <c r="F1867">
        <v>4</v>
      </c>
      <c r="G1867">
        <f>IF(ISBLANK(F1867),MODE($F$2:$F$2001),F1867)</f>
        <v>4</v>
      </c>
      <c r="H1867">
        <v>972.14</v>
      </c>
      <c r="I1867">
        <f>IF(ISBLANK(H1867),AVERAGE($H$2:$H$2001),H1867)</f>
        <v>972.14</v>
      </c>
      <c r="J1867">
        <v>0.25</v>
      </c>
      <c r="K1867">
        <f>IF(ISBLANK(J1867),MODE($J$2:$J$2001),J1867)</f>
        <v>0.25</v>
      </c>
      <c r="L1867" t="s">
        <v>1824</v>
      </c>
      <c r="M1867">
        <v>2916.42</v>
      </c>
      <c r="N1867">
        <f t="shared" si="29"/>
        <v>2916.42</v>
      </c>
      <c r="O1867" t="str">
        <f>_xlfn.XLOOKUP(Sales_fact[[#This Row],[Customer_ID]],'Customer_Dim'!A:A,'Customer_Dim'!K:K,"Not Found")</f>
        <v>Bronze</v>
      </c>
      <c r="P1867">
        <f>_xlfn.XLOOKUP(Sales_fact[[#This Row],[Customer_ID]],'Customer_Dim'!A:A, 'Customer_Dim'!E:E, "Not Found")</f>
        <v>33</v>
      </c>
      <c r="Q1867" t="str">
        <f>VLOOKUP(Sales_fact[[#This Row],[Customer_ID]], 'Customer_Dim'!A:F, 6, FALSE)</f>
        <v>Male</v>
      </c>
      <c r="R1867" s="13" t="str">
        <f>_xlfn.XLOOKUP(Sales_fact[[#This Row],[Product_ID]],Product_Dim!A:A,Product_Dim!C:C,"OTHERS")</f>
        <v>Electronics</v>
      </c>
    </row>
    <row r="1868" spans="1:18" x14ac:dyDescent="0.3">
      <c r="A1868" t="s">
        <v>3692</v>
      </c>
      <c r="B1868" s="2">
        <v>45831</v>
      </c>
      <c r="C1868" t="s">
        <v>335</v>
      </c>
      <c r="D1868" t="s">
        <v>1634</v>
      </c>
      <c r="E1868" t="str">
        <f ca="1">TRIM(Sales_fact[[#This Row],[Store_ID]])</f>
        <v>STORE4</v>
      </c>
      <c r="F1868">
        <v>3</v>
      </c>
      <c r="G1868">
        <f>IF(ISBLANK(F1868),MODE($F$2:$F$2001),F1868)</f>
        <v>3</v>
      </c>
      <c r="H1868">
        <v>523.66</v>
      </c>
      <c r="I1868">
        <f>IF(ISBLANK(H1868),AVERAGE($H$2:$H$2001),H1868)</f>
        <v>523.66</v>
      </c>
      <c r="J1868">
        <v>0.27</v>
      </c>
      <c r="K1868">
        <f>IF(ISBLANK(J1868),MODE($J$2:$J$2001),J1868)</f>
        <v>0.27</v>
      </c>
      <c r="L1868" t="s">
        <v>1826</v>
      </c>
      <c r="M1868">
        <v>1146.8154</v>
      </c>
      <c r="N1868">
        <f t="shared" si="29"/>
        <v>1146.8154</v>
      </c>
      <c r="O1868" t="str">
        <f>_xlfn.XLOOKUP(Sales_fact[[#This Row],[Customer_ID]],'Customer_Dim'!A:A,'Customer_Dim'!K:K,"Not Found")</f>
        <v>Gold</v>
      </c>
      <c r="P1868">
        <f>_xlfn.XLOOKUP(Sales_fact[[#This Row],[Customer_ID]],'Customer_Dim'!A:A, 'Customer_Dim'!E:E, "Not Found")</f>
        <v>28</v>
      </c>
      <c r="Q1868" t="str">
        <f>VLOOKUP(Sales_fact[[#This Row],[Customer_ID]], 'Customer_Dim'!A:F, 6, FALSE)</f>
        <v>Female</v>
      </c>
      <c r="R1868" s="13" t="str">
        <f>_xlfn.XLOOKUP(Sales_fact[[#This Row],[Product_ID]],Product_Dim!A:A,Product_Dim!C:C,"OTHERS")</f>
        <v>Electronics</v>
      </c>
    </row>
    <row r="1869" spans="1:18" x14ac:dyDescent="0.3">
      <c r="A1869" t="s">
        <v>3693</v>
      </c>
      <c r="B1869" s="2">
        <v>45602</v>
      </c>
      <c r="C1869" t="s">
        <v>499</v>
      </c>
      <c r="D1869" t="s">
        <v>1676</v>
      </c>
      <c r="E1869" t="str">
        <f ca="1">TRIM(Sales_fact[[#This Row],[Store_ID]])</f>
        <v>STORE2</v>
      </c>
      <c r="F1869">
        <v>4</v>
      </c>
      <c r="G1869">
        <f>IF(ISBLANK(F1869),MODE($F$2:$F$2001),F1869)</f>
        <v>4</v>
      </c>
      <c r="H1869">
        <v>838.99</v>
      </c>
      <c r="I1869">
        <f>IF(ISBLANK(H1869),AVERAGE($H$2:$H$2001),H1869)</f>
        <v>838.99</v>
      </c>
      <c r="J1869">
        <v>0.16</v>
      </c>
      <c r="K1869">
        <f>IF(ISBLANK(J1869),MODE($J$2:$J$2001),J1869)</f>
        <v>0.16</v>
      </c>
      <c r="L1869" t="s">
        <v>1824</v>
      </c>
      <c r="M1869">
        <v>2819.0064000000002</v>
      </c>
      <c r="N1869">
        <f t="shared" si="29"/>
        <v>2819.0063999999998</v>
      </c>
      <c r="O1869" t="str">
        <f>_xlfn.XLOOKUP(Sales_fact[[#This Row],[Customer_ID]],'Customer_Dim'!A:A,'Customer_Dim'!K:K,"Not Found")</f>
        <v>Bronze</v>
      </c>
      <c r="P1869">
        <f>_xlfn.XLOOKUP(Sales_fact[[#This Row],[Customer_ID]],'Customer_Dim'!A:A, 'Customer_Dim'!E:E, "Not Found")</f>
        <v>42</v>
      </c>
      <c r="Q1869" t="str">
        <f>VLOOKUP(Sales_fact[[#This Row],[Customer_ID]], 'Customer_Dim'!A:F, 6, FALSE)</f>
        <v>Female</v>
      </c>
      <c r="R1869" s="13" t="str">
        <f>_xlfn.XLOOKUP(Sales_fact[[#This Row],[Product_ID]],Product_Dim!A:A,Product_Dim!C:C,"OTHERS")</f>
        <v>Beauty</v>
      </c>
    </row>
    <row r="1870" spans="1:18" x14ac:dyDescent="0.3">
      <c r="A1870" t="s">
        <v>3694</v>
      </c>
      <c r="B1870" s="2">
        <v>45722</v>
      </c>
      <c r="C1870" t="s">
        <v>461</v>
      </c>
      <c r="D1870" t="s">
        <v>1570</v>
      </c>
      <c r="E1870" t="str">
        <f ca="1">TRIM(Sales_fact[[#This Row],[Store_ID]])</f>
        <v>STORE17</v>
      </c>
      <c r="F1870">
        <v>4</v>
      </c>
      <c r="G1870">
        <f>IF(ISBLANK(F1870),MODE($F$2:$F$2001),F1870)</f>
        <v>4</v>
      </c>
      <c r="H1870">
        <v>838.7</v>
      </c>
      <c r="I1870">
        <f>IF(ISBLANK(H1870),AVERAGE($H$2:$H$2001),H1870)</f>
        <v>838.7</v>
      </c>
      <c r="J1870">
        <v>0.21</v>
      </c>
      <c r="K1870">
        <f>IF(ISBLANK(J1870),MODE($J$2:$J$2001),J1870)</f>
        <v>0.21</v>
      </c>
      <c r="L1870" t="s">
        <v>1829</v>
      </c>
      <c r="M1870">
        <v>2650.2919999999999</v>
      </c>
      <c r="N1870">
        <f t="shared" si="29"/>
        <v>2650.2920000000004</v>
      </c>
      <c r="O1870" t="str">
        <f>_xlfn.XLOOKUP(Sales_fact[[#This Row],[Customer_ID]],'Customer_Dim'!A:A,'Customer_Dim'!K:K,"Not Found")</f>
        <v>Platinum</v>
      </c>
      <c r="P1870">
        <f>_xlfn.XLOOKUP(Sales_fact[[#This Row],[Customer_ID]],'Customer_Dim'!A:A, 'Customer_Dim'!E:E, "Not Found")</f>
        <v>33</v>
      </c>
      <c r="Q1870" t="str">
        <f>VLOOKUP(Sales_fact[[#This Row],[Customer_ID]], 'Customer_Dim'!A:F, 6, FALSE)</f>
        <v>Female</v>
      </c>
      <c r="R1870" s="13" t="str">
        <f>_xlfn.XLOOKUP(Sales_fact[[#This Row],[Product_ID]],Product_Dim!A:A,Product_Dim!C:C,"OTHERS")</f>
        <v>Electronics</v>
      </c>
    </row>
    <row r="1871" spans="1:18" x14ac:dyDescent="0.3">
      <c r="A1871" t="s">
        <v>3695</v>
      </c>
      <c r="B1871" s="2">
        <v>45794</v>
      </c>
      <c r="C1871" t="s">
        <v>1304</v>
      </c>
      <c r="D1871" t="s">
        <v>1696</v>
      </c>
      <c r="E1871" t="str">
        <f ca="1">TRIM(Sales_fact[[#This Row],[Store_ID]])</f>
        <v>STORE8</v>
      </c>
      <c r="F1871">
        <v>3</v>
      </c>
      <c r="G1871">
        <f>IF(ISBLANK(F1871),MODE($F$2:$F$2001),F1871)</f>
        <v>3</v>
      </c>
      <c r="H1871">
        <v>943.24</v>
      </c>
      <c r="I1871">
        <f>IF(ISBLANK(H1871),AVERAGE($H$2:$H$2001),H1871)</f>
        <v>943.24</v>
      </c>
      <c r="J1871">
        <v>0.21</v>
      </c>
      <c r="K1871">
        <f>IF(ISBLANK(J1871),MODE($J$2:$J$2001),J1871)</f>
        <v>0.21</v>
      </c>
      <c r="L1871" t="s">
        <v>1824</v>
      </c>
      <c r="M1871">
        <v>2235.4787999999999</v>
      </c>
      <c r="N1871">
        <f t="shared" si="29"/>
        <v>2235.4788000000003</v>
      </c>
      <c r="O1871" t="str">
        <f>_xlfn.XLOOKUP(Sales_fact[[#This Row],[Customer_ID]],'Customer_Dim'!A:A,'Customer_Dim'!K:K,"Not Found")</f>
        <v>Bronze</v>
      </c>
      <c r="P1871">
        <f>_xlfn.XLOOKUP(Sales_fact[[#This Row],[Customer_ID]],'Customer_Dim'!A:A, 'Customer_Dim'!E:E, "Not Found")</f>
        <v>60</v>
      </c>
      <c r="Q1871" t="str">
        <f>VLOOKUP(Sales_fact[[#This Row],[Customer_ID]], 'Customer_Dim'!A:F, 6, FALSE)</f>
        <v>Male</v>
      </c>
      <c r="R1871" s="13" t="str">
        <f>_xlfn.XLOOKUP(Sales_fact[[#This Row],[Product_ID]],Product_Dim!A:A,Product_Dim!C:C,"OTHERS")</f>
        <v>Electronics</v>
      </c>
    </row>
    <row r="1872" spans="1:18" x14ac:dyDescent="0.3">
      <c r="A1872" t="s">
        <v>3696</v>
      </c>
      <c r="B1872" s="2">
        <v>45659</v>
      </c>
      <c r="C1872" t="s">
        <v>945</v>
      </c>
      <c r="D1872" t="s">
        <v>1543</v>
      </c>
      <c r="E1872" t="str">
        <f ca="1">TRIM(Sales_fact[[#This Row],[Store_ID]])</f>
        <v>STORE17</v>
      </c>
      <c r="F1872">
        <v>2</v>
      </c>
      <c r="G1872">
        <f>IF(ISBLANK(F1872),MODE($F$2:$F$2001),F1872)</f>
        <v>2</v>
      </c>
      <c r="H1872">
        <v>310.33</v>
      </c>
      <c r="I1872">
        <f>IF(ISBLANK(H1872),AVERAGE($H$2:$H$2001),H1872)</f>
        <v>310.33</v>
      </c>
      <c r="J1872">
        <v>0.26</v>
      </c>
      <c r="K1872">
        <f>IF(ISBLANK(J1872),MODE($J$2:$J$2001),J1872)</f>
        <v>0.26</v>
      </c>
      <c r="L1872" t="s">
        <v>1824</v>
      </c>
      <c r="M1872">
        <v>459.28840000000002</v>
      </c>
      <c r="N1872">
        <f t="shared" si="29"/>
        <v>459.28839999999997</v>
      </c>
      <c r="O1872" t="str">
        <f>_xlfn.XLOOKUP(Sales_fact[[#This Row],[Customer_ID]],'Customer_Dim'!A:A,'Customer_Dim'!K:K,"Not Found")</f>
        <v>Platinum</v>
      </c>
      <c r="P1872">
        <f>_xlfn.XLOOKUP(Sales_fact[[#This Row],[Customer_ID]],'Customer_Dim'!A:A, 'Customer_Dim'!E:E, "Not Found")</f>
        <v>48</v>
      </c>
      <c r="Q1872" t="str">
        <f>VLOOKUP(Sales_fact[[#This Row],[Customer_ID]], 'Customer_Dim'!A:F, 6, FALSE)</f>
        <v>Female</v>
      </c>
      <c r="R1872" s="13" t="str">
        <f>_xlfn.XLOOKUP(Sales_fact[[#This Row],[Product_ID]],Product_Dim!A:A,Product_Dim!C:C,"OTHERS")</f>
        <v>Electronics</v>
      </c>
    </row>
    <row r="1873" spans="1:18" x14ac:dyDescent="0.3">
      <c r="A1873" t="s">
        <v>3697</v>
      </c>
      <c r="B1873" s="2">
        <v>45501</v>
      </c>
      <c r="C1873" t="s">
        <v>1086</v>
      </c>
      <c r="D1873" t="s">
        <v>1638</v>
      </c>
      <c r="E1873" t="str">
        <f ca="1">TRIM(Sales_fact[[#This Row],[Store_ID]])</f>
        <v>STORE0</v>
      </c>
      <c r="F1873">
        <v>3</v>
      </c>
      <c r="G1873">
        <f>IF(ISBLANK(F1873),MODE($F$2:$F$2001),F1873)</f>
        <v>3</v>
      </c>
      <c r="H1873">
        <v>201.05</v>
      </c>
      <c r="I1873">
        <f>IF(ISBLANK(H1873),AVERAGE($H$2:$H$2001),H1873)</f>
        <v>201.05</v>
      </c>
      <c r="J1873">
        <v>0.23</v>
      </c>
      <c r="K1873">
        <f>IF(ISBLANK(J1873),MODE($J$2:$J$2001),J1873)</f>
        <v>0.23</v>
      </c>
      <c r="L1873" t="s">
        <v>1826</v>
      </c>
      <c r="M1873">
        <v>464.42550000000011</v>
      </c>
      <c r="N1873">
        <f t="shared" si="29"/>
        <v>464.42550000000006</v>
      </c>
      <c r="O1873" t="str">
        <f>_xlfn.XLOOKUP(Sales_fact[[#This Row],[Customer_ID]],'Customer_Dim'!A:A,'Customer_Dim'!K:K,"Not Found")</f>
        <v>Platinum</v>
      </c>
      <c r="P1873">
        <f>_xlfn.XLOOKUP(Sales_fact[[#This Row],[Customer_ID]],'Customer_Dim'!A:A, 'Customer_Dim'!E:E, "Not Found")</f>
        <v>58</v>
      </c>
      <c r="Q1873" t="str">
        <f>VLOOKUP(Sales_fact[[#This Row],[Customer_ID]], 'Customer_Dim'!A:F, 6, FALSE)</f>
        <v>Female</v>
      </c>
      <c r="R1873" s="13" t="str">
        <f>_xlfn.XLOOKUP(Sales_fact[[#This Row],[Product_ID]],Product_Dim!A:A,Product_Dim!C:C,"OTHERS")</f>
        <v>Sports</v>
      </c>
    </row>
    <row r="1874" spans="1:18" x14ac:dyDescent="0.3">
      <c r="A1874" t="s">
        <v>3698</v>
      </c>
      <c r="B1874" s="2">
        <v>45408</v>
      </c>
      <c r="C1874" t="s">
        <v>806</v>
      </c>
      <c r="D1874" t="s">
        <v>1664</v>
      </c>
      <c r="E1874" t="str">
        <f ca="1">TRIM(Sales_fact[[#This Row],[Store_ID]])</f>
        <v>STORE17</v>
      </c>
      <c r="F1874">
        <v>1</v>
      </c>
      <c r="G1874">
        <f>IF(ISBLANK(F1874),MODE($F$2:$F$2001),F1874)</f>
        <v>1</v>
      </c>
      <c r="H1874">
        <v>803.37</v>
      </c>
      <c r="I1874">
        <f>IF(ISBLANK(H1874),AVERAGE($H$2:$H$2001),H1874)</f>
        <v>803.37</v>
      </c>
      <c r="J1874">
        <v>0.3</v>
      </c>
      <c r="K1874">
        <f>IF(ISBLANK(J1874),MODE($J$2:$J$2001),J1874)</f>
        <v>0.3</v>
      </c>
      <c r="L1874" t="s">
        <v>1826</v>
      </c>
      <c r="M1874">
        <v>562.35899999999992</v>
      </c>
      <c r="N1874">
        <f t="shared" si="29"/>
        <v>562.35899999999992</v>
      </c>
      <c r="O1874" t="str">
        <f>_xlfn.XLOOKUP(Sales_fact[[#This Row],[Customer_ID]],'Customer_Dim'!A:A,'Customer_Dim'!K:K,"Not Found")</f>
        <v>Silver</v>
      </c>
      <c r="P1874">
        <f>_xlfn.XLOOKUP(Sales_fact[[#This Row],[Customer_ID]],'Customer_Dim'!A:A, 'Customer_Dim'!E:E, "Not Found")</f>
        <v>26</v>
      </c>
      <c r="Q1874" t="str">
        <f>VLOOKUP(Sales_fact[[#This Row],[Customer_ID]], 'Customer_Dim'!A:F, 6, FALSE)</f>
        <v>Male</v>
      </c>
      <c r="R1874" s="13" t="str">
        <f>_xlfn.XLOOKUP(Sales_fact[[#This Row],[Product_ID]],Product_Dim!A:A,Product_Dim!C:C,"OTHERS")</f>
        <v>Clothing</v>
      </c>
    </row>
    <row r="1875" spans="1:18" x14ac:dyDescent="0.3">
      <c r="A1875" t="s">
        <v>3699</v>
      </c>
      <c r="B1875" s="2">
        <v>45886</v>
      </c>
      <c r="C1875" t="s">
        <v>144</v>
      </c>
      <c r="D1875" t="s">
        <v>1670</v>
      </c>
      <c r="E1875" t="str">
        <f ca="1">TRIM(Sales_fact[[#This Row],[Store_ID]])</f>
        <v>STORE15</v>
      </c>
      <c r="F1875">
        <v>3</v>
      </c>
      <c r="G1875">
        <f>IF(ISBLANK(F1875),MODE($F$2:$F$2001),F1875)</f>
        <v>3</v>
      </c>
      <c r="H1875">
        <v>259.98</v>
      </c>
      <c r="I1875">
        <f>IF(ISBLANK(H1875),AVERAGE($H$2:$H$2001),H1875)</f>
        <v>259.98</v>
      </c>
      <c r="J1875">
        <v>7.0000000000000007E-2</v>
      </c>
      <c r="K1875">
        <f>IF(ISBLANK(J1875),MODE($J$2:$J$2001),J1875)</f>
        <v>7.0000000000000007E-2</v>
      </c>
      <c r="L1875" t="s">
        <v>1829</v>
      </c>
      <c r="M1875">
        <v>725.3442</v>
      </c>
      <c r="N1875">
        <f t="shared" si="29"/>
        <v>725.3442</v>
      </c>
      <c r="O1875" t="str">
        <f>_xlfn.XLOOKUP(Sales_fact[[#This Row],[Customer_ID]],'Customer_Dim'!A:A,'Customer_Dim'!K:K,"Not Found")</f>
        <v>Gold</v>
      </c>
      <c r="P1875">
        <f>_xlfn.XLOOKUP(Sales_fact[[#This Row],[Customer_ID]],'Customer_Dim'!A:A, 'Customer_Dim'!E:E, "Not Found")</f>
        <v>20</v>
      </c>
      <c r="Q1875" t="str">
        <f>VLOOKUP(Sales_fact[[#This Row],[Customer_ID]], 'Customer_Dim'!A:F, 6, FALSE)</f>
        <v>Female</v>
      </c>
      <c r="R1875" s="13" t="str">
        <f>_xlfn.XLOOKUP(Sales_fact[[#This Row],[Product_ID]],Product_Dim!A:A,Product_Dim!C:C,"OTHERS")</f>
        <v>Sports</v>
      </c>
    </row>
    <row r="1876" spans="1:18" x14ac:dyDescent="0.3">
      <c r="A1876" t="s">
        <v>3700</v>
      </c>
      <c r="B1876" s="2">
        <v>45426</v>
      </c>
      <c r="C1876" t="s">
        <v>428</v>
      </c>
      <c r="D1876" t="s">
        <v>1549</v>
      </c>
      <c r="E1876" t="str">
        <f ca="1">TRIM(Sales_fact[[#This Row],[Store_ID]])</f>
        <v>STORE3</v>
      </c>
      <c r="F1876">
        <v>4</v>
      </c>
      <c r="G1876">
        <f>IF(ISBLANK(F1876),MODE($F$2:$F$2001),F1876)</f>
        <v>4</v>
      </c>
      <c r="H1876">
        <v>591.9</v>
      </c>
      <c r="I1876">
        <f>IF(ISBLANK(H1876),AVERAGE($H$2:$H$2001),H1876)</f>
        <v>591.9</v>
      </c>
      <c r="J1876">
        <v>0.2</v>
      </c>
      <c r="K1876">
        <f>IF(ISBLANK(J1876),MODE($J$2:$J$2001),J1876)</f>
        <v>0.2</v>
      </c>
      <c r="L1876" t="s">
        <v>1826</v>
      </c>
      <c r="M1876">
        <v>1894.08</v>
      </c>
      <c r="N1876">
        <f t="shared" si="29"/>
        <v>1894.08</v>
      </c>
      <c r="O1876" t="str">
        <f>_xlfn.XLOOKUP(Sales_fact[[#This Row],[Customer_ID]],'Customer_Dim'!A:A,'Customer_Dim'!K:K,"Not Found")</f>
        <v>Bronze</v>
      </c>
      <c r="P1876">
        <f>_xlfn.XLOOKUP(Sales_fact[[#This Row],[Customer_ID]],'Customer_Dim'!A:A, 'Customer_Dim'!E:E, "Not Found")</f>
        <v>26</v>
      </c>
      <c r="Q1876" t="str">
        <f>VLOOKUP(Sales_fact[[#This Row],[Customer_ID]], 'Customer_Dim'!A:F, 6, FALSE)</f>
        <v>Male</v>
      </c>
      <c r="R1876" s="13" t="str">
        <f>_xlfn.XLOOKUP(Sales_fact[[#This Row],[Product_ID]],Product_Dim!A:A,Product_Dim!C:C,"OTHERS")</f>
        <v>Clothing</v>
      </c>
    </row>
    <row r="1877" spans="1:18" x14ac:dyDescent="0.3">
      <c r="A1877" t="s">
        <v>3701</v>
      </c>
      <c r="B1877" s="2">
        <v>45730</v>
      </c>
      <c r="C1877" t="s">
        <v>127</v>
      </c>
      <c r="D1877" t="s">
        <v>1668</v>
      </c>
      <c r="E1877" t="str">
        <f ca="1">TRIM(Sales_fact[[#This Row],[Store_ID]])</f>
        <v>STORE12</v>
      </c>
      <c r="F1877">
        <v>2</v>
      </c>
      <c r="G1877">
        <f>IF(ISBLANK(F1877),MODE($F$2:$F$2001),F1877)</f>
        <v>2</v>
      </c>
      <c r="H1877">
        <v>396.9</v>
      </c>
      <c r="I1877">
        <f>IF(ISBLANK(H1877),AVERAGE($H$2:$H$2001),H1877)</f>
        <v>396.9</v>
      </c>
      <c r="J1877">
        <v>0.18</v>
      </c>
      <c r="K1877">
        <f>IF(ISBLANK(J1877),MODE($J$2:$J$2001),J1877)</f>
        <v>0.18</v>
      </c>
      <c r="L1877" t="s">
        <v>1826</v>
      </c>
      <c r="M1877">
        <v>650.91600000000005</v>
      </c>
      <c r="N1877">
        <f t="shared" si="29"/>
        <v>650.91600000000005</v>
      </c>
      <c r="O1877" t="str">
        <f>_xlfn.XLOOKUP(Sales_fact[[#This Row],[Customer_ID]],'Customer_Dim'!A:A,'Customer_Dim'!K:K,"Not Found")</f>
        <v>Silver</v>
      </c>
      <c r="P1877">
        <f>_xlfn.XLOOKUP(Sales_fact[[#This Row],[Customer_ID]],'Customer_Dim'!A:A, 'Customer_Dim'!E:E, "Not Found")</f>
        <v>41</v>
      </c>
      <c r="Q1877" t="str">
        <f>VLOOKUP(Sales_fact[[#This Row],[Customer_ID]], 'Customer_Dim'!A:F, 6, FALSE)</f>
        <v>Male</v>
      </c>
      <c r="R1877" s="13" t="str">
        <f>_xlfn.XLOOKUP(Sales_fact[[#This Row],[Product_ID]],Product_Dim!A:A,Product_Dim!C:C,"OTHERS")</f>
        <v>Beauty</v>
      </c>
    </row>
    <row r="1878" spans="1:18" x14ac:dyDescent="0.3">
      <c r="A1878" t="s">
        <v>3702</v>
      </c>
      <c r="B1878" s="2">
        <v>45731</v>
      </c>
      <c r="C1878" t="s">
        <v>1400</v>
      </c>
      <c r="D1878" t="s">
        <v>1744</v>
      </c>
      <c r="E1878" t="str">
        <f ca="1">TRIM(Sales_fact[[#This Row],[Store_ID]])</f>
        <v>STORE2</v>
      </c>
      <c r="F1878">
        <v>1</v>
      </c>
      <c r="G1878">
        <f>IF(ISBLANK(F1878),MODE($F$2:$F$2001),F1878)</f>
        <v>1</v>
      </c>
      <c r="H1878">
        <v>176.84</v>
      </c>
      <c r="I1878">
        <f>IF(ISBLANK(H1878),AVERAGE($H$2:$H$2001),H1878)</f>
        <v>176.84</v>
      </c>
      <c r="J1878">
        <v>0.19</v>
      </c>
      <c r="K1878">
        <f>IF(ISBLANK(J1878),MODE($J$2:$J$2001),J1878)</f>
        <v>0.19</v>
      </c>
      <c r="L1878" t="s">
        <v>1824</v>
      </c>
      <c r="M1878">
        <v>143.24039999999999</v>
      </c>
      <c r="N1878">
        <f t="shared" si="29"/>
        <v>143.24040000000002</v>
      </c>
      <c r="O1878" t="str">
        <f>_xlfn.XLOOKUP(Sales_fact[[#This Row],[Customer_ID]],'Customer_Dim'!A:A,'Customer_Dim'!K:K,"Not Found")</f>
        <v>Platinum</v>
      </c>
      <c r="P1878">
        <f>_xlfn.XLOOKUP(Sales_fact[[#This Row],[Customer_ID]],'Customer_Dim'!A:A, 'Customer_Dim'!E:E, "Not Found")</f>
        <v>62</v>
      </c>
      <c r="Q1878" t="str">
        <f>VLOOKUP(Sales_fact[[#This Row],[Customer_ID]], 'Customer_Dim'!A:F, 6, FALSE)</f>
        <v>Female</v>
      </c>
      <c r="R1878" s="13" t="str">
        <f>_xlfn.XLOOKUP(Sales_fact[[#This Row],[Product_ID]],Product_Dim!A:A,Product_Dim!C:C,"OTHERS")</f>
        <v>Electronics</v>
      </c>
    </row>
    <row r="1879" spans="1:18" x14ac:dyDescent="0.3">
      <c r="A1879" t="s">
        <v>3703</v>
      </c>
      <c r="B1879" s="2">
        <v>45272</v>
      </c>
      <c r="C1879" t="s">
        <v>812</v>
      </c>
      <c r="D1879" t="s">
        <v>1600</v>
      </c>
      <c r="E1879" t="str">
        <f ca="1">TRIM(Sales_fact[[#This Row],[Store_ID]])</f>
        <v>STORE0</v>
      </c>
      <c r="F1879">
        <v>2</v>
      </c>
      <c r="G1879">
        <f>IF(ISBLANK(F1879),MODE($F$2:$F$2001),F1879)</f>
        <v>2</v>
      </c>
      <c r="H1879">
        <v>614.21</v>
      </c>
      <c r="I1879">
        <f>IF(ISBLANK(H1879),AVERAGE($H$2:$H$2001),H1879)</f>
        <v>614.21</v>
      </c>
      <c r="J1879">
        <v>0.11</v>
      </c>
      <c r="K1879">
        <f>IF(ISBLANK(J1879),MODE($J$2:$J$2001),J1879)</f>
        <v>0.11</v>
      </c>
      <c r="L1879" t="s">
        <v>1826</v>
      </c>
      <c r="M1879">
        <v>1093.2937999999999</v>
      </c>
      <c r="N1879">
        <f t="shared" si="29"/>
        <v>1093.2938000000001</v>
      </c>
      <c r="O1879" t="str">
        <f>_xlfn.XLOOKUP(Sales_fact[[#This Row],[Customer_ID]],'Customer_Dim'!A:A,'Customer_Dim'!K:K,"Not Found")</f>
        <v>Silver</v>
      </c>
      <c r="P1879">
        <f>_xlfn.XLOOKUP(Sales_fact[[#This Row],[Customer_ID]],'Customer_Dim'!A:A, 'Customer_Dim'!E:E, "Not Found")</f>
        <v>34</v>
      </c>
      <c r="Q1879" t="str">
        <f>VLOOKUP(Sales_fact[[#This Row],[Customer_ID]], 'Customer_Dim'!A:F, 6, FALSE)</f>
        <v>Male</v>
      </c>
      <c r="R1879" s="13" t="str">
        <f>_xlfn.XLOOKUP(Sales_fact[[#This Row],[Product_ID]],Product_Dim!A:A,Product_Dim!C:C,"OTHERS")</f>
        <v>Electronics</v>
      </c>
    </row>
    <row r="1880" spans="1:18" x14ac:dyDescent="0.3">
      <c r="A1880" t="s">
        <v>3704</v>
      </c>
      <c r="B1880" s="2">
        <v>45584</v>
      </c>
      <c r="C1880" t="s">
        <v>381</v>
      </c>
      <c r="D1880" t="s">
        <v>1551</v>
      </c>
      <c r="E1880" t="str">
        <f ca="1">TRIM(Sales_fact[[#This Row],[Store_ID]])</f>
        <v>STORE7</v>
      </c>
      <c r="F1880">
        <v>3</v>
      </c>
      <c r="G1880">
        <f>IF(ISBLANK(F1880),MODE($F$2:$F$2001),F1880)</f>
        <v>3</v>
      </c>
      <c r="H1880">
        <v>604.66</v>
      </c>
      <c r="I1880">
        <f>IF(ISBLANK(H1880),AVERAGE($H$2:$H$2001),H1880)</f>
        <v>604.66</v>
      </c>
      <c r="J1880">
        <v>0.18</v>
      </c>
      <c r="K1880">
        <f>IF(ISBLANK(J1880),MODE($J$2:$J$2001),J1880)</f>
        <v>0.18</v>
      </c>
      <c r="L1880" t="s">
        <v>1829</v>
      </c>
      <c r="M1880">
        <v>1487.4636</v>
      </c>
      <c r="N1880">
        <f t="shared" si="29"/>
        <v>1487.4636</v>
      </c>
      <c r="O1880" t="str">
        <f>_xlfn.XLOOKUP(Sales_fact[[#This Row],[Customer_ID]],'Customer_Dim'!A:A,'Customer_Dim'!K:K,"Not Found")</f>
        <v>Bronze</v>
      </c>
      <c r="P1880">
        <f>_xlfn.XLOOKUP(Sales_fact[[#This Row],[Customer_ID]],'Customer_Dim'!A:A, 'Customer_Dim'!E:E, "Not Found")</f>
        <v>38</v>
      </c>
      <c r="Q1880" t="str">
        <f>VLOOKUP(Sales_fact[[#This Row],[Customer_ID]], 'Customer_Dim'!A:F, 6, FALSE)</f>
        <v>Male</v>
      </c>
      <c r="R1880" s="13" t="str">
        <f>_xlfn.XLOOKUP(Sales_fact[[#This Row],[Product_ID]],Product_Dim!A:A,Product_Dim!C:C,"OTHERS")</f>
        <v>OTHERS</v>
      </c>
    </row>
    <row r="1881" spans="1:18" x14ac:dyDescent="0.3">
      <c r="A1881" t="s">
        <v>3705</v>
      </c>
      <c r="B1881" s="2">
        <v>45534</v>
      </c>
      <c r="C1881" t="s">
        <v>1530</v>
      </c>
      <c r="D1881" t="s">
        <v>1549</v>
      </c>
      <c r="E1881" t="str">
        <f ca="1">TRIM(Sales_fact[[#This Row],[Store_ID]])</f>
        <v>STORE12</v>
      </c>
      <c r="F1881">
        <v>3</v>
      </c>
      <c r="G1881">
        <f>IF(ISBLANK(F1881),MODE($F$2:$F$2001),F1881)</f>
        <v>3</v>
      </c>
      <c r="H1881">
        <v>24.29</v>
      </c>
      <c r="I1881">
        <f>IF(ISBLANK(H1881),AVERAGE($H$2:$H$2001),H1881)</f>
        <v>24.29</v>
      </c>
      <c r="J1881">
        <v>0.12</v>
      </c>
      <c r="K1881">
        <f>IF(ISBLANK(J1881),MODE($J$2:$J$2001),J1881)</f>
        <v>0.12</v>
      </c>
      <c r="L1881" t="s">
        <v>1826</v>
      </c>
      <c r="M1881">
        <v>64.125600000000006</v>
      </c>
      <c r="N1881">
        <f t="shared" si="29"/>
        <v>64.125600000000006</v>
      </c>
      <c r="O1881" t="str">
        <f>_xlfn.XLOOKUP(Sales_fact[[#This Row],[Customer_ID]],'Customer_Dim'!A:A,'Customer_Dim'!K:K,"Not Found")</f>
        <v>Silver</v>
      </c>
      <c r="P1881">
        <f>_xlfn.XLOOKUP(Sales_fact[[#This Row],[Customer_ID]],'Customer_Dim'!A:A, 'Customer_Dim'!E:E, "Not Found")</f>
        <v>35</v>
      </c>
      <c r="Q1881" t="str">
        <f>VLOOKUP(Sales_fact[[#This Row],[Customer_ID]], 'Customer_Dim'!A:F, 6, FALSE)</f>
        <v>Male</v>
      </c>
      <c r="R1881" s="13" t="str">
        <f>_xlfn.XLOOKUP(Sales_fact[[#This Row],[Product_ID]],Product_Dim!A:A,Product_Dim!C:C,"OTHERS")</f>
        <v>Clothing</v>
      </c>
    </row>
    <row r="1882" spans="1:18" x14ac:dyDescent="0.3">
      <c r="A1882" t="s">
        <v>3706</v>
      </c>
      <c r="B1882" s="2">
        <v>45482</v>
      </c>
      <c r="C1882" t="s">
        <v>419</v>
      </c>
      <c r="D1882" t="s">
        <v>1674</v>
      </c>
      <c r="E1882" t="str">
        <f ca="1">TRIM(Sales_fact[[#This Row],[Store_ID]])</f>
        <v>STORE11</v>
      </c>
      <c r="F1882">
        <v>1</v>
      </c>
      <c r="G1882">
        <f>IF(ISBLANK(F1882),MODE($F$2:$F$2001),F1882)</f>
        <v>1</v>
      </c>
      <c r="H1882">
        <v>503.95</v>
      </c>
      <c r="I1882">
        <f>IF(ISBLANK(H1882),AVERAGE($H$2:$H$2001),H1882)</f>
        <v>503.95</v>
      </c>
      <c r="J1882">
        <v>0.24</v>
      </c>
      <c r="K1882">
        <f>IF(ISBLANK(J1882),MODE($J$2:$J$2001),J1882)</f>
        <v>0.24</v>
      </c>
      <c r="L1882" t="s">
        <v>1826</v>
      </c>
      <c r="M1882">
        <v>383.00200000000001</v>
      </c>
      <c r="N1882">
        <f t="shared" si="29"/>
        <v>383.00200000000001</v>
      </c>
      <c r="O1882" t="str">
        <f>_xlfn.XLOOKUP(Sales_fact[[#This Row],[Customer_ID]],'Customer_Dim'!A:A,'Customer_Dim'!K:K,"Not Found")</f>
        <v>Platinum</v>
      </c>
      <c r="P1882">
        <f>_xlfn.XLOOKUP(Sales_fact[[#This Row],[Customer_ID]],'Customer_Dim'!A:A, 'Customer_Dim'!E:E, "Not Found")</f>
        <v>62</v>
      </c>
      <c r="Q1882" t="str">
        <f>VLOOKUP(Sales_fact[[#This Row],[Customer_ID]], 'Customer_Dim'!A:F, 6, FALSE)</f>
        <v>Male</v>
      </c>
      <c r="R1882" s="13" t="str">
        <f>_xlfn.XLOOKUP(Sales_fact[[#This Row],[Product_ID]],Product_Dim!A:A,Product_Dim!C:C,"OTHERS")</f>
        <v>Beauty</v>
      </c>
    </row>
    <row r="1883" spans="1:18" x14ac:dyDescent="0.3">
      <c r="A1883" t="s">
        <v>3707</v>
      </c>
      <c r="B1883" s="2">
        <v>45475</v>
      </c>
      <c r="C1883" t="s">
        <v>1005</v>
      </c>
      <c r="D1883" t="s">
        <v>1650</v>
      </c>
      <c r="E1883" t="str">
        <f ca="1">TRIM(Sales_fact[[#This Row],[Store_ID]])</f>
        <v>STORE14</v>
      </c>
      <c r="F1883">
        <v>4</v>
      </c>
      <c r="G1883">
        <f>IF(ISBLANK(F1883),MODE($F$2:$F$2001),F1883)</f>
        <v>4</v>
      </c>
      <c r="H1883">
        <v>860.78</v>
      </c>
      <c r="I1883">
        <f>IF(ISBLANK(H1883),AVERAGE($H$2:$H$2001),H1883)</f>
        <v>860.78</v>
      </c>
      <c r="J1883">
        <v>0.03</v>
      </c>
      <c r="K1883">
        <f>IF(ISBLANK(J1883),MODE($J$2:$J$2001),J1883)</f>
        <v>0.03</v>
      </c>
      <c r="L1883" t="s">
        <v>1824</v>
      </c>
      <c r="M1883">
        <v>3339.8263999999999</v>
      </c>
      <c r="N1883">
        <f t="shared" si="29"/>
        <v>3339.8263999999999</v>
      </c>
      <c r="O1883" t="str">
        <f>_xlfn.XLOOKUP(Sales_fact[[#This Row],[Customer_ID]],'Customer_Dim'!A:A,'Customer_Dim'!K:K,"Not Found")</f>
        <v>Platinum</v>
      </c>
      <c r="P1883">
        <f>_xlfn.XLOOKUP(Sales_fact[[#This Row],[Customer_ID]],'Customer_Dim'!A:A, 'Customer_Dim'!E:E, "Not Found")</f>
        <v>54</v>
      </c>
      <c r="Q1883" t="str">
        <f>VLOOKUP(Sales_fact[[#This Row],[Customer_ID]], 'Customer_Dim'!A:F, 6, FALSE)</f>
        <v>Male</v>
      </c>
      <c r="R1883" s="13" t="str">
        <f>_xlfn.XLOOKUP(Sales_fact[[#This Row],[Product_ID]],Product_Dim!A:A,Product_Dim!C:C,"OTHERS")</f>
        <v>Electronics</v>
      </c>
    </row>
    <row r="1884" spans="1:18" x14ac:dyDescent="0.3">
      <c r="A1884" t="s">
        <v>3708</v>
      </c>
      <c r="B1884" s="2">
        <v>45234</v>
      </c>
      <c r="C1884" t="s">
        <v>646</v>
      </c>
      <c r="D1884" t="s">
        <v>1632</v>
      </c>
      <c r="E1884" t="str">
        <f ca="1">TRIM(Sales_fact[[#This Row],[Store_ID]])</f>
        <v>STORE3</v>
      </c>
      <c r="F1884">
        <v>3</v>
      </c>
      <c r="G1884">
        <f>IF(ISBLANK(F1884),MODE($F$2:$F$2001),F1884)</f>
        <v>3</v>
      </c>
      <c r="H1884">
        <v>41.97</v>
      </c>
      <c r="I1884">
        <f>IF(ISBLANK(H1884),AVERAGE($H$2:$H$2001),H1884)</f>
        <v>41.97</v>
      </c>
      <c r="J1884">
        <v>0.03</v>
      </c>
      <c r="K1884">
        <f>IF(ISBLANK(J1884),MODE($J$2:$J$2001),J1884)</f>
        <v>0.03</v>
      </c>
      <c r="L1884" t="s">
        <v>1829</v>
      </c>
      <c r="M1884">
        <v>122.1327</v>
      </c>
      <c r="N1884">
        <f t="shared" si="29"/>
        <v>122.1327</v>
      </c>
      <c r="O1884" t="str">
        <f>_xlfn.XLOOKUP(Sales_fact[[#This Row],[Customer_ID]],'Customer_Dim'!A:A,'Customer_Dim'!K:K,"Not Found")</f>
        <v>Platinum</v>
      </c>
      <c r="P1884">
        <f>_xlfn.XLOOKUP(Sales_fact[[#This Row],[Customer_ID]],'Customer_Dim'!A:A, 'Customer_Dim'!E:E, "Not Found")</f>
        <v>45</v>
      </c>
      <c r="Q1884" t="str">
        <f>VLOOKUP(Sales_fact[[#This Row],[Customer_ID]], 'Customer_Dim'!A:F, 6, FALSE)</f>
        <v>Female</v>
      </c>
      <c r="R1884" s="13" t="str">
        <f>_xlfn.XLOOKUP(Sales_fact[[#This Row],[Product_ID]],Product_Dim!A:A,Product_Dim!C:C,"OTHERS")</f>
        <v>Electronics</v>
      </c>
    </row>
    <row r="1885" spans="1:18" x14ac:dyDescent="0.3">
      <c r="A1885" t="s">
        <v>3709</v>
      </c>
      <c r="B1885" s="2">
        <v>45397</v>
      </c>
      <c r="C1885" t="s">
        <v>134</v>
      </c>
      <c r="D1885" t="s">
        <v>1578</v>
      </c>
      <c r="E1885" t="str">
        <f ca="1">TRIM(Sales_fact[[#This Row],[Store_ID]])</f>
        <v>STORE5</v>
      </c>
      <c r="F1885">
        <v>1</v>
      </c>
      <c r="G1885">
        <f>IF(ISBLANK(F1885),MODE($F$2:$F$2001),F1885)</f>
        <v>1</v>
      </c>
      <c r="H1885">
        <v>649.59</v>
      </c>
      <c r="I1885">
        <f>IF(ISBLANK(H1885),AVERAGE($H$2:$H$2001),H1885)</f>
        <v>649.59</v>
      </c>
      <c r="J1885">
        <v>0.12</v>
      </c>
      <c r="K1885">
        <f>IF(ISBLANK(J1885),MODE($J$2:$J$2001),J1885)</f>
        <v>0.12</v>
      </c>
      <c r="L1885" t="s">
        <v>1829</v>
      </c>
      <c r="M1885">
        <v>571.63920000000007</v>
      </c>
      <c r="N1885">
        <f t="shared" si="29"/>
        <v>571.63920000000007</v>
      </c>
      <c r="O1885" t="str">
        <f>_xlfn.XLOOKUP(Sales_fact[[#This Row],[Customer_ID]],'Customer_Dim'!A:A,'Customer_Dim'!K:K,"Not Found")</f>
        <v>Platinum</v>
      </c>
      <c r="P1885">
        <f>_xlfn.XLOOKUP(Sales_fact[[#This Row],[Customer_ID]],'Customer_Dim'!A:A, 'Customer_Dim'!E:E, "Not Found")</f>
        <v>25</v>
      </c>
      <c r="Q1885" t="str">
        <f>VLOOKUP(Sales_fact[[#This Row],[Customer_ID]], 'Customer_Dim'!A:F, 6, FALSE)</f>
        <v>Male</v>
      </c>
      <c r="R1885" s="13" t="str">
        <f>_xlfn.XLOOKUP(Sales_fact[[#This Row],[Product_ID]],Product_Dim!A:A,Product_Dim!C:C,"OTHERS")</f>
        <v>Electronics</v>
      </c>
    </row>
    <row r="1886" spans="1:18" x14ac:dyDescent="0.3">
      <c r="A1886" t="s">
        <v>3710</v>
      </c>
      <c r="B1886" s="2">
        <v>45502</v>
      </c>
      <c r="C1886" t="s">
        <v>202</v>
      </c>
      <c r="D1886" t="s">
        <v>1674</v>
      </c>
      <c r="E1886" t="str">
        <f ca="1">TRIM(Sales_fact[[#This Row],[Store_ID]])</f>
        <v>STORE9</v>
      </c>
      <c r="F1886">
        <v>2</v>
      </c>
      <c r="G1886">
        <f>IF(ISBLANK(F1886),MODE($F$2:$F$2001),F1886)</f>
        <v>2</v>
      </c>
      <c r="H1886">
        <v>386.09</v>
      </c>
      <c r="I1886">
        <f>IF(ISBLANK(H1886),AVERAGE($H$2:$H$2001),H1886)</f>
        <v>386.09</v>
      </c>
      <c r="J1886">
        <v>0.19</v>
      </c>
      <c r="K1886">
        <f>IF(ISBLANK(J1886),MODE($J$2:$J$2001),J1886)</f>
        <v>0.19</v>
      </c>
      <c r="L1886" t="s">
        <v>1826</v>
      </c>
      <c r="M1886">
        <v>625.46579999999994</v>
      </c>
      <c r="N1886">
        <f t="shared" si="29"/>
        <v>625.46579999999994</v>
      </c>
      <c r="O1886" t="str">
        <f>_xlfn.XLOOKUP(Sales_fact[[#This Row],[Customer_ID]],'Customer_Dim'!A:A,'Customer_Dim'!K:K,"Not Found")</f>
        <v>Gold</v>
      </c>
      <c r="P1886">
        <f>_xlfn.XLOOKUP(Sales_fact[[#This Row],[Customer_ID]],'Customer_Dim'!A:A, 'Customer_Dim'!E:E, "Not Found")</f>
        <v>37</v>
      </c>
      <c r="Q1886" t="str">
        <f>VLOOKUP(Sales_fact[[#This Row],[Customer_ID]], 'Customer_Dim'!A:F, 6, FALSE)</f>
        <v>Female</v>
      </c>
      <c r="R1886" s="13" t="str">
        <f>_xlfn.XLOOKUP(Sales_fact[[#This Row],[Product_ID]],Product_Dim!A:A,Product_Dim!C:C,"OTHERS")</f>
        <v>Beauty</v>
      </c>
    </row>
    <row r="1887" spans="1:18" x14ac:dyDescent="0.3">
      <c r="A1887" t="s">
        <v>3711</v>
      </c>
      <c r="B1887" s="2">
        <v>45644</v>
      </c>
      <c r="C1887" t="s">
        <v>353</v>
      </c>
      <c r="D1887" t="s">
        <v>1650</v>
      </c>
      <c r="E1887" t="str">
        <f ca="1">TRIM(Sales_fact[[#This Row],[Store_ID]])</f>
        <v>STORE12</v>
      </c>
      <c r="F1887">
        <v>1</v>
      </c>
      <c r="G1887">
        <f>IF(ISBLANK(F1887),MODE($F$2:$F$2001),F1887)</f>
        <v>1</v>
      </c>
      <c r="H1887">
        <v>891.62</v>
      </c>
      <c r="I1887">
        <f>IF(ISBLANK(H1887),AVERAGE($H$2:$H$2001),H1887)</f>
        <v>891.62</v>
      </c>
      <c r="J1887">
        <v>0.06</v>
      </c>
      <c r="K1887">
        <f>IF(ISBLANK(J1887),MODE($J$2:$J$2001),J1887)</f>
        <v>0.06</v>
      </c>
      <c r="L1887" t="s">
        <v>1826</v>
      </c>
      <c r="M1887">
        <v>838.12279999999998</v>
      </c>
      <c r="N1887">
        <f t="shared" si="29"/>
        <v>838.12279999999998</v>
      </c>
      <c r="O1887" t="str">
        <f>_xlfn.XLOOKUP(Sales_fact[[#This Row],[Customer_ID]],'Customer_Dim'!A:A,'Customer_Dim'!K:K,"Not Found")</f>
        <v>Silver</v>
      </c>
      <c r="P1887">
        <f>_xlfn.XLOOKUP(Sales_fact[[#This Row],[Customer_ID]],'Customer_Dim'!A:A, 'Customer_Dim'!E:E, "Not Found")</f>
        <v>35</v>
      </c>
      <c r="Q1887" t="str">
        <f>VLOOKUP(Sales_fact[[#This Row],[Customer_ID]], 'Customer_Dim'!A:F, 6, FALSE)</f>
        <v>Male</v>
      </c>
      <c r="R1887" s="13" t="str">
        <f>_xlfn.XLOOKUP(Sales_fact[[#This Row],[Product_ID]],Product_Dim!A:A,Product_Dim!C:C,"OTHERS")</f>
        <v>Electronics</v>
      </c>
    </row>
    <row r="1888" spans="1:18" x14ac:dyDescent="0.3">
      <c r="A1888" t="s">
        <v>3712</v>
      </c>
      <c r="B1888" s="2">
        <v>45617</v>
      </c>
      <c r="C1888" t="s">
        <v>1190</v>
      </c>
      <c r="D1888" t="s">
        <v>1676</v>
      </c>
      <c r="E1888" t="str">
        <f ca="1">TRIM(Sales_fact[[#This Row],[Store_ID]])</f>
        <v>STORE15</v>
      </c>
      <c r="F1888">
        <v>2</v>
      </c>
      <c r="G1888">
        <f>IF(ISBLANK(F1888),MODE($F$2:$F$2001),F1888)</f>
        <v>2</v>
      </c>
      <c r="H1888">
        <v>558.9</v>
      </c>
      <c r="I1888">
        <f>IF(ISBLANK(H1888),AVERAGE($H$2:$H$2001),H1888)</f>
        <v>558.9</v>
      </c>
      <c r="J1888">
        <v>0.05</v>
      </c>
      <c r="K1888">
        <f>IF(ISBLANK(J1888),MODE($J$2:$J$2001),J1888)</f>
        <v>0.05</v>
      </c>
      <c r="L1888" t="s">
        <v>1829</v>
      </c>
      <c r="M1888">
        <v>1061.9100000000001</v>
      </c>
      <c r="N1888">
        <f t="shared" si="29"/>
        <v>1061.9099999999999</v>
      </c>
      <c r="O1888" t="str">
        <f>_xlfn.XLOOKUP(Sales_fact[[#This Row],[Customer_ID]],'Customer_Dim'!A:A,'Customer_Dim'!K:K,"Not Found")</f>
        <v>Silver</v>
      </c>
      <c r="P1888">
        <f>_xlfn.XLOOKUP(Sales_fact[[#This Row],[Customer_ID]],'Customer_Dim'!A:A, 'Customer_Dim'!E:E, "Not Found")</f>
        <v>50</v>
      </c>
      <c r="Q1888" t="str">
        <f>VLOOKUP(Sales_fact[[#This Row],[Customer_ID]], 'Customer_Dim'!A:F, 6, FALSE)</f>
        <v>Male</v>
      </c>
      <c r="R1888" s="13" t="str">
        <f>_xlfn.XLOOKUP(Sales_fact[[#This Row],[Product_ID]],Product_Dim!A:A,Product_Dim!C:C,"OTHERS")</f>
        <v>Beauty</v>
      </c>
    </row>
    <row r="1889" spans="1:18" x14ac:dyDescent="0.3">
      <c r="A1889" t="s">
        <v>3713</v>
      </c>
      <c r="B1889" s="2">
        <v>45797</v>
      </c>
      <c r="C1889" t="s">
        <v>1104</v>
      </c>
      <c r="D1889" t="s">
        <v>1546</v>
      </c>
      <c r="E1889" t="str">
        <f ca="1">TRIM(Sales_fact[[#This Row],[Store_ID]])</f>
        <v>STORE3</v>
      </c>
      <c r="F1889">
        <v>2</v>
      </c>
      <c r="G1889">
        <f>IF(ISBLANK(F1889),MODE($F$2:$F$2001),F1889)</f>
        <v>2</v>
      </c>
      <c r="H1889">
        <v>99.04</v>
      </c>
      <c r="I1889">
        <f>IF(ISBLANK(H1889),AVERAGE($H$2:$H$2001),H1889)</f>
        <v>99.04</v>
      </c>
      <c r="J1889">
        <v>0.26</v>
      </c>
      <c r="K1889">
        <f>IF(ISBLANK(J1889),MODE($J$2:$J$2001),J1889)</f>
        <v>0.26</v>
      </c>
      <c r="L1889" t="s">
        <v>1829</v>
      </c>
      <c r="M1889">
        <v>146.57919999999999</v>
      </c>
      <c r="N1889">
        <f t="shared" si="29"/>
        <v>146.57920000000001</v>
      </c>
      <c r="O1889" t="str">
        <f>_xlfn.XLOOKUP(Sales_fact[[#This Row],[Customer_ID]],'Customer_Dim'!A:A,'Customer_Dim'!K:K,"Not Found")</f>
        <v>Silver</v>
      </c>
      <c r="P1889">
        <f>_xlfn.XLOOKUP(Sales_fact[[#This Row],[Customer_ID]],'Customer_Dim'!A:A, 'Customer_Dim'!E:E, "Not Found")</f>
        <v>52</v>
      </c>
      <c r="Q1889" t="str">
        <f>VLOOKUP(Sales_fact[[#This Row],[Customer_ID]], 'Customer_Dim'!A:F, 6, FALSE)</f>
        <v>Female</v>
      </c>
      <c r="R1889" s="13" t="str">
        <f>_xlfn.XLOOKUP(Sales_fact[[#This Row],[Product_ID]],Product_Dim!A:A,Product_Dim!C:C,"OTHERS")</f>
        <v>Clothing</v>
      </c>
    </row>
    <row r="1890" spans="1:18" x14ac:dyDescent="0.3">
      <c r="A1890" t="s">
        <v>3714</v>
      </c>
      <c r="B1890" s="2">
        <v>45740</v>
      </c>
      <c r="C1890" t="s">
        <v>923</v>
      </c>
      <c r="D1890" t="s">
        <v>1551</v>
      </c>
      <c r="E1890" t="str">
        <f ca="1">TRIM(Sales_fact[[#This Row],[Store_ID]])</f>
        <v>STORE8</v>
      </c>
      <c r="F1890">
        <v>4</v>
      </c>
      <c r="G1890">
        <f>IF(ISBLANK(F1890),MODE($F$2:$F$2001),F1890)</f>
        <v>4</v>
      </c>
      <c r="H1890">
        <v>625.13</v>
      </c>
      <c r="I1890">
        <f>IF(ISBLANK(H1890),AVERAGE($H$2:$H$2001),H1890)</f>
        <v>625.13</v>
      </c>
      <c r="J1890">
        <v>0.06</v>
      </c>
      <c r="K1890">
        <f>IF(ISBLANK(J1890),MODE($J$2:$J$2001),J1890)</f>
        <v>0.06</v>
      </c>
      <c r="L1890" t="s">
        <v>1824</v>
      </c>
      <c r="M1890">
        <v>2350.4888000000001</v>
      </c>
      <c r="N1890">
        <f t="shared" si="29"/>
        <v>2350.4887999999996</v>
      </c>
      <c r="O1890" t="str">
        <f>_xlfn.XLOOKUP(Sales_fact[[#This Row],[Customer_ID]],'Customer_Dim'!A:A,'Customer_Dim'!K:K,"Not Found")</f>
        <v>Bronze</v>
      </c>
      <c r="P1890">
        <f>_xlfn.XLOOKUP(Sales_fact[[#This Row],[Customer_ID]],'Customer_Dim'!A:A, 'Customer_Dim'!E:E, "Not Found")</f>
        <v>40</v>
      </c>
      <c r="Q1890" t="str">
        <f>VLOOKUP(Sales_fact[[#This Row],[Customer_ID]], 'Customer_Dim'!A:F, 6, FALSE)</f>
        <v>Female</v>
      </c>
      <c r="R1890" s="13" t="str">
        <f>_xlfn.XLOOKUP(Sales_fact[[#This Row],[Product_ID]],Product_Dim!A:A,Product_Dim!C:C,"OTHERS")</f>
        <v>OTHERS</v>
      </c>
    </row>
    <row r="1891" spans="1:18" x14ac:dyDescent="0.3">
      <c r="A1891" t="s">
        <v>3715</v>
      </c>
      <c r="B1891" s="2">
        <v>45824</v>
      </c>
      <c r="C1891" t="s">
        <v>144</v>
      </c>
      <c r="D1891" t="s">
        <v>1628</v>
      </c>
      <c r="E1891" t="str">
        <f ca="1">TRIM(Sales_fact[[#This Row],[Store_ID]])</f>
        <v>STORE18</v>
      </c>
      <c r="F1891">
        <v>4</v>
      </c>
      <c r="G1891">
        <f>IF(ISBLANK(F1891),MODE($F$2:$F$2001),F1891)</f>
        <v>4</v>
      </c>
      <c r="H1891">
        <v>38.380000000000003</v>
      </c>
      <c r="I1891">
        <f>IF(ISBLANK(H1891),AVERAGE($H$2:$H$2001),H1891)</f>
        <v>38.380000000000003</v>
      </c>
      <c r="J1891">
        <v>0.16</v>
      </c>
      <c r="K1891">
        <f>IF(ISBLANK(J1891),MODE($J$2:$J$2001),J1891)</f>
        <v>0.16</v>
      </c>
      <c r="L1891" t="s">
        <v>1829</v>
      </c>
      <c r="M1891">
        <v>128.95679999999999</v>
      </c>
      <c r="N1891">
        <f t="shared" si="29"/>
        <v>128.95680000000002</v>
      </c>
      <c r="O1891" t="str">
        <f>_xlfn.XLOOKUP(Sales_fact[[#This Row],[Customer_ID]],'Customer_Dim'!A:A,'Customer_Dim'!K:K,"Not Found")</f>
        <v>Gold</v>
      </c>
      <c r="P1891">
        <f>_xlfn.XLOOKUP(Sales_fact[[#This Row],[Customer_ID]],'Customer_Dim'!A:A, 'Customer_Dim'!E:E, "Not Found")</f>
        <v>20</v>
      </c>
      <c r="Q1891" t="str">
        <f>VLOOKUP(Sales_fact[[#This Row],[Customer_ID]], 'Customer_Dim'!A:F, 6, FALSE)</f>
        <v>Female</v>
      </c>
      <c r="R1891" s="13" t="str">
        <f>_xlfn.XLOOKUP(Sales_fact[[#This Row],[Product_ID]],Product_Dim!A:A,Product_Dim!C:C,"OTHERS")</f>
        <v>Electronics</v>
      </c>
    </row>
    <row r="1892" spans="1:18" x14ac:dyDescent="0.3">
      <c r="A1892" t="s">
        <v>3716</v>
      </c>
      <c r="B1892" s="2">
        <v>45404</v>
      </c>
      <c r="C1892" t="s">
        <v>1513</v>
      </c>
      <c r="D1892" t="s">
        <v>1736</v>
      </c>
      <c r="E1892" t="str">
        <f ca="1">TRIM(Sales_fact[[#This Row],[Store_ID]])</f>
        <v>STORE10</v>
      </c>
      <c r="F1892">
        <v>4</v>
      </c>
      <c r="G1892">
        <f>IF(ISBLANK(F1892),MODE($F$2:$F$2001),F1892)</f>
        <v>4</v>
      </c>
      <c r="H1892">
        <v>731.72</v>
      </c>
      <c r="I1892">
        <f>IF(ISBLANK(H1892),AVERAGE($H$2:$H$2001),H1892)</f>
        <v>731.72</v>
      </c>
      <c r="J1892">
        <v>0.22</v>
      </c>
      <c r="K1892">
        <f>IF(ISBLANK(J1892),MODE($J$2:$J$2001),J1892)</f>
        <v>0.22</v>
      </c>
      <c r="L1892" t="s">
        <v>1829</v>
      </c>
      <c r="M1892">
        <v>2282.9663999999998</v>
      </c>
      <c r="N1892">
        <f t="shared" si="29"/>
        <v>2282.9664000000002</v>
      </c>
      <c r="O1892" t="str">
        <f>_xlfn.XLOOKUP(Sales_fact[[#This Row],[Customer_ID]],'Customer_Dim'!A:A,'Customer_Dim'!K:K,"Not Found")</f>
        <v>Platinum</v>
      </c>
      <c r="P1892">
        <f>_xlfn.XLOOKUP(Sales_fact[[#This Row],[Customer_ID]],'Customer_Dim'!A:A, 'Customer_Dim'!E:E, "Not Found")</f>
        <v>59</v>
      </c>
      <c r="Q1892" t="str">
        <f>VLOOKUP(Sales_fact[[#This Row],[Customer_ID]], 'Customer_Dim'!A:F, 6, FALSE)</f>
        <v>Female</v>
      </c>
      <c r="R1892" s="13" t="str">
        <f>_xlfn.XLOOKUP(Sales_fact[[#This Row],[Product_ID]],Product_Dim!A:A,Product_Dim!C:C,"OTHERS")</f>
        <v>Beauty</v>
      </c>
    </row>
    <row r="1893" spans="1:18" x14ac:dyDescent="0.3">
      <c r="A1893" t="s">
        <v>3717</v>
      </c>
      <c r="B1893" s="2">
        <v>45916</v>
      </c>
      <c r="C1893" t="s">
        <v>1411</v>
      </c>
      <c r="D1893" t="s">
        <v>1710</v>
      </c>
      <c r="E1893" t="str">
        <f ca="1">TRIM(Sales_fact[[#This Row],[Store_ID]])</f>
        <v>STORE19</v>
      </c>
      <c r="F1893">
        <v>3</v>
      </c>
      <c r="G1893">
        <f>IF(ISBLANK(F1893),MODE($F$2:$F$2001),F1893)</f>
        <v>3</v>
      </c>
      <c r="H1893">
        <v>825.33</v>
      </c>
      <c r="I1893">
        <f>IF(ISBLANK(H1893),AVERAGE($H$2:$H$2001),H1893)</f>
        <v>825.33</v>
      </c>
      <c r="J1893">
        <v>0.21</v>
      </c>
      <c r="K1893">
        <f>IF(ISBLANK(J1893),MODE($J$2:$J$2001),J1893)</f>
        <v>0.21</v>
      </c>
      <c r="L1893" t="s">
        <v>1824</v>
      </c>
      <c r="M1893">
        <v>1956.0320999999999</v>
      </c>
      <c r="N1893">
        <f t="shared" si="29"/>
        <v>1956.0321000000004</v>
      </c>
      <c r="O1893" t="str">
        <f>_xlfn.XLOOKUP(Sales_fact[[#This Row],[Customer_ID]],'Customer_Dim'!A:A,'Customer_Dim'!K:K,"Not Found")</f>
        <v>Platinum</v>
      </c>
      <c r="P1893">
        <f>_xlfn.XLOOKUP(Sales_fact[[#This Row],[Customer_ID]],'Customer_Dim'!A:A, 'Customer_Dim'!E:E, "Not Found")</f>
        <v>59</v>
      </c>
      <c r="Q1893" t="str">
        <f>VLOOKUP(Sales_fact[[#This Row],[Customer_ID]], 'Customer_Dim'!A:F, 6, FALSE)</f>
        <v>Male</v>
      </c>
      <c r="R1893" s="13" t="str">
        <f>_xlfn.XLOOKUP(Sales_fact[[#This Row],[Product_ID]],Product_Dim!A:A,Product_Dim!C:C,"OTHERS")</f>
        <v>Sports</v>
      </c>
    </row>
    <row r="1894" spans="1:18" x14ac:dyDescent="0.3">
      <c r="A1894" t="s">
        <v>3718</v>
      </c>
      <c r="B1894" s="2">
        <v>45269</v>
      </c>
      <c r="C1894" t="s">
        <v>221</v>
      </c>
      <c r="D1894" t="s">
        <v>1688</v>
      </c>
      <c r="E1894" t="str">
        <f ca="1">TRIM(Sales_fact[[#This Row],[Store_ID]])</f>
        <v>STORE14</v>
      </c>
      <c r="F1894">
        <v>2</v>
      </c>
      <c r="G1894">
        <f>IF(ISBLANK(F1894),MODE($F$2:$F$2001),F1894)</f>
        <v>2</v>
      </c>
      <c r="H1894">
        <v>47.3</v>
      </c>
      <c r="I1894">
        <f>IF(ISBLANK(H1894),AVERAGE($H$2:$H$2001),H1894)</f>
        <v>47.3</v>
      </c>
      <c r="J1894">
        <v>0.01</v>
      </c>
      <c r="K1894">
        <f>IF(ISBLANK(J1894),MODE($J$2:$J$2001),J1894)</f>
        <v>0.01</v>
      </c>
      <c r="L1894" t="s">
        <v>1826</v>
      </c>
      <c r="M1894">
        <v>93.653999999999996</v>
      </c>
      <c r="N1894">
        <f t="shared" si="29"/>
        <v>93.653999999999996</v>
      </c>
      <c r="O1894" t="str">
        <f>_xlfn.XLOOKUP(Sales_fact[[#This Row],[Customer_ID]],'Customer_Dim'!A:A,'Customer_Dim'!K:K,"Not Found")</f>
        <v>Platinum</v>
      </c>
      <c r="P1894">
        <f>_xlfn.XLOOKUP(Sales_fact[[#This Row],[Customer_ID]],'Customer_Dim'!A:A, 'Customer_Dim'!E:E, "Not Found")</f>
        <v>53</v>
      </c>
      <c r="Q1894" t="str">
        <f>VLOOKUP(Sales_fact[[#This Row],[Customer_ID]], 'Customer_Dim'!A:F, 6, FALSE)</f>
        <v>Male</v>
      </c>
      <c r="R1894" s="13" t="str">
        <f>_xlfn.XLOOKUP(Sales_fact[[#This Row],[Product_ID]],Product_Dim!A:A,Product_Dim!C:C,"OTHERS")</f>
        <v>Home</v>
      </c>
    </row>
    <row r="1895" spans="1:18" x14ac:dyDescent="0.3">
      <c r="A1895" t="s">
        <v>3719</v>
      </c>
      <c r="B1895" s="2">
        <v>45493</v>
      </c>
      <c r="C1895" t="s">
        <v>568</v>
      </c>
      <c r="D1895" t="s">
        <v>1692</v>
      </c>
      <c r="E1895" t="str">
        <f ca="1">TRIM(Sales_fact[[#This Row],[Store_ID]])</f>
        <v>STORE17</v>
      </c>
      <c r="F1895">
        <v>1</v>
      </c>
      <c r="G1895">
        <f>IF(ISBLANK(F1895),MODE($F$2:$F$2001),F1895)</f>
        <v>1</v>
      </c>
      <c r="H1895">
        <v>389.12</v>
      </c>
      <c r="I1895">
        <f>IF(ISBLANK(H1895),AVERAGE($H$2:$H$2001),H1895)</f>
        <v>389.12</v>
      </c>
      <c r="J1895">
        <v>0.18</v>
      </c>
      <c r="K1895">
        <f>IF(ISBLANK(J1895),MODE($J$2:$J$2001),J1895)</f>
        <v>0.18</v>
      </c>
      <c r="L1895" t="s">
        <v>1826</v>
      </c>
      <c r="M1895">
        <v>319.07839999999999</v>
      </c>
      <c r="N1895">
        <f t="shared" si="29"/>
        <v>319.07840000000004</v>
      </c>
      <c r="O1895" t="str">
        <f>_xlfn.XLOOKUP(Sales_fact[[#This Row],[Customer_ID]],'Customer_Dim'!A:A,'Customer_Dim'!K:K,"Not Found")</f>
        <v>Platinum</v>
      </c>
      <c r="P1895">
        <f>_xlfn.XLOOKUP(Sales_fact[[#This Row],[Customer_ID]],'Customer_Dim'!A:A, 'Customer_Dim'!E:E, "Not Found")</f>
        <v>44</v>
      </c>
      <c r="Q1895" t="str">
        <f>VLOOKUP(Sales_fact[[#This Row],[Customer_ID]], 'Customer_Dim'!A:F, 6, FALSE)</f>
        <v>Female</v>
      </c>
      <c r="R1895" s="13" t="str">
        <f>_xlfn.XLOOKUP(Sales_fact[[#This Row],[Product_ID]],Product_Dim!A:A,Product_Dim!C:C,"OTHERS")</f>
        <v>Sports</v>
      </c>
    </row>
    <row r="1896" spans="1:18" x14ac:dyDescent="0.3">
      <c r="A1896" t="s">
        <v>3720</v>
      </c>
      <c r="B1896" s="2">
        <v>45558</v>
      </c>
      <c r="C1896" t="s">
        <v>1414</v>
      </c>
      <c r="D1896" t="s">
        <v>1712</v>
      </c>
      <c r="E1896" t="str">
        <f ca="1">TRIM(Sales_fact[[#This Row],[Store_ID]])</f>
        <v>STORE18</v>
      </c>
      <c r="F1896">
        <v>3</v>
      </c>
      <c r="G1896">
        <f>IF(ISBLANK(F1896),MODE($F$2:$F$2001),F1896)</f>
        <v>3</v>
      </c>
      <c r="H1896">
        <v>543.83000000000004</v>
      </c>
      <c r="I1896">
        <f>IF(ISBLANK(H1896),AVERAGE($H$2:$H$2001),H1896)</f>
        <v>543.83000000000004</v>
      </c>
      <c r="J1896">
        <v>0.05</v>
      </c>
      <c r="K1896">
        <f>IF(ISBLANK(J1896),MODE($J$2:$J$2001),J1896)</f>
        <v>0.05</v>
      </c>
      <c r="L1896" t="s">
        <v>1824</v>
      </c>
      <c r="M1896">
        <v>1549.9155000000001</v>
      </c>
      <c r="N1896">
        <f t="shared" si="29"/>
        <v>1549.9155000000001</v>
      </c>
      <c r="O1896" t="str">
        <f>_xlfn.XLOOKUP(Sales_fact[[#This Row],[Customer_ID]],'Customer_Dim'!A:A,'Customer_Dim'!K:K,"Not Found")</f>
        <v>Silver</v>
      </c>
      <c r="P1896">
        <f>_xlfn.XLOOKUP(Sales_fact[[#This Row],[Customer_ID]],'Customer_Dim'!A:A, 'Customer_Dim'!E:E, "Not Found")</f>
        <v>62</v>
      </c>
      <c r="Q1896" t="str">
        <f>VLOOKUP(Sales_fact[[#This Row],[Customer_ID]], 'Customer_Dim'!A:F, 6, FALSE)</f>
        <v>Female</v>
      </c>
      <c r="R1896" s="13" t="str">
        <f>_xlfn.XLOOKUP(Sales_fact[[#This Row],[Product_ID]],Product_Dim!A:A,Product_Dim!C:C,"OTHERS")</f>
        <v>Sports</v>
      </c>
    </row>
    <row r="1897" spans="1:18" x14ac:dyDescent="0.3">
      <c r="A1897" t="s">
        <v>3721</v>
      </c>
      <c r="B1897" s="2">
        <v>45423</v>
      </c>
      <c r="C1897" t="s">
        <v>103</v>
      </c>
      <c r="D1897" t="s">
        <v>1576</v>
      </c>
      <c r="E1897" t="str">
        <f ca="1">TRIM(Sales_fact[[#This Row],[Store_ID]])</f>
        <v>STORE1</v>
      </c>
      <c r="F1897">
        <v>2</v>
      </c>
      <c r="G1897">
        <f>IF(ISBLANK(F1897),MODE($F$2:$F$2001),F1897)</f>
        <v>2</v>
      </c>
      <c r="H1897">
        <v>660.27</v>
      </c>
      <c r="I1897">
        <f>IF(ISBLANK(H1897),AVERAGE($H$2:$H$2001),H1897)</f>
        <v>660.27</v>
      </c>
      <c r="J1897">
        <v>0.01</v>
      </c>
      <c r="K1897">
        <f>IF(ISBLANK(J1897),MODE($J$2:$J$2001),J1897)</f>
        <v>0.01</v>
      </c>
      <c r="L1897" t="s">
        <v>1826</v>
      </c>
      <c r="M1897">
        <v>1307.3345999999999</v>
      </c>
      <c r="N1897">
        <f t="shared" si="29"/>
        <v>1307.3345999999999</v>
      </c>
      <c r="O1897" t="str">
        <f>_xlfn.XLOOKUP(Sales_fact[[#This Row],[Customer_ID]],'Customer_Dim'!A:A,'Customer_Dim'!K:K,"Not Found")</f>
        <v>Platinum</v>
      </c>
      <c r="P1897">
        <f>_xlfn.XLOOKUP(Sales_fact[[#This Row],[Customer_ID]],'Customer_Dim'!A:A, 'Customer_Dim'!E:E, "Not Found")</f>
        <v>40</v>
      </c>
      <c r="Q1897" t="str">
        <f>VLOOKUP(Sales_fact[[#This Row],[Customer_ID]], 'Customer_Dim'!A:F, 6, FALSE)</f>
        <v>Male</v>
      </c>
      <c r="R1897" s="13" t="str">
        <f>_xlfn.XLOOKUP(Sales_fact[[#This Row],[Product_ID]],Product_Dim!A:A,Product_Dim!C:C,"OTHERS")</f>
        <v>Home</v>
      </c>
    </row>
    <row r="1898" spans="1:18" x14ac:dyDescent="0.3">
      <c r="A1898" t="s">
        <v>3722</v>
      </c>
      <c r="B1898" s="2">
        <v>45780</v>
      </c>
      <c r="C1898" t="s">
        <v>1346</v>
      </c>
      <c r="D1898" t="s">
        <v>1574</v>
      </c>
      <c r="E1898" t="str">
        <f ca="1">TRIM(Sales_fact[[#This Row],[Store_ID]])</f>
        <v>STORE8</v>
      </c>
      <c r="F1898">
        <v>4</v>
      </c>
      <c r="G1898">
        <f>IF(ISBLANK(F1898),MODE($F$2:$F$2001),F1898)</f>
        <v>4</v>
      </c>
      <c r="H1898">
        <v>729.31</v>
      </c>
      <c r="I1898">
        <f>IF(ISBLANK(H1898),AVERAGE($H$2:$H$2001),H1898)</f>
        <v>729.31</v>
      </c>
      <c r="J1898">
        <v>0.03</v>
      </c>
      <c r="K1898">
        <f>IF(ISBLANK(J1898),MODE($J$2:$J$2001),J1898)</f>
        <v>0.03</v>
      </c>
      <c r="L1898" t="s">
        <v>1824</v>
      </c>
      <c r="M1898">
        <v>2829.7228</v>
      </c>
      <c r="N1898">
        <f t="shared" si="29"/>
        <v>2829.7227999999996</v>
      </c>
      <c r="O1898" t="str">
        <f>_xlfn.XLOOKUP(Sales_fact[[#This Row],[Customer_ID]],'Customer_Dim'!A:A,'Customer_Dim'!K:K,"Not Found")</f>
        <v>Gold</v>
      </c>
      <c r="P1898">
        <f>_xlfn.XLOOKUP(Sales_fact[[#This Row],[Customer_ID]],'Customer_Dim'!A:A, 'Customer_Dim'!E:E, "Not Found")</f>
        <v>48</v>
      </c>
      <c r="Q1898" t="str">
        <f>VLOOKUP(Sales_fact[[#This Row],[Customer_ID]], 'Customer_Dim'!A:F, 6, FALSE)</f>
        <v>Female</v>
      </c>
      <c r="R1898" s="13" t="str">
        <f>_xlfn.XLOOKUP(Sales_fact[[#This Row],[Product_ID]],Product_Dim!A:A,Product_Dim!C:C,"OTHERS")</f>
        <v>Electronics</v>
      </c>
    </row>
    <row r="1899" spans="1:18" x14ac:dyDescent="0.3">
      <c r="A1899" t="s">
        <v>3723</v>
      </c>
      <c r="B1899" s="2">
        <v>45345</v>
      </c>
      <c r="C1899" t="s">
        <v>1307</v>
      </c>
      <c r="D1899" t="s">
        <v>1722</v>
      </c>
      <c r="E1899" t="str">
        <f ca="1">TRIM(Sales_fact[[#This Row],[Store_ID]])</f>
        <v>STORE6</v>
      </c>
      <c r="F1899">
        <v>2</v>
      </c>
      <c r="G1899">
        <f>IF(ISBLANK(F1899),MODE($F$2:$F$2001),F1899)</f>
        <v>2</v>
      </c>
      <c r="H1899">
        <v>152.91</v>
      </c>
      <c r="I1899">
        <f>IF(ISBLANK(H1899),AVERAGE($H$2:$H$2001),H1899)</f>
        <v>152.91</v>
      </c>
      <c r="J1899">
        <v>0.24</v>
      </c>
      <c r="K1899">
        <f>IF(ISBLANK(J1899),MODE($J$2:$J$2001),J1899)</f>
        <v>0.24</v>
      </c>
      <c r="L1899" t="s">
        <v>1826</v>
      </c>
      <c r="M1899">
        <v>232.42320000000001</v>
      </c>
      <c r="N1899">
        <f t="shared" si="29"/>
        <v>232.42320000000001</v>
      </c>
      <c r="O1899" t="str">
        <f>_xlfn.XLOOKUP(Sales_fact[[#This Row],[Customer_ID]],'Customer_Dim'!A:A,'Customer_Dim'!K:K,"Not Found")</f>
        <v>Platinum</v>
      </c>
      <c r="P1899">
        <f>_xlfn.XLOOKUP(Sales_fact[[#This Row],[Customer_ID]],'Customer_Dim'!A:A, 'Customer_Dim'!E:E, "Not Found")</f>
        <v>45</v>
      </c>
      <c r="Q1899" t="str">
        <f>VLOOKUP(Sales_fact[[#This Row],[Customer_ID]], 'Customer_Dim'!A:F, 6, FALSE)</f>
        <v>Female</v>
      </c>
      <c r="R1899" s="13" t="str">
        <f>_xlfn.XLOOKUP(Sales_fact[[#This Row],[Product_ID]],Product_Dim!A:A,Product_Dim!C:C,"OTHERS")</f>
        <v>Home</v>
      </c>
    </row>
    <row r="1900" spans="1:18" x14ac:dyDescent="0.3">
      <c r="A1900" t="s">
        <v>3724</v>
      </c>
      <c r="B1900" s="2">
        <v>45344</v>
      </c>
      <c r="C1900" t="s">
        <v>1422</v>
      </c>
      <c r="D1900" t="s">
        <v>1696</v>
      </c>
      <c r="E1900" t="str">
        <f ca="1">TRIM(Sales_fact[[#This Row],[Store_ID]])</f>
        <v>STORE15</v>
      </c>
      <c r="F1900">
        <v>4</v>
      </c>
      <c r="G1900">
        <f>IF(ISBLANK(F1900),MODE($F$2:$F$2001),F1900)</f>
        <v>4</v>
      </c>
      <c r="H1900">
        <v>592.14</v>
      </c>
      <c r="I1900">
        <f>IF(ISBLANK(H1900),AVERAGE($H$2:$H$2001),H1900)</f>
        <v>592.14</v>
      </c>
      <c r="J1900">
        <v>0.12</v>
      </c>
      <c r="K1900">
        <f>IF(ISBLANK(J1900),MODE($J$2:$J$2001),J1900)</f>
        <v>0.12</v>
      </c>
      <c r="L1900" t="s">
        <v>1829</v>
      </c>
      <c r="M1900">
        <v>2084.3328000000001</v>
      </c>
      <c r="N1900">
        <f t="shared" si="29"/>
        <v>2084.3328000000001</v>
      </c>
      <c r="O1900" t="str">
        <f>_xlfn.XLOOKUP(Sales_fact[[#This Row],[Customer_ID]],'Customer_Dim'!A:A,'Customer_Dim'!K:K,"Not Found")</f>
        <v>Silver</v>
      </c>
      <c r="P1900">
        <f>_xlfn.XLOOKUP(Sales_fact[[#This Row],[Customer_ID]],'Customer_Dim'!A:A, 'Customer_Dim'!E:E, "Not Found")</f>
        <v>60</v>
      </c>
      <c r="Q1900" t="str">
        <f>VLOOKUP(Sales_fact[[#This Row],[Customer_ID]], 'Customer_Dim'!A:F, 6, FALSE)</f>
        <v>Female</v>
      </c>
      <c r="R1900" s="13" t="str">
        <f>_xlfn.XLOOKUP(Sales_fact[[#This Row],[Product_ID]],Product_Dim!A:A,Product_Dim!C:C,"OTHERS")</f>
        <v>Electronics</v>
      </c>
    </row>
    <row r="1901" spans="1:18" x14ac:dyDescent="0.3">
      <c r="A1901" t="s">
        <v>3725</v>
      </c>
      <c r="B1901" s="2">
        <v>45525</v>
      </c>
      <c r="C1901" t="s">
        <v>230</v>
      </c>
      <c r="D1901" t="s">
        <v>1704</v>
      </c>
      <c r="E1901" t="str">
        <f ca="1">TRIM(Sales_fact[[#This Row],[Store_ID]])</f>
        <v>STORE12</v>
      </c>
      <c r="F1901">
        <v>1</v>
      </c>
      <c r="G1901">
        <f>IF(ISBLANK(F1901),MODE($F$2:$F$2001),F1901)</f>
        <v>1</v>
      </c>
      <c r="H1901">
        <v>984.37</v>
      </c>
      <c r="I1901">
        <f>IF(ISBLANK(H1901),AVERAGE($H$2:$H$2001),H1901)</f>
        <v>984.37</v>
      </c>
      <c r="J1901">
        <v>0</v>
      </c>
      <c r="K1901">
        <f>IF(ISBLANK(J1901),MODE($J$2:$J$2001),J1901)</f>
        <v>0</v>
      </c>
      <c r="L1901" t="s">
        <v>1826</v>
      </c>
      <c r="M1901">
        <v>984.37</v>
      </c>
      <c r="N1901">
        <f t="shared" si="29"/>
        <v>984.37</v>
      </c>
      <c r="O1901" t="str">
        <f>_xlfn.XLOOKUP(Sales_fact[[#This Row],[Customer_ID]],'Customer_Dim'!A:A,'Customer_Dim'!K:K,"Not Found")</f>
        <v>Bronze</v>
      </c>
      <c r="P1901">
        <f>_xlfn.XLOOKUP(Sales_fact[[#This Row],[Customer_ID]],'Customer_Dim'!A:A, 'Customer_Dim'!E:E, "Not Found")</f>
        <v>50</v>
      </c>
      <c r="Q1901" t="str">
        <f>VLOOKUP(Sales_fact[[#This Row],[Customer_ID]], 'Customer_Dim'!A:F, 6, FALSE)</f>
        <v>Male</v>
      </c>
      <c r="R1901" s="13" t="str">
        <f>_xlfn.XLOOKUP(Sales_fact[[#This Row],[Product_ID]],Product_Dim!A:A,Product_Dim!C:C,"OTHERS")</f>
        <v>Home</v>
      </c>
    </row>
    <row r="1902" spans="1:18" x14ac:dyDescent="0.3">
      <c r="A1902" t="s">
        <v>3726</v>
      </c>
      <c r="B1902" s="2">
        <v>45329</v>
      </c>
      <c r="C1902" t="s">
        <v>926</v>
      </c>
      <c r="D1902" t="s">
        <v>1546</v>
      </c>
      <c r="E1902" t="str">
        <f ca="1">TRIM(Sales_fact[[#This Row],[Store_ID]])</f>
        <v>STORE12</v>
      </c>
      <c r="F1902">
        <v>2</v>
      </c>
      <c r="G1902">
        <f>IF(ISBLANK(F1902),MODE($F$2:$F$2001),F1902)</f>
        <v>2</v>
      </c>
      <c r="H1902">
        <v>237.59</v>
      </c>
      <c r="I1902">
        <f>IF(ISBLANK(H1902),AVERAGE($H$2:$H$2001),H1902)</f>
        <v>237.59</v>
      </c>
      <c r="J1902">
        <v>0.12</v>
      </c>
      <c r="K1902">
        <f>IF(ISBLANK(J1902),MODE($J$2:$J$2001),J1902)</f>
        <v>0.12</v>
      </c>
      <c r="L1902" t="s">
        <v>1824</v>
      </c>
      <c r="M1902">
        <v>418.15839999999997</v>
      </c>
      <c r="N1902">
        <f t="shared" si="29"/>
        <v>418.15840000000003</v>
      </c>
      <c r="O1902" t="str">
        <f>_xlfn.XLOOKUP(Sales_fact[[#This Row],[Customer_ID]],'Customer_Dim'!A:A,'Customer_Dim'!K:K,"Not Found")</f>
        <v>Silver</v>
      </c>
      <c r="P1902">
        <f>_xlfn.XLOOKUP(Sales_fact[[#This Row],[Customer_ID]],'Customer_Dim'!A:A, 'Customer_Dim'!E:E, "Not Found")</f>
        <v>30</v>
      </c>
      <c r="Q1902" t="str">
        <f>VLOOKUP(Sales_fact[[#This Row],[Customer_ID]], 'Customer_Dim'!A:F, 6, FALSE)</f>
        <v>Male</v>
      </c>
      <c r="R1902" s="13" t="str">
        <f>_xlfn.XLOOKUP(Sales_fact[[#This Row],[Product_ID]],Product_Dim!A:A,Product_Dim!C:C,"OTHERS")</f>
        <v>Clothing</v>
      </c>
    </row>
    <row r="1903" spans="1:18" x14ac:dyDescent="0.3">
      <c r="A1903" t="s">
        <v>3727</v>
      </c>
      <c r="B1903" s="2">
        <v>45250</v>
      </c>
      <c r="C1903" t="s">
        <v>1337</v>
      </c>
      <c r="D1903" t="s">
        <v>1598</v>
      </c>
      <c r="E1903" t="str">
        <f ca="1">TRIM(Sales_fact[[#This Row],[Store_ID]])</f>
        <v>STORE8</v>
      </c>
      <c r="F1903">
        <v>1</v>
      </c>
      <c r="G1903">
        <f>IF(ISBLANK(F1903),MODE($F$2:$F$2001),F1903)</f>
        <v>1</v>
      </c>
      <c r="H1903">
        <v>52.06</v>
      </c>
      <c r="I1903">
        <f>IF(ISBLANK(H1903),AVERAGE($H$2:$H$2001),H1903)</f>
        <v>52.06</v>
      </c>
      <c r="J1903">
        <v>0.27</v>
      </c>
      <c r="K1903">
        <f>IF(ISBLANK(J1903),MODE($J$2:$J$2001),J1903)</f>
        <v>0.27</v>
      </c>
      <c r="L1903" t="s">
        <v>1829</v>
      </c>
      <c r="M1903">
        <v>38.003799999999998</v>
      </c>
      <c r="N1903">
        <f t="shared" si="29"/>
        <v>38.003799999999998</v>
      </c>
      <c r="O1903" t="str">
        <f>_xlfn.XLOOKUP(Sales_fact[[#This Row],[Customer_ID]],'Customer_Dim'!A:A,'Customer_Dim'!K:K,"Not Found")</f>
        <v>Platinum</v>
      </c>
      <c r="P1903">
        <f>_xlfn.XLOOKUP(Sales_fact[[#This Row],[Customer_ID]],'Customer_Dim'!A:A, 'Customer_Dim'!E:E, "Not Found")</f>
        <v>27</v>
      </c>
      <c r="Q1903" t="str">
        <f>VLOOKUP(Sales_fact[[#This Row],[Customer_ID]], 'Customer_Dim'!A:F, 6, FALSE)</f>
        <v>Male</v>
      </c>
      <c r="R1903" s="13" t="str">
        <f>_xlfn.XLOOKUP(Sales_fact[[#This Row],[Product_ID]],Product_Dim!A:A,Product_Dim!C:C,"OTHERS")</f>
        <v>Clothing</v>
      </c>
    </row>
    <row r="1904" spans="1:18" x14ac:dyDescent="0.3">
      <c r="A1904" t="s">
        <v>3728</v>
      </c>
      <c r="B1904" s="2">
        <v>45691</v>
      </c>
      <c r="C1904" t="s">
        <v>1405</v>
      </c>
      <c r="D1904" t="s">
        <v>1551</v>
      </c>
      <c r="E1904" t="str">
        <f ca="1">TRIM(Sales_fact[[#This Row],[Store_ID]])</f>
        <v>STORE1</v>
      </c>
      <c r="F1904">
        <v>2</v>
      </c>
      <c r="G1904">
        <f>IF(ISBLANK(F1904),MODE($F$2:$F$2001),F1904)</f>
        <v>2</v>
      </c>
      <c r="H1904">
        <v>594.63</v>
      </c>
      <c r="I1904">
        <f>IF(ISBLANK(H1904),AVERAGE($H$2:$H$2001),H1904)</f>
        <v>594.63</v>
      </c>
      <c r="J1904">
        <v>0.12</v>
      </c>
      <c r="K1904">
        <f>IF(ISBLANK(J1904),MODE($J$2:$J$2001),J1904)</f>
        <v>0.12</v>
      </c>
      <c r="L1904" t="s">
        <v>1824</v>
      </c>
      <c r="M1904">
        <v>1046.5488</v>
      </c>
      <c r="N1904">
        <f t="shared" si="29"/>
        <v>1046.5488</v>
      </c>
      <c r="O1904" t="str">
        <f>_xlfn.XLOOKUP(Sales_fact[[#This Row],[Customer_ID]],'Customer_Dim'!A:A,'Customer_Dim'!K:K,"Not Found")</f>
        <v>Gold</v>
      </c>
      <c r="P1904">
        <f>_xlfn.XLOOKUP(Sales_fact[[#This Row],[Customer_ID]],'Customer_Dim'!A:A, 'Customer_Dim'!E:E, "Not Found")</f>
        <v>54</v>
      </c>
      <c r="Q1904" t="str">
        <f>VLOOKUP(Sales_fact[[#This Row],[Customer_ID]], 'Customer_Dim'!A:F, 6, FALSE)</f>
        <v>Male</v>
      </c>
      <c r="R1904" s="13" t="str">
        <f>_xlfn.XLOOKUP(Sales_fact[[#This Row],[Product_ID]],Product_Dim!A:A,Product_Dim!C:C,"OTHERS")</f>
        <v>OTHERS</v>
      </c>
    </row>
    <row r="1905" spans="1:18" x14ac:dyDescent="0.3">
      <c r="A1905" t="s">
        <v>3729</v>
      </c>
      <c r="B1905" s="2">
        <v>45644</v>
      </c>
      <c r="C1905" t="s">
        <v>556</v>
      </c>
      <c r="D1905" t="s">
        <v>1551</v>
      </c>
      <c r="E1905" t="str">
        <f ca="1">TRIM(Sales_fact[[#This Row],[Store_ID]])</f>
        <v>STORE0</v>
      </c>
      <c r="F1905">
        <v>3</v>
      </c>
      <c r="G1905">
        <f>IF(ISBLANK(F1905),MODE($F$2:$F$2001),F1905)</f>
        <v>3</v>
      </c>
      <c r="H1905">
        <v>476.1</v>
      </c>
      <c r="I1905">
        <f>IF(ISBLANK(H1905),AVERAGE($H$2:$H$2001),H1905)</f>
        <v>476.1</v>
      </c>
      <c r="J1905">
        <v>0.05</v>
      </c>
      <c r="K1905">
        <f>IF(ISBLANK(J1905),MODE($J$2:$J$2001),J1905)</f>
        <v>0.05</v>
      </c>
      <c r="L1905" t="s">
        <v>1829</v>
      </c>
      <c r="M1905">
        <v>1356.885</v>
      </c>
      <c r="N1905">
        <f t="shared" si="29"/>
        <v>1356.8850000000002</v>
      </c>
      <c r="O1905" t="str">
        <f>_xlfn.XLOOKUP(Sales_fact[[#This Row],[Customer_ID]],'Customer_Dim'!A:A,'Customer_Dim'!K:K,"Not Found")</f>
        <v>Gold</v>
      </c>
      <c r="P1905">
        <f>_xlfn.XLOOKUP(Sales_fact[[#This Row],[Customer_ID]],'Customer_Dim'!A:A, 'Customer_Dim'!E:E, "Not Found")</f>
        <v>36</v>
      </c>
      <c r="Q1905" t="str">
        <f>VLOOKUP(Sales_fact[[#This Row],[Customer_ID]], 'Customer_Dim'!A:F, 6, FALSE)</f>
        <v>Female</v>
      </c>
      <c r="R1905" s="13" t="str">
        <f>_xlfn.XLOOKUP(Sales_fact[[#This Row],[Product_ID]],Product_Dim!A:A,Product_Dim!C:C,"OTHERS")</f>
        <v>OTHERS</v>
      </c>
    </row>
    <row r="1906" spans="1:18" x14ac:dyDescent="0.3">
      <c r="A1906" t="s">
        <v>3730</v>
      </c>
      <c r="B1906" s="2">
        <v>45514</v>
      </c>
      <c r="C1906" t="s">
        <v>227</v>
      </c>
      <c r="D1906" t="s">
        <v>1670</v>
      </c>
      <c r="E1906" t="str">
        <f ca="1">TRIM(Sales_fact[[#This Row],[Store_ID]])</f>
        <v>STORE6</v>
      </c>
      <c r="F1906">
        <v>1</v>
      </c>
      <c r="G1906">
        <f>IF(ISBLANK(F1906),MODE($F$2:$F$2001),F1906)</f>
        <v>1</v>
      </c>
      <c r="H1906">
        <v>546.47</v>
      </c>
      <c r="I1906">
        <f>IF(ISBLANK(H1906),AVERAGE($H$2:$H$2001),H1906)</f>
        <v>546.47</v>
      </c>
      <c r="J1906">
        <v>0.08</v>
      </c>
      <c r="K1906">
        <f>IF(ISBLANK(J1906),MODE($J$2:$J$2001),J1906)</f>
        <v>0.08</v>
      </c>
      <c r="L1906" t="s">
        <v>1829</v>
      </c>
      <c r="M1906">
        <v>502.75240000000002</v>
      </c>
      <c r="N1906">
        <f t="shared" si="29"/>
        <v>502.75240000000002</v>
      </c>
      <c r="O1906" t="str">
        <f>_xlfn.XLOOKUP(Sales_fact[[#This Row],[Customer_ID]],'Customer_Dim'!A:A,'Customer_Dim'!K:K,"Not Found")</f>
        <v>Silver</v>
      </c>
      <c r="P1906">
        <f>_xlfn.XLOOKUP(Sales_fact[[#This Row],[Customer_ID]],'Customer_Dim'!A:A, 'Customer_Dim'!E:E, "Not Found")</f>
        <v>23</v>
      </c>
      <c r="Q1906" t="str">
        <f>VLOOKUP(Sales_fact[[#This Row],[Customer_ID]], 'Customer_Dim'!A:F, 6, FALSE)</f>
        <v>Male</v>
      </c>
      <c r="R1906" s="13" t="str">
        <f>_xlfn.XLOOKUP(Sales_fact[[#This Row],[Product_ID]],Product_Dim!A:A,Product_Dim!C:C,"OTHERS")</f>
        <v>Sports</v>
      </c>
    </row>
    <row r="1907" spans="1:18" x14ac:dyDescent="0.3">
      <c r="A1907" t="s">
        <v>3731</v>
      </c>
      <c r="B1907" s="2">
        <v>45760</v>
      </c>
      <c r="C1907" t="s">
        <v>582</v>
      </c>
      <c r="D1907" t="s">
        <v>1698</v>
      </c>
      <c r="E1907" t="str">
        <f ca="1">TRIM(Sales_fact[[#This Row],[Store_ID]])</f>
        <v>STORE12</v>
      </c>
      <c r="F1907">
        <v>1</v>
      </c>
      <c r="G1907">
        <f>IF(ISBLANK(F1907),MODE($F$2:$F$2001),F1907)</f>
        <v>1</v>
      </c>
      <c r="H1907">
        <v>979.49</v>
      </c>
      <c r="I1907">
        <f>IF(ISBLANK(H1907),AVERAGE($H$2:$H$2001),H1907)</f>
        <v>979.49</v>
      </c>
      <c r="J1907">
        <v>0.19</v>
      </c>
      <c r="K1907">
        <f>IF(ISBLANK(J1907),MODE($J$2:$J$2001),J1907)</f>
        <v>0.19</v>
      </c>
      <c r="L1907" t="s">
        <v>1829</v>
      </c>
      <c r="M1907">
        <v>793.38690000000008</v>
      </c>
      <c r="N1907">
        <f t="shared" si="29"/>
        <v>793.38690000000008</v>
      </c>
      <c r="O1907" t="str">
        <f>_xlfn.XLOOKUP(Sales_fact[[#This Row],[Customer_ID]],'Customer_Dim'!A:A,'Customer_Dim'!K:K,"Not Found")</f>
        <v>Silver</v>
      </c>
      <c r="P1907">
        <f>_xlfn.XLOOKUP(Sales_fact[[#This Row],[Customer_ID]],'Customer_Dim'!A:A, 'Customer_Dim'!E:E, "Not Found")</f>
        <v>48</v>
      </c>
      <c r="Q1907" t="str">
        <f>VLOOKUP(Sales_fact[[#This Row],[Customer_ID]], 'Customer_Dim'!A:F, 6, FALSE)</f>
        <v>Male</v>
      </c>
      <c r="R1907" s="13" t="str">
        <f>_xlfn.XLOOKUP(Sales_fact[[#This Row],[Product_ID]],Product_Dim!A:A,Product_Dim!C:C,"OTHERS")</f>
        <v>Clothing</v>
      </c>
    </row>
    <row r="1908" spans="1:18" x14ac:dyDescent="0.3">
      <c r="A1908" t="s">
        <v>3732</v>
      </c>
      <c r="B1908" s="2">
        <v>45289</v>
      </c>
      <c r="C1908" t="s">
        <v>634</v>
      </c>
      <c r="D1908" t="s">
        <v>1582</v>
      </c>
      <c r="E1908" t="str">
        <f ca="1">TRIM(Sales_fact[[#This Row],[Store_ID]])</f>
        <v>STORE2</v>
      </c>
      <c r="F1908">
        <v>3</v>
      </c>
      <c r="G1908">
        <f>IF(ISBLANK(F1908),MODE($F$2:$F$2001),F1908)</f>
        <v>3</v>
      </c>
      <c r="H1908">
        <v>988.53</v>
      </c>
      <c r="I1908">
        <f>IF(ISBLANK(H1908),AVERAGE($H$2:$H$2001),H1908)</f>
        <v>988.53</v>
      </c>
      <c r="J1908">
        <v>0.3</v>
      </c>
      <c r="K1908">
        <f>IF(ISBLANK(J1908),MODE($J$2:$J$2001),J1908)</f>
        <v>0.3</v>
      </c>
      <c r="L1908" t="s">
        <v>1829</v>
      </c>
      <c r="M1908">
        <v>2075.913</v>
      </c>
      <c r="N1908">
        <f t="shared" si="29"/>
        <v>2075.913</v>
      </c>
      <c r="O1908" t="str">
        <f>_xlfn.XLOOKUP(Sales_fact[[#This Row],[Customer_ID]],'Customer_Dim'!A:A,'Customer_Dim'!K:K,"Not Found")</f>
        <v>Gold</v>
      </c>
      <c r="P1908">
        <f>_xlfn.XLOOKUP(Sales_fact[[#This Row],[Customer_ID]],'Customer_Dim'!A:A, 'Customer_Dim'!E:E, "Not Found")</f>
        <v>38</v>
      </c>
      <c r="Q1908" t="str">
        <f>VLOOKUP(Sales_fact[[#This Row],[Customer_ID]], 'Customer_Dim'!A:F, 6, FALSE)</f>
        <v>Male</v>
      </c>
      <c r="R1908" s="13" t="str">
        <f>_xlfn.XLOOKUP(Sales_fact[[#This Row],[Product_ID]],Product_Dim!A:A,Product_Dim!C:C,"OTHERS")</f>
        <v>Sports</v>
      </c>
    </row>
    <row r="1909" spans="1:18" x14ac:dyDescent="0.3">
      <c r="A1909" t="s">
        <v>3733</v>
      </c>
      <c r="B1909" s="2">
        <v>45704</v>
      </c>
      <c r="C1909" t="s">
        <v>815</v>
      </c>
      <c r="D1909" t="s">
        <v>1700</v>
      </c>
      <c r="E1909" t="str">
        <f ca="1">TRIM(Sales_fact[[#This Row],[Store_ID]])</f>
        <v>STORE3</v>
      </c>
      <c r="F1909">
        <v>4</v>
      </c>
      <c r="G1909">
        <f>IF(ISBLANK(F1909),MODE($F$2:$F$2001),F1909)</f>
        <v>4</v>
      </c>
      <c r="H1909">
        <v>849.29</v>
      </c>
      <c r="I1909">
        <f>IF(ISBLANK(H1909),AVERAGE($H$2:$H$2001),H1909)</f>
        <v>849.29</v>
      </c>
      <c r="J1909">
        <v>0.26</v>
      </c>
      <c r="K1909">
        <f>IF(ISBLANK(J1909),MODE($J$2:$J$2001),J1909)</f>
        <v>0.26</v>
      </c>
      <c r="L1909" t="s">
        <v>1824</v>
      </c>
      <c r="M1909">
        <v>2513.8984</v>
      </c>
      <c r="N1909">
        <f t="shared" si="29"/>
        <v>2513.8984</v>
      </c>
      <c r="O1909" t="str">
        <f>_xlfn.XLOOKUP(Sales_fact[[#This Row],[Customer_ID]],'Customer_Dim'!A:A,'Customer_Dim'!K:K,"Not Found")</f>
        <v>Gold</v>
      </c>
      <c r="P1909">
        <f>_xlfn.XLOOKUP(Sales_fact[[#This Row],[Customer_ID]],'Customer_Dim'!A:A, 'Customer_Dim'!E:E, "Not Found")</f>
        <v>21</v>
      </c>
      <c r="Q1909" t="str">
        <f>VLOOKUP(Sales_fact[[#This Row],[Customer_ID]], 'Customer_Dim'!A:F, 6, FALSE)</f>
        <v>Male</v>
      </c>
      <c r="R1909" s="13" t="str">
        <f>_xlfn.XLOOKUP(Sales_fact[[#This Row],[Product_ID]],Product_Dim!A:A,Product_Dim!C:C,"OTHERS")</f>
        <v>Electronics</v>
      </c>
    </row>
    <row r="1910" spans="1:18" x14ac:dyDescent="0.3">
      <c r="A1910" t="s">
        <v>3734</v>
      </c>
      <c r="B1910" s="2">
        <v>45318</v>
      </c>
      <c r="C1910" t="s">
        <v>1077</v>
      </c>
      <c r="D1910" t="s">
        <v>1738</v>
      </c>
      <c r="E1910" t="str">
        <f ca="1">TRIM(Sales_fact[[#This Row],[Store_ID]])</f>
        <v>STORE14</v>
      </c>
      <c r="F1910">
        <v>2</v>
      </c>
      <c r="G1910">
        <f>IF(ISBLANK(F1910),MODE($F$2:$F$2001),F1910)</f>
        <v>2</v>
      </c>
      <c r="H1910">
        <v>452.29</v>
      </c>
      <c r="I1910">
        <f>IF(ISBLANK(H1910),AVERAGE($H$2:$H$2001),H1910)</f>
        <v>452.29</v>
      </c>
      <c r="J1910">
        <v>0.01</v>
      </c>
      <c r="K1910">
        <f>IF(ISBLANK(J1910),MODE($J$2:$J$2001),J1910)</f>
        <v>0.01</v>
      </c>
      <c r="L1910" t="s">
        <v>1829</v>
      </c>
      <c r="M1910">
        <v>895.53420000000006</v>
      </c>
      <c r="N1910">
        <f t="shared" si="29"/>
        <v>895.53420000000006</v>
      </c>
      <c r="O1910" t="str">
        <f>_xlfn.XLOOKUP(Sales_fact[[#This Row],[Customer_ID]],'Customer_Dim'!A:A,'Customer_Dim'!K:K,"Not Found")</f>
        <v>Bronze</v>
      </c>
      <c r="P1910">
        <f>_xlfn.XLOOKUP(Sales_fact[[#This Row],[Customer_ID]],'Customer_Dim'!A:A, 'Customer_Dim'!E:E, "Not Found")</f>
        <v>38</v>
      </c>
      <c r="Q1910" t="str">
        <f>VLOOKUP(Sales_fact[[#This Row],[Customer_ID]], 'Customer_Dim'!A:F, 6, FALSE)</f>
        <v>Male</v>
      </c>
      <c r="R1910" s="13" t="str">
        <f>_xlfn.XLOOKUP(Sales_fact[[#This Row],[Product_ID]],Product_Dim!A:A,Product_Dim!C:C,"OTHERS")</f>
        <v>Sports</v>
      </c>
    </row>
    <row r="1911" spans="1:18" x14ac:dyDescent="0.3">
      <c r="A1911" t="s">
        <v>3735</v>
      </c>
      <c r="B1911" s="2">
        <v>45495</v>
      </c>
      <c r="C1911" t="s">
        <v>1377</v>
      </c>
      <c r="D1911" t="s">
        <v>1656</v>
      </c>
      <c r="E1911" t="str">
        <f ca="1">TRIM(Sales_fact[[#This Row],[Store_ID]])</f>
        <v>STORE18</v>
      </c>
      <c r="F1911">
        <v>2</v>
      </c>
      <c r="G1911">
        <f>IF(ISBLANK(F1911),MODE($F$2:$F$2001),F1911)</f>
        <v>2</v>
      </c>
      <c r="H1911">
        <v>810.81</v>
      </c>
      <c r="I1911">
        <f>IF(ISBLANK(H1911),AVERAGE($H$2:$H$2001),H1911)</f>
        <v>810.81</v>
      </c>
      <c r="J1911">
        <v>0.11</v>
      </c>
      <c r="K1911">
        <f>IF(ISBLANK(J1911),MODE($J$2:$J$2001),J1911)</f>
        <v>0.11</v>
      </c>
      <c r="L1911" t="s">
        <v>1829</v>
      </c>
      <c r="M1911">
        <v>1443.2418</v>
      </c>
      <c r="N1911">
        <f t="shared" si="29"/>
        <v>1443.2418</v>
      </c>
      <c r="O1911" t="str">
        <f>_xlfn.XLOOKUP(Sales_fact[[#This Row],[Customer_ID]],'Customer_Dim'!A:A,'Customer_Dim'!K:K,"Not Found")</f>
        <v>Platinum</v>
      </c>
      <c r="P1911">
        <f>_xlfn.XLOOKUP(Sales_fact[[#This Row],[Customer_ID]],'Customer_Dim'!A:A, 'Customer_Dim'!E:E, "Not Found")</f>
        <v>41</v>
      </c>
      <c r="Q1911" t="str">
        <f>VLOOKUP(Sales_fact[[#This Row],[Customer_ID]], 'Customer_Dim'!A:F, 6, FALSE)</f>
        <v>Female</v>
      </c>
      <c r="R1911" s="13" t="str">
        <f>_xlfn.XLOOKUP(Sales_fact[[#This Row],[Product_ID]],Product_Dim!A:A,Product_Dim!C:C,"OTHERS")</f>
        <v>Sports</v>
      </c>
    </row>
    <row r="1912" spans="1:18" x14ac:dyDescent="0.3">
      <c r="A1912" t="s">
        <v>3736</v>
      </c>
      <c r="B1912" s="2">
        <v>45560</v>
      </c>
      <c r="C1912" t="s">
        <v>127</v>
      </c>
      <c r="D1912" t="s">
        <v>1670</v>
      </c>
      <c r="E1912" t="str">
        <f ca="1">TRIM(Sales_fact[[#This Row],[Store_ID]])</f>
        <v>STORE8</v>
      </c>
      <c r="F1912">
        <v>1</v>
      </c>
      <c r="G1912">
        <f>IF(ISBLANK(F1912),MODE($F$2:$F$2001),F1912)</f>
        <v>1</v>
      </c>
      <c r="H1912">
        <v>846.67</v>
      </c>
      <c r="I1912">
        <f>IF(ISBLANK(H1912),AVERAGE($H$2:$H$2001),H1912)</f>
        <v>846.67</v>
      </c>
      <c r="J1912">
        <v>0.1</v>
      </c>
      <c r="K1912">
        <f>IF(ISBLANK(J1912),MODE($J$2:$J$2001),J1912)</f>
        <v>0.1</v>
      </c>
      <c r="L1912" t="s">
        <v>1829</v>
      </c>
      <c r="M1912">
        <v>762.00299999999993</v>
      </c>
      <c r="N1912">
        <f t="shared" si="29"/>
        <v>762.00299999999993</v>
      </c>
      <c r="O1912" t="str">
        <f>_xlfn.XLOOKUP(Sales_fact[[#This Row],[Customer_ID]],'Customer_Dim'!A:A,'Customer_Dim'!K:K,"Not Found")</f>
        <v>Silver</v>
      </c>
      <c r="P1912">
        <f>_xlfn.XLOOKUP(Sales_fact[[#This Row],[Customer_ID]],'Customer_Dim'!A:A, 'Customer_Dim'!E:E, "Not Found")</f>
        <v>41</v>
      </c>
      <c r="Q1912" t="str">
        <f>VLOOKUP(Sales_fact[[#This Row],[Customer_ID]], 'Customer_Dim'!A:F, 6, FALSE)</f>
        <v>Male</v>
      </c>
      <c r="R1912" s="13" t="str">
        <f>_xlfn.XLOOKUP(Sales_fact[[#This Row],[Product_ID]],Product_Dim!A:A,Product_Dim!C:C,"OTHERS")</f>
        <v>Sports</v>
      </c>
    </row>
    <row r="1913" spans="1:18" x14ac:dyDescent="0.3">
      <c r="A1913" t="s">
        <v>3737</v>
      </c>
      <c r="B1913" s="2">
        <v>45367</v>
      </c>
      <c r="C1913" t="s">
        <v>78</v>
      </c>
      <c r="D1913" t="s">
        <v>1596</v>
      </c>
      <c r="E1913" t="str">
        <f ca="1">TRIM(Sales_fact[[#This Row],[Store_ID]])</f>
        <v>STORE6</v>
      </c>
      <c r="F1913">
        <v>4</v>
      </c>
      <c r="G1913">
        <f>IF(ISBLANK(F1913),MODE($F$2:$F$2001),F1913)</f>
        <v>4</v>
      </c>
      <c r="H1913">
        <v>73.55</v>
      </c>
      <c r="I1913">
        <f>IF(ISBLANK(H1913),AVERAGE($H$2:$H$2001),H1913)</f>
        <v>73.55</v>
      </c>
      <c r="J1913">
        <v>0.24</v>
      </c>
      <c r="K1913">
        <f>IF(ISBLANK(J1913),MODE($J$2:$J$2001),J1913)</f>
        <v>0.24</v>
      </c>
      <c r="L1913" t="s">
        <v>1829</v>
      </c>
      <c r="M1913">
        <v>223.59200000000001</v>
      </c>
      <c r="N1913">
        <f t="shared" si="29"/>
        <v>223.59199999999998</v>
      </c>
      <c r="O1913" t="str">
        <f>_xlfn.XLOOKUP(Sales_fact[[#This Row],[Customer_ID]],'Customer_Dim'!A:A,'Customer_Dim'!K:K,"Not Found")</f>
        <v>Platinum</v>
      </c>
      <c r="P1913">
        <f>_xlfn.XLOOKUP(Sales_fact[[#This Row],[Customer_ID]],'Customer_Dim'!A:A, 'Customer_Dim'!E:E, "Not Found")</f>
        <v>60</v>
      </c>
      <c r="Q1913" t="str">
        <f>VLOOKUP(Sales_fact[[#This Row],[Customer_ID]], 'Customer_Dim'!A:F, 6, FALSE)</f>
        <v>Female</v>
      </c>
      <c r="R1913" s="13" t="str">
        <f>_xlfn.XLOOKUP(Sales_fact[[#This Row],[Product_ID]],Product_Dim!A:A,Product_Dim!C:C,"OTHERS")</f>
        <v>Sports</v>
      </c>
    </row>
    <row r="1914" spans="1:18" x14ac:dyDescent="0.3">
      <c r="A1914" t="s">
        <v>3738</v>
      </c>
      <c r="B1914" s="2">
        <v>45861</v>
      </c>
      <c r="C1914" t="s">
        <v>884</v>
      </c>
      <c r="D1914" t="s">
        <v>1732</v>
      </c>
      <c r="E1914" t="str">
        <f ca="1">TRIM(Sales_fact[[#This Row],[Store_ID]])</f>
        <v>STORE6</v>
      </c>
      <c r="F1914">
        <v>1</v>
      </c>
      <c r="G1914">
        <f>IF(ISBLANK(F1914),MODE($F$2:$F$2001),F1914)</f>
        <v>1</v>
      </c>
      <c r="H1914">
        <v>882.03</v>
      </c>
      <c r="I1914">
        <f>IF(ISBLANK(H1914),AVERAGE($H$2:$H$2001),H1914)</f>
        <v>882.03</v>
      </c>
      <c r="J1914">
        <v>0.04</v>
      </c>
      <c r="K1914">
        <f>IF(ISBLANK(J1914),MODE($J$2:$J$2001),J1914)</f>
        <v>0.04</v>
      </c>
      <c r="L1914" t="s">
        <v>1829</v>
      </c>
      <c r="M1914">
        <v>846.74879999999996</v>
      </c>
      <c r="N1914">
        <f t="shared" si="29"/>
        <v>846.74879999999996</v>
      </c>
      <c r="O1914" t="str">
        <f>_xlfn.XLOOKUP(Sales_fact[[#This Row],[Customer_ID]],'Customer_Dim'!A:A,'Customer_Dim'!K:K,"Not Found")</f>
        <v>Platinum</v>
      </c>
      <c r="P1914">
        <f>_xlfn.XLOOKUP(Sales_fact[[#This Row],[Customer_ID]],'Customer_Dim'!A:A, 'Customer_Dim'!E:E, "Not Found")</f>
        <v>42</v>
      </c>
      <c r="Q1914" t="str">
        <f>VLOOKUP(Sales_fact[[#This Row],[Customer_ID]], 'Customer_Dim'!A:F, 6, FALSE)</f>
        <v>Female</v>
      </c>
      <c r="R1914" s="13" t="str">
        <f>_xlfn.XLOOKUP(Sales_fact[[#This Row],[Product_ID]],Product_Dim!A:A,Product_Dim!C:C,"OTHERS")</f>
        <v>Home</v>
      </c>
    </row>
    <row r="1915" spans="1:18" x14ac:dyDescent="0.3">
      <c r="A1915" t="s">
        <v>3739</v>
      </c>
      <c r="B1915" s="2">
        <v>45589</v>
      </c>
      <c r="C1915" t="s">
        <v>44</v>
      </c>
      <c r="D1915" t="s">
        <v>1592</v>
      </c>
      <c r="E1915" t="str">
        <f ca="1">TRIM(Sales_fact[[#This Row],[Store_ID]])</f>
        <v>STORE14</v>
      </c>
      <c r="F1915">
        <v>1</v>
      </c>
      <c r="G1915">
        <f>IF(ISBLANK(F1915),MODE($F$2:$F$2001),F1915)</f>
        <v>1</v>
      </c>
      <c r="H1915">
        <v>958.44</v>
      </c>
      <c r="I1915">
        <f>IF(ISBLANK(H1915),AVERAGE($H$2:$H$2001),H1915)</f>
        <v>958.44</v>
      </c>
      <c r="J1915">
        <v>0.21</v>
      </c>
      <c r="K1915">
        <f>IF(ISBLANK(J1915),MODE($J$2:$J$2001),J1915)</f>
        <v>0.21</v>
      </c>
      <c r="L1915" t="s">
        <v>1824</v>
      </c>
      <c r="M1915">
        <v>757.16760000000011</v>
      </c>
      <c r="N1915">
        <f t="shared" si="29"/>
        <v>757.16760000000011</v>
      </c>
      <c r="O1915" t="str">
        <f>_xlfn.XLOOKUP(Sales_fact[[#This Row],[Customer_ID]],'Customer_Dim'!A:A,'Customer_Dim'!K:K,"Not Found")</f>
        <v>Gold</v>
      </c>
      <c r="P1915">
        <f>_xlfn.XLOOKUP(Sales_fact[[#This Row],[Customer_ID]],'Customer_Dim'!A:A, 'Customer_Dim'!E:E, "Not Found")</f>
        <v>53</v>
      </c>
      <c r="Q1915" t="str">
        <f>VLOOKUP(Sales_fact[[#This Row],[Customer_ID]], 'Customer_Dim'!A:F, 6, FALSE)</f>
        <v>Female</v>
      </c>
      <c r="R1915" s="13" t="str">
        <f>_xlfn.XLOOKUP(Sales_fact[[#This Row],[Product_ID]],Product_Dim!A:A,Product_Dim!C:C,"OTHERS")</f>
        <v>Sports</v>
      </c>
    </row>
    <row r="1916" spans="1:18" x14ac:dyDescent="0.3">
      <c r="A1916" t="s">
        <v>3740</v>
      </c>
      <c r="B1916" s="2">
        <v>45560</v>
      </c>
      <c r="C1916" t="s">
        <v>44</v>
      </c>
      <c r="D1916" t="s">
        <v>1746</v>
      </c>
      <c r="E1916" t="str">
        <f ca="1">TRIM(Sales_fact[[#This Row],[Store_ID]])</f>
        <v>STORE2</v>
      </c>
      <c r="F1916">
        <v>1</v>
      </c>
      <c r="G1916">
        <f>IF(ISBLANK(F1916),MODE($F$2:$F$2001),F1916)</f>
        <v>1</v>
      </c>
      <c r="H1916">
        <v>716.29</v>
      </c>
      <c r="I1916">
        <f>IF(ISBLANK(H1916),AVERAGE($H$2:$H$2001),H1916)</f>
        <v>716.29</v>
      </c>
      <c r="J1916">
        <v>0.01</v>
      </c>
      <c r="K1916">
        <f>IF(ISBLANK(J1916),MODE($J$2:$J$2001),J1916)</f>
        <v>0.01</v>
      </c>
      <c r="L1916" t="s">
        <v>1826</v>
      </c>
      <c r="M1916">
        <v>709.12709999999993</v>
      </c>
      <c r="N1916">
        <f t="shared" si="29"/>
        <v>709.12709999999993</v>
      </c>
      <c r="O1916" t="str">
        <f>_xlfn.XLOOKUP(Sales_fact[[#This Row],[Customer_ID]],'Customer_Dim'!A:A,'Customer_Dim'!K:K,"Not Found")</f>
        <v>Gold</v>
      </c>
      <c r="P1916">
        <f>_xlfn.XLOOKUP(Sales_fact[[#This Row],[Customer_ID]],'Customer_Dim'!A:A, 'Customer_Dim'!E:E, "Not Found")</f>
        <v>53</v>
      </c>
      <c r="Q1916" t="str">
        <f>VLOOKUP(Sales_fact[[#This Row],[Customer_ID]], 'Customer_Dim'!A:F, 6, FALSE)</f>
        <v>Female</v>
      </c>
      <c r="R1916" s="13" t="str">
        <f>_xlfn.XLOOKUP(Sales_fact[[#This Row],[Product_ID]],Product_Dim!A:A,Product_Dim!C:C,"OTHERS")</f>
        <v>Home</v>
      </c>
    </row>
    <row r="1917" spans="1:18" x14ac:dyDescent="0.3">
      <c r="A1917" t="s">
        <v>3741</v>
      </c>
      <c r="B1917" s="2">
        <v>45408</v>
      </c>
      <c r="C1917" t="s">
        <v>1017</v>
      </c>
      <c r="D1917" t="s">
        <v>1565</v>
      </c>
      <c r="E1917" t="str">
        <f ca="1">TRIM(Sales_fact[[#This Row],[Store_ID]])</f>
        <v>STORE16</v>
      </c>
      <c r="F1917">
        <v>2</v>
      </c>
      <c r="G1917">
        <f>IF(ISBLANK(F1917),MODE($F$2:$F$2001),F1917)</f>
        <v>2</v>
      </c>
      <c r="H1917">
        <v>409.14</v>
      </c>
      <c r="I1917">
        <f>IF(ISBLANK(H1917),AVERAGE($H$2:$H$2001),H1917)</f>
        <v>409.14</v>
      </c>
      <c r="J1917">
        <v>0.01</v>
      </c>
      <c r="K1917">
        <f>IF(ISBLANK(J1917),MODE($J$2:$J$2001),J1917)</f>
        <v>0.01</v>
      </c>
      <c r="L1917" t="s">
        <v>1826</v>
      </c>
      <c r="M1917">
        <v>810.09719999999993</v>
      </c>
      <c r="N1917">
        <f t="shared" si="29"/>
        <v>810.09719999999993</v>
      </c>
      <c r="O1917" t="str">
        <f>_xlfn.XLOOKUP(Sales_fact[[#This Row],[Customer_ID]],'Customer_Dim'!A:A,'Customer_Dim'!K:K,"Not Found")</f>
        <v>Platinum</v>
      </c>
      <c r="P1917">
        <f>_xlfn.XLOOKUP(Sales_fact[[#This Row],[Customer_ID]],'Customer_Dim'!A:A, 'Customer_Dim'!E:E, "Not Found")</f>
        <v>64</v>
      </c>
      <c r="Q1917" t="str">
        <f>VLOOKUP(Sales_fact[[#This Row],[Customer_ID]], 'Customer_Dim'!A:F, 6, FALSE)</f>
        <v>Female</v>
      </c>
      <c r="R1917" s="13" t="str">
        <f>_xlfn.XLOOKUP(Sales_fact[[#This Row],[Product_ID]],Product_Dim!A:A,Product_Dim!C:C,"OTHERS")</f>
        <v>Sports</v>
      </c>
    </row>
    <row r="1918" spans="1:18" x14ac:dyDescent="0.3">
      <c r="A1918" t="s">
        <v>3742</v>
      </c>
      <c r="B1918" s="2">
        <v>45714</v>
      </c>
      <c r="C1918" t="s">
        <v>304</v>
      </c>
      <c r="D1918" t="s">
        <v>1746</v>
      </c>
      <c r="E1918" t="str">
        <f ca="1">TRIM(Sales_fact[[#This Row],[Store_ID]])</f>
        <v>STORE9</v>
      </c>
      <c r="F1918">
        <v>4</v>
      </c>
      <c r="G1918">
        <f>IF(ISBLANK(F1918),MODE($F$2:$F$2001),F1918)</f>
        <v>4</v>
      </c>
      <c r="H1918">
        <v>261.73</v>
      </c>
      <c r="I1918">
        <f>IF(ISBLANK(H1918),AVERAGE($H$2:$H$2001),H1918)</f>
        <v>261.73</v>
      </c>
      <c r="J1918">
        <v>0.1</v>
      </c>
      <c r="K1918">
        <f>IF(ISBLANK(J1918),MODE($J$2:$J$2001),J1918)</f>
        <v>0.1</v>
      </c>
      <c r="L1918" t="s">
        <v>1826</v>
      </c>
      <c r="M1918">
        <v>942.22800000000007</v>
      </c>
      <c r="N1918">
        <f t="shared" si="29"/>
        <v>942.22800000000007</v>
      </c>
      <c r="O1918" t="str">
        <f>_xlfn.XLOOKUP(Sales_fact[[#This Row],[Customer_ID]],'Customer_Dim'!A:A,'Customer_Dim'!K:K,"Not Found")</f>
        <v>Platinum</v>
      </c>
      <c r="P1918">
        <f>_xlfn.XLOOKUP(Sales_fact[[#This Row],[Customer_ID]],'Customer_Dim'!A:A, 'Customer_Dim'!E:E, "Not Found")</f>
        <v>26</v>
      </c>
      <c r="Q1918" t="str">
        <f>VLOOKUP(Sales_fact[[#This Row],[Customer_ID]], 'Customer_Dim'!A:F, 6, FALSE)</f>
        <v>Female</v>
      </c>
      <c r="R1918" s="13" t="str">
        <f>_xlfn.XLOOKUP(Sales_fact[[#This Row],[Product_ID]],Product_Dim!A:A,Product_Dim!C:C,"OTHERS")</f>
        <v>Home</v>
      </c>
    </row>
    <row r="1919" spans="1:18" x14ac:dyDescent="0.3">
      <c r="A1919" t="s">
        <v>3743</v>
      </c>
      <c r="B1919" s="2">
        <v>45661</v>
      </c>
      <c r="C1919" t="s">
        <v>1437</v>
      </c>
      <c r="D1919" t="s">
        <v>1572</v>
      </c>
      <c r="E1919" t="str">
        <f ca="1">TRIM(Sales_fact[[#This Row],[Store_ID]])</f>
        <v>STORE0</v>
      </c>
      <c r="F1919">
        <v>2</v>
      </c>
      <c r="G1919">
        <f>IF(ISBLANK(F1919),MODE($F$2:$F$2001),F1919)</f>
        <v>2</v>
      </c>
      <c r="H1919">
        <v>687.35</v>
      </c>
      <c r="I1919">
        <f>IF(ISBLANK(H1919),AVERAGE($H$2:$H$2001),H1919)</f>
        <v>687.35</v>
      </c>
      <c r="J1919">
        <v>0.2</v>
      </c>
      <c r="K1919">
        <f>IF(ISBLANK(J1919),MODE($J$2:$J$2001),J1919)</f>
        <v>0.2</v>
      </c>
      <c r="L1919" t="s">
        <v>1829</v>
      </c>
      <c r="M1919">
        <v>1099.76</v>
      </c>
      <c r="N1919">
        <f t="shared" si="29"/>
        <v>1099.76</v>
      </c>
      <c r="O1919" t="str">
        <f>_xlfn.XLOOKUP(Sales_fact[[#This Row],[Customer_ID]],'Customer_Dim'!A:A,'Customer_Dim'!K:K,"Not Found")</f>
        <v>Silver</v>
      </c>
      <c r="P1919">
        <f>_xlfn.XLOOKUP(Sales_fact[[#This Row],[Customer_ID]],'Customer_Dim'!A:A, 'Customer_Dim'!E:E, "Not Found")</f>
        <v>18</v>
      </c>
      <c r="Q1919" t="str">
        <f>VLOOKUP(Sales_fact[[#This Row],[Customer_ID]], 'Customer_Dim'!A:F, 6, FALSE)</f>
        <v>Male</v>
      </c>
      <c r="R1919" s="13" t="str">
        <f>_xlfn.XLOOKUP(Sales_fact[[#This Row],[Product_ID]],Product_Dim!A:A,Product_Dim!C:C,"OTHERS")</f>
        <v>Beauty</v>
      </c>
    </row>
    <row r="1920" spans="1:18" x14ac:dyDescent="0.3">
      <c r="A1920" t="s">
        <v>3744</v>
      </c>
      <c r="B1920" s="2">
        <v>45921</v>
      </c>
      <c r="C1920" t="s">
        <v>675</v>
      </c>
      <c r="D1920" t="s">
        <v>1716</v>
      </c>
      <c r="E1920" t="str">
        <f ca="1">TRIM(Sales_fact[[#This Row],[Store_ID]])</f>
        <v>STORE8</v>
      </c>
      <c r="F1920">
        <v>2</v>
      </c>
      <c r="G1920">
        <f>IF(ISBLANK(F1920),MODE($F$2:$F$2001),F1920)</f>
        <v>2</v>
      </c>
      <c r="H1920">
        <v>30.14</v>
      </c>
      <c r="I1920">
        <f>IF(ISBLANK(H1920),AVERAGE($H$2:$H$2001),H1920)</f>
        <v>30.14</v>
      </c>
      <c r="J1920">
        <v>0.21</v>
      </c>
      <c r="K1920">
        <f>IF(ISBLANK(J1920),MODE($J$2:$J$2001),J1920)</f>
        <v>0.21</v>
      </c>
      <c r="L1920" t="s">
        <v>1824</v>
      </c>
      <c r="M1920">
        <v>47.621200000000002</v>
      </c>
      <c r="N1920">
        <f t="shared" si="29"/>
        <v>47.621200000000002</v>
      </c>
      <c r="O1920" t="str">
        <f>_xlfn.XLOOKUP(Sales_fact[[#This Row],[Customer_ID]],'Customer_Dim'!A:A,'Customer_Dim'!K:K,"Not Found")</f>
        <v>Bronze</v>
      </c>
      <c r="P1920">
        <f>_xlfn.XLOOKUP(Sales_fact[[#This Row],[Customer_ID]],'Customer_Dim'!A:A, 'Customer_Dim'!E:E, "Not Found")</f>
        <v>28</v>
      </c>
      <c r="Q1920" t="str">
        <f>VLOOKUP(Sales_fact[[#This Row],[Customer_ID]], 'Customer_Dim'!A:F, 6, FALSE)</f>
        <v>Female</v>
      </c>
      <c r="R1920" s="13" t="str">
        <f>_xlfn.XLOOKUP(Sales_fact[[#This Row],[Product_ID]],Product_Dim!A:A,Product_Dim!C:C,"OTHERS")</f>
        <v>Home</v>
      </c>
    </row>
    <row r="1921" spans="1:18" x14ac:dyDescent="0.3">
      <c r="A1921" t="s">
        <v>3745</v>
      </c>
      <c r="B1921" s="2">
        <v>45651</v>
      </c>
      <c r="C1921" t="s">
        <v>353</v>
      </c>
      <c r="D1921" t="s">
        <v>1616</v>
      </c>
      <c r="E1921" t="str">
        <f ca="1">TRIM(Sales_fact[[#This Row],[Store_ID]])</f>
        <v>STORE8</v>
      </c>
      <c r="F1921">
        <v>3</v>
      </c>
      <c r="G1921">
        <f>IF(ISBLANK(F1921),MODE($F$2:$F$2001),F1921)</f>
        <v>3</v>
      </c>
      <c r="H1921">
        <v>570.12</v>
      </c>
      <c r="I1921">
        <f>IF(ISBLANK(H1921),AVERAGE($H$2:$H$2001),H1921)</f>
        <v>570.12</v>
      </c>
      <c r="J1921">
        <v>0.12</v>
      </c>
      <c r="K1921">
        <f>IF(ISBLANK(J1921),MODE($J$2:$J$2001),J1921)</f>
        <v>0.12</v>
      </c>
      <c r="L1921" t="s">
        <v>1826</v>
      </c>
      <c r="M1921">
        <v>1505.1168</v>
      </c>
      <c r="N1921">
        <f t="shared" si="29"/>
        <v>1505.1168</v>
      </c>
      <c r="O1921" t="str">
        <f>_xlfn.XLOOKUP(Sales_fact[[#This Row],[Customer_ID]],'Customer_Dim'!A:A,'Customer_Dim'!K:K,"Not Found")</f>
        <v>Silver</v>
      </c>
      <c r="P1921">
        <f>_xlfn.XLOOKUP(Sales_fact[[#This Row],[Customer_ID]],'Customer_Dim'!A:A, 'Customer_Dim'!E:E, "Not Found")</f>
        <v>35</v>
      </c>
      <c r="Q1921" t="str">
        <f>VLOOKUP(Sales_fact[[#This Row],[Customer_ID]], 'Customer_Dim'!A:F, 6, FALSE)</f>
        <v>Male</v>
      </c>
      <c r="R1921" s="13" t="str">
        <f>_xlfn.XLOOKUP(Sales_fact[[#This Row],[Product_ID]],Product_Dim!A:A,Product_Dim!C:C,"OTHERS")</f>
        <v>Electronics</v>
      </c>
    </row>
    <row r="1922" spans="1:18" x14ac:dyDescent="0.3">
      <c r="A1922" t="s">
        <v>3746</v>
      </c>
      <c r="B1922" s="2">
        <v>45883</v>
      </c>
      <c r="C1922" t="s">
        <v>893</v>
      </c>
      <c r="D1922" t="s">
        <v>1702</v>
      </c>
      <c r="E1922" t="str">
        <f ca="1">TRIM(Sales_fact[[#This Row],[Store_ID]])</f>
        <v>STORE19</v>
      </c>
      <c r="F1922">
        <v>3</v>
      </c>
      <c r="G1922">
        <f>IF(ISBLANK(F1922),MODE($F$2:$F$2001),F1922)</f>
        <v>3</v>
      </c>
      <c r="H1922">
        <v>401.87</v>
      </c>
      <c r="I1922">
        <f>IF(ISBLANK(H1922),AVERAGE($H$2:$H$2001),H1922)</f>
        <v>401.87</v>
      </c>
      <c r="J1922">
        <v>0.28999999999999998</v>
      </c>
      <c r="K1922">
        <f>IF(ISBLANK(J1922),MODE($J$2:$J$2001),J1922)</f>
        <v>0.28999999999999998</v>
      </c>
      <c r="L1922" t="s">
        <v>1829</v>
      </c>
      <c r="M1922">
        <v>855.98310000000004</v>
      </c>
      <c r="N1922">
        <f t="shared" si="29"/>
        <v>855.98310000000004</v>
      </c>
      <c r="O1922" t="str">
        <f>_xlfn.XLOOKUP(Sales_fact[[#This Row],[Customer_ID]],'Customer_Dim'!A:A,'Customer_Dim'!K:K,"Not Found")</f>
        <v>Platinum</v>
      </c>
      <c r="P1922">
        <f>_xlfn.XLOOKUP(Sales_fact[[#This Row],[Customer_ID]],'Customer_Dim'!A:A, 'Customer_Dim'!E:E, "Not Found")</f>
        <v>59</v>
      </c>
      <c r="Q1922" t="str">
        <f>VLOOKUP(Sales_fact[[#This Row],[Customer_ID]], 'Customer_Dim'!A:F, 6, FALSE)</f>
        <v>Male</v>
      </c>
      <c r="R1922" s="13" t="str">
        <f>_xlfn.XLOOKUP(Sales_fact[[#This Row],[Product_ID]],Product_Dim!A:A,Product_Dim!C:C,"OTHERS")</f>
        <v>Electronics</v>
      </c>
    </row>
    <row r="1923" spans="1:18" x14ac:dyDescent="0.3">
      <c r="A1923" t="s">
        <v>3747</v>
      </c>
      <c r="B1923" s="2">
        <v>45624</v>
      </c>
      <c r="C1923" t="s">
        <v>1524</v>
      </c>
      <c r="D1923" t="s">
        <v>1706</v>
      </c>
      <c r="E1923" t="str">
        <f ca="1">TRIM(Sales_fact[[#This Row],[Store_ID]])</f>
        <v>STORE12</v>
      </c>
      <c r="F1923">
        <v>4</v>
      </c>
      <c r="G1923">
        <f>IF(ISBLANK(F1923),MODE($F$2:$F$2001),F1923)</f>
        <v>4</v>
      </c>
      <c r="H1923">
        <v>619.35</v>
      </c>
      <c r="I1923">
        <f>IF(ISBLANK(H1923),AVERAGE($H$2:$H$2001),H1923)</f>
        <v>619.35</v>
      </c>
      <c r="J1923">
        <v>0.3</v>
      </c>
      <c r="K1923">
        <f>IF(ISBLANK(J1923),MODE($J$2:$J$2001),J1923)</f>
        <v>0.3</v>
      </c>
      <c r="L1923" t="s">
        <v>1824</v>
      </c>
      <c r="M1923">
        <v>1734.18</v>
      </c>
      <c r="N1923">
        <f t="shared" ref="N1923:N1986" si="30">G1923*I1923*(1-K1923)</f>
        <v>1734.18</v>
      </c>
      <c r="O1923" t="str">
        <f>_xlfn.XLOOKUP(Sales_fact[[#This Row],[Customer_ID]],'Customer_Dim'!A:A,'Customer_Dim'!K:K,"Not Found")</f>
        <v>Bronze</v>
      </c>
      <c r="P1923">
        <f>_xlfn.XLOOKUP(Sales_fact[[#This Row],[Customer_ID]],'Customer_Dim'!A:A, 'Customer_Dim'!E:E, "Not Found")</f>
        <v>56</v>
      </c>
      <c r="Q1923" t="str">
        <f>VLOOKUP(Sales_fact[[#This Row],[Customer_ID]], 'Customer_Dim'!A:F, 6, FALSE)</f>
        <v>Male</v>
      </c>
      <c r="R1923" s="13" t="str">
        <f>_xlfn.XLOOKUP(Sales_fact[[#This Row],[Product_ID]],Product_Dim!A:A,Product_Dim!C:C,"OTHERS")</f>
        <v>Home</v>
      </c>
    </row>
    <row r="1924" spans="1:18" x14ac:dyDescent="0.3">
      <c r="A1924" t="s">
        <v>3748</v>
      </c>
      <c r="B1924" s="2">
        <v>45276</v>
      </c>
      <c r="C1924" t="s">
        <v>791</v>
      </c>
      <c r="D1924" t="s">
        <v>1640</v>
      </c>
      <c r="E1924" t="str">
        <f ca="1">TRIM(Sales_fact[[#This Row],[Store_ID]])</f>
        <v>STORE17</v>
      </c>
      <c r="F1924">
        <v>4</v>
      </c>
      <c r="G1924">
        <f>IF(ISBLANK(F1924),MODE($F$2:$F$2001),F1924)</f>
        <v>4</v>
      </c>
      <c r="H1924">
        <v>569.36</v>
      </c>
      <c r="I1924">
        <f>IF(ISBLANK(H1924),AVERAGE($H$2:$H$2001),H1924)</f>
        <v>569.36</v>
      </c>
      <c r="J1924">
        <v>0.27</v>
      </c>
      <c r="K1924">
        <f>IF(ISBLANK(J1924),MODE($J$2:$J$2001),J1924)</f>
        <v>0.27</v>
      </c>
      <c r="L1924" t="s">
        <v>1826</v>
      </c>
      <c r="M1924">
        <v>1662.5311999999999</v>
      </c>
      <c r="N1924">
        <f t="shared" si="30"/>
        <v>1662.5311999999999</v>
      </c>
      <c r="O1924" t="str">
        <f>_xlfn.XLOOKUP(Sales_fact[[#This Row],[Customer_ID]],'Customer_Dim'!A:A,'Customer_Dim'!K:K,"Not Found")</f>
        <v>Platinum</v>
      </c>
      <c r="P1924">
        <f>_xlfn.XLOOKUP(Sales_fact[[#This Row],[Customer_ID]],'Customer_Dim'!A:A, 'Customer_Dim'!E:E, "Not Found")</f>
        <v>32</v>
      </c>
      <c r="Q1924" t="str">
        <f>VLOOKUP(Sales_fact[[#This Row],[Customer_ID]], 'Customer_Dim'!A:F, 6, FALSE)</f>
        <v>Male</v>
      </c>
      <c r="R1924" s="13" t="str">
        <f>_xlfn.XLOOKUP(Sales_fact[[#This Row],[Product_ID]],Product_Dim!A:A,Product_Dim!C:C,"OTHERS")</f>
        <v>Clothing</v>
      </c>
    </row>
    <row r="1925" spans="1:18" x14ac:dyDescent="0.3">
      <c r="A1925" t="s">
        <v>3749</v>
      </c>
      <c r="B1925" s="2">
        <v>45344</v>
      </c>
      <c r="C1925" t="s">
        <v>1466</v>
      </c>
      <c r="D1925" t="s">
        <v>1602</v>
      </c>
      <c r="E1925" t="str">
        <f ca="1">TRIM(Sales_fact[[#This Row],[Store_ID]])</f>
        <v>STORE4</v>
      </c>
      <c r="F1925">
        <v>2</v>
      </c>
      <c r="G1925">
        <f>IF(ISBLANK(F1925),MODE($F$2:$F$2001),F1925)</f>
        <v>2</v>
      </c>
      <c r="H1925">
        <v>846.35</v>
      </c>
      <c r="I1925">
        <f>IF(ISBLANK(H1925),AVERAGE($H$2:$H$2001),H1925)</f>
        <v>846.35</v>
      </c>
      <c r="J1925">
        <v>0.3</v>
      </c>
      <c r="K1925">
        <f>IF(ISBLANK(J1925),MODE($J$2:$J$2001),J1925)</f>
        <v>0.3</v>
      </c>
      <c r="L1925" t="s">
        <v>1829</v>
      </c>
      <c r="M1925">
        <v>1184.8900000000001</v>
      </c>
      <c r="N1925">
        <f t="shared" si="30"/>
        <v>1184.8899999999999</v>
      </c>
      <c r="O1925" t="str">
        <f>_xlfn.XLOOKUP(Sales_fact[[#This Row],[Customer_ID]],'Customer_Dim'!A:A,'Customer_Dim'!K:K,"Not Found")</f>
        <v>Gold</v>
      </c>
      <c r="P1925">
        <f>_xlfn.XLOOKUP(Sales_fact[[#This Row],[Customer_ID]],'Customer_Dim'!A:A, 'Customer_Dim'!E:E, "Not Found")</f>
        <v>33</v>
      </c>
      <c r="Q1925" t="str">
        <f>VLOOKUP(Sales_fact[[#This Row],[Customer_ID]], 'Customer_Dim'!A:F, 6, FALSE)</f>
        <v>Female</v>
      </c>
      <c r="R1925" s="13" t="str">
        <f>_xlfn.XLOOKUP(Sales_fact[[#This Row],[Product_ID]],Product_Dim!A:A,Product_Dim!C:C,"OTHERS")</f>
        <v>Home</v>
      </c>
    </row>
    <row r="1926" spans="1:18" x14ac:dyDescent="0.3">
      <c r="A1926" t="s">
        <v>3750</v>
      </c>
      <c r="B1926" s="2">
        <v>45849</v>
      </c>
      <c r="C1926" t="s">
        <v>1346</v>
      </c>
      <c r="D1926" t="s">
        <v>1608</v>
      </c>
      <c r="E1926" t="str">
        <f ca="1">TRIM(Sales_fact[[#This Row],[Store_ID]])</f>
        <v>STORE2</v>
      </c>
      <c r="F1926">
        <v>1</v>
      </c>
      <c r="G1926">
        <f>IF(ISBLANK(F1926),MODE($F$2:$F$2001),F1926)</f>
        <v>1</v>
      </c>
      <c r="H1926">
        <v>788.45</v>
      </c>
      <c r="I1926">
        <f>IF(ISBLANK(H1926),AVERAGE($H$2:$H$2001),H1926)</f>
        <v>788.45</v>
      </c>
      <c r="J1926">
        <v>0.28999999999999998</v>
      </c>
      <c r="K1926">
        <f>IF(ISBLANK(J1926),MODE($J$2:$J$2001),J1926)</f>
        <v>0.28999999999999998</v>
      </c>
      <c r="L1926" t="s">
        <v>1826</v>
      </c>
      <c r="M1926">
        <v>559.79949999999997</v>
      </c>
      <c r="N1926">
        <f t="shared" si="30"/>
        <v>559.79949999999997</v>
      </c>
      <c r="O1926" t="str">
        <f>_xlfn.XLOOKUP(Sales_fact[[#This Row],[Customer_ID]],'Customer_Dim'!A:A,'Customer_Dim'!K:K,"Not Found")</f>
        <v>Gold</v>
      </c>
      <c r="P1926">
        <f>_xlfn.XLOOKUP(Sales_fact[[#This Row],[Customer_ID]],'Customer_Dim'!A:A, 'Customer_Dim'!E:E, "Not Found")</f>
        <v>48</v>
      </c>
      <c r="Q1926" t="str">
        <f>VLOOKUP(Sales_fact[[#This Row],[Customer_ID]], 'Customer_Dim'!A:F, 6, FALSE)</f>
        <v>Female</v>
      </c>
      <c r="R1926" s="13" t="str">
        <f>_xlfn.XLOOKUP(Sales_fact[[#This Row],[Product_ID]],Product_Dim!A:A,Product_Dim!C:C,"OTHERS")</f>
        <v>Home</v>
      </c>
    </row>
    <row r="1927" spans="1:18" x14ac:dyDescent="0.3">
      <c r="A1927" t="s">
        <v>3751</v>
      </c>
      <c r="B1927" s="2">
        <v>45880</v>
      </c>
      <c r="C1927" t="s">
        <v>1127</v>
      </c>
      <c r="D1927" t="s">
        <v>1618</v>
      </c>
      <c r="E1927" t="str">
        <f ca="1">TRIM(Sales_fact[[#This Row],[Store_ID]])</f>
        <v>STORE12</v>
      </c>
      <c r="F1927">
        <v>2</v>
      </c>
      <c r="G1927">
        <f>IF(ISBLANK(F1927),MODE($F$2:$F$2001),F1927)</f>
        <v>2</v>
      </c>
      <c r="H1927">
        <v>338.81</v>
      </c>
      <c r="I1927">
        <f>IF(ISBLANK(H1927),AVERAGE($H$2:$H$2001),H1927)</f>
        <v>338.81</v>
      </c>
      <c r="J1927">
        <v>7.0000000000000007E-2</v>
      </c>
      <c r="K1927">
        <f>IF(ISBLANK(J1927),MODE($J$2:$J$2001),J1927)</f>
        <v>7.0000000000000007E-2</v>
      </c>
      <c r="L1927" t="s">
        <v>1829</v>
      </c>
      <c r="M1927">
        <v>630.1866</v>
      </c>
      <c r="N1927">
        <f t="shared" si="30"/>
        <v>630.1866</v>
      </c>
      <c r="O1927" t="str">
        <f>_xlfn.XLOOKUP(Sales_fact[[#This Row],[Customer_ID]],'Customer_Dim'!A:A,'Customer_Dim'!K:K,"Not Found")</f>
        <v>Platinum</v>
      </c>
      <c r="P1927">
        <f>_xlfn.XLOOKUP(Sales_fact[[#This Row],[Customer_ID]],'Customer_Dim'!A:A, 'Customer_Dim'!E:E, "Not Found")</f>
        <v>34</v>
      </c>
      <c r="Q1927" t="str">
        <f>VLOOKUP(Sales_fact[[#This Row],[Customer_ID]], 'Customer_Dim'!A:F, 6, FALSE)</f>
        <v>Male</v>
      </c>
      <c r="R1927" s="13" t="str">
        <f>_xlfn.XLOOKUP(Sales_fact[[#This Row],[Product_ID]],Product_Dim!A:A,Product_Dim!C:C,"OTHERS")</f>
        <v>Home</v>
      </c>
    </row>
    <row r="1928" spans="1:18" x14ac:dyDescent="0.3">
      <c r="A1928" t="s">
        <v>3752</v>
      </c>
      <c r="B1928" s="2">
        <v>45907</v>
      </c>
      <c r="C1928" t="s">
        <v>110</v>
      </c>
      <c r="D1928" t="s">
        <v>1576</v>
      </c>
      <c r="E1928" t="str">
        <f ca="1">TRIM(Sales_fact[[#This Row],[Store_ID]])</f>
        <v>STORE5</v>
      </c>
      <c r="F1928">
        <v>4</v>
      </c>
      <c r="G1928">
        <f>IF(ISBLANK(F1928),MODE($F$2:$F$2001),F1928)</f>
        <v>4</v>
      </c>
      <c r="H1928">
        <v>94.48</v>
      </c>
      <c r="I1928">
        <f>IF(ISBLANK(H1928),AVERAGE($H$2:$H$2001),H1928)</f>
        <v>94.48</v>
      </c>
      <c r="J1928">
        <v>0.06</v>
      </c>
      <c r="K1928">
        <f>IF(ISBLANK(J1928),MODE($J$2:$J$2001),J1928)</f>
        <v>0.06</v>
      </c>
      <c r="L1928" t="s">
        <v>1829</v>
      </c>
      <c r="M1928">
        <v>355.2448</v>
      </c>
      <c r="N1928">
        <f t="shared" si="30"/>
        <v>355.2448</v>
      </c>
      <c r="O1928" t="str">
        <f>_xlfn.XLOOKUP(Sales_fact[[#This Row],[Customer_ID]],'Customer_Dim'!A:A,'Customer_Dim'!K:K,"Not Found")</f>
        <v>Gold</v>
      </c>
      <c r="P1928">
        <f>_xlfn.XLOOKUP(Sales_fact[[#This Row],[Customer_ID]],'Customer_Dim'!A:A, 'Customer_Dim'!E:E, "Not Found")</f>
        <v>18</v>
      </c>
      <c r="Q1928" t="str">
        <f>VLOOKUP(Sales_fact[[#This Row],[Customer_ID]], 'Customer_Dim'!A:F, 6, FALSE)</f>
        <v>Female</v>
      </c>
      <c r="R1928" s="13" t="str">
        <f>_xlfn.XLOOKUP(Sales_fact[[#This Row],[Product_ID]],Product_Dim!A:A,Product_Dim!C:C,"OTHERS")</f>
        <v>Home</v>
      </c>
    </row>
    <row r="1929" spans="1:18" x14ac:dyDescent="0.3">
      <c r="A1929" t="s">
        <v>3753</v>
      </c>
      <c r="B1929" s="2">
        <v>45545</v>
      </c>
      <c r="C1929" t="s">
        <v>1469</v>
      </c>
      <c r="D1929" t="s">
        <v>1586</v>
      </c>
      <c r="E1929" t="str">
        <f ca="1">TRIM(Sales_fact[[#This Row],[Store_ID]])</f>
        <v>STORE13</v>
      </c>
      <c r="F1929">
        <v>3</v>
      </c>
      <c r="G1929">
        <f>IF(ISBLANK(F1929),MODE($F$2:$F$2001),F1929)</f>
        <v>3</v>
      </c>
      <c r="H1929">
        <v>941.85</v>
      </c>
      <c r="I1929">
        <f>IF(ISBLANK(H1929),AVERAGE($H$2:$H$2001),H1929)</f>
        <v>941.85</v>
      </c>
      <c r="J1929">
        <v>0.16</v>
      </c>
      <c r="K1929">
        <f>IF(ISBLANK(J1929),MODE($J$2:$J$2001),J1929)</f>
        <v>0.16</v>
      </c>
      <c r="L1929" t="s">
        <v>1826</v>
      </c>
      <c r="M1929">
        <v>2373.462</v>
      </c>
      <c r="N1929">
        <f t="shared" si="30"/>
        <v>2373.462</v>
      </c>
      <c r="O1929" t="str">
        <f>_xlfn.XLOOKUP(Sales_fact[[#This Row],[Customer_ID]],'Customer_Dim'!A:A,'Customer_Dim'!K:K,"Not Found")</f>
        <v>Platinum</v>
      </c>
      <c r="P1929">
        <f>_xlfn.XLOOKUP(Sales_fact[[#This Row],[Customer_ID]],'Customer_Dim'!A:A, 'Customer_Dim'!E:E, "Not Found")</f>
        <v>41</v>
      </c>
      <c r="Q1929" t="str">
        <f>VLOOKUP(Sales_fact[[#This Row],[Customer_ID]], 'Customer_Dim'!A:F, 6, FALSE)</f>
        <v>Female</v>
      </c>
      <c r="R1929" s="13" t="str">
        <f>_xlfn.XLOOKUP(Sales_fact[[#This Row],[Product_ID]],Product_Dim!A:A,Product_Dim!C:C,"OTHERS")</f>
        <v>Sports</v>
      </c>
    </row>
    <row r="1930" spans="1:18" x14ac:dyDescent="0.3">
      <c r="A1930" t="s">
        <v>3754</v>
      </c>
      <c r="B1930" s="2">
        <v>45257</v>
      </c>
      <c r="C1930" t="s">
        <v>538</v>
      </c>
      <c r="D1930" t="s">
        <v>1638</v>
      </c>
      <c r="E1930" t="str">
        <f ca="1">TRIM(Sales_fact[[#This Row],[Store_ID]])</f>
        <v>STORE5</v>
      </c>
      <c r="F1930">
        <v>2</v>
      </c>
      <c r="G1930">
        <f>IF(ISBLANK(F1930),MODE($F$2:$F$2001),F1930)</f>
        <v>2</v>
      </c>
      <c r="H1930">
        <v>336.97</v>
      </c>
      <c r="I1930">
        <f>IF(ISBLANK(H1930),AVERAGE($H$2:$H$2001),H1930)</f>
        <v>336.97</v>
      </c>
      <c r="J1930">
        <v>0.14000000000000001</v>
      </c>
      <c r="K1930">
        <f>IF(ISBLANK(J1930),MODE($J$2:$J$2001),J1930)</f>
        <v>0.14000000000000001</v>
      </c>
      <c r="L1930" t="s">
        <v>1826</v>
      </c>
      <c r="M1930">
        <v>579.58840000000009</v>
      </c>
      <c r="N1930">
        <f t="shared" si="30"/>
        <v>579.58840000000009</v>
      </c>
      <c r="O1930" t="str">
        <f>_xlfn.XLOOKUP(Sales_fact[[#This Row],[Customer_ID]],'Customer_Dim'!A:A,'Customer_Dim'!K:K,"Not Found")</f>
        <v>Silver</v>
      </c>
      <c r="P1930">
        <f>_xlfn.XLOOKUP(Sales_fact[[#This Row],[Customer_ID]],'Customer_Dim'!A:A, 'Customer_Dim'!E:E, "Not Found")</f>
        <v>18</v>
      </c>
      <c r="Q1930" t="str">
        <f>VLOOKUP(Sales_fact[[#This Row],[Customer_ID]], 'Customer_Dim'!A:F, 6, FALSE)</f>
        <v>Female</v>
      </c>
      <c r="R1930" s="13" t="str">
        <f>_xlfn.XLOOKUP(Sales_fact[[#This Row],[Product_ID]],Product_Dim!A:A,Product_Dim!C:C,"OTHERS")</f>
        <v>Sports</v>
      </c>
    </row>
    <row r="1931" spans="1:18" x14ac:dyDescent="0.3">
      <c r="A1931" t="s">
        <v>3755</v>
      </c>
      <c r="B1931" s="2">
        <v>45466</v>
      </c>
      <c r="C1931" t="s">
        <v>978</v>
      </c>
      <c r="D1931" t="s">
        <v>1555</v>
      </c>
      <c r="E1931" t="str">
        <f ca="1">TRIM(Sales_fact[[#This Row],[Store_ID]])</f>
        <v>STORE5</v>
      </c>
      <c r="F1931">
        <v>2</v>
      </c>
      <c r="G1931">
        <f>IF(ISBLANK(F1931),MODE($F$2:$F$2001),F1931)</f>
        <v>2</v>
      </c>
      <c r="H1931">
        <v>344.16</v>
      </c>
      <c r="I1931">
        <f>IF(ISBLANK(H1931),AVERAGE($H$2:$H$2001),H1931)</f>
        <v>344.16</v>
      </c>
      <c r="J1931">
        <v>0.09</v>
      </c>
      <c r="K1931">
        <f>IF(ISBLANK(J1931),MODE($J$2:$J$2001),J1931)</f>
        <v>0.09</v>
      </c>
      <c r="L1931" t="s">
        <v>1826</v>
      </c>
      <c r="M1931">
        <v>626.37120000000004</v>
      </c>
      <c r="N1931">
        <f t="shared" si="30"/>
        <v>626.37120000000004</v>
      </c>
      <c r="O1931" t="str">
        <f>_xlfn.XLOOKUP(Sales_fact[[#This Row],[Customer_ID]],'Customer_Dim'!A:A,'Customer_Dim'!K:K,"Not Found")</f>
        <v>Silver</v>
      </c>
      <c r="P1931">
        <f>_xlfn.XLOOKUP(Sales_fact[[#This Row],[Customer_ID]],'Customer_Dim'!A:A, 'Customer_Dim'!E:E, "Not Found")</f>
        <v>20</v>
      </c>
      <c r="Q1931" t="str">
        <f>VLOOKUP(Sales_fact[[#This Row],[Customer_ID]], 'Customer_Dim'!A:F, 6, FALSE)</f>
        <v>Male</v>
      </c>
      <c r="R1931" s="13" t="str">
        <f>_xlfn.XLOOKUP(Sales_fact[[#This Row],[Product_ID]],Product_Dim!A:A,Product_Dim!C:C,"OTHERS")</f>
        <v>Clothing</v>
      </c>
    </row>
    <row r="1932" spans="1:18" x14ac:dyDescent="0.3">
      <c r="A1932" t="s">
        <v>3756</v>
      </c>
      <c r="B1932" s="2">
        <v>45847</v>
      </c>
      <c r="C1932" t="s">
        <v>948</v>
      </c>
      <c r="D1932" t="s">
        <v>1644</v>
      </c>
      <c r="E1932" t="str">
        <f ca="1">TRIM(Sales_fact[[#This Row],[Store_ID]])</f>
        <v>STORE9</v>
      </c>
      <c r="F1932">
        <v>1</v>
      </c>
      <c r="G1932">
        <f>IF(ISBLANK(F1932),MODE($F$2:$F$2001),F1932)</f>
        <v>1</v>
      </c>
      <c r="H1932">
        <v>841.53</v>
      </c>
      <c r="I1932">
        <f>IF(ISBLANK(H1932),AVERAGE($H$2:$H$2001),H1932)</f>
        <v>841.53</v>
      </c>
      <c r="J1932">
        <v>0.15</v>
      </c>
      <c r="K1932">
        <f>IF(ISBLANK(J1932),MODE($J$2:$J$2001),J1932)</f>
        <v>0.15</v>
      </c>
      <c r="L1932" t="s">
        <v>1824</v>
      </c>
      <c r="M1932">
        <v>715.30049999999994</v>
      </c>
      <c r="N1932">
        <f t="shared" si="30"/>
        <v>715.30049999999994</v>
      </c>
      <c r="O1932" t="str">
        <f>_xlfn.XLOOKUP(Sales_fact[[#This Row],[Customer_ID]],'Customer_Dim'!A:A,'Customer_Dim'!K:K,"Not Found")</f>
        <v>Silver</v>
      </c>
      <c r="P1932">
        <f>_xlfn.XLOOKUP(Sales_fact[[#This Row],[Customer_ID]],'Customer_Dim'!A:A, 'Customer_Dim'!E:E, "Not Found")</f>
        <v>29</v>
      </c>
      <c r="Q1932" t="str">
        <f>VLOOKUP(Sales_fact[[#This Row],[Customer_ID]], 'Customer_Dim'!A:F, 6, FALSE)</f>
        <v>Male</v>
      </c>
      <c r="R1932" s="13" t="str">
        <f>_xlfn.XLOOKUP(Sales_fact[[#This Row],[Product_ID]],Product_Dim!A:A,Product_Dim!C:C,"OTHERS")</f>
        <v>Electronics</v>
      </c>
    </row>
    <row r="1933" spans="1:18" x14ac:dyDescent="0.3">
      <c r="A1933" t="s">
        <v>3757</v>
      </c>
      <c r="B1933" s="2">
        <v>45825</v>
      </c>
      <c r="C1933" t="s">
        <v>1316</v>
      </c>
      <c r="D1933" t="s">
        <v>1714</v>
      </c>
      <c r="E1933" t="str">
        <f ca="1">TRIM(Sales_fact[[#This Row],[Store_ID]])</f>
        <v>STORE17</v>
      </c>
      <c r="F1933">
        <v>3</v>
      </c>
      <c r="G1933">
        <f>IF(ISBLANK(F1933),MODE($F$2:$F$2001),F1933)</f>
        <v>3</v>
      </c>
      <c r="H1933">
        <v>63.36</v>
      </c>
      <c r="I1933">
        <f>IF(ISBLANK(H1933),AVERAGE($H$2:$H$2001),H1933)</f>
        <v>63.36</v>
      </c>
      <c r="J1933">
        <v>0.28999999999999998</v>
      </c>
      <c r="K1933">
        <f>IF(ISBLANK(J1933),MODE($J$2:$J$2001),J1933)</f>
        <v>0.28999999999999998</v>
      </c>
      <c r="L1933" t="s">
        <v>1829</v>
      </c>
      <c r="M1933">
        <v>134.95679999999999</v>
      </c>
      <c r="N1933">
        <f t="shared" si="30"/>
        <v>134.95679999999999</v>
      </c>
      <c r="O1933" t="str">
        <f>_xlfn.XLOOKUP(Sales_fact[[#This Row],[Customer_ID]],'Customer_Dim'!A:A,'Customer_Dim'!K:K,"Not Found")</f>
        <v>Bronze</v>
      </c>
      <c r="P1933">
        <f>_xlfn.XLOOKUP(Sales_fact[[#This Row],[Customer_ID]],'Customer_Dim'!A:A, 'Customer_Dim'!E:E, "Not Found")</f>
        <v>53</v>
      </c>
      <c r="Q1933" t="str">
        <f>VLOOKUP(Sales_fact[[#This Row],[Customer_ID]], 'Customer_Dim'!A:F, 6, FALSE)</f>
        <v>Male</v>
      </c>
      <c r="R1933" s="13" t="str">
        <f>_xlfn.XLOOKUP(Sales_fact[[#This Row],[Product_ID]],Product_Dim!A:A,Product_Dim!C:C,"OTHERS")</f>
        <v>Beauty</v>
      </c>
    </row>
    <row r="1934" spans="1:18" x14ac:dyDescent="0.3">
      <c r="A1934" t="s">
        <v>3758</v>
      </c>
      <c r="B1934" s="2">
        <v>45839</v>
      </c>
      <c r="C1934" t="s">
        <v>1524</v>
      </c>
      <c r="D1934" t="s">
        <v>1704</v>
      </c>
      <c r="E1934" t="str">
        <f ca="1">TRIM(Sales_fact[[#This Row],[Store_ID]])</f>
        <v>STORE8</v>
      </c>
      <c r="F1934">
        <v>2</v>
      </c>
      <c r="G1934">
        <f>IF(ISBLANK(F1934),MODE($F$2:$F$2001),F1934)</f>
        <v>2</v>
      </c>
      <c r="H1934">
        <v>552.49</v>
      </c>
      <c r="I1934">
        <f>IF(ISBLANK(H1934),AVERAGE($H$2:$H$2001),H1934)</f>
        <v>552.49</v>
      </c>
      <c r="J1934">
        <v>0.1</v>
      </c>
      <c r="K1934">
        <f>IF(ISBLANK(J1934),MODE($J$2:$J$2001),J1934)</f>
        <v>0.1</v>
      </c>
      <c r="L1934" t="s">
        <v>1824</v>
      </c>
      <c r="M1934">
        <v>994.48200000000008</v>
      </c>
      <c r="N1934">
        <f t="shared" si="30"/>
        <v>994.48200000000008</v>
      </c>
      <c r="O1934" t="str">
        <f>_xlfn.XLOOKUP(Sales_fact[[#This Row],[Customer_ID]],'Customer_Dim'!A:A,'Customer_Dim'!K:K,"Not Found")</f>
        <v>Bronze</v>
      </c>
      <c r="P1934">
        <f>_xlfn.XLOOKUP(Sales_fact[[#This Row],[Customer_ID]],'Customer_Dim'!A:A, 'Customer_Dim'!E:E, "Not Found")</f>
        <v>56</v>
      </c>
      <c r="Q1934" t="str">
        <f>VLOOKUP(Sales_fact[[#This Row],[Customer_ID]], 'Customer_Dim'!A:F, 6, FALSE)</f>
        <v>Male</v>
      </c>
      <c r="R1934" s="13" t="str">
        <f>_xlfn.XLOOKUP(Sales_fact[[#This Row],[Product_ID]],Product_Dim!A:A,Product_Dim!C:C,"OTHERS")</f>
        <v>Home</v>
      </c>
    </row>
    <row r="1935" spans="1:18" x14ac:dyDescent="0.3">
      <c r="A1935" t="s">
        <v>3759</v>
      </c>
      <c r="B1935" s="2">
        <v>45720</v>
      </c>
      <c r="C1935" t="s">
        <v>758</v>
      </c>
      <c r="D1935" t="s">
        <v>1596</v>
      </c>
      <c r="E1935" t="str">
        <f ca="1">TRIM(Sales_fact[[#This Row],[Store_ID]])</f>
        <v>STORE6</v>
      </c>
      <c r="F1935">
        <v>3</v>
      </c>
      <c r="G1935">
        <f>IF(ISBLANK(F1935),MODE($F$2:$F$2001),F1935)</f>
        <v>3</v>
      </c>
      <c r="H1935">
        <v>447.38</v>
      </c>
      <c r="I1935">
        <f>IF(ISBLANK(H1935),AVERAGE($H$2:$H$2001),H1935)</f>
        <v>447.38</v>
      </c>
      <c r="J1935">
        <v>0.03</v>
      </c>
      <c r="K1935">
        <f>IF(ISBLANK(J1935),MODE($J$2:$J$2001),J1935)</f>
        <v>0.03</v>
      </c>
      <c r="L1935" t="s">
        <v>1824</v>
      </c>
      <c r="M1935">
        <v>1301.8758</v>
      </c>
      <c r="N1935">
        <f t="shared" si="30"/>
        <v>1301.8757999999998</v>
      </c>
      <c r="O1935" t="str">
        <f>_xlfn.XLOOKUP(Sales_fact[[#This Row],[Customer_ID]],'Customer_Dim'!A:A,'Customer_Dim'!K:K,"Not Found")</f>
        <v>Bronze</v>
      </c>
      <c r="P1935">
        <f>_xlfn.XLOOKUP(Sales_fact[[#This Row],[Customer_ID]],'Customer_Dim'!A:A, 'Customer_Dim'!E:E, "Not Found")</f>
        <v>42</v>
      </c>
      <c r="Q1935" t="str">
        <f>VLOOKUP(Sales_fact[[#This Row],[Customer_ID]], 'Customer_Dim'!A:F, 6, FALSE)</f>
        <v>Female</v>
      </c>
      <c r="R1935" s="13" t="str">
        <f>_xlfn.XLOOKUP(Sales_fact[[#This Row],[Product_ID]],Product_Dim!A:A,Product_Dim!C:C,"OTHERS")</f>
        <v>Sports</v>
      </c>
    </row>
    <row r="1936" spans="1:18" x14ac:dyDescent="0.3">
      <c r="A1936" t="s">
        <v>3760</v>
      </c>
      <c r="B1936" s="2">
        <v>45250</v>
      </c>
      <c r="C1936" t="s">
        <v>1392</v>
      </c>
      <c r="D1936" t="s">
        <v>1694</v>
      </c>
      <c r="E1936" t="str">
        <f ca="1">TRIM(Sales_fact[[#This Row],[Store_ID]])</f>
        <v>STORE19</v>
      </c>
      <c r="F1936">
        <v>1</v>
      </c>
      <c r="G1936">
        <f>IF(ISBLANK(F1936),MODE($F$2:$F$2001),F1936)</f>
        <v>1</v>
      </c>
      <c r="H1936">
        <v>727.7</v>
      </c>
      <c r="I1936">
        <f>IF(ISBLANK(H1936),AVERAGE($H$2:$H$2001),H1936)</f>
        <v>727.7</v>
      </c>
      <c r="J1936">
        <v>0.21</v>
      </c>
      <c r="K1936">
        <f>IF(ISBLANK(J1936),MODE($J$2:$J$2001),J1936)</f>
        <v>0.21</v>
      </c>
      <c r="L1936" t="s">
        <v>1829</v>
      </c>
      <c r="M1936">
        <v>574.88300000000004</v>
      </c>
      <c r="N1936">
        <f t="shared" si="30"/>
        <v>574.88300000000004</v>
      </c>
      <c r="O1936" t="str">
        <f>_xlfn.XLOOKUP(Sales_fact[[#This Row],[Customer_ID]],'Customer_Dim'!A:A,'Customer_Dim'!K:K,"Not Found")</f>
        <v>Bronze</v>
      </c>
      <c r="P1936">
        <f>_xlfn.XLOOKUP(Sales_fact[[#This Row],[Customer_ID]],'Customer_Dim'!A:A, 'Customer_Dim'!E:E, "Not Found")</f>
        <v>59</v>
      </c>
      <c r="Q1936" t="str">
        <f>VLOOKUP(Sales_fact[[#This Row],[Customer_ID]], 'Customer_Dim'!A:F, 6, FALSE)</f>
        <v>Male</v>
      </c>
      <c r="R1936" s="13" t="str">
        <f>_xlfn.XLOOKUP(Sales_fact[[#This Row],[Product_ID]],Product_Dim!A:A,Product_Dim!C:C,"OTHERS")</f>
        <v>Sports</v>
      </c>
    </row>
    <row r="1937" spans="1:18" x14ac:dyDescent="0.3">
      <c r="A1937" t="s">
        <v>3761</v>
      </c>
      <c r="B1937" s="2">
        <v>45258</v>
      </c>
      <c r="C1937" t="s">
        <v>1352</v>
      </c>
      <c r="D1937" t="s">
        <v>1650</v>
      </c>
      <c r="E1937" t="str">
        <f ca="1">TRIM(Sales_fact[[#This Row],[Store_ID]])</f>
        <v>STORE7</v>
      </c>
      <c r="F1937">
        <v>4</v>
      </c>
      <c r="G1937">
        <f>IF(ISBLANK(F1937),MODE($F$2:$F$2001),F1937)</f>
        <v>4</v>
      </c>
      <c r="H1937">
        <v>581.34</v>
      </c>
      <c r="I1937">
        <f>IF(ISBLANK(H1937),AVERAGE($H$2:$H$2001),H1937)</f>
        <v>581.34</v>
      </c>
      <c r="J1937">
        <v>0.08</v>
      </c>
      <c r="K1937">
        <f>IF(ISBLANK(J1937),MODE($J$2:$J$2001),J1937)</f>
        <v>0.08</v>
      </c>
      <c r="L1937" t="s">
        <v>1824</v>
      </c>
      <c r="M1937">
        <v>2139.3312000000001</v>
      </c>
      <c r="N1937">
        <f t="shared" si="30"/>
        <v>2139.3312000000001</v>
      </c>
      <c r="O1937" t="str">
        <f>_xlfn.XLOOKUP(Sales_fact[[#This Row],[Customer_ID]],'Customer_Dim'!A:A,'Customer_Dim'!K:K,"Not Found")</f>
        <v>Gold</v>
      </c>
      <c r="P1937">
        <f>_xlfn.XLOOKUP(Sales_fact[[#This Row],[Customer_ID]],'Customer_Dim'!A:A, 'Customer_Dim'!E:E, "Not Found")</f>
        <v>61</v>
      </c>
      <c r="Q1937" t="str">
        <f>VLOOKUP(Sales_fact[[#This Row],[Customer_ID]], 'Customer_Dim'!A:F, 6, FALSE)</f>
        <v>Male</v>
      </c>
      <c r="R1937" s="13" t="str">
        <f>_xlfn.XLOOKUP(Sales_fact[[#This Row],[Product_ID]],Product_Dim!A:A,Product_Dim!C:C,"OTHERS")</f>
        <v>Electronics</v>
      </c>
    </row>
    <row r="1938" spans="1:18" x14ac:dyDescent="0.3">
      <c r="A1938" t="s">
        <v>3762</v>
      </c>
      <c r="B1938" s="2">
        <v>45793</v>
      </c>
      <c r="C1938" t="s">
        <v>344</v>
      </c>
      <c r="D1938" t="s">
        <v>1680</v>
      </c>
      <c r="E1938" t="str">
        <f ca="1">TRIM(Sales_fact[[#This Row],[Store_ID]])</f>
        <v>STORE1</v>
      </c>
      <c r="F1938">
        <v>1</v>
      </c>
      <c r="G1938">
        <f>IF(ISBLANK(F1938),MODE($F$2:$F$2001),F1938)</f>
        <v>1</v>
      </c>
      <c r="H1938">
        <v>338.83</v>
      </c>
      <c r="I1938">
        <f>IF(ISBLANK(H1938),AVERAGE($H$2:$H$2001),H1938)</f>
        <v>338.83</v>
      </c>
      <c r="J1938">
        <v>0.19</v>
      </c>
      <c r="K1938">
        <f>IF(ISBLANK(J1938),MODE($J$2:$J$2001),J1938)</f>
        <v>0.19</v>
      </c>
      <c r="L1938" t="s">
        <v>1826</v>
      </c>
      <c r="M1938">
        <v>274.45229999999998</v>
      </c>
      <c r="N1938">
        <f t="shared" si="30"/>
        <v>274.45229999999998</v>
      </c>
      <c r="O1938" t="str">
        <f>_xlfn.XLOOKUP(Sales_fact[[#This Row],[Customer_ID]],'Customer_Dim'!A:A,'Customer_Dim'!K:K,"Not Found")</f>
        <v>Platinum</v>
      </c>
      <c r="P1938">
        <f>_xlfn.XLOOKUP(Sales_fact[[#This Row],[Customer_ID]],'Customer_Dim'!A:A, 'Customer_Dim'!E:E, "Not Found")</f>
        <v>30</v>
      </c>
      <c r="Q1938" t="str">
        <f>VLOOKUP(Sales_fact[[#This Row],[Customer_ID]], 'Customer_Dim'!A:F, 6, FALSE)</f>
        <v>Female</v>
      </c>
      <c r="R1938" s="13" t="str">
        <f>_xlfn.XLOOKUP(Sales_fact[[#This Row],[Product_ID]],Product_Dim!A:A,Product_Dim!C:C,"OTHERS")</f>
        <v>Beauty</v>
      </c>
    </row>
    <row r="1939" spans="1:18" x14ac:dyDescent="0.3">
      <c r="A1939" t="s">
        <v>3763</v>
      </c>
      <c r="B1939" s="2">
        <v>45265</v>
      </c>
      <c r="C1939" t="s">
        <v>905</v>
      </c>
      <c r="D1939" t="s">
        <v>1646</v>
      </c>
      <c r="E1939" t="str">
        <f ca="1">TRIM(Sales_fact[[#This Row],[Store_ID]])</f>
        <v>STORE13</v>
      </c>
      <c r="F1939">
        <v>4</v>
      </c>
      <c r="G1939">
        <f>IF(ISBLANK(F1939),MODE($F$2:$F$2001),F1939)</f>
        <v>4</v>
      </c>
      <c r="H1939">
        <v>568.80999999999995</v>
      </c>
      <c r="I1939">
        <f>IF(ISBLANK(H1939),AVERAGE($H$2:$H$2001),H1939)</f>
        <v>568.80999999999995</v>
      </c>
      <c r="J1939">
        <v>0.25</v>
      </c>
      <c r="K1939">
        <f>IF(ISBLANK(J1939),MODE($J$2:$J$2001),J1939)</f>
        <v>0.25</v>
      </c>
      <c r="L1939" t="s">
        <v>1824</v>
      </c>
      <c r="M1939">
        <v>1706.43</v>
      </c>
      <c r="N1939">
        <f t="shared" si="30"/>
        <v>1706.4299999999998</v>
      </c>
      <c r="O1939" t="str">
        <f>_xlfn.XLOOKUP(Sales_fact[[#This Row],[Customer_ID]],'Customer_Dim'!A:A,'Customer_Dim'!K:K,"Not Found")</f>
        <v>Silver</v>
      </c>
      <c r="P1939">
        <f>_xlfn.XLOOKUP(Sales_fact[[#This Row],[Customer_ID]],'Customer_Dim'!A:A, 'Customer_Dim'!E:E, "Not Found")</f>
        <v>46</v>
      </c>
      <c r="Q1939" t="str">
        <f>VLOOKUP(Sales_fact[[#This Row],[Customer_ID]], 'Customer_Dim'!A:F, 6, FALSE)</f>
        <v>Female</v>
      </c>
      <c r="R1939" s="13" t="str">
        <f>_xlfn.XLOOKUP(Sales_fact[[#This Row],[Product_ID]],Product_Dim!A:A,Product_Dim!C:C,"OTHERS")</f>
        <v>Beauty</v>
      </c>
    </row>
    <row r="1940" spans="1:18" x14ac:dyDescent="0.3">
      <c r="A1940" t="s">
        <v>3764</v>
      </c>
      <c r="B1940" s="2">
        <v>45607</v>
      </c>
      <c r="C1940" t="s">
        <v>1172</v>
      </c>
      <c r="D1940" t="s">
        <v>1670</v>
      </c>
      <c r="E1940" t="str">
        <f ca="1">TRIM(Sales_fact[[#This Row],[Store_ID]])</f>
        <v>STORE17</v>
      </c>
      <c r="F1940">
        <v>2</v>
      </c>
      <c r="G1940">
        <f>IF(ISBLANK(F1940),MODE($F$2:$F$2001),F1940)</f>
        <v>2</v>
      </c>
      <c r="H1940">
        <v>352.63</v>
      </c>
      <c r="I1940">
        <f>IF(ISBLANK(H1940),AVERAGE($H$2:$H$2001),H1940)</f>
        <v>352.63</v>
      </c>
      <c r="J1940">
        <v>0.15</v>
      </c>
      <c r="K1940">
        <f>IF(ISBLANK(J1940),MODE($J$2:$J$2001),J1940)</f>
        <v>0.15</v>
      </c>
      <c r="L1940" t="s">
        <v>1826</v>
      </c>
      <c r="M1940">
        <v>599.471</v>
      </c>
      <c r="N1940">
        <f t="shared" si="30"/>
        <v>599.471</v>
      </c>
      <c r="O1940" t="str">
        <f>_xlfn.XLOOKUP(Sales_fact[[#This Row],[Customer_ID]],'Customer_Dim'!A:A,'Customer_Dim'!K:K,"Not Found")</f>
        <v>Platinum</v>
      </c>
      <c r="P1940">
        <f>_xlfn.XLOOKUP(Sales_fact[[#This Row],[Customer_ID]],'Customer_Dim'!A:A, 'Customer_Dim'!E:E, "Not Found")</f>
        <v>26</v>
      </c>
      <c r="Q1940" t="str">
        <f>VLOOKUP(Sales_fact[[#This Row],[Customer_ID]], 'Customer_Dim'!A:F, 6, FALSE)</f>
        <v>Male</v>
      </c>
      <c r="R1940" s="13" t="str">
        <f>_xlfn.XLOOKUP(Sales_fact[[#This Row],[Product_ID]],Product_Dim!A:A,Product_Dim!C:C,"OTHERS")</f>
        <v>Sports</v>
      </c>
    </row>
    <row r="1941" spans="1:18" x14ac:dyDescent="0.3">
      <c r="A1941" t="s">
        <v>3765</v>
      </c>
      <c r="B1941" s="2">
        <v>45382</v>
      </c>
      <c r="C1941" t="s">
        <v>523</v>
      </c>
      <c r="D1941" t="s">
        <v>1740</v>
      </c>
      <c r="E1941" t="str">
        <f ca="1">TRIM(Sales_fact[[#This Row],[Store_ID]])</f>
        <v>STORE13</v>
      </c>
      <c r="F1941">
        <v>2</v>
      </c>
      <c r="G1941">
        <f>IF(ISBLANK(F1941),MODE($F$2:$F$2001),F1941)</f>
        <v>2</v>
      </c>
      <c r="H1941">
        <v>629.86</v>
      </c>
      <c r="I1941">
        <f>IF(ISBLANK(H1941),AVERAGE($H$2:$H$2001),H1941)</f>
        <v>629.86</v>
      </c>
      <c r="J1941">
        <v>0.15</v>
      </c>
      <c r="K1941">
        <f>IF(ISBLANK(J1941),MODE($J$2:$J$2001),J1941)</f>
        <v>0.15</v>
      </c>
      <c r="L1941" t="s">
        <v>1826</v>
      </c>
      <c r="M1941">
        <v>1070.7619999999999</v>
      </c>
      <c r="N1941">
        <f t="shared" si="30"/>
        <v>1070.7619999999999</v>
      </c>
      <c r="O1941" t="str">
        <f>_xlfn.XLOOKUP(Sales_fact[[#This Row],[Customer_ID]],'Customer_Dim'!A:A,'Customer_Dim'!K:K,"Not Found")</f>
        <v>Bronze</v>
      </c>
      <c r="P1941">
        <f>_xlfn.XLOOKUP(Sales_fact[[#This Row],[Customer_ID]],'Customer_Dim'!A:A, 'Customer_Dim'!E:E, "Not Found")</f>
        <v>46</v>
      </c>
      <c r="Q1941" t="str">
        <f>VLOOKUP(Sales_fact[[#This Row],[Customer_ID]], 'Customer_Dim'!A:F, 6, FALSE)</f>
        <v>Male</v>
      </c>
      <c r="R1941" s="13" t="str">
        <f>_xlfn.XLOOKUP(Sales_fact[[#This Row],[Product_ID]],Product_Dim!A:A,Product_Dim!C:C,"OTHERS")</f>
        <v>Clothing</v>
      </c>
    </row>
    <row r="1942" spans="1:18" x14ac:dyDescent="0.3">
      <c r="A1942" t="s">
        <v>3766</v>
      </c>
      <c r="B1942" s="2">
        <v>45793</v>
      </c>
      <c r="C1942" t="s">
        <v>1516</v>
      </c>
      <c r="D1942" t="s">
        <v>1744</v>
      </c>
      <c r="E1942" t="str">
        <f ca="1">TRIM(Sales_fact[[#This Row],[Store_ID]])</f>
        <v>STORE3</v>
      </c>
      <c r="F1942">
        <v>3</v>
      </c>
      <c r="G1942">
        <f>IF(ISBLANK(F1942),MODE($F$2:$F$2001),F1942)</f>
        <v>3</v>
      </c>
      <c r="H1942">
        <v>212.08</v>
      </c>
      <c r="I1942">
        <f>IF(ISBLANK(H1942),AVERAGE($H$2:$H$2001),H1942)</f>
        <v>212.08</v>
      </c>
      <c r="J1942">
        <v>7.0000000000000007E-2</v>
      </c>
      <c r="K1942">
        <f>IF(ISBLANK(J1942),MODE($J$2:$J$2001),J1942)</f>
        <v>7.0000000000000007E-2</v>
      </c>
      <c r="L1942" t="s">
        <v>1824</v>
      </c>
      <c r="M1942">
        <v>591.70319999999992</v>
      </c>
      <c r="N1942">
        <f t="shared" si="30"/>
        <v>591.70319999999992</v>
      </c>
      <c r="O1942" t="str">
        <f>_xlfn.XLOOKUP(Sales_fact[[#This Row],[Customer_ID]],'Customer_Dim'!A:A,'Customer_Dim'!K:K,"Not Found")</f>
        <v>Silver</v>
      </c>
      <c r="P1942">
        <f>_xlfn.XLOOKUP(Sales_fact[[#This Row],[Customer_ID]],'Customer_Dim'!A:A, 'Customer_Dim'!E:E, "Not Found")</f>
        <v>28</v>
      </c>
      <c r="Q1942" t="str">
        <f>VLOOKUP(Sales_fact[[#This Row],[Customer_ID]], 'Customer_Dim'!A:F, 6, FALSE)</f>
        <v>Male</v>
      </c>
      <c r="R1942" s="13" t="str">
        <f>_xlfn.XLOOKUP(Sales_fact[[#This Row],[Product_ID]],Product_Dim!A:A,Product_Dim!C:C,"OTHERS")</f>
        <v>Electronics</v>
      </c>
    </row>
    <row r="1943" spans="1:18" x14ac:dyDescent="0.3">
      <c r="A1943" t="s">
        <v>3767</v>
      </c>
      <c r="B1943" s="2">
        <v>45590</v>
      </c>
      <c r="C1943" t="s">
        <v>538</v>
      </c>
      <c r="D1943" t="s">
        <v>1662</v>
      </c>
      <c r="E1943" t="str">
        <f ca="1">TRIM(Sales_fact[[#This Row],[Store_ID]])</f>
        <v>STORE2</v>
      </c>
      <c r="F1943">
        <v>3</v>
      </c>
      <c r="G1943">
        <f>IF(ISBLANK(F1943),MODE($F$2:$F$2001),F1943)</f>
        <v>3</v>
      </c>
      <c r="H1943">
        <v>878.62</v>
      </c>
      <c r="I1943">
        <f>IF(ISBLANK(H1943),AVERAGE($H$2:$H$2001),H1943)</f>
        <v>878.62</v>
      </c>
      <c r="J1943">
        <v>0.05</v>
      </c>
      <c r="K1943">
        <f>IF(ISBLANK(J1943),MODE($J$2:$J$2001),J1943)</f>
        <v>0.05</v>
      </c>
      <c r="L1943" t="s">
        <v>1826</v>
      </c>
      <c r="M1943">
        <v>2504.067</v>
      </c>
      <c r="N1943">
        <f t="shared" si="30"/>
        <v>2504.067</v>
      </c>
      <c r="O1943" t="str">
        <f>_xlfn.XLOOKUP(Sales_fact[[#This Row],[Customer_ID]],'Customer_Dim'!A:A,'Customer_Dim'!K:K,"Not Found")</f>
        <v>Silver</v>
      </c>
      <c r="P1943">
        <f>_xlfn.XLOOKUP(Sales_fact[[#This Row],[Customer_ID]],'Customer_Dim'!A:A, 'Customer_Dim'!E:E, "Not Found")</f>
        <v>18</v>
      </c>
      <c r="Q1943" t="str">
        <f>VLOOKUP(Sales_fact[[#This Row],[Customer_ID]], 'Customer_Dim'!A:F, 6, FALSE)</f>
        <v>Female</v>
      </c>
      <c r="R1943" s="13" t="str">
        <f>_xlfn.XLOOKUP(Sales_fact[[#This Row],[Product_ID]],Product_Dim!A:A,Product_Dim!C:C,"OTHERS")</f>
        <v>Sports</v>
      </c>
    </row>
    <row r="1944" spans="1:18" x14ac:dyDescent="0.3">
      <c r="A1944" t="s">
        <v>3768</v>
      </c>
      <c r="B1944" s="2">
        <v>45679</v>
      </c>
      <c r="C1944" t="s">
        <v>833</v>
      </c>
      <c r="D1944" t="s">
        <v>1708</v>
      </c>
      <c r="E1944" t="str">
        <f ca="1">TRIM(Sales_fact[[#This Row],[Store_ID]])</f>
        <v>STORE10</v>
      </c>
      <c r="F1944">
        <v>4</v>
      </c>
      <c r="G1944">
        <f>IF(ISBLANK(F1944),MODE($F$2:$F$2001),F1944)</f>
        <v>4</v>
      </c>
      <c r="H1944">
        <v>87.83</v>
      </c>
      <c r="I1944">
        <f>IF(ISBLANK(H1944),AVERAGE($H$2:$H$2001),H1944)</f>
        <v>87.83</v>
      </c>
      <c r="J1944">
        <v>0.23</v>
      </c>
      <c r="K1944">
        <f>IF(ISBLANK(J1944),MODE($J$2:$J$2001),J1944)</f>
        <v>0.23</v>
      </c>
      <c r="L1944" t="s">
        <v>1826</v>
      </c>
      <c r="M1944">
        <v>270.51639999999998</v>
      </c>
      <c r="N1944">
        <f t="shared" si="30"/>
        <v>270.51639999999998</v>
      </c>
      <c r="O1944" t="str">
        <f>_xlfn.XLOOKUP(Sales_fact[[#This Row],[Customer_ID]],'Customer_Dim'!A:A,'Customer_Dim'!K:K,"Not Found")</f>
        <v>Silver</v>
      </c>
      <c r="P1944">
        <f>_xlfn.XLOOKUP(Sales_fact[[#This Row],[Customer_ID]],'Customer_Dim'!A:A, 'Customer_Dim'!E:E, "Not Found")</f>
        <v>27</v>
      </c>
      <c r="Q1944" t="str">
        <f>VLOOKUP(Sales_fact[[#This Row],[Customer_ID]], 'Customer_Dim'!A:F, 6, FALSE)</f>
        <v>Female</v>
      </c>
      <c r="R1944" s="13" t="str">
        <f>_xlfn.XLOOKUP(Sales_fact[[#This Row],[Product_ID]],Product_Dim!A:A,Product_Dim!C:C,"OTHERS")</f>
        <v>Home</v>
      </c>
    </row>
    <row r="1945" spans="1:18" x14ac:dyDescent="0.3">
      <c r="A1945" t="s">
        <v>3769</v>
      </c>
      <c r="B1945" s="2">
        <v>45814</v>
      </c>
      <c r="C1945" t="s">
        <v>875</v>
      </c>
      <c r="D1945" t="s">
        <v>1660</v>
      </c>
      <c r="E1945" t="str">
        <f ca="1">TRIM(Sales_fact[[#This Row],[Store_ID]])</f>
        <v>STORE9</v>
      </c>
      <c r="F1945">
        <v>3</v>
      </c>
      <c r="G1945">
        <f>IF(ISBLANK(F1945),MODE($F$2:$F$2001),F1945)</f>
        <v>3</v>
      </c>
      <c r="H1945">
        <v>442.64</v>
      </c>
      <c r="I1945">
        <f>IF(ISBLANK(H1945),AVERAGE($H$2:$H$2001),H1945)</f>
        <v>442.64</v>
      </c>
      <c r="J1945">
        <v>0.15</v>
      </c>
      <c r="K1945">
        <f>IF(ISBLANK(J1945),MODE($J$2:$J$2001),J1945)</f>
        <v>0.15</v>
      </c>
      <c r="L1945" t="s">
        <v>1829</v>
      </c>
      <c r="M1945">
        <v>1128.732</v>
      </c>
      <c r="N1945">
        <f t="shared" si="30"/>
        <v>1128.732</v>
      </c>
      <c r="O1945" t="str">
        <f>_xlfn.XLOOKUP(Sales_fact[[#This Row],[Customer_ID]],'Customer_Dim'!A:A,'Customer_Dim'!K:K,"Not Found")</f>
        <v>Gold</v>
      </c>
      <c r="P1945">
        <f>_xlfn.XLOOKUP(Sales_fact[[#This Row],[Customer_ID]],'Customer_Dim'!A:A, 'Customer_Dim'!E:E, "Not Found")</f>
        <v>22</v>
      </c>
      <c r="Q1945" t="str">
        <f>VLOOKUP(Sales_fact[[#This Row],[Customer_ID]], 'Customer_Dim'!A:F, 6, FALSE)</f>
        <v>Male</v>
      </c>
      <c r="R1945" s="13" t="str">
        <f>_xlfn.XLOOKUP(Sales_fact[[#This Row],[Product_ID]],Product_Dim!A:A,Product_Dim!C:C,"OTHERS")</f>
        <v>Home</v>
      </c>
    </row>
    <row r="1946" spans="1:18" x14ac:dyDescent="0.3">
      <c r="A1946" t="s">
        <v>3770</v>
      </c>
      <c r="B1946" s="2">
        <v>45795</v>
      </c>
      <c r="C1946" t="s">
        <v>335</v>
      </c>
      <c r="D1946" t="s">
        <v>1624</v>
      </c>
      <c r="E1946" t="str">
        <f ca="1">TRIM(Sales_fact[[#This Row],[Store_ID]])</f>
        <v>STORE2</v>
      </c>
      <c r="F1946">
        <v>3</v>
      </c>
      <c r="G1946">
        <f>IF(ISBLANK(F1946),MODE($F$2:$F$2001),F1946)</f>
        <v>3</v>
      </c>
      <c r="H1946">
        <v>410.04</v>
      </c>
      <c r="I1946">
        <f>IF(ISBLANK(H1946),AVERAGE($H$2:$H$2001),H1946)</f>
        <v>410.04</v>
      </c>
      <c r="J1946">
        <v>0.09</v>
      </c>
      <c r="K1946">
        <f>IF(ISBLANK(J1946),MODE($J$2:$J$2001),J1946)</f>
        <v>0.09</v>
      </c>
      <c r="L1946" t="s">
        <v>1829</v>
      </c>
      <c r="M1946">
        <v>1119.4092000000001</v>
      </c>
      <c r="N1946">
        <f t="shared" si="30"/>
        <v>1119.4092000000001</v>
      </c>
      <c r="O1946" t="str">
        <f>_xlfn.XLOOKUP(Sales_fact[[#This Row],[Customer_ID]],'Customer_Dim'!A:A,'Customer_Dim'!K:K,"Not Found")</f>
        <v>Gold</v>
      </c>
      <c r="P1946">
        <f>_xlfn.XLOOKUP(Sales_fact[[#This Row],[Customer_ID]],'Customer_Dim'!A:A, 'Customer_Dim'!E:E, "Not Found")</f>
        <v>28</v>
      </c>
      <c r="Q1946" t="str">
        <f>VLOOKUP(Sales_fact[[#This Row],[Customer_ID]], 'Customer_Dim'!A:F, 6, FALSE)</f>
        <v>Female</v>
      </c>
      <c r="R1946" s="13" t="str">
        <f>_xlfn.XLOOKUP(Sales_fact[[#This Row],[Product_ID]],Product_Dim!A:A,Product_Dim!C:C,"OTHERS")</f>
        <v>Sports</v>
      </c>
    </row>
    <row r="1947" spans="1:18" x14ac:dyDescent="0.3">
      <c r="A1947" t="s">
        <v>3771</v>
      </c>
      <c r="B1947" s="2">
        <v>45797</v>
      </c>
      <c r="C1947" t="s">
        <v>455</v>
      </c>
      <c r="D1947" t="s">
        <v>1736</v>
      </c>
      <c r="E1947" t="str">
        <f ca="1">TRIM(Sales_fact[[#This Row],[Store_ID]])</f>
        <v>STORE17</v>
      </c>
      <c r="F1947">
        <v>1</v>
      </c>
      <c r="G1947">
        <f>IF(ISBLANK(F1947),MODE($F$2:$F$2001),F1947)</f>
        <v>1</v>
      </c>
      <c r="H1947">
        <v>355.31</v>
      </c>
      <c r="I1947">
        <f>IF(ISBLANK(H1947),AVERAGE($H$2:$H$2001),H1947)</f>
        <v>355.31</v>
      </c>
      <c r="J1947">
        <v>0.27</v>
      </c>
      <c r="K1947">
        <f>IF(ISBLANK(J1947),MODE($J$2:$J$2001),J1947)</f>
        <v>0.27</v>
      </c>
      <c r="L1947" t="s">
        <v>1824</v>
      </c>
      <c r="M1947">
        <v>259.37630000000001</v>
      </c>
      <c r="N1947">
        <f t="shared" si="30"/>
        <v>259.37630000000001</v>
      </c>
      <c r="O1947" t="str">
        <f>_xlfn.XLOOKUP(Sales_fact[[#This Row],[Customer_ID]],'Customer_Dim'!A:A,'Customer_Dim'!K:K,"Not Found")</f>
        <v>Bronze</v>
      </c>
      <c r="P1947">
        <f>_xlfn.XLOOKUP(Sales_fact[[#This Row],[Customer_ID]],'Customer_Dim'!A:A, 'Customer_Dim'!E:E, "Not Found")</f>
        <v>62</v>
      </c>
      <c r="Q1947" t="str">
        <f>VLOOKUP(Sales_fact[[#This Row],[Customer_ID]], 'Customer_Dim'!A:F, 6, FALSE)</f>
        <v>Female</v>
      </c>
      <c r="R1947" s="13" t="str">
        <f>_xlfn.XLOOKUP(Sales_fact[[#This Row],[Product_ID]],Product_Dim!A:A,Product_Dim!C:C,"OTHERS")</f>
        <v>Beauty</v>
      </c>
    </row>
    <row r="1948" spans="1:18" x14ac:dyDescent="0.3">
      <c r="A1948" t="s">
        <v>3772</v>
      </c>
      <c r="B1948" s="2">
        <v>45607</v>
      </c>
      <c r="C1948" t="s">
        <v>1175</v>
      </c>
      <c r="D1948" t="s">
        <v>1565</v>
      </c>
      <c r="E1948" t="str">
        <f ca="1">TRIM(Sales_fact[[#This Row],[Store_ID]])</f>
        <v>STORE13</v>
      </c>
      <c r="F1948">
        <v>4</v>
      </c>
      <c r="G1948">
        <f>IF(ISBLANK(F1948),MODE($F$2:$F$2001),F1948)</f>
        <v>4</v>
      </c>
      <c r="H1948">
        <v>243.13</v>
      </c>
      <c r="I1948">
        <f>IF(ISBLANK(H1948),AVERAGE($H$2:$H$2001),H1948)</f>
        <v>243.13</v>
      </c>
      <c r="J1948">
        <v>0.25</v>
      </c>
      <c r="K1948">
        <f>IF(ISBLANK(J1948),MODE($J$2:$J$2001),J1948)</f>
        <v>0.25</v>
      </c>
      <c r="L1948" t="s">
        <v>1829</v>
      </c>
      <c r="M1948">
        <v>729.39</v>
      </c>
      <c r="N1948">
        <f t="shared" si="30"/>
        <v>729.39</v>
      </c>
      <c r="O1948" t="str">
        <f>_xlfn.XLOOKUP(Sales_fact[[#This Row],[Customer_ID]],'Customer_Dim'!A:A,'Customer_Dim'!K:K,"Not Found")</f>
        <v>Bronze</v>
      </c>
      <c r="P1948">
        <f>_xlfn.XLOOKUP(Sales_fact[[#This Row],[Customer_ID]],'Customer_Dim'!A:A, 'Customer_Dim'!E:E, "Not Found")</f>
        <v>30</v>
      </c>
      <c r="Q1948" t="str">
        <f>VLOOKUP(Sales_fact[[#This Row],[Customer_ID]], 'Customer_Dim'!A:F, 6, FALSE)</f>
        <v>Male</v>
      </c>
      <c r="R1948" s="13" t="str">
        <f>_xlfn.XLOOKUP(Sales_fact[[#This Row],[Product_ID]],Product_Dim!A:A,Product_Dim!C:C,"OTHERS")</f>
        <v>Sports</v>
      </c>
    </row>
    <row r="1949" spans="1:18" x14ac:dyDescent="0.3">
      <c r="A1949" t="s">
        <v>3773</v>
      </c>
      <c r="B1949" s="2">
        <v>45614</v>
      </c>
      <c r="C1949" t="s">
        <v>737</v>
      </c>
      <c r="D1949" t="s">
        <v>1666</v>
      </c>
      <c r="E1949" t="str">
        <f ca="1">TRIM(Sales_fact[[#This Row],[Store_ID]])</f>
        <v>STORE11</v>
      </c>
      <c r="F1949">
        <v>2</v>
      </c>
      <c r="G1949">
        <f>IF(ISBLANK(F1949),MODE($F$2:$F$2001),F1949)</f>
        <v>2</v>
      </c>
      <c r="H1949">
        <v>410.63</v>
      </c>
      <c r="I1949">
        <f>IF(ISBLANK(H1949),AVERAGE($H$2:$H$2001),H1949)</f>
        <v>410.63</v>
      </c>
      <c r="J1949">
        <v>0.28000000000000003</v>
      </c>
      <c r="K1949">
        <f>IF(ISBLANK(J1949),MODE($J$2:$J$2001),J1949)</f>
        <v>0.28000000000000003</v>
      </c>
      <c r="L1949" t="s">
        <v>1829</v>
      </c>
      <c r="M1949">
        <v>591.30719999999997</v>
      </c>
      <c r="N1949">
        <f t="shared" si="30"/>
        <v>591.30719999999997</v>
      </c>
      <c r="O1949" t="str">
        <f>_xlfn.XLOOKUP(Sales_fact[[#This Row],[Customer_ID]],'Customer_Dim'!A:A,'Customer_Dim'!K:K,"Not Found")</f>
        <v>Bronze</v>
      </c>
      <c r="P1949">
        <f>_xlfn.XLOOKUP(Sales_fact[[#This Row],[Customer_ID]],'Customer_Dim'!A:A, 'Customer_Dim'!E:E, "Not Found")</f>
        <v>32</v>
      </c>
      <c r="Q1949" t="str">
        <f>VLOOKUP(Sales_fact[[#This Row],[Customer_ID]], 'Customer_Dim'!A:F, 6, FALSE)</f>
        <v>Female</v>
      </c>
      <c r="R1949" s="13" t="str">
        <f>_xlfn.XLOOKUP(Sales_fact[[#This Row],[Product_ID]],Product_Dim!A:A,Product_Dim!C:C,"OTHERS")</f>
        <v>Beauty</v>
      </c>
    </row>
    <row r="1950" spans="1:18" x14ac:dyDescent="0.3">
      <c r="A1950" t="s">
        <v>3774</v>
      </c>
      <c r="B1950" s="2">
        <v>45293</v>
      </c>
      <c r="C1950" t="s">
        <v>1319</v>
      </c>
      <c r="D1950" t="s">
        <v>1736</v>
      </c>
      <c r="E1950" t="str">
        <f ca="1">TRIM(Sales_fact[[#This Row],[Store_ID]])</f>
        <v>STORE10</v>
      </c>
      <c r="F1950">
        <v>4</v>
      </c>
      <c r="G1950">
        <f>IF(ISBLANK(F1950),MODE($F$2:$F$2001),F1950)</f>
        <v>4</v>
      </c>
      <c r="H1950">
        <v>101.25</v>
      </c>
      <c r="I1950">
        <f>IF(ISBLANK(H1950),AVERAGE($H$2:$H$2001),H1950)</f>
        <v>101.25</v>
      </c>
      <c r="J1950">
        <v>0.16</v>
      </c>
      <c r="K1950">
        <f>IF(ISBLANK(J1950),MODE($J$2:$J$2001),J1950)</f>
        <v>0.16</v>
      </c>
      <c r="L1950" t="s">
        <v>1826</v>
      </c>
      <c r="M1950">
        <v>340.2</v>
      </c>
      <c r="N1950">
        <f t="shared" si="30"/>
        <v>340.2</v>
      </c>
      <c r="O1950" t="str">
        <f>_xlfn.XLOOKUP(Sales_fact[[#This Row],[Customer_ID]],'Customer_Dim'!A:A,'Customer_Dim'!K:K,"Not Found")</f>
        <v>Bronze</v>
      </c>
      <c r="P1950">
        <f>_xlfn.XLOOKUP(Sales_fact[[#This Row],[Customer_ID]],'Customer_Dim'!A:A, 'Customer_Dim'!E:E, "Not Found")</f>
        <v>40</v>
      </c>
      <c r="Q1950" t="str">
        <f>VLOOKUP(Sales_fact[[#This Row],[Customer_ID]], 'Customer_Dim'!A:F, 6, FALSE)</f>
        <v>Male</v>
      </c>
      <c r="R1950" s="13" t="str">
        <f>_xlfn.XLOOKUP(Sales_fact[[#This Row],[Product_ID]],Product_Dim!A:A,Product_Dim!C:C,"OTHERS")</f>
        <v>Beauty</v>
      </c>
    </row>
    <row r="1951" spans="1:18" x14ac:dyDescent="0.3">
      <c r="A1951" t="s">
        <v>3775</v>
      </c>
      <c r="B1951" s="2">
        <v>45301</v>
      </c>
      <c r="C1951" t="s">
        <v>730</v>
      </c>
      <c r="D1951" t="s">
        <v>1560</v>
      </c>
      <c r="E1951" t="str">
        <f ca="1">TRIM(Sales_fact[[#This Row],[Store_ID]])</f>
        <v>STORE17</v>
      </c>
      <c r="F1951">
        <v>4</v>
      </c>
      <c r="G1951">
        <f>IF(ISBLANK(F1951),MODE($F$2:$F$2001),F1951)</f>
        <v>4</v>
      </c>
      <c r="H1951">
        <v>716.39</v>
      </c>
      <c r="I1951">
        <f>IF(ISBLANK(H1951),AVERAGE($H$2:$H$2001),H1951)</f>
        <v>716.39</v>
      </c>
      <c r="J1951">
        <v>0.03</v>
      </c>
      <c r="K1951">
        <f>IF(ISBLANK(J1951),MODE($J$2:$J$2001),J1951)</f>
        <v>0.03</v>
      </c>
      <c r="L1951" t="s">
        <v>1826</v>
      </c>
      <c r="M1951">
        <v>2779.5931999999998</v>
      </c>
      <c r="N1951">
        <f t="shared" si="30"/>
        <v>2779.5931999999998</v>
      </c>
      <c r="O1951" t="str">
        <f>_xlfn.XLOOKUP(Sales_fact[[#This Row],[Customer_ID]],'Customer_Dim'!A:A,'Customer_Dim'!K:K,"Not Found")</f>
        <v>Gold</v>
      </c>
      <c r="P1951">
        <f>_xlfn.XLOOKUP(Sales_fact[[#This Row],[Customer_ID]],'Customer_Dim'!A:A, 'Customer_Dim'!E:E, "Not Found")</f>
        <v>54</v>
      </c>
      <c r="Q1951" t="str">
        <f>VLOOKUP(Sales_fact[[#This Row],[Customer_ID]], 'Customer_Dim'!A:F, 6, FALSE)</f>
        <v>Male</v>
      </c>
      <c r="R1951" s="13" t="str">
        <f>_xlfn.XLOOKUP(Sales_fact[[#This Row],[Product_ID]],Product_Dim!A:A,Product_Dim!C:C,"OTHERS")</f>
        <v>Home</v>
      </c>
    </row>
    <row r="1952" spans="1:18" x14ac:dyDescent="0.3">
      <c r="A1952" t="s">
        <v>3776</v>
      </c>
      <c r="B1952" s="2">
        <v>45311</v>
      </c>
      <c r="C1952" t="s">
        <v>338</v>
      </c>
      <c r="D1952" t="s">
        <v>1694</v>
      </c>
      <c r="E1952" t="str">
        <f ca="1">TRIM(Sales_fact[[#This Row],[Store_ID]])</f>
        <v>STORE1</v>
      </c>
      <c r="F1952">
        <v>1</v>
      </c>
      <c r="G1952">
        <f>IF(ISBLANK(F1952),MODE($F$2:$F$2001),F1952)</f>
        <v>1</v>
      </c>
      <c r="H1952">
        <v>721.74</v>
      </c>
      <c r="I1952">
        <f>IF(ISBLANK(H1952),AVERAGE($H$2:$H$2001),H1952)</f>
        <v>721.74</v>
      </c>
      <c r="J1952">
        <v>0.24</v>
      </c>
      <c r="K1952">
        <f>IF(ISBLANK(J1952),MODE($J$2:$J$2001),J1952)</f>
        <v>0.24</v>
      </c>
      <c r="L1952" t="s">
        <v>1826</v>
      </c>
      <c r="M1952">
        <v>548.52240000000006</v>
      </c>
      <c r="N1952">
        <f t="shared" si="30"/>
        <v>548.52240000000006</v>
      </c>
      <c r="O1952" t="str">
        <f>_xlfn.XLOOKUP(Sales_fact[[#This Row],[Customer_ID]],'Customer_Dim'!A:A,'Customer_Dim'!K:K,"Not Found")</f>
        <v>Gold</v>
      </c>
      <c r="P1952">
        <f>_xlfn.XLOOKUP(Sales_fact[[#This Row],[Customer_ID]],'Customer_Dim'!A:A, 'Customer_Dim'!E:E, "Not Found")</f>
        <v>43</v>
      </c>
      <c r="Q1952" t="str">
        <f>VLOOKUP(Sales_fact[[#This Row],[Customer_ID]], 'Customer_Dim'!A:F, 6, FALSE)</f>
        <v>Female</v>
      </c>
      <c r="R1952" s="13" t="str">
        <f>_xlfn.XLOOKUP(Sales_fact[[#This Row],[Product_ID]],Product_Dim!A:A,Product_Dim!C:C,"OTHERS")</f>
        <v>Sports</v>
      </c>
    </row>
    <row r="1953" spans="1:18" x14ac:dyDescent="0.3">
      <c r="A1953" t="s">
        <v>3777</v>
      </c>
      <c r="B1953" s="2">
        <v>45702</v>
      </c>
      <c r="C1953" t="s">
        <v>205</v>
      </c>
      <c r="D1953" t="s">
        <v>1672</v>
      </c>
      <c r="E1953" t="str">
        <f ca="1">TRIM(Sales_fact[[#This Row],[Store_ID]])</f>
        <v>STORE11</v>
      </c>
      <c r="F1953">
        <v>2</v>
      </c>
      <c r="G1953">
        <f>IF(ISBLANK(F1953),MODE($F$2:$F$2001),F1953)</f>
        <v>2</v>
      </c>
      <c r="H1953">
        <v>527.91</v>
      </c>
      <c r="I1953">
        <f>IF(ISBLANK(H1953),AVERAGE($H$2:$H$2001),H1953)</f>
        <v>527.91</v>
      </c>
      <c r="J1953">
        <v>0.02</v>
      </c>
      <c r="K1953">
        <f>IF(ISBLANK(J1953),MODE($J$2:$J$2001),J1953)</f>
        <v>0.02</v>
      </c>
      <c r="L1953" t="s">
        <v>1824</v>
      </c>
      <c r="M1953">
        <v>1034.7036000000001</v>
      </c>
      <c r="N1953">
        <f t="shared" si="30"/>
        <v>1034.7035999999998</v>
      </c>
      <c r="O1953" t="str">
        <f>_xlfn.XLOOKUP(Sales_fact[[#This Row],[Customer_ID]],'Customer_Dim'!A:A,'Customer_Dim'!K:K,"Not Found")</f>
        <v>Platinum</v>
      </c>
      <c r="P1953">
        <f>_xlfn.XLOOKUP(Sales_fact[[#This Row],[Customer_ID]],'Customer_Dim'!A:A, 'Customer_Dim'!E:E, "Not Found")</f>
        <v>24</v>
      </c>
      <c r="Q1953" t="str">
        <f>VLOOKUP(Sales_fact[[#This Row],[Customer_ID]], 'Customer_Dim'!A:F, 6, FALSE)</f>
        <v>Male</v>
      </c>
      <c r="R1953" s="13" t="str">
        <f>_xlfn.XLOOKUP(Sales_fact[[#This Row],[Product_ID]],Product_Dim!A:A,Product_Dim!C:C,"OTHERS")</f>
        <v>Electronics</v>
      </c>
    </row>
    <row r="1954" spans="1:18" x14ac:dyDescent="0.3">
      <c r="A1954" t="s">
        <v>3778</v>
      </c>
      <c r="B1954" s="2">
        <v>45525</v>
      </c>
      <c r="C1954" t="s">
        <v>1005</v>
      </c>
      <c r="D1954" t="s">
        <v>1652</v>
      </c>
      <c r="E1954" t="str">
        <f ca="1">TRIM(Sales_fact[[#This Row],[Store_ID]])</f>
        <v>STORE13</v>
      </c>
      <c r="F1954">
        <v>2</v>
      </c>
      <c r="G1954">
        <f>IF(ISBLANK(F1954),MODE($F$2:$F$2001),F1954)</f>
        <v>2</v>
      </c>
      <c r="H1954">
        <v>945.92</v>
      </c>
      <c r="I1954">
        <f>IF(ISBLANK(H1954),AVERAGE($H$2:$H$2001),H1954)</f>
        <v>945.92</v>
      </c>
      <c r="J1954">
        <v>0.19</v>
      </c>
      <c r="K1954">
        <f>IF(ISBLANK(J1954),MODE($J$2:$J$2001),J1954)</f>
        <v>0.19</v>
      </c>
      <c r="L1954" t="s">
        <v>1829</v>
      </c>
      <c r="M1954">
        <v>1532.3904</v>
      </c>
      <c r="N1954">
        <f t="shared" si="30"/>
        <v>1532.3904</v>
      </c>
      <c r="O1954" t="str">
        <f>_xlfn.XLOOKUP(Sales_fact[[#This Row],[Customer_ID]],'Customer_Dim'!A:A,'Customer_Dim'!K:K,"Not Found")</f>
        <v>Platinum</v>
      </c>
      <c r="P1954">
        <f>_xlfn.XLOOKUP(Sales_fact[[#This Row],[Customer_ID]],'Customer_Dim'!A:A, 'Customer_Dim'!E:E, "Not Found")</f>
        <v>54</v>
      </c>
      <c r="Q1954" t="str">
        <f>VLOOKUP(Sales_fact[[#This Row],[Customer_ID]], 'Customer_Dim'!A:F, 6, FALSE)</f>
        <v>Male</v>
      </c>
      <c r="R1954" s="13" t="str">
        <f>_xlfn.XLOOKUP(Sales_fact[[#This Row],[Product_ID]],Product_Dim!A:A,Product_Dim!C:C,"OTHERS")</f>
        <v>Sports</v>
      </c>
    </row>
    <row r="1955" spans="1:18" x14ac:dyDescent="0.3">
      <c r="A1955" t="s">
        <v>3779</v>
      </c>
      <c r="B1955" s="2">
        <v>45780</v>
      </c>
      <c r="C1955" t="s">
        <v>295</v>
      </c>
      <c r="D1955" t="s">
        <v>1660</v>
      </c>
      <c r="E1955" t="str">
        <f ca="1">TRIM(Sales_fact[[#This Row],[Store_ID]])</f>
        <v>STORE17</v>
      </c>
      <c r="F1955">
        <v>2</v>
      </c>
      <c r="G1955">
        <f>IF(ISBLANK(F1955),MODE($F$2:$F$2001),F1955)</f>
        <v>2</v>
      </c>
      <c r="H1955">
        <v>981.35</v>
      </c>
      <c r="I1955">
        <f>IF(ISBLANK(H1955),AVERAGE($H$2:$H$2001),H1955)</f>
        <v>981.35</v>
      </c>
      <c r="J1955">
        <v>0.16</v>
      </c>
      <c r="K1955">
        <f>IF(ISBLANK(J1955),MODE($J$2:$J$2001),J1955)</f>
        <v>0.16</v>
      </c>
      <c r="L1955" t="s">
        <v>1826</v>
      </c>
      <c r="M1955">
        <v>1648.6679999999999</v>
      </c>
      <c r="N1955">
        <f t="shared" si="30"/>
        <v>1648.6679999999999</v>
      </c>
      <c r="O1955" t="str">
        <f>_xlfn.XLOOKUP(Sales_fact[[#This Row],[Customer_ID]],'Customer_Dim'!A:A,'Customer_Dim'!K:K,"Not Found")</f>
        <v>Platinum</v>
      </c>
      <c r="P1955">
        <f>_xlfn.XLOOKUP(Sales_fact[[#This Row],[Customer_ID]],'Customer_Dim'!A:A, 'Customer_Dim'!E:E, "Not Found")</f>
        <v>34</v>
      </c>
      <c r="Q1955" t="str">
        <f>VLOOKUP(Sales_fact[[#This Row],[Customer_ID]], 'Customer_Dim'!A:F, 6, FALSE)</f>
        <v>Female</v>
      </c>
      <c r="R1955" s="13" t="str">
        <f>_xlfn.XLOOKUP(Sales_fact[[#This Row],[Product_ID]],Product_Dim!A:A,Product_Dim!C:C,"OTHERS")</f>
        <v>Home</v>
      </c>
    </row>
    <row r="1956" spans="1:18" x14ac:dyDescent="0.3">
      <c r="A1956" t="s">
        <v>3780</v>
      </c>
      <c r="B1956" s="2">
        <v>45819</v>
      </c>
      <c r="C1956" t="s">
        <v>722</v>
      </c>
      <c r="D1956" t="s">
        <v>1666</v>
      </c>
      <c r="E1956" t="str">
        <f ca="1">TRIM(Sales_fact[[#This Row],[Store_ID]])</f>
        <v>STORE3</v>
      </c>
      <c r="F1956">
        <v>1</v>
      </c>
      <c r="G1956">
        <f>IF(ISBLANK(F1956),MODE($F$2:$F$2001),F1956)</f>
        <v>1</v>
      </c>
      <c r="H1956">
        <v>913.99</v>
      </c>
      <c r="I1956">
        <f>IF(ISBLANK(H1956),AVERAGE($H$2:$H$2001),H1956)</f>
        <v>913.99</v>
      </c>
      <c r="J1956">
        <v>0.14000000000000001</v>
      </c>
      <c r="K1956">
        <f>IF(ISBLANK(J1956),MODE($J$2:$J$2001),J1956)</f>
        <v>0.14000000000000001</v>
      </c>
      <c r="L1956" t="s">
        <v>1824</v>
      </c>
      <c r="M1956">
        <v>786.03139999999996</v>
      </c>
      <c r="N1956">
        <f t="shared" si="30"/>
        <v>786.03139999999996</v>
      </c>
      <c r="O1956" t="str">
        <f>_xlfn.XLOOKUP(Sales_fact[[#This Row],[Customer_ID]],'Customer_Dim'!A:A,'Customer_Dim'!K:K,"Not Found")</f>
        <v>Platinum</v>
      </c>
      <c r="P1956">
        <f>_xlfn.XLOOKUP(Sales_fact[[#This Row],[Customer_ID]],'Customer_Dim'!A:A, 'Customer_Dim'!E:E, "Not Found")</f>
        <v>50</v>
      </c>
      <c r="Q1956" t="str">
        <f>VLOOKUP(Sales_fact[[#This Row],[Customer_ID]], 'Customer_Dim'!A:F, 6, FALSE)</f>
        <v>Male</v>
      </c>
      <c r="R1956" s="13" t="str">
        <f>_xlfn.XLOOKUP(Sales_fact[[#This Row],[Product_ID]],Product_Dim!A:A,Product_Dim!C:C,"OTHERS")</f>
        <v>Beauty</v>
      </c>
    </row>
    <row r="1957" spans="1:18" x14ac:dyDescent="0.3">
      <c r="A1957" t="s">
        <v>3781</v>
      </c>
      <c r="B1957" s="2">
        <v>45863</v>
      </c>
      <c r="C1957" t="s">
        <v>55</v>
      </c>
      <c r="D1957" t="s">
        <v>1680</v>
      </c>
      <c r="E1957" t="str">
        <f ca="1">TRIM(Sales_fact[[#This Row],[Store_ID]])</f>
        <v>STORE8</v>
      </c>
      <c r="F1957">
        <v>4</v>
      </c>
      <c r="G1957">
        <f>IF(ISBLANK(F1957),MODE($F$2:$F$2001),F1957)</f>
        <v>4</v>
      </c>
      <c r="H1957">
        <v>270.69</v>
      </c>
      <c r="I1957">
        <f>IF(ISBLANK(H1957),AVERAGE($H$2:$H$2001),H1957)</f>
        <v>270.69</v>
      </c>
      <c r="J1957">
        <v>0.18</v>
      </c>
      <c r="K1957">
        <f>IF(ISBLANK(J1957),MODE($J$2:$J$2001),J1957)</f>
        <v>0.18</v>
      </c>
      <c r="L1957" t="s">
        <v>1826</v>
      </c>
      <c r="M1957">
        <v>887.86320000000001</v>
      </c>
      <c r="N1957">
        <f t="shared" si="30"/>
        <v>887.86320000000001</v>
      </c>
      <c r="O1957" t="str">
        <f>_xlfn.XLOOKUP(Sales_fact[[#This Row],[Customer_ID]],'Customer_Dim'!A:A,'Customer_Dim'!K:K,"Not Found")</f>
        <v>Gold</v>
      </c>
      <c r="P1957">
        <f>_xlfn.XLOOKUP(Sales_fact[[#This Row],[Customer_ID]],'Customer_Dim'!A:A, 'Customer_Dim'!E:E, "Not Found")</f>
        <v>28</v>
      </c>
      <c r="Q1957" t="str">
        <f>VLOOKUP(Sales_fact[[#This Row],[Customer_ID]], 'Customer_Dim'!A:F, 6, FALSE)</f>
        <v>Female</v>
      </c>
      <c r="R1957" s="13" t="str">
        <f>_xlfn.XLOOKUP(Sales_fact[[#This Row],[Product_ID]],Product_Dim!A:A,Product_Dim!C:C,"OTHERS")</f>
        <v>Beauty</v>
      </c>
    </row>
    <row r="1958" spans="1:18" x14ac:dyDescent="0.3">
      <c r="A1958" t="s">
        <v>3782</v>
      </c>
      <c r="B1958" s="2">
        <v>45687</v>
      </c>
      <c r="C1958" t="s">
        <v>538</v>
      </c>
      <c r="D1958" t="s">
        <v>1702</v>
      </c>
      <c r="E1958" t="str">
        <f ca="1">TRIM(Sales_fact[[#This Row],[Store_ID]])</f>
        <v>STORE6</v>
      </c>
      <c r="F1958">
        <v>3</v>
      </c>
      <c r="G1958">
        <f>IF(ISBLANK(F1958),MODE($F$2:$F$2001),F1958)</f>
        <v>3</v>
      </c>
      <c r="H1958">
        <v>998.58</v>
      </c>
      <c r="I1958">
        <f>IF(ISBLANK(H1958),AVERAGE($H$2:$H$2001),H1958)</f>
        <v>998.58</v>
      </c>
      <c r="J1958">
        <v>0.02</v>
      </c>
      <c r="K1958">
        <f>IF(ISBLANK(J1958),MODE($J$2:$J$2001),J1958)</f>
        <v>0.02</v>
      </c>
      <c r="L1958" t="s">
        <v>1824</v>
      </c>
      <c r="M1958">
        <v>2935.8252000000002</v>
      </c>
      <c r="N1958">
        <f t="shared" si="30"/>
        <v>2935.8252000000002</v>
      </c>
      <c r="O1958" t="str">
        <f>_xlfn.XLOOKUP(Sales_fact[[#This Row],[Customer_ID]],'Customer_Dim'!A:A,'Customer_Dim'!K:K,"Not Found")</f>
        <v>Silver</v>
      </c>
      <c r="P1958">
        <f>_xlfn.XLOOKUP(Sales_fact[[#This Row],[Customer_ID]],'Customer_Dim'!A:A, 'Customer_Dim'!E:E, "Not Found")</f>
        <v>18</v>
      </c>
      <c r="Q1958" t="str">
        <f>VLOOKUP(Sales_fact[[#This Row],[Customer_ID]], 'Customer_Dim'!A:F, 6, FALSE)</f>
        <v>Female</v>
      </c>
      <c r="R1958" s="13" t="str">
        <f>_xlfn.XLOOKUP(Sales_fact[[#This Row],[Product_ID]],Product_Dim!A:A,Product_Dim!C:C,"OTHERS")</f>
        <v>Electronics</v>
      </c>
    </row>
    <row r="1959" spans="1:18" x14ac:dyDescent="0.3">
      <c r="A1959" t="s">
        <v>3783</v>
      </c>
      <c r="B1959" s="2">
        <v>45806</v>
      </c>
      <c r="C1959" t="s">
        <v>1408</v>
      </c>
      <c r="D1959" t="s">
        <v>1622</v>
      </c>
      <c r="E1959" t="str">
        <f ca="1">TRIM(Sales_fact[[#This Row],[Store_ID]])</f>
        <v>STORE9</v>
      </c>
      <c r="F1959">
        <v>3</v>
      </c>
      <c r="G1959">
        <f>IF(ISBLANK(F1959),MODE($F$2:$F$2001),F1959)</f>
        <v>3</v>
      </c>
      <c r="H1959">
        <v>765.12</v>
      </c>
      <c r="I1959">
        <f>IF(ISBLANK(H1959),AVERAGE($H$2:$H$2001),H1959)</f>
        <v>765.12</v>
      </c>
      <c r="J1959">
        <v>0.18</v>
      </c>
      <c r="K1959">
        <f>IF(ISBLANK(J1959),MODE($J$2:$J$2001),J1959)</f>
        <v>0.18</v>
      </c>
      <c r="L1959" t="s">
        <v>1824</v>
      </c>
      <c r="M1959">
        <v>1882.1952000000001</v>
      </c>
      <c r="N1959">
        <f t="shared" si="30"/>
        <v>1882.1952000000003</v>
      </c>
      <c r="O1959" t="str">
        <f>_xlfn.XLOOKUP(Sales_fact[[#This Row],[Customer_ID]],'Customer_Dim'!A:A,'Customer_Dim'!K:K,"Not Found")</f>
        <v>Gold</v>
      </c>
      <c r="P1959">
        <f>_xlfn.XLOOKUP(Sales_fact[[#This Row],[Customer_ID]],'Customer_Dim'!A:A, 'Customer_Dim'!E:E, "Not Found")</f>
        <v>59</v>
      </c>
      <c r="Q1959" t="str">
        <f>VLOOKUP(Sales_fact[[#This Row],[Customer_ID]], 'Customer_Dim'!A:F, 6, FALSE)</f>
        <v>Female</v>
      </c>
      <c r="R1959" s="13" t="str">
        <f>_xlfn.XLOOKUP(Sales_fact[[#This Row],[Product_ID]],Product_Dim!A:A,Product_Dim!C:C,"OTHERS")</f>
        <v>Clothing</v>
      </c>
    </row>
    <row r="1960" spans="1:18" x14ac:dyDescent="0.3">
      <c r="A1960" t="s">
        <v>3784</v>
      </c>
      <c r="B1960" s="2">
        <v>45216</v>
      </c>
      <c r="C1960" t="s">
        <v>264</v>
      </c>
      <c r="D1960" t="s">
        <v>1676</v>
      </c>
      <c r="E1960" t="str">
        <f ca="1">TRIM(Sales_fact[[#This Row],[Store_ID]])</f>
        <v>STORE19</v>
      </c>
      <c r="F1960">
        <v>3</v>
      </c>
      <c r="G1960">
        <f>IF(ISBLANK(F1960),MODE($F$2:$F$2001),F1960)</f>
        <v>3</v>
      </c>
      <c r="H1960">
        <v>449.99</v>
      </c>
      <c r="I1960">
        <f>IF(ISBLANK(H1960),AVERAGE($H$2:$H$2001),H1960)</f>
        <v>449.99</v>
      </c>
      <c r="J1960">
        <v>0.17</v>
      </c>
      <c r="K1960">
        <f>IF(ISBLANK(J1960),MODE($J$2:$J$2001),J1960)</f>
        <v>0.17</v>
      </c>
      <c r="L1960" t="s">
        <v>1829</v>
      </c>
      <c r="M1960">
        <v>1120.4751000000001</v>
      </c>
      <c r="N1960">
        <f t="shared" si="30"/>
        <v>1120.4750999999999</v>
      </c>
      <c r="O1960" t="str">
        <f>_xlfn.XLOOKUP(Sales_fact[[#This Row],[Customer_ID]],'Customer_Dim'!A:A,'Customer_Dim'!K:K,"Not Found")</f>
        <v>Gold</v>
      </c>
      <c r="P1960">
        <f>_xlfn.XLOOKUP(Sales_fact[[#This Row],[Customer_ID]],'Customer_Dim'!A:A, 'Customer_Dim'!E:E, "Not Found")</f>
        <v>39</v>
      </c>
      <c r="Q1960" t="str">
        <f>VLOOKUP(Sales_fact[[#This Row],[Customer_ID]], 'Customer_Dim'!A:F, 6, FALSE)</f>
        <v>Female</v>
      </c>
      <c r="R1960" s="13" t="str">
        <f>_xlfn.XLOOKUP(Sales_fact[[#This Row],[Product_ID]],Product_Dim!A:A,Product_Dim!C:C,"OTHERS")</f>
        <v>Beauty</v>
      </c>
    </row>
    <row r="1961" spans="1:18" x14ac:dyDescent="0.3">
      <c r="A1961" t="s">
        <v>3785</v>
      </c>
      <c r="B1961" s="2">
        <v>45639</v>
      </c>
      <c r="C1961" t="s">
        <v>806</v>
      </c>
      <c r="D1961" t="s">
        <v>1634</v>
      </c>
      <c r="E1961" t="str">
        <f ca="1">TRIM(Sales_fact[[#This Row],[Store_ID]])</f>
        <v>STORE11</v>
      </c>
      <c r="F1961">
        <v>2</v>
      </c>
      <c r="G1961">
        <f>IF(ISBLANK(F1961),MODE($F$2:$F$2001),F1961)</f>
        <v>2</v>
      </c>
      <c r="H1961">
        <v>249.02</v>
      </c>
      <c r="I1961">
        <f>IF(ISBLANK(H1961),AVERAGE($H$2:$H$2001),H1961)</f>
        <v>249.02</v>
      </c>
      <c r="J1961">
        <v>0.01</v>
      </c>
      <c r="K1961">
        <f>IF(ISBLANK(J1961),MODE($J$2:$J$2001),J1961)</f>
        <v>0.01</v>
      </c>
      <c r="L1961" t="s">
        <v>1829</v>
      </c>
      <c r="M1961">
        <v>493.05959999999999</v>
      </c>
      <c r="N1961">
        <f t="shared" si="30"/>
        <v>493.05959999999999</v>
      </c>
      <c r="O1961" t="str">
        <f>_xlfn.XLOOKUP(Sales_fact[[#This Row],[Customer_ID]],'Customer_Dim'!A:A,'Customer_Dim'!K:K,"Not Found")</f>
        <v>Silver</v>
      </c>
      <c r="P1961">
        <f>_xlfn.XLOOKUP(Sales_fact[[#This Row],[Customer_ID]],'Customer_Dim'!A:A, 'Customer_Dim'!E:E, "Not Found")</f>
        <v>26</v>
      </c>
      <c r="Q1961" t="str">
        <f>VLOOKUP(Sales_fact[[#This Row],[Customer_ID]], 'Customer_Dim'!A:F, 6, FALSE)</f>
        <v>Male</v>
      </c>
      <c r="R1961" s="13" t="str">
        <f>_xlfn.XLOOKUP(Sales_fact[[#This Row],[Product_ID]],Product_Dim!A:A,Product_Dim!C:C,"OTHERS")</f>
        <v>Electronics</v>
      </c>
    </row>
    <row r="1962" spans="1:18" x14ac:dyDescent="0.3">
      <c r="A1962" t="s">
        <v>3786</v>
      </c>
      <c r="B1962" s="2">
        <v>45454</v>
      </c>
      <c r="C1962" t="s">
        <v>467</v>
      </c>
      <c r="D1962" t="s">
        <v>1662</v>
      </c>
      <c r="E1962" t="str">
        <f ca="1">TRIM(Sales_fact[[#This Row],[Store_ID]])</f>
        <v>STORE19</v>
      </c>
      <c r="F1962">
        <v>3</v>
      </c>
      <c r="G1962">
        <f>IF(ISBLANK(F1962),MODE($F$2:$F$2001),F1962)</f>
        <v>3</v>
      </c>
      <c r="H1962">
        <v>223.64</v>
      </c>
      <c r="I1962">
        <f>IF(ISBLANK(H1962),AVERAGE($H$2:$H$2001),H1962)</f>
        <v>223.64</v>
      </c>
      <c r="J1962">
        <v>0.05</v>
      </c>
      <c r="K1962">
        <f>IF(ISBLANK(J1962),MODE($J$2:$J$2001),J1962)</f>
        <v>0.05</v>
      </c>
      <c r="L1962" t="s">
        <v>1824</v>
      </c>
      <c r="M1962">
        <v>637.37399999999991</v>
      </c>
      <c r="N1962">
        <f t="shared" si="30"/>
        <v>637.37399999999991</v>
      </c>
      <c r="O1962" t="str">
        <f>_xlfn.XLOOKUP(Sales_fact[[#This Row],[Customer_ID]],'Customer_Dim'!A:A,'Customer_Dim'!K:K,"Not Found")</f>
        <v>Platinum</v>
      </c>
      <c r="P1962">
        <f>_xlfn.XLOOKUP(Sales_fact[[#This Row],[Customer_ID]],'Customer_Dim'!A:A, 'Customer_Dim'!E:E, "Not Found")</f>
        <v>55</v>
      </c>
      <c r="Q1962" t="str">
        <f>VLOOKUP(Sales_fact[[#This Row],[Customer_ID]], 'Customer_Dim'!A:F, 6, FALSE)</f>
        <v>Female</v>
      </c>
      <c r="R1962" s="13" t="str">
        <f>_xlfn.XLOOKUP(Sales_fact[[#This Row],[Product_ID]],Product_Dim!A:A,Product_Dim!C:C,"OTHERS")</f>
        <v>Sports</v>
      </c>
    </row>
    <row r="1963" spans="1:18" x14ac:dyDescent="0.3">
      <c r="A1963" t="s">
        <v>3787</v>
      </c>
      <c r="B1963" s="2">
        <v>45934</v>
      </c>
      <c r="C1963" t="s">
        <v>375</v>
      </c>
      <c r="D1963" t="s">
        <v>1596</v>
      </c>
      <c r="E1963" t="str">
        <f ca="1">TRIM(Sales_fact[[#This Row],[Store_ID]])</f>
        <v>STORE4</v>
      </c>
      <c r="F1963">
        <v>2</v>
      </c>
      <c r="G1963">
        <f>IF(ISBLANK(F1963),MODE($F$2:$F$2001),F1963)</f>
        <v>2</v>
      </c>
      <c r="H1963">
        <v>92.94</v>
      </c>
      <c r="I1963">
        <f>IF(ISBLANK(H1963),AVERAGE($H$2:$H$2001),H1963)</f>
        <v>92.94</v>
      </c>
      <c r="J1963">
        <v>0.12</v>
      </c>
      <c r="K1963">
        <f>IF(ISBLANK(J1963),MODE($J$2:$J$2001),J1963)</f>
        <v>0.12</v>
      </c>
      <c r="L1963" t="s">
        <v>1824</v>
      </c>
      <c r="M1963">
        <v>163.5744</v>
      </c>
      <c r="N1963">
        <f t="shared" si="30"/>
        <v>163.5744</v>
      </c>
      <c r="O1963" t="str">
        <f>_xlfn.XLOOKUP(Sales_fact[[#This Row],[Customer_ID]],'Customer_Dim'!A:A,'Customer_Dim'!K:K,"Not Found")</f>
        <v>Bronze</v>
      </c>
      <c r="P1963">
        <f>_xlfn.XLOOKUP(Sales_fact[[#This Row],[Customer_ID]],'Customer_Dim'!A:A, 'Customer_Dim'!E:E, "Not Found")</f>
        <v>53</v>
      </c>
      <c r="Q1963" t="str">
        <f>VLOOKUP(Sales_fact[[#This Row],[Customer_ID]], 'Customer_Dim'!A:F, 6, FALSE)</f>
        <v>Female</v>
      </c>
      <c r="R1963" s="13" t="str">
        <f>_xlfn.XLOOKUP(Sales_fact[[#This Row],[Product_ID]],Product_Dim!A:A,Product_Dim!C:C,"OTHERS")</f>
        <v>Sports</v>
      </c>
    </row>
    <row r="1964" spans="1:18" x14ac:dyDescent="0.3">
      <c r="A1964" t="s">
        <v>3788</v>
      </c>
      <c r="B1964" s="2">
        <v>45401</v>
      </c>
      <c r="C1964" t="s">
        <v>1130</v>
      </c>
      <c r="D1964" t="s">
        <v>1580</v>
      </c>
      <c r="E1964" t="str">
        <f ca="1">TRIM(Sales_fact[[#This Row],[Store_ID]])</f>
        <v>STORE2</v>
      </c>
      <c r="F1964">
        <v>4</v>
      </c>
      <c r="G1964">
        <f>IF(ISBLANK(F1964),MODE($F$2:$F$2001),F1964)</f>
        <v>4</v>
      </c>
      <c r="H1964">
        <v>268.3</v>
      </c>
      <c r="I1964">
        <f>IF(ISBLANK(H1964),AVERAGE($H$2:$H$2001),H1964)</f>
        <v>268.3</v>
      </c>
      <c r="J1964">
        <v>0.02</v>
      </c>
      <c r="K1964">
        <f>IF(ISBLANK(J1964),MODE($J$2:$J$2001),J1964)</f>
        <v>0.02</v>
      </c>
      <c r="L1964" t="s">
        <v>1829</v>
      </c>
      <c r="M1964">
        <v>1051.7360000000001</v>
      </c>
      <c r="N1964">
        <f t="shared" si="30"/>
        <v>1051.7360000000001</v>
      </c>
      <c r="O1964" t="str">
        <f>_xlfn.XLOOKUP(Sales_fact[[#This Row],[Customer_ID]],'Customer_Dim'!A:A,'Customer_Dim'!K:K,"Not Found")</f>
        <v>Platinum</v>
      </c>
      <c r="P1964">
        <f>_xlfn.XLOOKUP(Sales_fact[[#This Row],[Customer_ID]],'Customer_Dim'!A:A, 'Customer_Dim'!E:E, "Not Found")</f>
        <v>64</v>
      </c>
      <c r="Q1964" t="str">
        <f>VLOOKUP(Sales_fact[[#This Row],[Customer_ID]], 'Customer_Dim'!A:F, 6, FALSE)</f>
        <v>Male</v>
      </c>
      <c r="R1964" s="13" t="str">
        <f>_xlfn.XLOOKUP(Sales_fact[[#This Row],[Product_ID]],Product_Dim!A:A,Product_Dim!C:C,"OTHERS")</f>
        <v>OTHERS</v>
      </c>
    </row>
    <row r="1965" spans="1:18" x14ac:dyDescent="0.3">
      <c r="A1965" t="s">
        <v>3789</v>
      </c>
      <c r="B1965" s="2">
        <v>45770</v>
      </c>
      <c r="C1965" t="s">
        <v>1368</v>
      </c>
      <c r="D1965" t="s">
        <v>1666</v>
      </c>
      <c r="E1965" t="str">
        <f ca="1">TRIM(Sales_fact[[#This Row],[Store_ID]])</f>
        <v>STORE19</v>
      </c>
      <c r="F1965">
        <v>4</v>
      </c>
      <c r="G1965">
        <f>IF(ISBLANK(F1965),MODE($F$2:$F$2001),F1965)</f>
        <v>4</v>
      </c>
      <c r="H1965">
        <v>835.61</v>
      </c>
      <c r="I1965">
        <f>IF(ISBLANK(H1965),AVERAGE($H$2:$H$2001),H1965)</f>
        <v>835.61</v>
      </c>
      <c r="J1965">
        <v>0.03</v>
      </c>
      <c r="K1965">
        <f>IF(ISBLANK(J1965),MODE($J$2:$J$2001),J1965)</f>
        <v>0.03</v>
      </c>
      <c r="L1965" t="s">
        <v>1824</v>
      </c>
      <c r="M1965">
        <v>3242.1668</v>
      </c>
      <c r="N1965">
        <f t="shared" si="30"/>
        <v>3242.1668</v>
      </c>
      <c r="O1965" t="str">
        <f>_xlfn.XLOOKUP(Sales_fact[[#This Row],[Customer_ID]],'Customer_Dim'!A:A,'Customer_Dim'!K:K,"Not Found")</f>
        <v>Bronze</v>
      </c>
      <c r="P1965">
        <f>_xlfn.XLOOKUP(Sales_fact[[#This Row],[Customer_ID]],'Customer_Dim'!A:A, 'Customer_Dim'!E:E, "Not Found")</f>
        <v>42</v>
      </c>
      <c r="Q1965" t="str">
        <f>VLOOKUP(Sales_fact[[#This Row],[Customer_ID]], 'Customer_Dim'!A:F, 6, FALSE)</f>
        <v>Female</v>
      </c>
      <c r="R1965" s="13" t="str">
        <f>_xlfn.XLOOKUP(Sales_fact[[#This Row],[Product_ID]],Product_Dim!A:A,Product_Dim!C:C,"OTHERS")</f>
        <v>Beauty</v>
      </c>
    </row>
    <row r="1966" spans="1:18" x14ac:dyDescent="0.3">
      <c r="A1966" t="s">
        <v>3790</v>
      </c>
      <c r="B1966" s="2">
        <v>45405</v>
      </c>
      <c r="C1966" t="s">
        <v>1193</v>
      </c>
      <c r="D1966" t="s">
        <v>1684</v>
      </c>
      <c r="E1966" t="str">
        <f ca="1">TRIM(Sales_fact[[#This Row],[Store_ID]])</f>
        <v>STORE5</v>
      </c>
      <c r="F1966">
        <v>3</v>
      </c>
      <c r="G1966">
        <f>IF(ISBLANK(F1966),MODE($F$2:$F$2001),F1966)</f>
        <v>3</v>
      </c>
      <c r="H1966">
        <v>120.97</v>
      </c>
      <c r="I1966">
        <f>IF(ISBLANK(H1966),AVERAGE($H$2:$H$2001),H1966)</f>
        <v>120.97</v>
      </c>
      <c r="J1966">
        <v>0.11</v>
      </c>
      <c r="K1966">
        <f>IF(ISBLANK(J1966),MODE($J$2:$J$2001),J1966)</f>
        <v>0.11</v>
      </c>
      <c r="L1966" t="s">
        <v>1824</v>
      </c>
      <c r="M1966">
        <v>322.98989999999998</v>
      </c>
      <c r="N1966">
        <f t="shared" si="30"/>
        <v>322.98989999999998</v>
      </c>
      <c r="O1966" t="str">
        <f>_xlfn.XLOOKUP(Sales_fact[[#This Row],[Customer_ID]],'Customer_Dim'!A:A,'Customer_Dim'!K:K,"Not Found")</f>
        <v>Gold</v>
      </c>
      <c r="P1966">
        <f>_xlfn.XLOOKUP(Sales_fact[[#This Row],[Customer_ID]],'Customer_Dim'!A:A, 'Customer_Dim'!E:E, "Not Found")</f>
        <v>20</v>
      </c>
      <c r="Q1966" t="str">
        <f>VLOOKUP(Sales_fact[[#This Row],[Customer_ID]], 'Customer_Dim'!A:F, 6, FALSE)</f>
        <v>Female</v>
      </c>
      <c r="R1966" s="13" t="str">
        <f>_xlfn.XLOOKUP(Sales_fact[[#This Row],[Product_ID]],Product_Dim!A:A,Product_Dim!C:C,"OTHERS")</f>
        <v>Home</v>
      </c>
    </row>
    <row r="1967" spans="1:18" x14ac:dyDescent="0.3">
      <c r="A1967" t="s">
        <v>3791</v>
      </c>
      <c r="B1967" s="2">
        <v>45424</v>
      </c>
      <c r="C1967" t="s">
        <v>124</v>
      </c>
      <c r="D1967" t="s">
        <v>1628</v>
      </c>
      <c r="E1967" t="str">
        <f ca="1">TRIM(Sales_fact[[#This Row],[Store_ID]])</f>
        <v>STORE9</v>
      </c>
      <c r="F1967">
        <v>2</v>
      </c>
      <c r="G1967">
        <f>IF(ISBLANK(F1967),MODE($F$2:$F$2001),F1967)</f>
        <v>2</v>
      </c>
      <c r="H1967">
        <v>26.36</v>
      </c>
      <c r="I1967">
        <f>IF(ISBLANK(H1967),AVERAGE($H$2:$H$2001),H1967)</f>
        <v>26.36</v>
      </c>
      <c r="J1967">
        <v>0.03</v>
      </c>
      <c r="K1967">
        <f>IF(ISBLANK(J1967),MODE($J$2:$J$2001),J1967)</f>
        <v>0.03</v>
      </c>
      <c r="L1967" t="s">
        <v>1829</v>
      </c>
      <c r="M1967">
        <v>51.138399999999997</v>
      </c>
      <c r="N1967">
        <f t="shared" si="30"/>
        <v>51.138399999999997</v>
      </c>
      <c r="O1967" t="str">
        <f>_xlfn.XLOOKUP(Sales_fact[[#This Row],[Customer_ID]],'Customer_Dim'!A:A,'Customer_Dim'!K:K,"Not Found")</f>
        <v>Bronze</v>
      </c>
      <c r="P1967">
        <f>_xlfn.XLOOKUP(Sales_fact[[#This Row],[Customer_ID]],'Customer_Dim'!A:A, 'Customer_Dim'!E:E, "Not Found")</f>
        <v>64</v>
      </c>
      <c r="Q1967" t="str">
        <f>VLOOKUP(Sales_fact[[#This Row],[Customer_ID]], 'Customer_Dim'!A:F, 6, FALSE)</f>
        <v>Female</v>
      </c>
      <c r="R1967" s="13" t="str">
        <f>_xlfn.XLOOKUP(Sales_fact[[#This Row],[Product_ID]],Product_Dim!A:A,Product_Dim!C:C,"OTHERS")</f>
        <v>Electronics</v>
      </c>
    </row>
    <row r="1968" spans="1:18" x14ac:dyDescent="0.3">
      <c r="A1968" t="s">
        <v>3792</v>
      </c>
      <c r="B1968" s="2">
        <v>45881</v>
      </c>
      <c r="C1968" t="s">
        <v>134</v>
      </c>
      <c r="D1968" t="s">
        <v>1702</v>
      </c>
      <c r="E1968" t="str">
        <f ca="1">TRIM(Sales_fact[[#This Row],[Store_ID]])</f>
        <v>STORE6</v>
      </c>
      <c r="F1968">
        <v>1</v>
      </c>
      <c r="G1968">
        <f>IF(ISBLANK(F1968),MODE($F$2:$F$2001),F1968)</f>
        <v>1</v>
      </c>
      <c r="H1968">
        <v>918.87</v>
      </c>
      <c r="I1968">
        <f>IF(ISBLANK(H1968),AVERAGE($H$2:$H$2001),H1968)</f>
        <v>918.87</v>
      </c>
      <c r="J1968">
        <v>0.11</v>
      </c>
      <c r="K1968">
        <f>IF(ISBLANK(J1968),MODE($J$2:$J$2001),J1968)</f>
        <v>0.11</v>
      </c>
      <c r="L1968" t="s">
        <v>1826</v>
      </c>
      <c r="M1968">
        <v>817.79430000000002</v>
      </c>
      <c r="N1968">
        <f t="shared" si="30"/>
        <v>817.79430000000002</v>
      </c>
      <c r="O1968" t="str">
        <f>_xlfn.XLOOKUP(Sales_fact[[#This Row],[Customer_ID]],'Customer_Dim'!A:A,'Customer_Dim'!K:K,"Not Found")</f>
        <v>Platinum</v>
      </c>
      <c r="P1968">
        <f>_xlfn.XLOOKUP(Sales_fact[[#This Row],[Customer_ID]],'Customer_Dim'!A:A, 'Customer_Dim'!E:E, "Not Found")</f>
        <v>25</v>
      </c>
      <c r="Q1968" t="str">
        <f>VLOOKUP(Sales_fact[[#This Row],[Customer_ID]], 'Customer_Dim'!A:F, 6, FALSE)</f>
        <v>Male</v>
      </c>
      <c r="R1968" s="13" t="str">
        <f>_xlfn.XLOOKUP(Sales_fact[[#This Row],[Product_ID]],Product_Dim!A:A,Product_Dim!C:C,"OTHERS")</f>
        <v>Electronics</v>
      </c>
    </row>
    <row r="1969" spans="1:18" x14ac:dyDescent="0.3">
      <c r="A1969" t="s">
        <v>3793</v>
      </c>
      <c r="B1969" s="2">
        <v>45794</v>
      </c>
      <c r="C1969" t="s">
        <v>127</v>
      </c>
      <c r="D1969" t="s">
        <v>1682</v>
      </c>
      <c r="E1969" t="str">
        <f ca="1">TRIM(Sales_fact[[#This Row],[Store_ID]])</f>
        <v>STORE11</v>
      </c>
      <c r="F1969">
        <v>2</v>
      </c>
      <c r="G1969">
        <f>IF(ISBLANK(F1969),MODE($F$2:$F$2001),F1969)</f>
        <v>2</v>
      </c>
      <c r="H1969">
        <v>924.73</v>
      </c>
      <c r="I1969">
        <f>IF(ISBLANK(H1969),AVERAGE($H$2:$H$2001),H1969)</f>
        <v>924.73</v>
      </c>
      <c r="J1969">
        <v>0.28999999999999998</v>
      </c>
      <c r="K1969">
        <f>IF(ISBLANK(J1969),MODE($J$2:$J$2001),J1969)</f>
        <v>0.28999999999999998</v>
      </c>
      <c r="L1969" t="s">
        <v>1826</v>
      </c>
      <c r="M1969">
        <v>1313.1166000000001</v>
      </c>
      <c r="N1969">
        <f t="shared" si="30"/>
        <v>1313.1166000000001</v>
      </c>
      <c r="O1969" t="str">
        <f>_xlfn.XLOOKUP(Sales_fact[[#This Row],[Customer_ID]],'Customer_Dim'!A:A,'Customer_Dim'!K:K,"Not Found")</f>
        <v>Silver</v>
      </c>
      <c r="P1969">
        <f>_xlfn.XLOOKUP(Sales_fact[[#This Row],[Customer_ID]],'Customer_Dim'!A:A, 'Customer_Dim'!E:E, "Not Found")</f>
        <v>41</v>
      </c>
      <c r="Q1969" t="str">
        <f>VLOOKUP(Sales_fact[[#This Row],[Customer_ID]], 'Customer_Dim'!A:F, 6, FALSE)</f>
        <v>Male</v>
      </c>
      <c r="R1969" s="13" t="str">
        <f>_xlfn.XLOOKUP(Sales_fact[[#This Row],[Product_ID]],Product_Dim!A:A,Product_Dim!C:C,"OTHERS")</f>
        <v>Electronics</v>
      </c>
    </row>
    <row r="1970" spans="1:18" x14ac:dyDescent="0.3">
      <c r="A1970" t="s">
        <v>3794</v>
      </c>
      <c r="B1970" s="2">
        <v>45665</v>
      </c>
      <c r="C1970" t="s">
        <v>93</v>
      </c>
      <c r="D1970" t="s">
        <v>1572</v>
      </c>
      <c r="E1970" t="str">
        <f ca="1">TRIM(Sales_fact[[#This Row],[Store_ID]])</f>
        <v>STORE10</v>
      </c>
      <c r="F1970">
        <v>3</v>
      </c>
      <c r="G1970">
        <f>IF(ISBLANK(F1970),MODE($F$2:$F$2001),F1970)</f>
        <v>3</v>
      </c>
      <c r="H1970">
        <v>195.31</v>
      </c>
      <c r="I1970">
        <f>IF(ISBLANK(H1970),AVERAGE($H$2:$H$2001),H1970)</f>
        <v>195.31</v>
      </c>
      <c r="J1970">
        <v>0.13</v>
      </c>
      <c r="K1970">
        <f>IF(ISBLANK(J1970),MODE($J$2:$J$2001),J1970)</f>
        <v>0.13</v>
      </c>
      <c r="L1970" t="s">
        <v>1829</v>
      </c>
      <c r="M1970">
        <v>509.75909999999999</v>
      </c>
      <c r="N1970">
        <f t="shared" si="30"/>
        <v>509.75910000000005</v>
      </c>
      <c r="O1970" t="str">
        <f>_xlfn.XLOOKUP(Sales_fact[[#This Row],[Customer_ID]],'Customer_Dim'!A:A,'Customer_Dim'!K:K,"Not Found")</f>
        <v>Gold</v>
      </c>
      <c r="P1970">
        <f>_xlfn.XLOOKUP(Sales_fact[[#This Row],[Customer_ID]],'Customer_Dim'!A:A, 'Customer_Dim'!E:E, "Not Found")</f>
        <v>36</v>
      </c>
      <c r="Q1970" t="str">
        <f>VLOOKUP(Sales_fact[[#This Row],[Customer_ID]], 'Customer_Dim'!A:F, 6, FALSE)</f>
        <v>Female</v>
      </c>
      <c r="R1970" s="13" t="str">
        <f>_xlfn.XLOOKUP(Sales_fact[[#This Row],[Product_ID]],Product_Dim!A:A,Product_Dim!C:C,"OTHERS")</f>
        <v>Beauty</v>
      </c>
    </row>
    <row r="1971" spans="1:18" x14ac:dyDescent="0.3">
      <c r="A1971" t="s">
        <v>3795</v>
      </c>
      <c r="B1971" s="2">
        <v>45793</v>
      </c>
      <c r="C1971" t="s">
        <v>481</v>
      </c>
      <c r="D1971" t="s">
        <v>1624</v>
      </c>
      <c r="E1971" t="str">
        <f ca="1">TRIM(Sales_fact[[#This Row],[Store_ID]])</f>
        <v>STORE8</v>
      </c>
      <c r="F1971">
        <v>1</v>
      </c>
      <c r="G1971">
        <f>IF(ISBLANK(F1971),MODE($F$2:$F$2001),F1971)</f>
        <v>1</v>
      </c>
      <c r="H1971">
        <v>91.38</v>
      </c>
      <c r="I1971">
        <f>IF(ISBLANK(H1971),AVERAGE($H$2:$H$2001),H1971)</f>
        <v>91.38</v>
      </c>
      <c r="J1971">
        <v>0.14000000000000001</v>
      </c>
      <c r="K1971">
        <f>IF(ISBLANK(J1971),MODE($J$2:$J$2001),J1971)</f>
        <v>0.14000000000000001</v>
      </c>
      <c r="L1971" t="s">
        <v>1824</v>
      </c>
      <c r="M1971">
        <v>78.586799999999997</v>
      </c>
      <c r="N1971">
        <f t="shared" si="30"/>
        <v>78.586799999999997</v>
      </c>
      <c r="O1971" t="str">
        <f>_xlfn.XLOOKUP(Sales_fact[[#This Row],[Customer_ID]],'Customer_Dim'!A:A,'Customer_Dim'!K:K,"Not Found")</f>
        <v>Bronze</v>
      </c>
      <c r="P1971">
        <f>_xlfn.XLOOKUP(Sales_fact[[#This Row],[Customer_ID]],'Customer_Dim'!A:A, 'Customer_Dim'!E:E, "Not Found")</f>
        <v>37</v>
      </c>
      <c r="Q1971" t="str">
        <f>VLOOKUP(Sales_fact[[#This Row],[Customer_ID]], 'Customer_Dim'!A:F, 6, FALSE)</f>
        <v>Male</v>
      </c>
      <c r="R1971" s="13" t="str">
        <f>_xlfn.XLOOKUP(Sales_fact[[#This Row],[Product_ID]],Product_Dim!A:A,Product_Dim!C:C,"OTHERS")</f>
        <v>Sports</v>
      </c>
    </row>
    <row r="1972" spans="1:18" x14ac:dyDescent="0.3">
      <c r="A1972" t="s">
        <v>3796</v>
      </c>
      <c r="B1972" s="2">
        <v>45563</v>
      </c>
      <c r="C1972" t="s">
        <v>1487</v>
      </c>
      <c r="D1972" t="s">
        <v>1720</v>
      </c>
      <c r="E1972" t="str">
        <f ca="1">TRIM(Sales_fact[[#This Row],[Store_ID]])</f>
        <v>STORE11</v>
      </c>
      <c r="F1972">
        <v>2</v>
      </c>
      <c r="G1972">
        <f>IF(ISBLANK(F1972),MODE($F$2:$F$2001),F1972)</f>
        <v>2</v>
      </c>
      <c r="H1972">
        <v>494.35</v>
      </c>
      <c r="I1972">
        <f>IF(ISBLANK(H1972),AVERAGE($H$2:$H$2001),H1972)</f>
        <v>494.35</v>
      </c>
      <c r="J1972">
        <v>0.1</v>
      </c>
      <c r="K1972">
        <f>IF(ISBLANK(J1972),MODE($J$2:$J$2001),J1972)</f>
        <v>0.1</v>
      </c>
      <c r="L1972" t="s">
        <v>1824</v>
      </c>
      <c r="M1972">
        <v>889.83</v>
      </c>
      <c r="N1972">
        <f t="shared" si="30"/>
        <v>889.83</v>
      </c>
      <c r="O1972" t="str">
        <f>_xlfn.XLOOKUP(Sales_fact[[#This Row],[Customer_ID]],'Customer_Dim'!A:A,'Customer_Dim'!K:K,"Not Found")</f>
        <v>Gold</v>
      </c>
      <c r="P1972">
        <f>_xlfn.XLOOKUP(Sales_fact[[#This Row],[Customer_ID]],'Customer_Dim'!A:A, 'Customer_Dim'!E:E, "Not Found")</f>
        <v>48</v>
      </c>
      <c r="Q1972" t="str">
        <f>VLOOKUP(Sales_fact[[#This Row],[Customer_ID]], 'Customer_Dim'!A:F, 6, FALSE)</f>
        <v>Male</v>
      </c>
      <c r="R1972" s="13" t="str">
        <f>_xlfn.XLOOKUP(Sales_fact[[#This Row],[Product_ID]],Product_Dim!A:A,Product_Dim!C:C,"OTHERS")</f>
        <v>Home</v>
      </c>
    </row>
    <row r="1973" spans="1:18" x14ac:dyDescent="0.3">
      <c r="A1973" t="s">
        <v>3797</v>
      </c>
      <c r="B1973" s="2">
        <v>45577</v>
      </c>
      <c r="C1973" t="s">
        <v>815</v>
      </c>
      <c r="D1973" t="s">
        <v>1596</v>
      </c>
      <c r="E1973" t="str">
        <f ca="1">TRIM(Sales_fact[[#This Row],[Store_ID]])</f>
        <v>STORE10</v>
      </c>
      <c r="F1973">
        <v>1</v>
      </c>
      <c r="G1973">
        <f>IF(ISBLANK(F1973),MODE($F$2:$F$2001),F1973)</f>
        <v>1</v>
      </c>
      <c r="H1973">
        <v>412.2</v>
      </c>
      <c r="I1973">
        <f>IF(ISBLANK(H1973),AVERAGE($H$2:$H$2001),H1973)</f>
        <v>412.2</v>
      </c>
      <c r="J1973">
        <v>0.11</v>
      </c>
      <c r="K1973">
        <f>IF(ISBLANK(J1973),MODE($J$2:$J$2001),J1973)</f>
        <v>0.11</v>
      </c>
      <c r="L1973" t="s">
        <v>1824</v>
      </c>
      <c r="M1973">
        <v>366.858</v>
      </c>
      <c r="N1973">
        <f t="shared" si="30"/>
        <v>366.858</v>
      </c>
      <c r="O1973" t="str">
        <f>_xlfn.XLOOKUP(Sales_fact[[#This Row],[Customer_ID]],'Customer_Dim'!A:A,'Customer_Dim'!K:K,"Not Found")</f>
        <v>Gold</v>
      </c>
      <c r="P1973">
        <f>_xlfn.XLOOKUP(Sales_fact[[#This Row],[Customer_ID]],'Customer_Dim'!A:A, 'Customer_Dim'!E:E, "Not Found")</f>
        <v>21</v>
      </c>
      <c r="Q1973" t="str">
        <f>VLOOKUP(Sales_fact[[#This Row],[Customer_ID]], 'Customer_Dim'!A:F, 6, FALSE)</f>
        <v>Male</v>
      </c>
      <c r="R1973" s="13" t="str">
        <f>_xlfn.XLOOKUP(Sales_fact[[#This Row],[Product_ID]],Product_Dim!A:A,Product_Dim!C:C,"OTHERS")</f>
        <v>Sports</v>
      </c>
    </row>
    <row r="1974" spans="1:18" x14ac:dyDescent="0.3">
      <c r="A1974" t="s">
        <v>3798</v>
      </c>
      <c r="B1974" s="2">
        <v>45466</v>
      </c>
      <c r="C1974" t="s">
        <v>1229</v>
      </c>
      <c r="D1974" t="s">
        <v>1706</v>
      </c>
      <c r="E1974" t="str">
        <f ca="1">TRIM(Sales_fact[[#This Row],[Store_ID]])</f>
        <v>STORE16</v>
      </c>
      <c r="F1974">
        <v>1</v>
      </c>
      <c r="G1974">
        <f>IF(ISBLANK(F1974),MODE($F$2:$F$2001),F1974)</f>
        <v>1</v>
      </c>
      <c r="H1974">
        <v>650.47</v>
      </c>
      <c r="I1974">
        <f>IF(ISBLANK(H1974),AVERAGE($H$2:$H$2001),H1974)</f>
        <v>650.47</v>
      </c>
      <c r="J1974">
        <v>0.13</v>
      </c>
      <c r="K1974">
        <f>IF(ISBLANK(J1974),MODE($J$2:$J$2001),J1974)</f>
        <v>0.13</v>
      </c>
      <c r="L1974" t="s">
        <v>1826</v>
      </c>
      <c r="M1974">
        <v>565.90890000000002</v>
      </c>
      <c r="N1974">
        <f t="shared" si="30"/>
        <v>565.90890000000002</v>
      </c>
      <c r="O1974" t="str">
        <f>_xlfn.XLOOKUP(Sales_fact[[#This Row],[Customer_ID]],'Customer_Dim'!A:A,'Customer_Dim'!K:K,"Not Found")</f>
        <v>Bronze</v>
      </c>
      <c r="P1974">
        <f>_xlfn.XLOOKUP(Sales_fact[[#This Row],[Customer_ID]],'Customer_Dim'!A:A, 'Customer_Dim'!E:E, "Not Found")</f>
        <v>43</v>
      </c>
      <c r="Q1974" t="str">
        <f>VLOOKUP(Sales_fact[[#This Row],[Customer_ID]], 'Customer_Dim'!A:F, 6, FALSE)</f>
        <v>Female</v>
      </c>
      <c r="R1974" s="13" t="str">
        <f>_xlfn.XLOOKUP(Sales_fact[[#This Row],[Product_ID]],Product_Dim!A:A,Product_Dim!C:C,"OTHERS")</f>
        <v>Home</v>
      </c>
    </row>
    <row r="1975" spans="1:18" x14ac:dyDescent="0.3">
      <c r="A1975" t="s">
        <v>3799</v>
      </c>
      <c r="B1975" s="2">
        <v>45256</v>
      </c>
      <c r="C1975" t="s">
        <v>520</v>
      </c>
      <c r="D1975" t="s">
        <v>1576</v>
      </c>
      <c r="E1975" t="str">
        <f ca="1">TRIM(Sales_fact[[#This Row],[Store_ID]])</f>
        <v>STORE12</v>
      </c>
      <c r="F1975">
        <v>1</v>
      </c>
      <c r="G1975">
        <f>IF(ISBLANK(F1975),MODE($F$2:$F$2001),F1975)</f>
        <v>1</v>
      </c>
      <c r="H1975">
        <v>68.209999999999994</v>
      </c>
      <c r="I1975">
        <f>IF(ISBLANK(H1975),AVERAGE($H$2:$H$2001),H1975)</f>
        <v>68.209999999999994</v>
      </c>
      <c r="J1975">
        <v>0.05</v>
      </c>
      <c r="K1975">
        <f>IF(ISBLANK(J1975),MODE($J$2:$J$2001),J1975)</f>
        <v>0.05</v>
      </c>
      <c r="L1975" t="s">
        <v>1826</v>
      </c>
      <c r="M1975">
        <v>64.799499999999995</v>
      </c>
      <c r="N1975">
        <f t="shared" si="30"/>
        <v>64.799499999999995</v>
      </c>
      <c r="O1975" t="str">
        <f>_xlfn.XLOOKUP(Sales_fact[[#This Row],[Customer_ID]],'Customer_Dim'!A:A,'Customer_Dim'!K:K,"Not Found")</f>
        <v>Gold</v>
      </c>
      <c r="P1975">
        <f>_xlfn.XLOOKUP(Sales_fact[[#This Row],[Customer_ID]],'Customer_Dim'!A:A, 'Customer_Dim'!E:E, "Not Found")</f>
        <v>60</v>
      </c>
      <c r="Q1975" t="str">
        <f>VLOOKUP(Sales_fact[[#This Row],[Customer_ID]], 'Customer_Dim'!A:F, 6, FALSE)</f>
        <v>Female</v>
      </c>
      <c r="R1975" s="13" t="str">
        <f>_xlfn.XLOOKUP(Sales_fact[[#This Row],[Product_ID]],Product_Dim!A:A,Product_Dim!C:C,"OTHERS")</f>
        <v>Home</v>
      </c>
    </row>
    <row r="1976" spans="1:18" x14ac:dyDescent="0.3">
      <c r="A1976" t="s">
        <v>3800</v>
      </c>
      <c r="B1976" s="2">
        <v>45886</v>
      </c>
      <c r="C1976" t="s">
        <v>461</v>
      </c>
      <c r="D1976" t="s">
        <v>1654</v>
      </c>
      <c r="E1976" t="str">
        <f ca="1">TRIM(Sales_fact[[#This Row],[Store_ID]])</f>
        <v>STORE7</v>
      </c>
      <c r="F1976">
        <v>2</v>
      </c>
      <c r="G1976">
        <f>IF(ISBLANK(F1976),MODE($F$2:$F$2001),F1976)</f>
        <v>2</v>
      </c>
      <c r="H1976">
        <v>842.89</v>
      </c>
      <c r="I1976">
        <f>IF(ISBLANK(H1976),AVERAGE($H$2:$H$2001),H1976)</f>
        <v>842.89</v>
      </c>
      <c r="J1976">
        <v>0.25</v>
      </c>
      <c r="K1976">
        <f>IF(ISBLANK(J1976),MODE($J$2:$J$2001),J1976)</f>
        <v>0.25</v>
      </c>
      <c r="L1976" t="s">
        <v>1829</v>
      </c>
      <c r="M1976">
        <v>1264.335</v>
      </c>
      <c r="N1976">
        <f t="shared" si="30"/>
        <v>1264.335</v>
      </c>
      <c r="O1976" t="str">
        <f>_xlfn.XLOOKUP(Sales_fact[[#This Row],[Customer_ID]],'Customer_Dim'!A:A,'Customer_Dim'!K:K,"Not Found")</f>
        <v>Platinum</v>
      </c>
      <c r="P1976">
        <f>_xlfn.XLOOKUP(Sales_fact[[#This Row],[Customer_ID]],'Customer_Dim'!A:A, 'Customer_Dim'!E:E, "Not Found")</f>
        <v>33</v>
      </c>
      <c r="Q1976" t="str">
        <f>VLOOKUP(Sales_fact[[#This Row],[Customer_ID]], 'Customer_Dim'!A:F, 6, FALSE)</f>
        <v>Female</v>
      </c>
      <c r="R1976" s="13" t="str">
        <f>_xlfn.XLOOKUP(Sales_fact[[#This Row],[Product_ID]],Product_Dim!A:A,Product_Dim!C:C,"OTHERS")</f>
        <v>Clothing</v>
      </c>
    </row>
    <row r="1977" spans="1:18" x14ac:dyDescent="0.3">
      <c r="A1977" t="s">
        <v>3801</v>
      </c>
      <c r="B1977" s="2">
        <v>45390</v>
      </c>
      <c r="C1977" t="s">
        <v>948</v>
      </c>
      <c r="D1977" t="s">
        <v>1555</v>
      </c>
      <c r="E1977" t="str">
        <f ca="1">TRIM(Sales_fact[[#This Row],[Store_ID]])</f>
        <v>STORE4</v>
      </c>
      <c r="F1977">
        <v>2</v>
      </c>
      <c r="G1977">
        <f>IF(ISBLANK(F1977),MODE($F$2:$F$2001),F1977)</f>
        <v>2</v>
      </c>
      <c r="H1977">
        <v>227.95</v>
      </c>
      <c r="I1977">
        <f>IF(ISBLANK(H1977),AVERAGE($H$2:$H$2001),H1977)</f>
        <v>227.95</v>
      </c>
      <c r="J1977">
        <v>0.24</v>
      </c>
      <c r="K1977">
        <f>IF(ISBLANK(J1977),MODE($J$2:$J$2001),J1977)</f>
        <v>0.24</v>
      </c>
      <c r="L1977" t="s">
        <v>1829</v>
      </c>
      <c r="M1977">
        <v>346.48399999999998</v>
      </c>
      <c r="N1977">
        <f t="shared" si="30"/>
        <v>346.48399999999998</v>
      </c>
      <c r="O1977" t="str">
        <f>_xlfn.XLOOKUP(Sales_fact[[#This Row],[Customer_ID]],'Customer_Dim'!A:A,'Customer_Dim'!K:K,"Not Found")</f>
        <v>Silver</v>
      </c>
      <c r="P1977">
        <f>_xlfn.XLOOKUP(Sales_fact[[#This Row],[Customer_ID]],'Customer_Dim'!A:A, 'Customer_Dim'!E:E, "Not Found")</f>
        <v>29</v>
      </c>
      <c r="Q1977" t="str">
        <f>VLOOKUP(Sales_fact[[#This Row],[Customer_ID]], 'Customer_Dim'!A:F, 6, FALSE)</f>
        <v>Male</v>
      </c>
      <c r="R1977" s="13" t="str">
        <f>_xlfn.XLOOKUP(Sales_fact[[#This Row],[Product_ID]],Product_Dim!A:A,Product_Dim!C:C,"OTHERS")</f>
        <v>Clothing</v>
      </c>
    </row>
    <row r="1978" spans="1:18" x14ac:dyDescent="0.3">
      <c r="A1978" t="s">
        <v>3802</v>
      </c>
      <c r="B1978" s="2">
        <v>45388</v>
      </c>
      <c r="C1978" t="s">
        <v>631</v>
      </c>
      <c r="D1978" t="s">
        <v>1680</v>
      </c>
      <c r="E1978" t="str">
        <f ca="1">TRIM(Sales_fact[[#This Row],[Store_ID]])</f>
        <v>STORE12</v>
      </c>
      <c r="F1978">
        <v>3</v>
      </c>
      <c r="G1978">
        <f>IF(ISBLANK(F1978),MODE($F$2:$F$2001),F1978)</f>
        <v>3</v>
      </c>
      <c r="H1978">
        <v>685.97</v>
      </c>
      <c r="I1978">
        <f>IF(ISBLANK(H1978),AVERAGE($H$2:$H$2001),H1978)</f>
        <v>685.97</v>
      </c>
      <c r="J1978">
        <v>0.24</v>
      </c>
      <c r="K1978">
        <f>IF(ISBLANK(J1978),MODE($J$2:$J$2001),J1978)</f>
        <v>0.24</v>
      </c>
      <c r="L1978" t="s">
        <v>1826</v>
      </c>
      <c r="M1978">
        <v>1564.0116</v>
      </c>
      <c r="N1978">
        <f t="shared" si="30"/>
        <v>1564.0115999999998</v>
      </c>
      <c r="O1978" t="str">
        <f>_xlfn.XLOOKUP(Sales_fact[[#This Row],[Customer_ID]],'Customer_Dim'!A:A,'Customer_Dim'!K:K,"Not Found")</f>
        <v>Gold</v>
      </c>
      <c r="P1978">
        <f>_xlfn.XLOOKUP(Sales_fact[[#This Row],[Customer_ID]],'Customer_Dim'!A:A, 'Customer_Dim'!E:E, "Not Found")</f>
        <v>26</v>
      </c>
      <c r="Q1978" t="str">
        <f>VLOOKUP(Sales_fact[[#This Row],[Customer_ID]], 'Customer_Dim'!A:F, 6, FALSE)</f>
        <v>Male</v>
      </c>
      <c r="R1978" s="13" t="str">
        <f>_xlfn.XLOOKUP(Sales_fact[[#This Row],[Product_ID]],Product_Dim!A:A,Product_Dim!C:C,"OTHERS")</f>
        <v>Beauty</v>
      </c>
    </row>
    <row r="1979" spans="1:18" x14ac:dyDescent="0.3">
      <c r="A1979" t="s">
        <v>3803</v>
      </c>
      <c r="B1979" s="2">
        <v>45793</v>
      </c>
      <c r="C1979" t="s">
        <v>1142</v>
      </c>
      <c r="D1979" t="s">
        <v>1606</v>
      </c>
      <c r="E1979" t="str">
        <f ca="1">TRIM(Sales_fact[[#This Row],[Store_ID]])</f>
        <v>STORE2</v>
      </c>
      <c r="F1979">
        <v>1</v>
      </c>
      <c r="G1979">
        <f>IF(ISBLANK(F1979),MODE($F$2:$F$2001),F1979)</f>
        <v>1</v>
      </c>
      <c r="H1979">
        <v>722.57</v>
      </c>
      <c r="I1979">
        <f>IF(ISBLANK(H1979),AVERAGE($H$2:$H$2001),H1979)</f>
        <v>722.57</v>
      </c>
      <c r="J1979">
        <v>0.18</v>
      </c>
      <c r="K1979">
        <f>IF(ISBLANK(J1979),MODE($J$2:$J$2001),J1979)</f>
        <v>0.18</v>
      </c>
      <c r="L1979" t="s">
        <v>1824</v>
      </c>
      <c r="M1979">
        <v>592.50740000000008</v>
      </c>
      <c r="N1979">
        <f t="shared" si="30"/>
        <v>592.50740000000008</v>
      </c>
      <c r="O1979" t="str">
        <f>_xlfn.XLOOKUP(Sales_fact[[#This Row],[Customer_ID]],'Customer_Dim'!A:A,'Customer_Dim'!K:K,"Not Found")</f>
        <v>Platinum</v>
      </c>
      <c r="P1979">
        <f>_xlfn.XLOOKUP(Sales_fact[[#This Row],[Customer_ID]],'Customer_Dim'!A:A, 'Customer_Dim'!E:E, "Not Found")</f>
        <v>63</v>
      </c>
      <c r="Q1979" t="str">
        <f>VLOOKUP(Sales_fact[[#This Row],[Customer_ID]], 'Customer_Dim'!A:F, 6, FALSE)</f>
        <v>Female</v>
      </c>
      <c r="R1979" s="13" t="str">
        <f>_xlfn.XLOOKUP(Sales_fact[[#This Row],[Product_ID]],Product_Dim!A:A,Product_Dim!C:C,"OTHERS")</f>
        <v>Home</v>
      </c>
    </row>
    <row r="1980" spans="1:18" x14ac:dyDescent="0.3">
      <c r="A1980" t="s">
        <v>3804</v>
      </c>
      <c r="B1980" s="2">
        <v>45615</v>
      </c>
      <c r="C1980" t="s">
        <v>475</v>
      </c>
      <c r="D1980" t="s">
        <v>1618</v>
      </c>
      <c r="E1980" t="str">
        <f ca="1">TRIM(Sales_fact[[#This Row],[Store_ID]])</f>
        <v>STORE5</v>
      </c>
      <c r="F1980">
        <v>3</v>
      </c>
      <c r="G1980">
        <f>IF(ISBLANK(F1980),MODE($F$2:$F$2001),F1980)</f>
        <v>3</v>
      </c>
      <c r="H1980">
        <v>585.54999999999995</v>
      </c>
      <c r="I1980">
        <f>IF(ISBLANK(H1980),AVERAGE($H$2:$H$2001),H1980)</f>
        <v>585.54999999999995</v>
      </c>
      <c r="J1980">
        <v>0.14000000000000001</v>
      </c>
      <c r="K1980">
        <f>IF(ISBLANK(J1980),MODE($J$2:$J$2001),J1980)</f>
        <v>0.14000000000000001</v>
      </c>
      <c r="L1980" t="s">
        <v>1829</v>
      </c>
      <c r="M1980">
        <v>1510.7190000000001</v>
      </c>
      <c r="N1980">
        <f t="shared" si="30"/>
        <v>1510.7189999999998</v>
      </c>
      <c r="O1980" t="str">
        <f>_xlfn.XLOOKUP(Sales_fact[[#This Row],[Customer_ID]],'Customer_Dim'!A:A,'Customer_Dim'!K:K,"Not Found")</f>
        <v>Gold</v>
      </c>
      <c r="P1980">
        <f>_xlfn.XLOOKUP(Sales_fact[[#This Row],[Customer_ID]],'Customer_Dim'!A:A, 'Customer_Dim'!E:E, "Not Found")</f>
        <v>63</v>
      </c>
      <c r="Q1980" t="str">
        <f>VLOOKUP(Sales_fact[[#This Row],[Customer_ID]], 'Customer_Dim'!A:F, 6, FALSE)</f>
        <v>Female</v>
      </c>
      <c r="R1980" s="13" t="str">
        <f>_xlfn.XLOOKUP(Sales_fact[[#This Row],[Product_ID]],Product_Dim!A:A,Product_Dim!C:C,"OTHERS")</f>
        <v>Home</v>
      </c>
    </row>
    <row r="1981" spans="1:18" x14ac:dyDescent="0.3">
      <c r="A1981" t="s">
        <v>3805</v>
      </c>
      <c r="B1981" s="2">
        <v>45666</v>
      </c>
      <c r="C1981" t="s">
        <v>975</v>
      </c>
      <c r="D1981" t="s">
        <v>1640</v>
      </c>
      <c r="E1981" t="str">
        <f ca="1">TRIM(Sales_fact[[#This Row],[Store_ID]])</f>
        <v>STORE13</v>
      </c>
      <c r="F1981">
        <v>2</v>
      </c>
      <c r="G1981">
        <f>IF(ISBLANK(F1981),MODE($F$2:$F$2001),F1981)</f>
        <v>2</v>
      </c>
      <c r="H1981">
        <v>635.80999999999995</v>
      </c>
      <c r="I1981">
        <f>IF(ISBLANK(H1981),AVERAGE($H$2:$H$2001),H1981)</f>
        <v>635.80999999999995</v>
      </c>
      <c r="J1981">
        <v>0.13</v>
      </c>
      <c r="K1981">
        <f>IF(ISBLANK(J1981),MODE($J$2:$J$2001),J1981)</f>
        <v>0.13</v>
      </c>
      <c r="L1981" t="s">
        <v>1826</v>
      </c>
      <c r="M1981">
        <v>1106.3094000000001</v>
      </c>
      <c r="N1981">
        <f t="shared" si="30"/>
        <v>1106.3093999999999</v>
      </c>
      <c r="O1981" t="str">
        <f>_xlfn.XLOOKUP(Sales_fact[[#This Row],[Customer_ID]],'Customer_Dim'!A:A,'Customer_Dim'!K:K,"Not Found")</f>
        <v>Bronze</v>
      </c>
      <c r="P1981">
        <f>_xlfn.XLOOKUP(Sales_fact[[#This Row],[Customer_ID]],'Customer_Dim'!A:A, 'Customer_Dim'!E:E, "Not Found")</f>
        <v>41</v>
      </c>
      <c r="Q1981" t="str">
        <f>VLOOKUP(Sales_fact[[#This Row],[Customer_ID]], 'Customer_Dim'!A:F, 6, FALSE)</f>
        <v>Female</v>
      </c>
      <c r="R1981" s="13" t="str">
        <f>_xlfn.XLOOKUP(Sales_fact[[#This Row],[Product_ID]],Product_Dim!A:A,Product_Dim!C:C,"OTHERS")</f>
        <v>Clothing</v>
      </c>
    </row>
    <row r="1982" spans="1:18" x14ac:dyDescent="0.3">
      <c r="A1982" t="s">
        <v>3806</v>
      </c>
      <c r="B1982" s="2">
        <v>45644</v>
      </c>
      <c r="C1982" t="s">
        <v>881</v>
      </c>
      <c r="D1982" t="s">
        <v>1576</v>
      </c>
      <c r="E1982" t="str">
        <f ca="1">TRIM(Sales_fact[[#This Row],[Store_ID]])</f>
        <v>STORE4</v>
      </c>
      <c r="F1982">
        <v>2</v>
      </c>
      <c r="G1982">
        <f>IF(ISBLANK(F1982),MODE($F$2:$F$2001),F1982)</f>
        <v>2</v>
      </c>
      <c r="H1982">
        <v>353.74</v>
      </c>
      <c r="I1982">
        <f>IF(ISBLANK(H1982),AVERAGE($H$2:$H$2001),H1982)</f>
        <v>353.74</v>
      </c>
      <c r="J1982">
        <v>0.01</v>
      </c>
      <c r="K1982">
        <f>IF(ISBLANK(J1982),MODE($J$2:$J$2001),J1982)</f>
        <v>0.01</v>
      </c>
      <c r="L1982" t="s">
        <v>1824</v>
      </c>
      <c r="M1982">
        <v>700.40520000000004</v>
      </c>
      <c r="N1982">
        <f t="shared" si="30"/>
        <v>700.40520000000004</v>
      </c>
      <c r="O1982" t="str">
        <f>_xlfn.XLOOKUP(Sales_fact[[#This Row],[Customer_ID]],'Customer_Dim'!A:A,'Customer_Dim'!K:K,"Not Found")</f>
        <v>Platinum</v>
      </c>
      <c r="P1982">
        <f>_xlfn.XLOOKUP(Sales_fact[[#This Row],[Customer_ID]],'Customer_Dim'!A:A, 'Customer_Dim'!E:E, "Not Found")</f>
        <v>22</v>
      </c>
      <c r="Q1982" t="str">
        <f>VLOOKUP(Sales_fact[[#This Row],[Customer_ID]], 'Customer_Dim'!A:F, 6, FALSE)</f>
        <v>Female</v>
      </c>
      <c r="R1982" s="13" t="str">
        <f>_xlfn.XLOOKUP(Sales_fact[[#This Row],[Product_ID]],Product_Dim!A:A,Product_Dim!C:C,"OTHERS")</f>
        <v>Home</v>
      </c>
    </row>
    <row r="1983" spans="1:18" x14ac:dyDescent="0.3">
      <c r="A1983" t="s">
        <v>3807</v>
      </c>
      <c r="B1983" s="2">
        <v>45648</v>
      </c>
      <c r="C1983" t="s">
        <v>842</v>
      </c>
      <c r="D1983" t="s">
        <v>1620</v>
      </c>
      <c r="E1983" t="str">
        <f ca="1">TRIM(Sales_fact[[#This Row],[Store_ID]])</f>
        <v>STORE7</v>
      </c>
      <c r="F1983">
        <v>1</v>
      </c>
      <c r="G1983">
        <f>IF(ISBLANK(F1983),MODE($F$2:$F$2001),F1983)</f>
        <v>1</v>
      </c>
      <c r="H1983">
        <v>377.52</v>
      </c>
      <c r="I1983">
        <f>IF(ISBLANK(H1983),AVERAGE($H$2:$H$2001),H1983)</f>
        <v>377.52</v>
      </c>
      <c r="J1983">
        <v>0.15</v>
      </c>
      <c r="K1983">
        <f>IF(ISBLANK(J1983),MODE($J$2:$J$2001),J1983)</f>
        <v>0.15</v>
      </c>
      <c r="L1983" t="s">
        <v>1824</v>
      </c>
      <c r="M1983">
        <v>320.892</v>
      </c>
      <c r="N1983">
        <f t="shared" si="30"/>
        <v>320.892</v>
      </c>
      <c r="O1983" t="str">
        <f>_xlfn.XLOOKUP(Sales_fact[[#This Row],[Customer_ID]],'Customer_Dim'!A:A,'Customer_Dim'!K:K,"Not Found")</f>
        <v>Gold</v>
      </c>
      <c r="P1983">
        <f>_xlfn.XLOOKUP(Sales_fact[[#This Row],[Customer_ID]],'Customer_Dim'!A:A, 'Customer_Dim'!E:E, "Not Found")</f>
        <v>25</v>
      </c>
      <c r="Q1983" t="str">
        <f>VLOOKUP(Sales_fact[[#This Row],[Customer_ID]], 'Customer_Dim'!A:F, 6, FALSE)</f>
        <v>Male</v>
      </c>
      <c r="R1983" s="13" t="str">
        <f>_xlfn.XLOOKUP(Sales_fact[[#This Row],[Product_ID]],Product_Dim!A:A,Product_Dim!C:C,"OTHERS")</f>
        <v>Clothing</v>
      </c>
    </row>
    <row r="1984" spans="1:18" x14ac:dyDescent="0.3">
      <c r="A1984" t="s">
        <v>3808</v>
      </c>
      <c r="B1984" s="2">
        <v>45500</v>
      </c>
      <c r="C1984" t="s">
        <v>669</v>
      </c>
      <c r="D1984" t="s">
        <v>1684</v>
      </c>
      <c r="E1984" t="str">
        <f ca="1">TRIM(Sales_fact[[#This Row],[Store_ID]])</f>
        <v>STORE2</v>
      </c>
      <c r="F1984">
        <v>3</v>
      </c>
      <c r="G1984">
        <f>IF(ISBLANK(F1984),MODE($F$2:$F$2001),F1984)</f>
        <v>3</v>
      </c>
      <c r="H1984">
        <v>901.49</v>
      </c>
      <c r="I1984">
        <f>IF(ISBLANK(H1984),AVERAGE($H$2:$H$2001),H1984)</f>
        <v>901.49</v>
      </c>
      <c r="J1984">
        <v>0</v>
      </c>
      <c r="K1984">
        <f>IF(ISBLANK(J1984),MODE($J$2:$J$2001),J1984)</f>
        <v>0</v>
      </c>
      <c r="L1984" t="s">
        <v>1824</v>
      </c>
      <c r="M1984">
        <v>2704.47</v>
      </c>
      <c r="N1984">
        <f t="shared" si="30"/>
        <v>2704.4700000000003</v>
      </c>
      <c r="O1984" t="str">
        <f>_xlfn.XLOOKUP(Sales_fact[[#This Row],[Customer_ID]],'Customer_Dim'!A:A,'Customer_Dim'!K:K,"Not Found")</f>
        <v>Gold</v>
      </c>
      <c r="P1984">
        <f>_xlfn.XLOOKUP(Sales_fact[[#This Row],[Customer_ID]],'Customer_Dim'!A:A, 'Customer_Dim'!E:E, "Not Found")</f>
        <v>44</v>
      </c>
      <c r="Q1984" t="str">
        <f>VLOOKUP(Sales_fact[[#This Row],[Customer_ID]], 'Customer_Dim'!A:F, 6, FALSE)</f>
        <v>Female</v>
      </c>
      <c r="R1984" s="13" t="str">
        <f>_xlfn.XLOOKUP(Sales_fact[[#This Row],[Product_ID]],Product_Dim!A:A,Product_Dim!C:C,"OTHERS")</f>
        <v>Home</v>
      </c>
    </row>
    <row r="1985" spans="1:18" x14ac:dyDescent="0.3">
      <c r="A1985" t="s">
        <v>3809</v>
      </c>
      <c r="B1985" s="2">
        <v>45806</v>
      </c>
      <c r="C1985" t="s">
        <v>654</v>
      </c>
      <c r="D1985" t="s">
        <v>1608</v>
      </c>
      <c r="E1985" t="str">
        <f ca="1">TRIM(Sales_fact[[#This Row],[Store_ID]])</f>
        <v>STORE5</v>
      </c>
      <c r="F1985">
        <v>1</v>
      </c>
      <c r="G1985">
        <f>IF(ISBLANK(F1985),MODE($F$2:$F$2001),F1985)</f>
        <v>1</v>
      </c>
      <c r="H1985">
        <v>563.01</v>
      </c>
      <c r="I1985">
        <f>IF(ISBLANK(H1985),AVERAGE($H$2:$H$2001),H1985)</f>
        <v>563.01</v>
      </c>
      <c r="J1985">
        <v>0.1</v>
      </c>
      <c r="K1985">
        <f>IF(ISBLANK(J1985),MODE($J$2:$J$2001),J1985)</f>
        <v>0.1</v>
      </c>
      <c r="L1985" t="s">
        <v>1824</v>
      </c>
      <c r="M1985">
        <v>506.709</v>
      </c>
      <c r="N1985">
        <f t="shared" si="30"/>
        <v>506.709</v>
      </c>
      <c r="O1985" t="str">
        <f>_xlfn.XLOOKUP(Sales_fact[[#This Row],[Customer_ID]],'Customer_Dim'!A:A,'Customer_Dim'!K:K,"Not Found")</f>
        <v>Platinum</v>
      </c>
      <c r="P1985">
        <f>_xlfn.XLOOKUP(Sales_fact[[#This Row],[Customer_ID]],'Customer_Dim'!A:A, 'Customer_Dim'!E:E, "Not Found")</f>
        <v>30</v>
      </c>
      <c r="Q1985" t="str">
        <f>VLOOKUP(Sales_fact[[#This Row],[Customer_ID]], 'Customer_Dim'!A:F, 6, FALSE)</f>
        <v>Male</v>
      </c>
      <c r="R1985" s="13" t="str">
        <f>_xlfn.XLOOKUP(Sales_fact[[#This Row],[Product_ID]],Product_Dim!A:A,Product_Dim!C:C,"OTHERS")</f>
        <v>Home</v>
      </c>
    </row>
    <row r="1986" spans="1:18" x14ac:dyDescent="0.3">
      <c r="A1986" t="s">
        <v>3810</v>
      </c>
      <c r="B1986" s="2">
        <v>45365</v>
      </c>
      <c r="C1986" t="s">
        <v>198</v>
      </c>
      <c r="D1986" t="s">
        <v>1688</v>
      </c>
      <c r="E1986" t="str">
        <f ca="1">TRIM(Sales_fact[[#This Row],[Store_ID]])</f>
        <v>STORE6</v>
      </c>
      <c r="F1986">
        <v>4</v>
      </c>
      <c r="G1986">
        <f>IF(ISBLANK(F1986),MODE($F$2:$F$2001),F1986)</f>
        <v>4</v>
      </c>
      <c r="H1986">
        <v>167.25</v>
      </c>
      <c r="I1986">
        <f>IF(ISBLANK(H1986),AVERAGE($H$2:$H$2001),H1986)</f>
        <v>167.25</v>
      </c>
      <c r="J1986">
        <v>0.11</v>
      </c>
      <c r="K1986">
        <f>IF(ISBLANK(J1986),MODE($J$2:$J$2001),J1986)</f>
        <v>0.11</v>
      </c>
      <c r="L1986" t="s">
        <v>1824</v>
      </c>
      <c r="M1986">
        <v>595.41</v>
      </c>
      <c r="N1986">
        <f t="shared" si="30"/>
        <v>595.41</v>
      </c>
      <c r="O1986" t="str">
        <f>_xlfn.XLOOKUP(Sales_fact[[#This Row],[Customer_ID]],'Customer_Dim'!A:A,'Customer_Dim'!K:K,"Not Found")</f>
        <v>Bronze</v>
      </c>
      <c r="P1986">
        <f>_xlfn.XLOOKUP(Sales_fact[[#This Row],[Customer_ID]],'Customer_Dim'!A:A, 'Customer_Dim'!E:E, "Not Found")</f>
        <v>55</v>
      </c>
      <c r="Q1986" t="str">
        <f>VLOOKUP(Sales_fact[[#This Row],[Customer_ID]], 'Customer_Dim'!A:F, 6, FALSE)</f>
        <v>Male</v>
      </c>
      <c r="R1986" s="13" t="str">
        <f>_xlfn.XLOOKUP(Sales_fact[[#This Row],[Product_ID]],Product_Dim!A:A,Product_Dim!C:C,"OTHERS")</f>
        <v>Home</v>
      </c>
    </row>
    <row r="1987" spans="1:18" x14ac:dyDescent="0.3">
      <c r="A1987" t="s">
        <v>3811</v>
      </c>
      <c r="B1987" s="2">
        <v>45229</v>
      </c>
      <c r="C1987" t="s">
        <v>1403</v>
      </c>
      <c r="D1987" t="s">
        <v>1668</v>
      </c>
      <c r="E1987" t="str">
        <f ca="1">TRIM(Sales_fact[[#This Row],[Store_ID]])</f>
        <v>STORE18</v>
      </c>
      <c r="F1987">
        <v>3</v>
      </c>
      <c r="G1987">
        <f>IF(ISBLANK(F1987),MODE($F$2:$F$2001),F1987)</f>
        <v>3</v>
      </c>
      <c r="H1987">
        <v>345.43</v>
      </c>
      <c r="I1987">
        <f>IF(ISBLANK(H1987),AVERAGE($H$2:$H$2001),H1987)</f>
        <v>345.43</v>
      </c>
      <c r="J1987">
        <v>0.08</v>
      </c>
      <c r="K1987">
        <f>IF(ISBLANK(J1987),MODE($J$2:$J$2001),J1987)</f>
        <v>0.08</v>
      </c>
      <c r="L1987" t="s">
        <v>1829</v>
      </c>
      <c r="M1987">
        <v>953.38679999999999</v>
      </c>
      <c r="N1987">
        <f t="shared" ref="N1987:N2001" si="31">G1987*I1987*(1-K1987)</f>
        <v>953.38679999999999</v>
      </c>
      <c r="O1987" t="str">
        <f>_xlfn.XLOOKUP(Sales_fact[[#This Row],[Customer_ID]],'Customer_Dim'!A:A,'Customer_Dim'!K:K,"Not Found")</f>
        <v>Gold</v>
      </c>
      <c r="P1987">
        <f>_xlfn.XLOOKUP(Sales_fact[[#This Row],[Customer_ID]],'Customer_Dim'!A:A, 'Customer_Dim'!E:E, "Not Found")</f>
        <v>60</v>
      </c>
      <c r="Q1987" t="str">
        <f>VLOOKUP(Sales_fact[[#This Row],[Customer_ID]], 'Customer_Dim'!A:F, 6, FALSE)</f>
        <v>Male</v>
      </c>
      <c r="R1987" s="13" t="str">
        <f>_xlfn.XLOOKUP(Sales_fact[[#This Row],[Product_ID]],Product_Dim!A:A,Product_Dim!C:C,"OTHERS")</f>
        <v>Beauty</v>
      </c>
    </row>
    <row r="1988" spans="1:18" x14ac:dyDescent="0.3">
      <c r="A1988" t="s">
        <v>3812</v>
      </c>
      <c r="B1988" s="2">
        <v>45349</v>
      </c>
      <c r="C1988" t="s">
        <v>972</v>
      </c>
      <c r="D1988" t="s">
        <v>1712</v>
      </c>
      <c r="E1988" t="str">
        <f ca="1">TRIM(Sales_fact[[#This Row],[Store_ID]])</f>
        <v>STORE9</v>
      </c>
      <c r="F1988">
        <v>4</v>
      </c>
      <c r="G1988">
        <f>IF(ISBLANK(F1988),MODE($F$2:$F$2001),F1988)</f>
        <v>4</v>
      </c>
      <c r="H1988">
        <v>752.48</v>
      </c>
      <c r="I1988">
        <f>IF(ISBLANK(H1988),AVERAGE($H$2:$H$2001),H1988)</f>
        <v>752.48</v>
      </c>
      <c r="J1988">
        <v>0.23</v>
      </c>
      <c r="K1988">
        <f>IF(ISBLANK(J1988),MODE($J$2:$J$2001),J1988)</f>
        <v>0.23</v>
      </c>
      <c r="L1988" t="s">
        <v>1824</v>
      </c>
      <c r="M1988">
        <v>2317.6383999999998</v>
      </c>
      <c r="N1988">
        <f t="shared" si="31"/>
        <v>2317.6384000000003</v>
      </c>
      <c r="O1988" t="str">
        <f>_xlfn.XLOOKUP(Sales_fact[[#This Row],[Customer_ID]],'Customer_Dim'!A:A,'Customer_Dim'!K:K,"Not Found")</f>
        <v>Gold</v>
      </c>
      <c r="P1988">
        <f>_xlfn.XLOOKUP(Sales_fact[[#This Row],[Customer_ID]],'Customer_Dim'!A:A, 'Customer_Dim'!E:E, "Not Found")</f>
        <v>60</v>
      </c>
      <c r="Q1988" t="str">
        <f>VLOOKUP(Sales_fact[[#This Row],[Customer_ID]], 'Customer_Dim'!A:F, 6, FALSE)</f>
        <v>Female</v>
      </c>
      <c r="R1988" s="13" t="str">
        <f>_xlfn.XLOOKUP(Sales_fact[[#This Row],[Product_ID]],Product_Dim!A:A,Product_Dim!C:C,"OTHERS")</f>
        <v>Sports</v>
      </c>
    </row>
    <row r="1989" spans="1:18" x14ac:dyDescent="0.3">
      <c r="A1989" t="s">
        <v>3813</v>
      </c>
      <c r="B1989" s="2">
        <v>45886</v>
      </c>
      <c r="C1989" t="s">
        <v>1389</v>
      </c>
      <c r="D1989" t="s">
        <v>1662</v>
      </c>
      <c r="E1989" t="str">
        <f ca="1">TRIM(Sales_fact[[#This Row],[Store_ID]])</f>
        <v>STORE19</v>
      </c>
      <c r="F1989">
        <v>1</v>
      </c>
      <c r="G1989">
        <f>IF(ISBLANK(F1989),MODE($F$2:$F$2001),F1989)</f>
        <v>1</v>
      </c>
      <c r="H1989">
        <v>120.02</v>
      </c>
      <c r="I1989">
        <f>IF(ISBLANK(H1989),AVERAGE($H$2:$H$2001),H1989)</f>
        <v>120.02</v>
      </c>
      <c r="J1989">
        <v>0.26</v>
      </c>
      <c r="K1989">
        <f>IF(ISBLANK(J1989),MODE($J$2:$J$2001),J1989)</f>
        <v>0.26</v>
      </c>
      <c r="L1989" t="s">
        <v>1824</v>
      </c>
      <c r="M1989">
        <v>88.814799999999991</v>
      </c>
      <c r="N1989">
        <f t="shared" si="31"/>
        <v>88.814799999999991</v>
      </c>
      <c r="O1989" t="str">
        <f>_xlfn.XLOOKUP(Sales_fact[[#This Row],[Customer_ID]],'Customer_Dim'!A:A,'Customer_Dim'!K:K,"Not Found")</f>
        <v>Bronze</v>
      </c>
      <c r="P1989">
        <f>_xlfn.XLOOKUP(Sales_fact[[#This Row],[Customer_ID]],'Customer_Dim'!A:A, 'Customer_Dim'!E:E, "Not Found")</f>
        <v>29</v>
      </c>
      <c r="Q1989" t="str">
        <f>VLOOKUP(Sales_fact[[#This Row],[Customer_ID]], 'Customer_Dim'!A:F, 6, FALSE)</f>
        <v>Male</v>
      </c>
      <c r="R1989" s="13" t="str">
        <f>_xlfn.XLOOKUP(Sales_fact[[#This Row],[Product_ID]],Product_Dim!A:A,Product_Dim!C:C,"OTHERS")</f>
        <v>Sports</v>
      </c>
    </row>
    <row r="1990" spans="1:18" x14ac:dyDescent="0.3">
      <c r="A1990" t="s">
        <v>3814</v>
      </c>
      <c r="B1990" s="2">
        <v>45359</v>
      </c>
      <c r="C1990" t="s">
        <v>1017</v>
      </c>
      <c r="D1990" t="s">
        <v>1630</v>
      </c>
      <c r="E1990" t="str">
        <f ca="1">TRIM(Sales_fact[[#This Row],[Store_ID]])</f>
        <v>STORE8</v>
      </c>
      <c r="F1990">
        <v>3</v>
      </c>
      <c r="G1990">
        <f>IF(ISBLANK(F1990),MODE($F$2:$F$2001),F1990)</f>
        <v>3</v>
      </c>
      <c r="H1990">
        <v>146.71</v>
      </c>
      <c r="I1990">
        <f>IF(ISBLANK(H1990),AVERAGE($H$2:$H$2001),H1990)</f>
        <v>146.71</v>
      </c>
      <c r="J1990">
        <v>0.28000000000000003</v>
      </c>
      <c r="K1990">
        <f>IF(ISBLANK(J1990),MODE($J$2:$J$2001),J1990)</f>
        <v>0.28000000000000003</v>
      </c>
      <c r="L1990" t="s">
        <v>1824</v>
      </c>
      <c r="M1990">
        <v>316.89359999999999</v>
      </c>
      <c r="N1990">
        <f t="shared" si="31"/>
        <v>316.89359999999999</v>
      </c>
      <c r="O1990" t="str">
        <f>_xlfn.XLOOKUP(Sales_fact[[#This Row],[Customer_ID]],'Customer_Dim'!A:A,'Customer_Dim'!K:K,"Not Found")</f>
        <v>Platinum</v>
      </c>
      <c r="P1990">
        <f>_xlfn.XLOOKUP(Sales_fact[[#This Row],[Customer_ID]],'Customer_Dim'!A:A, 'Customer_Dim'!E:E, "Not Found")</f>
        <v>64</v>
      </c>
      <c r="Q1990" t="str">
        <f>VLOOKUP(Sales_fact[[#This Row],[Customer_ID]], 'Customer_Dim'!A:F, 6, FALSE)</f>
        <v>Female</v>
      </c>
      <c r="R1990" s="13" t="str">
        <f>_xlfn.XLOOKUP(Sales_fact[[#This Row],[Product_ID]],Product_Dim!A:A,Product_Dim!C:C,"OTHERS")</f>
        <v>Sports</v>
      </c>
    </row>
    <row r="1991" spans="1:18" x14ac:dyDescent="0.3">
      <c r="A1991" t="s">
        <v>3815</v>
      </c>
      <c r="B1991" s="2">
        <v>45730</v>
      </c>
      <c r="C1991" t="s">
        <v>298</v>
      </c>
      <c r="D1991" t="s">
        <v>1676</v>
      </c>
      <c r="E1991" t="str">
        <f ca="1">TRIM(Sales_fact[[#This Row],[Store_ID]])</f>
        <v>STORE0</v>
      </c>
      <c r="F1991">
        <v>2</v>
      </c>
      <c r="G1991">
        <f>IF(ISBLANK(F1991),MODE($F$2:$F$2001),F1991)</f>
        <v>2</v>
      </c>
      <c r="H1991">
        <v>358.87</v>
      </c>
      <c r="I1991">
        <f>IF(ISBLANK(H1991),AVERAGE($H$2:$H$2001),H1991)</f>
        <v>358.87</v>
      </c>
      <c r="J1991">
        <v>0.24</v>
      </c>
      <c r="K1991">
        <f>IF(ISBLANK(J1991),MODE($J$2:$J$2001),J1991)</f>
        <v>0.24</v>
      </c>
      <c r="L1991" t="s">
        <v>1824</v>
      </c>
      <c r="M1991">
        <v>545.48239999999998</v>
      </c>
      <c r="N1991">
        <f t="shared" si="31"/>
        <v>545.48239999999998</v>
      </c>
      <c r="O1991" t="str">
        <f>_xlfn.XLOOKUP(Sales_fact[[#This Row],[Customer_ID]],'Customer_Dim'!A:A,'Customer_Dim'!K:K,"Not Found")</f>
        <v>Bronze</v>
      </c>
      <c r="P1991">
        <f>_xlfn.XLOOKUP(Sales_fact[[#This Row],[Customer_ID]],'Customer_Dim'!A:A, 'Customer_Dim'!E:E, "Not Found")</f>
        <v>53</v>
      </c>
      <c r="Q1991" t="str">
        <f>VLOOKUP(Sales_fact[[#This Row],[Customer_ID]], 'Customer_Dim'!A:F, 6, FALSE)</f>
        <v>Male</v>
      </c>
      <c r="R1991" s="13" t="str">
        <f>_xlfn.XLOOKUP(Sales_fact[[#This Row],[Product_ID]],Product_Dim!A:A,Product_Dim!C:C,"OTHERS")</f>
        <v>Beauty</v>
      </c>
    </row>
    <row r="1992" spans="1:18" x14ac:dyDescent="0.3">
      <c r="A1992" t="s">
        <v>3816</v>
      </c>
      <c r="B1992" s="2">
        <v>45456</v>
      </c>
      <c r="C1992" t="s">
        <v>773</v>
      </c>
      <c r="D1992" t="s">
        <v>1652</v>
      </c>
      <c r="E1992" t="str">
        <f ca="1">TRIM(Sales_fact[[#This Row],[Store_ID]])</f>
        <v>STORE3</v>
      </c>
      <c r="F1992">
        <v>4</v>
      </c>
      <c r="G1992">
        <f>IF(ISBLANK(F1992),MODE($F$2:$F$2001),F1992)</f>
        <v>4</v>
      </c>
      <c r="H1992">
        <v>212.75</v>
      </c>
      <c r="I1992">
        <f>IF(ISBLANK(H1992),AVERAGE($H$2:$H$2001),H1992)</f>
        <v>212.75</v>
      </c>
      <c r="J1992">
        <v>0.11</v>
      </c>
      <c r="K1992">
        <f>IF(ISBLANK(J1992),MODE($J$2:$J$2001),J1992)</f>
        <v>0.11</v>
      </c>
      <c r="L1992" t="s">
        <v>1829</v>
      </c>
      <c r="M1992">
        <v>757.39</v>
      </c>
      <c r="N1992">
        <f t="shared" si="31"/>
        <v>757.39</v>
      </c>
      <c r="O1992" t="str">
        <f>_xlfn.XLOOKUP(Sales_fact[[#This Row],[Customer_ID]],'Customer_Dim'!A:A,'Customer_Dim'!K:K,"Not Found")</f>
        <v>Platinum</v>
      </c>
      <c r="P1992">
        <f>_xlfn.XLOOKUP(Sales_fact[[#This Row],[Customer_ID]],'Customer_Dim'!A:A, 'Customer_Dim'!E:E, "Not Found")</f>
        <v>31</v>
      </c>
      <c r="Q1992" t="str">
        <f>VLOOKUP(Sales_fact[[#This Row],[Customer_ID]], 'Customer_Dim'!A:F, 6, FALSE)</f>
        <v>Male</v>
      </c>
      <c r="R1992" s="13" t="str">
        <f>_xlfn.XLOOKUP(Sales_fact[[#This Row],[Product_ID]],Product_Dim!A:A,Product_Dim!C:C,"OTHERS")</f>
        <v>Sports</v>
      </c>
    </row>
    <row r="1993" spans="1:18" x14ac:dyDescent="0.3">
      <c r="A1993" t="s">
        <v>3817</v>
      </c>
      <c r="B1993" s="2">
        <v>45450</v>
      </c>
      <c r="C1993" t="s">
        <v>1029</v>
      </c>
      <c r="D1993" t="s">
        <v>1638</v>
      </c>
      <c r="E1993" t="str">
        <f ca="1">TRIM(Sales_fact[[#This Row],[Store_ID]])</f>
        <v>STORE11</v>
      </c>
      <c r="F1993">
        <v>1</v>
      </c>
      <c r="G1993">
        <f>IF(ISBLANK(F1993),MODE($F$2:$F$2001),F1993)</f>
        <v>1</v>
      </c>
      <c r="H1993">
        <v>183.47</v>
      </c>
      <c r="I1993">
        <f>IF(ISBLANK(H1993),AVERAGE($H$2:$H$2001),H1993)</f>
        <v>183.47</v>
      </c>
      <c r="J1993">
        <v>0.17</v>
      </c>
      <c r="K1993">
        <f>IF(ISBLANK(J1993),MODE($J$2:$J$2001),J1993)</f>
        <v>0.17</v>
      </c>
      <c r="L1993" t="s">
        <v>1826</v>
      </c>
      <c r="M1993">
        <v>152.2801</v>
      </c>
      <c r="N1993">
        <f t="shared" si="31"/>
        <v>152.2801</v>
      </c>
      <c r="O1993" t="str">
        <f>_xlfn.XLOOKUP(Sales_fact[[#This Row],[Customer_ID]],'Customer_Dim'!A:A,'Customer_Dim'!K:K,"Not Found")</f>
        <v>Bronze</v>
      </c>
      <c r="P1993">
        <f>_xlfn.XLOOKUP(Sales_fact[[#This Row],[Customer_ID]],'Customer_Dim'!A:A, 'Customer_Dim'!E:E, "Not Found")</f>
        <v>62</v>
      </c>
      <c r="Q1993" t="str">
        <f>VLOOKUP(Sales_fact[[#This Row],[Customer_ID]], 'Customer_Dim'!A:F, 6, FALSE)</f>
        <v>Female</v>
      </c>
      <c r="R1993" s="13" t="str">
        <f>_xlfn.XLOOKUP(Sales_fact[[#This Row],[Product_ID]],Product_Dim!A:A,Product_Dim!C:C,"OTHERS")</f>
        <v>Sports</v>
      </c>
    </row>
    <row r="1994" spans="1:18" x14ac:dyDescent="0.3">
      <c r="A1994" t="s">
        <v>3818</v>
      </c>
      <c r="B1994" s="2">
        <v>45493</v>
      </c>
      <c r="C1994" t="s">
        <v>251</v>
      </c>
      <c r="D1994" t="s">
        <v>1726</v>
      </c>
      <c r="E1994" t="str">
        <f ca="1">TRIM(Sales_fact[[#This Row],[Store_ID]])</f>
        <v>STORE15</v>
      </c>
      <c r="F1994">
        <v>4</v>
      </c>
      <c r="G1994">
        <f>IF(ISBLANK(F1994),MODE($F$2:$F$2001),F1994)</f>
        <v>4</v>
      </c>
      <c r="H1994">
        <v>569.98</v>
      </c>
      <c r="I1994">
        <f>IF(ISBLANK(H1994),AVERAGE($H$2:$H$2001),H1994)</f>
        <v>569.98</v>
      </c>
      <c r="J1994">
        <v>0.23</v>
      </c>
      <c r="K1994">
        <f>IF(ISBLANK(J1994),MODE($J$2:$J$2001),J1994)</f>
        <v>0.23</v>
      </c>
      <c r="L1994" t="s">
        <v>1824</v>
      </c>
      <c r="M1994">
        <v>1755.5383999999999</v>
      </c>
      <c r="N1994">
        <f t="shared" si="31"/>
        <v>1755.5384000000001</v>
      </c>
      <c r="O1994" t="str">
        <f>_xlfn.XLOOKUP(Sales_fact[[#This Row],[Customer_ID]],'Customer_Dim'!A:A,'Customer_Dim'!K:K,"Not Found")</f>
        <v>Silver</v>
      </c>
      <c r="P1994">
        <f>_xlfn.XLOOKUP(Sales_fact[[#This Row],[Customer_ID]],'Customer_Dim'!A:A, 'Customer_Dim'!E:E, "Not Found")</f>
        <v>24</v>
      </c>
      <c r="Q1994" t="str">
        <f>VLOOKUP(Sales_fact[[#This Row],[Customer_ID]], 'Customer_Dim'!A:F, 6, FALSE)</f>
        <v>Female</v>
      </c>
      <c r="R1994" s="13" t="str">
        <f>_xlfn.XLOOKUP(Sales_fact[[#This Row],[Product_ID]],Product_Dim!A:A,Product_Dim!C:C,"OTHERS")</f>
        <v>Beauty</v>
      </c>
    </row>
    <row r="1995" spans="1:18" x14ac:dyDescent="0.3">
      <c r="A1995" t="s">
        <v>3819</v>
      </c>
      <c r="B1995" s="2">
        <v>45274</v>
      </c>
      <c r="C1995" t="s">
        <v>1455</v>
      </c>
      <c r="D1995" t="s">
        <v>1590</v>
      </c>
      <c r="E1995" t="str">
        <f ca="1">TRIM(Sales_fact[[#This Row],[Store_ID]])</f>
        <v>STORE12</v>
      </c>
      <c r="F1995">
        <v>3</v>
      </c>
      <c r="G1995">
        <f>IF(ISBLANK(F1995),MODE($F$2:$F$2001),F1995)</f>
        <v>3</v>
      </c>
      <c r="H1995">
        <v>984.12</v>
      </c>
      <c r="I1995">
        <f>IF(ISBLANK(H1995),AVERAGE($H$2:$H$2001),H1995)</f>
        <v>984.12</v>
      </c>
      <c r="J1995">
        <v>0.27</v>
      </c>
      <c r="K1995">
        <f>IF(ISBLANK(J1995),MODE($J$2:$J$2001),J1995)</f>
        <v>0.27</v>
      </c>
      <c r="L1995" t="s">
        <v>1824</v>
      </c>
      <c r="M1995">
        <v>2155.2228</v>
      </c>
      <c r="N1995">
        <f t="shared" si="31"/>
        <v>2155.2228</v>
      </c>
      <c r="O1995" t="str">
        <f>_xlfn.XLOOKUP(Sales_fact[[#This Row],[Customer_ID]],'Customer_Dim'!A:A,'Customer_Dim'!K:K,"Not Found")</f>
        <v>Silver</v>
      </c>
      <c r="P1995">
        <f>_xlfn.XLOOKUP(Sales_fact[[#This Row],[Customer_ID]],'Customer_Dim'!A:A, 'Customer_Dim'!E:E, "Not Found")</f>
        <v>42</v>
      </c>
      <c r="Q1995" t="str">
        <f>VLOOKUP(Sales_fact[[#This Row],[Customer_ID]], 'Customer_Dim'!A:F, 6, FALSE)</f>
        <v>Male</v>
      </c>
      <c r="R1995" s="13" t="str">
        <f>_xlfn.XLOOKUP(Sales_fact[[#This Row],[Product_ID]],Product_Dim!A:A,Product_Dim!C:C,"OTHERS")</f>
        <v>Home</v>
      </c>
    </row>
    <row r="1996" spans="1:18" x14ac:dyDescent="0.3">
      <c r="A1996" t="s">
        <v>3820</v>
      </c>
      <c r="B1996" s="2">
        <v>45844</v>
      </c>
      <c r="C1996" t="s">
        <v>1458</v>
      </c>
      <c r="D1996" t="s">
        <v>1716</v>
      </c>
      <c r="E1996" t="str">
        <f ca="1">TRIM(Sales_fact[[#This Row],[Store_ID]])</f>
        <v>STORE8</v>
      </c>
      <c r="F1996">
        <v>1</v>
      </c>
      <c r="G1996">
        <f>IF(ISBLANK(F1996),MODE($F$2:$F$2001),F1996)</f>
        <v>1</v>
      </c>
      <c r="H1996">
        <v>905.23</v>
      </c>
      <c r="I1996">
        <f>IF(ISBLANK(H1996),AVERAGE($H$2:$H$2001),H1996)</f>
        <v>905.23</v>
      </c>
      <c r="J1996">
        <v>0</v>
      </c>
      <c r="K1996">
        <f>IF(ISBLANK(J1996),MODE($J$2:$J$2001),J1996)</f>
        <v>0</v>
      </c>
      <c r="L1996" t="s">
        <v>1824</v>
      </c>
      <c r="M1996">
        <v>905.23</v>
      </c>
      <c r="N1996">
        <f t="shared" si="31"/>
        <v>905.23</v>
      </c>
      <c r="O1996" t="str">
        <f>_xlfn.XLOOKUP(Sales_fact[[#This Row],[Customer_ID]],'Customer_Dim'!A:A,'Customer_Dim'!K:K,"Not Found")</f>
        <v>Bronze</v>
      </c>
      <c r="P1996">
        <f>_xlfn.XLOOKUP(Sales_fact[[#This Row],[Customer_ID]],'Customer_Dim'!A:A, 'Customer_Dim'!E:E, "Not Found")</f>
        <v>53</v>
      </c>
      <c r="Q1996" t="str">
        <f>VLOOKUP(Sales_fact[[#This Row],[Customer_ID]], 'Customer_Dim'!A:F, 6, FALSE)</f>
        <v>Male</v>
      </c>
      <c r="R1996" s="13" t="str">
        <f>_xlfn.XLOOKUP(Sales_fact[[#This Row],[Product_ID]],Product_Dim!A:A,Product_Dim!C:C,"OTHERS")</f>
        <v>Home</v>
      </c>
    </row>
    <row r="1997" spans="1:18" x14ac:dyDescent="0.3">
      <c r="A1997" t="s">
        <v>3821</v>
      </c>
      <c r="B1997" s="2">
        <v>45264</v>
      </c>
      <c r="C1997" t="s">
        <v>613</v>
      </c>
      <c r="D1997" t="s">
        <v>1746</v>
      </c>
      <c r="E1997" t="str">
        <f ca="1">TRIM(Sales_fact[[#This Row],[Store_ID]])</f>
        <v>STORE19</v>
      </c>
      <c r="F1997">
        <v>3</v>
      </c>
      <c r="G1997">
        <f>IF(ISBLANK(F1997),MODE($F$2:$F$2001),F1997)</f>
        <v>3</v>
      </c>
      <c r="H1997">
        <v>112.77</v>
      </c>
      <c r="I1997">
        <f>IF(ISBLANK(H1997),AVERAGE($H$2:$H$2001),H1997)</f>
        <v>112.77</v>
      </c>
      <c r="J1997">
        <v>0.19</v>
      </c>
      <c r="K1997">
        <f>IF(ISBLANK(J1997),MODE($J$2:$J$2001),J1997)</f>
        <v>0.19</v>
      </c>
      <c r="L1997" t="s">
        <v>1824</v>
      </c>
      <c r="M1997">
        <v>274.03109999999998</v>
      </c>
      <c r="N1997">
        <f t="shared" si="31"/>
        <v>274.03110000000004</v>
      </c>
      <c r="O1997" t="str">
        <f>_xlfn.XLOOKUP(Sales_fact[[#This Row],[Customer_ID]],'Customer_Dim'!A:A,'Customer_Dim'!K:K,"Not Found")</f>
        <v>Silver</v>
      </c>
      <c r="P1997">
        <f>_xlfn.XLOOKUP(Sales_fact[[#This Row],[Customer_ID]],'Customer_Dim'!A:A, 'Customer_Dim'!E:E, "Not Found")</f>
        <v>53</v>
      </c>
      <c r="Q1997" t="str">
        <f>VLOOKUP(Sales_fact[[#This Row],[Customer_ID]], 'Customer_Dim'!A:F, 6, FALSE)</f>
        <v>Male</v>
      </c>
      <c r="R1997" s="13" t="str">
        <f>_xlfn.XLOOKUP(Sales_fact[[#This Row],[Product_ID]],Product_Dim!A:A,Product_Dim!C:C,"OTHERS")</f>
        <v>Home</v>
      </c>
    </row>
    <row r="1998" spans="1:18" x14ac:dyDescent="0.3">
      <c r="A1998" t="s">
        <v>3822</v>
      </c>
      <c r="B1998" s="2">
        <v>45773</v>
      </c>
      <c r="C1998" t="s">
        <v>538</v>
      </c>
      <c r="D1998" t="s">
        <v>1618</v>
      </c>
      <c r="E1998" t="str">
        <f ca="1">TRIM(Sales_fact[[#This Row],[Store_ID]])</f>
        <v>STORE8</v>
      </c>
      <c r="F1998">
        <v>3</v>
      </c>
      <c r="G1998">
        <f>IF(ISBLANK(F1998),MODE($F$2:$F$2001),F1998)</f>
        <v>3</v>
      </c>
      <c r="H1998">
        <v>875.99</v>
      </c>
      <c r="I1998">
        <f>IF(ISBLANK(H1998),AVERAGE($H$2:$H$2001),H1998)</f>
        <v>875.99</v>
      </c>
      <c r="J1998">
        <v>0.09</v>
      </c>
      <c r="K1998">
        <f>IF(ISBLANK(J1998),MODE($J$2:$J$2001),J1998)</f>
        <v>0.09</v>
      </c>
      <c r="L1998" t="s">
        <v>1826</v>
      </c>
      <c r="M1998">
        <v>2391.4526999999998</v>
      </c>
      <c r="N1998">
        <f t="shared" si="31"/>
        <v>2391.4527000000003</v>
      </c>
      <c r="O1998" t="str">
        <f>_xlfn.XLOOKUP(Sales_fact[[#This Row],[Customer_ID]],'Customer_Dim'!A:A,'Customer_Dim'!K:K,"Not Found")</f>
        <v>Silver</v>
      </c>
      <c r="P1998">
        <f>_xlfn.XLOOKUP(Sales_fact[[#This Row],[Customer_ID]],'Customer_Dim'!A:A, 'Customer_Dim'!E:E, "Not Found")</f>
        <v>18</v>
      </c>
      <c r="Q1998" t="str">
        <f>VLOOKUP(Sales_fact[[#This Row],[Customer_ID]], 'Customer_Dim'!A:F, 6, FALSE)</f>
        <v>Female</v>
      </c>
      <c r="R1998" s="13" t="str">
        <f>_xlfn.XLOOKUP(Sales_fact[[#This Row],[Product_ID]],Product_Dim!A:A,Product_Dim!C:C,"OTHERS")</f>
        <v>Home</v>
      </c>
    </row>
    <row r="1999" spans="1:18" x14ac:dyDescent="0.3">
      <c r="A1999" t="s">
        <v>3823</v>
      </c>
      <c r="B1999" s="2">
        <v>45460</v>
      </c>
      <c r="C1999" t="s">
        <v>441</v>
      </c>
      <c r="D1999" t="s">
        <v>1726</v>
      </c>
      <c r="E1999" t="str">
        <f ca="1">TRIM(Sales_fact[[#This Row],[Store_ID]])</f>
        <v>STORE10</v>
      </c>
      <c r="F1999">
        <v>2</v>
      </c>
      <c r="G1999">
        <f>IF(ISBLANK(F1999),MODE($F$2:$F$2001),F1999)</f>
        <v>2</v>
      </c>
      <c r="H1999">
        <v>685.31</v>
      </c>
      <c r="I1999">
        <f>IF(ISBLANK(H1999),AVERAGE($H$2:$H$2001),H1999)</f>
        <v>685.31</v>
      </c>
      <c r="J1999">
        <v>0.26</v>
      </c>
      <c r="K1999">
        <f>IF(ISBLANK(J1999),MODE($J$2:$J$2001),J1999)</f>
        <v>0.26</v>
      </c>
      <c r="L1999" t="s">
        <v>1826</v>
      </c>
      <c r="M1999">
        <v>1014.2588</v>
      </c>
      <c r="N1999">
        <f t="shared" si="31"/>
        <v>1014.2588</v>
      </c>
      <c r="O1999" t="str">
        <f>_xlfn.XLOOKUP(Sales_fact[[#This Row],[Customer_ID]],'Customer_Dim'!A:A,'Customer_Dim'!K:K,"Not Found")</f>
        <v>Silver</v>
      </c>
      <c r="P1999">
        <f>_xlfn.XLOOKUP(Sales_fact[[#This Row],[Customer_ID]],'Customer_Dim'!A:A, 'Customer_Dim'!E:E, "Not Found")</f>
        <v>45</v>
      </c>
      <c r="Q1999" t="str">
        <f>VLOOKUP(Sales_fact[[#This Row],[Customer_ID]], 'Customer_Dim'!A:F, 6, FALSE)</f>
        <v>Male</v>
      </c>
      <c r="R1999" s="13" t="str">
        <f>_xlfn.XLOOKUP(Sales_fact[[#This Row],[Product_ID]],Product_Dim!A:A,Product_Dim!C:C,"OTHERS")</f>
        <v>Beauty</v>
      </c>
    </row>
    <row r="2000" spans="1:18" x14ac:dyDescent="0.3">
      <c r="A2000" t="s">
        <v>3824</v>
      </c>
      <c r="B2000" s="2">
        <v>45607</v>
      </c>
      <c r="C2000" t="s">
        <v>198</v>
      </c>
      <c r="D2000" t="s">
        <v>1670</v>
      </c>
      <c r="E2000" t="str">
        <f ca="1">TRIM(Sales_fact[[#This Row],[Store_ID]])</f>
        <v>STORE11</v>
      </c>
      <c r="F2000">
        <v>3</v>
      </c>
      <c r="G2000">
        <f>IF(ISBLANK(F2000),MODE($F$2:$F$2001),F2000)</f>
        <v>3</v>
      </c>
      <c r="H2000">
        <v>945.37</v>
      </c>
      <c r="I2000">
        <f>IF(ISBLANK(H2000),AVERAGE($H$2:$H$2001),H2000)</f>
        <v>945.37</v>
      </c>
      <c r="J2000">
        <v>0.05</v>
      </c>
      <c r="K2000">
        <f>IF(ISBLANK(J2000),MODE($J$2:$J$2001),J2000)</f>
        <v>0.05</v>
      </c>
      <c r="L2000" t="s">
        <v>1824</v>
      </c>
      <c r="M2000">
        <v>2694.3045000000002</v>
      </c>
      <c r="N2000">
        <f t="shared" si="31"/>
        <v>2694.3045000000002</v>
      </c>
      <c r="O2000" t="str">
        <f>_xlfn.XLOOKUP(Sales_fact[[#This Row],[Customer_ID]],'Customer_Dim'!A:A,'Customer_Dim'!K:K,"Not Found")</f>
        <v>Bronze</v>
      </c>
      <c r="P2000">
        <f>_xlfn.XLOOKUP(Sales_fact[[#This Row],[Customer_ID]],'Customer_Dim'!A:A, 'Customer_Dim'!E:E, "Not Found")</f>
        <v>55</v>
      </c>
      <c r="Q2000" t="str">
        <f>VLOOKUP(Sales_fact[[#This Row],[Customer_ID]], 'Customer_Dim'!A:F, 6, FALSE)</f>
        <v>Male</v>
      </c>
      <c r="R2000" s="13" t="str">
        <f>_xlfn.XLOOKUP(Sales_fact[[#This Row],[Product_ID]],Product_Dim!A:A,Product_Dim!C:C,"OTHERS")</f>
        <v>Sports</v>
      </c>
    </row>
    <row r="2001" spans="1:18" ht="12.6" customHeight="1" x14ac:dyDescent="0.3">
      <c r="A2001" t="s">
        <v>3825</v>
      </c>
      <c r="B2001" s="2">
        <v>45267</v>
      </c>
      <c r="C2001" t="s">
        <v>100</v>
      </c>
      <c r="D2001" t="s">
        <v>1700</v>
      </c>
      <c r="E2001" t="str">
        <f ca="1">TRIM(Sales_fact[[#This Row],[Store_ID]])</f>
        <v>STORE19</v>
      </c>
      <c r="F2001">
        <v>3</v>
      </c>
      <c r="G2001">
        <f>IF(ISBLANK(F2001),MODE($F$2:$F$2001),F2001)</f>
        <v>3</v>
      </c>
      <c r="H2001">
        <v>68.45</v>
      </c>
      <c r="I2001">
        <f>IF(ISBLANK(H2001),AVERAGE($H$2:$H$2001),H2001)</f>
        <v>68.45</v>
      </c>
      <c r="J2001">
        <v>0.17</v>
      </c>
      <c r="K2001">
        <f>IF(ISBLANK(J2001),MODE($J$2:$J$2001),J2001)</f>
        <v>0.17</v>
      </c>
      <c r="L2001" t="s">
        <v>1826</v>
      </c>
      <c r="M2001">
        <v>170.44049999999999</v>
      </c>
      <c r="N2001">
        <f t="shared" si="31"/>
        <v>170.44050000000001</v>
      </c>
      <c r="O2001" t="str">
        <f>_xlfn.XLOOKUP(Sales_fact[[#This Row],[Customer_ID]],'Customer_Dim'!A:A,'Customer_Dim'!K:K,"Not Found")</f>
        <v>Silver</v>
      </c>
      <c r="P2001">
        <f>_xlfn.XLOOKUP(Sales_fact[[#This Row],[Customer_ID]],'Customer_Dim'!A:A, 'Customer_Dim'!E:E, "Not Found")</f>
        <v>52</v>
      </c>
      <c r="Q2001" t="str">
        <f>VLOOKUP(Sales_fact[[#This Row],[Customer_ID]], 'Customer_Dim'!A:F, 6, FALSE)</f>
        <v>Female</v>
      </c>
      <c r="R2001" s="13" t="str">
        <f>_xlfn.XLOOKUP(Sales_fact[[#This Row],[Product_ID]],Product_Dim!A:A,Product_Dim!C:C,"OTHERS")</f>
        <v>Electronics</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2DC4-E0ED-4C0F-B5FA-DF15446A7124}">
  <dimension ref="A1:B8"/>
  <sheetViews>
    <sheetView workbookViewId="0">
      <selection activeCell="F10" sqref="F10"/>
    </sheetView>
  </sheetViews>
  <sheetFormatPr defaultRowHeight="14.4" x14ac:dyDescent="0.3"/>
  <cols>
    <col min="1" max="1" width="10.77734375" bestFit="1" customWidth="1"/>
    <col min="2" max="2" width="19.21875" bestFit="1" customWidth="1"/>
  </cols>
  <sheetData>
    <row r="1" spans="1:2" x14ac:dyDescent="0.3">
      <c r="A1" s="14" t="s">
        <v>3994</v>
      </c>
      <c r="B1" t="s">
        <v>3993</v>
      </c>
    </row>
    <row r="2" spans="1:2" x14ac:dyDescent="0.3">
      <c r="A2" s="15" t="s">
        <v>26</v>
      </c>
      <c r="B2" s="13">
        <v>516065.73458482703</v>
      </c>
    </row>
    <row r="3" spans="1:2" x14ac:dyDescent="0.3">
      <c r="A3" s="15" t="s">
        <v>13</v>
      </c>
      <c r="B3" s="13">
        <v>514204.37545748614</v>
      </c>
    </row>
    <row r="4" spans="1:2" x14ac:dyDescent="0.3">
      <c r="A4" s="15" t="s">
        <v>3995</v>
      </c>
      <c r="B4" s="13">
        <v>26259.668600000001</v>
      </c>
    </row>
    <row r="5" spans="1:2" x14ac:dyDescent="0.3">
      <c r="A5" s="15" t="s">
        <v>19</v>
      </c>
      <c r="B5" s="13">
        <v>640304.87312508724</v>
      </c>
    </row>
    <row r="6" spans="1:2" x14ac:dyDescent="0.3">
      <c r="A6" s="15" t="s">
        <v>31</v>
      </c>
      <c r="B6" s="13">
        <v>459016.44290000043</v>
      </c>
    </row>
    <row r="7" spans="1:2" x14ac:dyDescent="0.3">
      <c r="A7" s="15" t="s">
        <v>3996</v>
      </c>
      <c r="B7" s="13">
        <v>17512.335300000002</v>
      </c>
    </row>
    <row r="8" spans="1:2" x14ac:dyDescent="0.3">
      <c r="A8" s="15" t="s">
        <v>3992</v>
      </c>
      <c r="B8" s="13">
        <v>2173363.4299674006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09B5-8F9E-4A64-B3B4-F54680DABB07}">
  <dimension ref="A2:E40"/>
  <sheetViews>
    <sheetView workbookViewId="0">
      <selection activeCell="E2" sqref="E2"/>
    </sheetView>
  </sheetViews>
  <sheetFormatPr defaultRowHeight="14.4" x14ac:dyDescent="0.3"/>
  <cols>
    <col min="1" max="1" width="12.5546875" bestFit="1" customWidth="1"/>
    <col min="2" max="2" width="19.21875" bestFit="1" customWidth="1"/>
    <col min="3" max="3" width="12.88671875" bestFit="1" customWidth="1"/>
    <col min="4" max="4" width="10.77734375" bestFit="1" customWidth="1"/>
    <col min="5" max="5" width="19.21875" bestFit="1" customWidth="1"/>
    <col min="6" max="6" width="7.44140625" bestFit="1" customWidth="1"/>
    <col min="7" max="16" width="8.44140625" bestFit="1" customWidth="1"/>
    <col min="17" max="24" width="7.44140625" bestFit="1" customWidth="1"/>
    <col min="25" max="25" width="10.77734375" bestFit="1" customWidth="1"/>
  </cols>
  <sheetData>
    <row r="2" spans="1:5" x14ac:dyDescent="0.3">
      <c r="A2" s="14" t="s">
        <v>3991</v>
      </c>
      <c r="B2" t="s">
        <v>3993</v>
      </c>
      <c r="D2" s="14" t="s">
        <v>3994</v>
      </c>
      <c r="E2" t="s">
        <v>3993</v>
      </c>
    </row>
    <row r="3" spans="1:5" x14ac:dyDescent="0.3">
      <c r="A3" s="15" t="s">
        <v>1752</v>
      </c>
      <c r="B3" s="13">
        <v>85138.555199999973</v>
      </c>
      <c r="D3" s="15" t="s">
        <v>26</v>
      </c>
      <c r="E3" s="13">
        <v>516065.73458482703</v>
      </c>
    </row>
    <row r="4" spans="1:5" x14ac:dyDescent="0.3">
      <c r="A4" s="15" t="s">
        <v>1757</v>
      </c>
      <c r="B4" s="13">
        <v>100344.56880000002</v>
      </c>
      <c r="D4" s="15" t="s">
        <v>13</v>
      </c>
      <c r="E4" s="13">
        <v>514204.37545748614</v>
      </c>
    </row>
    <row r="5" spans="1:5" x14ac:dyDescent="0.3">
      <c r="A5" s="15" t="s">
        <v>1789</v>
      </c>
      <c r="B5" s="13">
        <v>109791.71519999996</v>
      </c>
      <c r="D5" s="15" t="s">
        <v>3995</v>
      </c>
      <c r="E5" s="13">
        <v>26259.668600000001</v>
      </c>
    </row>
    <row r="6" spans="1:5" x14ac:dyDescent="0.3">
      <c r="A6" s="15" t="s">
        <v>1792</v>
      </c>
      <c r="B6" s="13">
        <v>93048.140500000009</v>
      </c>
      <c r="D6" s="15" t="s">
        <v>19</v>
      </c>
      <c r="E6" s="13">
        <v>640304.87312508724</v>
      </c>
    </row>
    <row r="7" spans="1:5" x14ac:dyDescent="0.3">
      <c r="A7" s="15" t="s">
        <v>1794</v>
      </c>
      <c r="B7" s="13">
        <v>116829.22059999997</v>
      </c>
      <c r="D7" s="15" t="s">
        <v>31</v>
      </c>
      <c r="E7" s="13">
        <v>459016.44290000043</v>
      </c>
    </row>
    <row r="8" spans="1:5" x14ac:dyDescent="0.3">
      <c r="A8" s="15" t="s">
        <v>1797</v>
      </c>
      <c r="B8" s="13">
        <v>114592.72182508763</v>
      </c>
      <c r="D8" s="15" t="s">
        <v>3996</v>
      </c>
      <c r="E8" s="13">
        <v>17512.335300000002</v>
      </c>
    </row>
    <row r="9" spans="1:5" x14ac:dyDescent="0.3">
      <c r="A9" s="15" t="s">
        <v>1799</v>
      </c>
      <c r="B9" s="13">
        <v>106248.28329999997</v>
      </c>
      <c r="D9" s="15" t="s">
        <v>3992</v>
      </c>
      <c r="E9" s="13">
        <v>2173363.4299674006</v>
      </c>
    </row>
    <row r="10" spans="1:5" x14ac:dyDescent="0.3">
      <c r="A10" s="15" t="s">
        <v>1801</v>
      </c>
      <c r="B10" s="13">
        <v>99679.086000000025</v>
      </c>
    </row>
    <row r="11" spans="1:5" x14ac:dyDescent="0.3">
      <c r="A11" s="15" t="s">
        <v>1804</v>
      </c>
      <c r="B11" s="13">
        <v>111704.94359999998</v>
      </c>
    </row>
    <row r="12" spans="1:5" x14ac:dyDescent="0.3">
      <c r="A12" s="15" t="s">
        <v>1807</v>
      </c>
      <c r="B12" s="13">
        <v>121555.10789999997</v>
      </c>
    </row>
    <row r="13" spans="1:5" x14ac:dyDescent="0.3">
      <c r="A13" s="15" t="s">
        <v>1810</v>
      </c>
      <c r="B13" s="13">
        <v>105447.24375748624</v>
      </c>
    </row>
    <row r="14" spans="1:5" x14ac:dyDescent="0.3">
      <c r="A14" s="15" t="s">
        <v>1813</v>
      </c>
      <c r="B14" s="13">
        <v>94225.72329999994</v>
      </c>
    </row>
    <row r="15" spans="1:5" x14ac:dyDescent="0.3">
      <c r="A15" s="15" t="s">
        <v>1761</v>
      </c>
      <c r="B15" s="13">
        <v>99010.549799999993</v>
      </c>
    </row>
    <row r="16" spans="1:5" x14ac:dyDescent="0.3">
      <c r="A16" s="15" t="s">
        <v>1766</v>
      </c>
      <c r="B16" s="13">
        <v>124243.9895</v>
      </c>
    </row>
    <row r="17" spans="1:2" x14ac:dyDescent="0.3">
      <c r="A17" s="15" t="s">
        <v>1769</v>
      </c>
      <c r="B17" s="13">
        <v>118814.11569999999</v>
      </c>
    </row>
    <row r="18" spans="1:2" x14ac:dyDescent="0.3">
      <c r="A18" s="15" t="s">
        <v>1773</v>
      </c>
      <c r="B18" s="13">
        <v>80926.71639999999</v>
      </c>
    </row>
    <row r="19" spans="1:2" x14ac:dyDescent="0.3">
      <c r="A19" s="15" t="s">
        <v>1776</v>
      </c>
      <c r="B19" s="13">
        <v>115435.49218482725</v>
      </c>
    </row>
    <row r="20" spans="1:2" x14ac:dyDescent="0.3">
      <c r="A20" s="15" t="s">
        <v>1779</v>
      </c>
      <c r="B20" s="13">
        <v>108127.35980000001</v>
      </c>
    </row>
    <row r="21" spans="1:2" x14ac:dyDescent="0.3">
      <c r="A21" s="15" t="s">
        <v>1782</v>
      </c>
      <c r="B21" s="13">
        <v>158933.984</v>
      </c>
    </row>
    <row r="22" spans="1:2" x14ac:dyDescent="0.3">
      <c r="A22" s="15" t="s">
        <v>1786</v>
      </c>
      <c r="B22" s="13">
        <v>109265.9126</v>
      </c>
    </row>
    <row r="23" spans="1:2" x14ac:dyDescent="0.3">
      <c r="A23" s="15" t="s">
        <v>3992</v>
      </c>
      <c r="B23" s="13">
        <v>2173363.4299674011</v>
      </c>
    </row>
    <row r="26" spans="1:2" x14ac:dyDescent="0.3">
      <c r="A26" s="14" t="s">
        <v>3991</v>
      </c>
      <c r="B26" t="s">
        <v>3993</v>
      </c>
    </row>
    <row r="27" spans="1:2" x14ac:dyDescent="0.3">
      <c r="A27" s="15" t="s">
        <v>16</v>
      </c>
      <c r="B27" s="13">
        <v>1205587.4302674003</v>
      </c>
    </row>
    <row r="28" spans="1:2" x14ac:dyDescent="0.3">
      <c r="A28" s="15" t="s">
        <v>9</v>
      </c>
      <c r="B28" s="13">
        <v>941516.33110000065</v>
      </c>
    </row>
    <row r="29" spans="1:2" x14ac:dyDescent="0.3">
      <c r="A29" s="15" t="s">
        <v>3997</v>
      </c>
      <c r="B29" s="13">
        <v>26259.668600000001</v>
      </c>
    </row>
    <row r="30" spans="1:2" x14ac:dyDescent="0.3">
      <c r="A30" s="15" t="s">
        <v>3992</v>
      </c>
      <c r="B30" s="13">
        <v>2173363.4299674011</v>
      </c>
    </row>
    <row r="33" spans="1:2" x14ac:dyDescent="0.3">
      <c r="A33" s="14" t="s">
        <v>3998</v>
      </c>
      <c r="B33" t="s">
        <v>3993</v>
      </c>
    </row>
    <row r="34" spans="1:2" x14ac:dyDescent="0.3">
      <c r="A34" s="15" t="s">
        <v>1558</v>
      </c>
      <c r="B34" s="13">
        <v>300905.68600991456</v>
      </c>
    </row>
    <row r="35" spans="1:2" x14ac:dyDescent="0.3">
      <c r="A35" s="15" t="s">
        <v>1547</v>
      </c>
      <c r="B35" s="13">
        <v>354067.97550000012</v>
      </c>
    </row>
    <row r="36" spans="1:2" x14ac:dyDescent="0.3">
      <c r="A36" s="15" t="s">
        <v>1563</v>
      </c>
      <c r="B36" s="13">
        <v>505496.0692574865</v>
      </c>
    </row>
    <row r="37" spans="1:2" x14ac:dyDescent="0.3">
      <c r="A37" s="15" t="s">
        <v>1544</v>
      </c>
      <c r="B37" s="13">
        <v>424823.35450000002</v>
      </c>
    </row>
    <row r="38" spans="1:2" x14ac:dyDescent="0.3">
      <c r="A38" s="15" t="s">
        <v>3999</v>
      </c>
      <c r="B38" s="13">
        <v>46060.170099999988</v>
      </c>
    </row>
    <row r="39" spans="1:2" x14ac:dyDescent="0.3">
      <c r="A39" s="15" t="s">
        <v>1566</v>
      </c>
      <c r="B39" s="13">
        <v>542010.17460000049</v>
      </c>
    </row>
    <row r="40" spans="1:2" x14ac:dyDescent="0.3">
      <c r="A40" s="15" t="s">
        <v>3992</v>
      </c>
      <c r="B40" s="13">
        <v>2173363.4299674015</v>
      </c>
    </row>
  </sheetData>
  <conditionalFormatting sqref="B1">
    <cfRule type="dataBar" priority="2">
      <dataBar>
        <cfvo type="min"/>
        <cfvo type="max"/>
        <color rgb="FFFF555A"/>
      </dataBar>
      <extLst>
        <ext xmlns:x14="http://schemas.microsoft.com/office/spreadsheetml/2009/9/main" uri="{B025F937-C7B1-47D3-B67F-A62EFF666E3E}">
          <x14:id>{2991D1A8-2B31-4991-AABB-D1B7ED2EED39}</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991D1A8-2B31-4991-AABB-D1B7ED2EED39}">
            <x14:dataBar minLength="0" maxLength="100" gradient="0">
              <x14:cfvo type="autoMin"/>
              <x14:cfvo type="autoMax"/>
              <x14:negativeFillColor rgb="FFFF0000"/>
              <x14:axisColor rgb="FF000000"/>
            </x14:dataBar>
          </x14:cfRule>
          <xm:sqref>B1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F51E0-3ABD-44A2-A1D1-A9D6C83276B6}">
  <dimension ref="A1:B8"/>
  <sheetViews>
    <sheetView workbookViewId="0">
      <selection activeCell="G20" sqref="G20"/>
    </sheetView>
  </sheetViews>
  <sheetFormatPr defaultRowHeight="14.4" x14ac:dyDescent="0.3"/>
  <cols>
    <col min="1" max="1" width="17.77734375" bestFit="1" customWidth="1"/>
    <col min="2" max="2" width="19.21875" bestFit="1" customWidth="1"/>
  </cols>
  <sheetData>
    <row r="1" spans="1:2" x14ac:dyDescent="0.3">
      <c r="A1" s="14" t="s">
        <v>3998</v>
      </c>
      <c r="B1" t="s">
        <v>3993</v>
      </c>
    </row>
    <row r="2" spans="1:2" x14ac:dyDescent="0.3">
      <c r="A2" s="15" t="s">
        <v>1558</v>
      </c>
      <c r="B2" s="13">
        <v>300905.68600991456</v>
      </c>
    </row>
    <row r="3" spans="1:2" x14ac:dyDescent="0.3">
      <c r="A3" s="15" t="s">
        <v>1547</v>
      </c>
      <c r="B3" s="13">
        <v>354067.97550000012</v>
      </c>
    </row>
    <row r="4" spans="1:2" x14ac:dyDescent="0.3">
      <c r="A4" s="15" t="s">
        <v>1563</v>
      </c>
      <c r="B4" s="13">
        <v>505496.0692574865</v>
      </c>
    </row>
    <row r="5" spans="1:2" x14ac:dyDescent="0.3">
      <c r="A5" s="15" t="s">
        <v>1544</v>
      </c>
      <c r="B5" s="13">
        <v>424823.35450000002</v>
      </c>
    </row>
    <row r="6" spans="1:2" x14ac:dyDescent="0.3">
      <c r="A6" s="15" t="s">
        <v>3999</v>
      </c>
      <c r="B6" s="13">
        <v>46060.170099999988</v>
      </c>
    </row>
    <row r="7" spans="1:2" x14ac:dyDescent="0.3">
      <c r="A7" s="15" t="s">
        <v>1566</v>
      </c>
      <c r="B7" s="13">
        <v>542010.17460000049</v>
      </c>
    </row>
    <row r="8" spans="1:2" x14ac:dyDescent="0.3">
      <c r="A8" s="15" t="s">
        <v>3992</v>
      </c>
      <c r="B8" s="13">
        <v>2173363.4299674015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18514-66F8-429F-A2F0-DB719F8721D1}">
  <dimension ref="A1"/>
  <sheetViews>
    <sheetView workbookViewId="0">
      <selection activeCell="G18" sqref="G18"/>
    </sheetView>
  </sheetViews>
  <sheetFormatPr defaultRowHeight="14.4" x14ac:dyDescent="0.3"/>
  <cols>
    <col min="1" max="1" width="12.5546875" bestFit="1" customWidth="1"/>
    <col min="2" max="2" width="19.21875" bestFit="1" customWidth="1"/>
  </cols>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79F0A-00A6-42DC-B29E-7615A34B7A6B}">
  <dimension ref="A1:I3"/>
  <sheetViews>
    <sheetView tabSelected="1" workbookViewId="0">
      <selection activeCell="K23" sqref="K23"/>
    </sheetView>
  </sheetViews>
  <sheetFormatPr defaultColWidth="16.33203125" defaultRowHeight="14.4" x14ac:dyDescent="0.3"/>
  <cols>
    <col min="1" max="1" width="10.21875" style="16" customWidth="1"/>
    <col min="2" max="16384" width="16.33203125" style="17"/>
  </cols>
  <sheetData>
    <row r="1" spans="3:9" x14ac:dyDescent="0.3">
      <c r="C1" s="18" t="s">
        <v>4000</v>
      </c>
      <c r="D1" s="18"/>
      <c r="E1" s="18"/>
      <c r="F1" s="18"/>
      <c r="G1" s="18"/>
      <c r="H1" s="18"/>
      <c r="I1" s="18"/>
    </row>
    <row r="2" spans="3:9" x14ac:dyDescent="0.3">
      <c r="C2" s="18"/>
      <c r="D2" s="18"/>
      <c r="E2" s="18"/>
      <c r="F2" s="18"/>
      <c r="G2" s="18"/>
      <c r="H2" s="18"/>
      <c r="I2" s="18"/>
    </row>
    <row r="3" spans="3:9" x14ac:dyDescent="0.3">
      <c r="C3" s="18"/>
      <c r="D3" s="18"/>
      <c r="E3" s="18"/>
      <c r="F3" s="18"/>
      <c r="G3" s="18"/>
      <c r="H3" s="18"/>
      <c r="I3" s="18"/>
    </row>
  </sheetData>
  <mergeCells count="1">
    <mergeCell ref="C1:I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Customer_Dim</vt:lpstr>
      <vt:lpstr>Product_Dim</vt:lpstr>
      <vt:lpstr>Store_Dim</vt:lpstr>
      <vt:lpstr>Sheet9</vt:lpstr>
      <vt:lpstr>Sales_Fact</vt:lpstr>
      <vt:lpstr>Sheet11</vt:lpstr>
      <vt:lpstr>Pivot table</vt:lpstr>
      <vt:lpstr>Sheet12</vt:lpstr>
      <vt:lpstr>Charts</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Annie Ebin</cp:lastModifiedBy>
  <dcterms:created xsi:type="dcterms:W3CDTF">2025-10-14T06:00:18Z</dcterms:created>
  <dcterms:modified xsi:type="dcterms:W3CDTF">2026-09-13T18:52:45Z</dcterms:modified>
</cp:coreProperties>
</file>